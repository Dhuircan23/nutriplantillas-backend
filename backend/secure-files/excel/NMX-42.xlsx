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13788.36685\"/>
    </mc:Choice>
  </mc:AlternateContent>
  <xr:revisionPtr revIDLastSave="0" documentId="8_{0CA093DD-1C67-44F4-888D-F2300E9494D2}" xr6:coauthVersionLast="47" xr6:coauthVersionMax="47" xr10:uidLastSave="{00000000-0000-0000-0000-000000000000}"/>
  <bookViews>
    <workbookView xWindow="-120" yWindow="-120" windowWidth="29040" windowHeight="15840" tabRatio="787" activeTab="10" xr2:uid="{00000000-000D-0000-FFFF-FFFF00000000}"/>
  </bookViews>
  <sheets>
    <sheet name="INICIO" sheetId="1" r:id="rId1"/>
    <sheet name="LICENCIA" sheetId="2" r:id="rId2"/>
    <sheet name="DATOS" sheetId="3" r:id="rId3"/>
    <sheet name="ALIMENTOS" sheetId="4" r:id="rId4"/>
    <sheet name="EXPLORADOR" sheetId="5" r:id="rId5"/>
    <sheet name="SUSTITUCION" sheetId="6" r:id="rId6"/>
    <sheet name="EQUIVALENTES" sheetId="7" r:id="rId7"/>
    <sheet name="FUENTES" sheetId="8" r:id="rId8"/>
    <sheet name="PRUEBAS" sheetId="9" r:id="rId9"/>
    <sheet name="CONFIG" sheetId="10" r:id="rId10"/>
    <sheet name="CHANGELOG" sheetId="11" r:id="rId11"/>
    <sheet name="TRAZABILIDAD_RENAL" sheetId="12" r:id="rId12"/>
    <sheet name="MATRIZ_RENAL" sheetId="13" r:id="rId13"/>
    <sheet name="VALIDACION_RENAL" sheetId="14" state="hidden" r:id="rId14"/>
  </sheets>
  <definedNames>
    <definedName name="k_cobMin">CONFIG!$E$21</definedName>
    <definedName name="k_nAlt">CONFIG!$E$22</definedName>
    <definedName name="k_tol">CONFIG!$E$23</definedName>
    <definedName name="lst_alimentos">ALIMENTOS!$B$9:$B$626</definedName>
    <definedName name="lst_prioridad">CONFIG!$K$30:$K$33</definedName>
    <definedName name="lst_si">CONFIG!$A$30:$A$31</definedName>
    <definedName name="lst_situacion">CONFIG!$F$30:$F$34</definedName>
    <definedName name="rng_clave">ALIMENTOS!$T$9:$T$626</definedName>
    <definedName name="rng_estado">ALIMENTOS!$S$9:$S$626</definedName>
    <definedName name="rng_grupo">ALIMENTOS!$C$9:$C$626</definedName>
    <definedName name="rng_K">ALIMENTOS!$H$9:$H$626</definedName>
    <definedName name="rng_kcal">ALIMENTOS!$F$9:$F$626</definedName>
    <definedName name="rng_Na">ALIMENTOS!$J$9:$J$626</definedName>
    <definedName name="rng_orden">ALIMENTOS!$U$9:$U$626</definedName>
    <definedName name="rng_P">ALIMENTOS!$I$9:$I$626</definedName>
    <definedName name="rng_pp">ALIMENTOS!$Q$9:$Q$626</definedName>
    <definedName name="rng_prot">ALIMENTOS!$G$9:$G$626</definedName>
    <definedName name="rng_umbrales">CONFIG!$A$13:$E$15</definedName>
    <definedName name="u_ppAcep">CONFIG!$E$19</definedName>
    <definedName name="u_ppDes">CONFIG!$E$18</definedName>
    <definedName name="u_protMin">CONFIG!$E$20</definedName>
    <definedName name="v_bloqueo">LICENCIA!$C$14</definedName>
    <definedName name="v_limK">DATOS!$C$15</definedName>
    <definedName name="v_limNa">DATOS!$C$17</definedName>
    <definedName name="v_limP">DATOS!$C$16</definedName>
    <definedName name="v_prioridad">DATOS!$C$22</definedName>
    <definedName name="v_revision">LICENCIA!$C$41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8" i="14" l="1"/>
  <c r="G28" i="14" s="1"/>
  <c r="E27" i="14"/>
  <c r="G27" i="14" s="1"/>
  <c r="E26" i="14"/>
  <c r="G26" i="14" s="1"/>
  <c r="E25" i="14"/>
  <c r="G25" i="14" s="1"/>
  <c r="E24" i="14"/>
  <c r="G24" i="14" s="1"/>
  <c r="E23" i="14"/>
  <c r="G23" i="14" s="1"/>
  <c r="E22" i="14"/>
  <c r="G22" i="14" s="1"/>
  <c r="E21" i="14"/>
  <c r="G21" i="14" s="1"/>
  <c r="E20" i="14"/>
  <c r="G20" i="14" s="1"/>
  <c r="E19" i="14"/>
  <c r="G19" i="14" s="1"/>
  <c r="E18" i="14"/>
  <c r="G18" i="14" s="1"/>
  <c r="E17" i="14"/>
  <c r="G17" i="14" s="1"/>
  <c r="E16" i="14"/>
  <c r="G16" i="14" s="1"/>
  <c r="E15" i="14"/>
  <c r="G15" i="14" s="1"/>
  <c r="E14" i="14"/>
  <c r="G14" i="14" s="1"/>
  <c r="E13" i="14"/>
  <c r="G13" i="14" s="1"/>
  <c r="E12" i="14"/>
  <c r="G12" i="14" s="1"/>
  <c r="E11" i="14"/>
  <c r="G11" i="14" s="1"/>
  <c r="E10" i="14"/>
  <c r="G10" i="14" s="1"/>
  <c r="E9" i="14"/>
  <c r="G9" i="14" s="1"/>
  <c r="E8" i="14"/>
  <c r="G8" i="14" s="1"/>
  <c r="E7" i="14"/>
  <c r="G7" i="14" s="1"/>
  <c r="E6" i="14"/>
  <c r="G6" i="14" s="1"/>
  <c r="H33" i="12"/>
  <c r="H32" i="12"/>
  <c r="H30" i="12"/>
  <c r="B24" i="12"/>
  <c r="B22" i="12"/>
  <c r="B21" i="12"/>
  <c r="B16" i="12"/>
  <c r="B14" i="12"/>
  <c r="B13" i="12"/>
  <c r="B33" i="12" s="1"/>
  <c r="B12" i="12"/>
  <c r="B32" i="12" s="1"/>
  <c r="A4" i="11"/>
  <c r="A4" i="10"/>
  <c r="C37" i="9"/>
  <c r="E37" i="9" s="1"/>
  <c r="A4" i="9"/>
  <c r="A4" i="8"/>
  <c r="A4" i="7"/>
  <c r="C34" i="6"/>
  <c r="C32" i="6"/>
  <c r="C17" i="6"/>
  <c r="C16" i="6"/>
  <c r="C15" i="6"/>
  <c r="C14" i="6"/>
  <c r="C13" i="6"/>
  <c r="A4" i="6"/>
  <c r="A39" i="5"/>
  <c r="A38" i="5"/>
  <c r="A37" i="5"/>
  <c r="A36" i="5"/>
  <c r="A35" i="5"/>
  <c r="A34" i="5"/>
  <c r="A33" i="5"/>
  <c r="A32" i="5"/>
  <c r="A31" i="5"/>
  <c r="A30" i="5"/>
  <c r="L20" i="5"/>
  <c r="K20" i="5"/>
  <c r="J20" i="5"/>
  <c r="L19" i="5"/>
  <c r="K19" i="5"/>
  <c r="J19" i="5"/>
  <c r="L18" i="5"/>
  <c r="K18" i="5"/>
  <c r="J18" i="5"/>
  <c r="L17" i="5"/>
  <c r="K17" i="5"/>
  <c r="J17" i="5"/>
  <c r="C26" i="9" s="1"/>
  <c r="E26" i="9" s="1"/>
  <c r="L16" i="5"/>
  <c r="K16" i="5"/>
  <c r="J16" i="5"/>
  <c r="L15" i="5"/>
  <c r="K15" i="5"/>
  <c r="J15" i="5"/>
  <c r="L14" i="5"/>
  <c r="K14" i="5"/>
  <c r="J14" i="5"/>
  <c r="L13" i="5"/>
  <c r="C27" i="9" s="1"/>
  <c r="E27" i="9" s="1"/>
  <c r="K13" i="5"/>
  <c r="J13" i="5"/>
  <c r="L12" i="5"/>
  <c r="K12" i="5"/>
  <c r="J12" i="5"/>
  <c r="L11" i="5"/>
  <c r="K11" i="5"/>
  <c r="J11" i="5"/>
  <c r="C25" i="9" s="1"/>
  <c r="E25" i="9" s="1"/>
  <c r="A4" i="5"/>
  <c r="S626" i="4"/>
  <c r="Q626" i="4"/>
  <c r="R626" i="4" s="1"/>
  <c r="P626" i="4"/>
  <c r="O626" i="4"/>
  <c r="N626" i="4"/>
  <c r="S625" i="4"/>
  <c r="Q625" i="4"/>
  <c r="R625" i="4" s="1"/>
  <c r="P625" i="4"/>
  <c r="O625" i="4"/>
  <c r="N625" i="4"/>
  <c r="S624" i="4"/>
  <c r="Q624" i="4"/>
  <c r="R624" i="4" s="1"/>
  <c r="P624" i="4"/>
  <c r="O624" i="4"/>
  <c r="N624" i="4"/>
  <c r="S623" i="4"/>
  <c r="T623" i="4" s="1"/>
  <c r="Q623" i="4"/>
  <c r="R623" i="4" s="1"/>
  <c r="P623" i="4"/>
  <c r="O623" i="4"/>
  <c r="N623" i="4"/>
  <c r="S622" i="4"/>
  <c r="T622" i="4" s="1"/>
  <c r="Q622" i="4"/>
  <c r="R622" i="4" s="1"/>
  <c r="P622" i="4"/>
  <c r="O622" i="4"/>
  <c r="N622" i="4"/>
  <c r="S621" i="4"/>
  <c r="Q621" i="4"/>
  <c r="R621" i="4" s="1"/>
  <c r="P621" i="4"/>
  <c r="O621" i="4"/>
  <c r="N621" i="4"/>
  <c r="S620" i="4"/>
  <c r="Q620" i="4"/>
  <c r="R620" i="4" s="1"/>
  <c r="P620" i="4"/>
  <c r="O620" i="4"/>
  <c r="N620" i="4"/>
  <c r="S619" i="4"/>
  <c r="T619" i="4" s="1"/>
  <c r="Q619" i="4"/>
  <c r="R619" i="4" s="1"/>
  <c r="P619" i="4"/>
  <c r="O619" i="4"/>
  <c r="N619" i="4"/>
  <c r="S618" i="4"/>
  <c r="Q618" i="4"/>
  <c r="R618" i="4" s="1"/>
  <c r="P618" i="4"/>
  <c r="O618" i="4"/>
  <c r="N618" i="4"/>
  <c r="S617" i="4"/>
  <c r="Q617" i="4"/>
  <c r="R617" i="4" s="1"/>
  <c r="P617" i="4"/>
  <c r="O617" i="4"/>
  <c r="N617" i="4"/>
  <c r="S616" i="4"/>
  <c r="Q616" i="4"/>
  <c r="R616" i="4" s="1"/>
  <c r="P616" i="4"/>
  <c r="O616" i="4"/>
  <c r="N616" i="4"/>
  <c r="S615" i="4"/>
  <c r="T615" i="4" s="1"/>
  <c r="Q615" i="4"/>
  <c r="R615" i="4" s="1"/>
  <c r="P615" i="4"/>
  <c r="O615" i="4"/>
  <c r="N615" i="4"/>
  <c r="S614" i="4"/>
  <c r="T614" i="4" s="1"/>
  <c r="Q614" i="4"/>
  <c r="R614" i="4" s="1"/>
  <c r="P614" i="4"/>
  <c r="O614" i="4"/>
  <c r="N614" i="4"/>
  <c r="S613" i="4"/>
  <c r="Q613" i="4"/>
  <c r="R613" i="4" s="1"/>
  <c r="P613" i="4"/>
  <c r="O613" i="4"/>
  <c r="N613" i="4"/>
  <c r="S612" i="4"/>
  <c r="Q612" i="4"/>
  <c r="R612" i="4" s="1"/>
  <c r="P612" i="4"/>
  <c r="O612" i="4"/>
  <c r="N612" i="4"/>
  <c r="S611" i="4"/>
  <c r="T611" i="4" s="1"/>
  <c r="Q611" i="4"/>
  <c r="R611" i="4" s="1"/>
  <c r="P611" i="4"/>
  <c r="O611" i="4"/>
  <c r="N611" i="4"/>
  <c r="S610" i="4"/>
  <c r="Q610" i="4"/>
  <c r="R610" i="4" s="1"/>
  <c r="P610" i="4"/>
  <c r="O610" i="4"/>
  <c r="N610" i="4"/>
  <c r="S609" i="4"/>
  <c r="Q609" i="4"/>
  <c r="R609" i="4" s="1"/>
  <c r="P609" i="4"/>
  <c r="O609" i="4"/>
  <c r="N609" i="4"/>
  <c r="S608" i="4"/>
  <c r="Q608" i="4"/>
  <c r="R608" i="4" s="1"/>
  <c r="P608" i="4"/>
  <c r="O608" i="4"/>
  <c r="N608" i="4"/>
  <c r="S607" i="4"/>
  <c r="T607" i="4" s="1"/>
  <c r="Q607" i="4"/>
  <c r="R607" i="4" s="1"/>
  <c r="P607" i="4"/>
  <c r="O607" i="4"/>
  <c r="N607" i="4"/>
  <c r="S606" i="4"/>
  <c r="T606" i="4" s="1"/>
  <c r="Q606" i="4"/>
  <c r="R606" i="4" s="1"/>
  <c r="P606" i="4"/>
  <c r="O606" i="4"/>
  <c r="N606" i="4"/>
  <c r="S605" i="4"/>
  <c r="Q605" i="4"/>
  <c r="R605" i="4" s="1"/>
  <c r="P605" i="4"/>
  <c r="O605" i="4"/>
  <c r="N605" i="4"/>
  <c r="S604" i="4"/>
  <c r="Q604" i="4"/>
  <c r="R604" i="4" s="1"/>
  <c r="P604" i="4"/>
  <c r="O604" i="4"/>
  <c r="N604" i="4"/>
  <c r="S603" i="4"/>
  <c r="T603" i="4" s="1"/>
  <c r="Q603" i="4"/>
  <c r="R603" i="4" s="1"/>
  <c r="P603" i="4"/>
  <c r="O603" i="4"/>
  <c r="N603" i="4"/>
  <c r="S602" i="4"/>
  <c r="T602" i="4" s="1"/>
  <c r="Q602" i="4"/>
  <c r="R602" i="4" s="1"/>
  <c r="P602" i="4"/>
  <c r="O602" i="4"/>
  <c r="N602" i="4"/>
  <c r="S601" i="4"/>
  <c r="T601" i="4" s="1"/>
  <c r="Q601" i="4"/>
  <c r="R601" i="4" s="1"/>
  <c r="P601" i="4"/>
  <c r="O601" i="4"/>
  <c r="N601" i="4"/>
  <c r="S600" i="4"/>
  <c r="T600" i="4" s="1"/>
  <c r="Q600" i="4"/>
  <c r="R600" i="4" s="1"/>
  <c r="P600" i="4"/>
  <c r="O600" i="4"/>
  <c r="N600" i="4"/>
  <c r="S599" i="4"/>
  <c r="Q599" i="4"/>
  <c r="R599" i="4" s="1"/>
  <c r="P599" i="4"/>
  <c r="O599" i="4"/>
  <c r="N599" i="4"/>
  <c r="S598" i="4"/>
  <c r="T598" i="4" s="1"/>
  <c r="Q598" i="4"/>
  <c r="R598" i="4" s="1"/>
  <c r="P598" i="4"/>
  <c r="O598" i="4"/>
  <c r="N598" i="4"/>
  <c r="S597" i="4"/>
  <c r="Q597" i="4"/>
  <c r="R597" i="4" s="1"/>
  <c r="P597" i="4"/>
  <c r="O597" i="4"/>
  <c r="N597" i="4"/>
  <c r="S596" i="4"/>
  <c r="T596" i="4" s="1"/>
  <c r="Q596" i="4"/>
  <c r="R596" i="4" s="1"/>
  <c r="P596" i="4"/>
  <c r="O596" i="4"/>
  <c r="N596" i="4"/>
  <c r="S595" i="4"/>
  <c r="Q595" i="4"/>
  <c r="R595" i="4" s="1"/>
  <c r="P595" i="4"/>
  <c r="O595" i="4"/>
  <c r="N595" i="4"/>
  <c r="S594" i="4"/>
  <c r="Q594" i="4"/>
  <c r="R594" i="4" s="1"/>
  <c r="P594" i="4"/>
  <c r="O594" i="4"/>
  <c r="N594" i="4"/>
  <c r="S593" i="4"/>
  <c r="T593" i="4" s="1"/>
  <c r="Q593" i="4"/>
  <c r="R593" i="4" s="1"/>
  <c r="P593" i="4"/>
  <c r="O593" i="4"/>
  <c r="N593" i="4"/>
  <c r="S592" i="4"/>
  <c r="T592" i="4" s="1"/>
  <c r="Q592" i="4"/>
  <c r="R592" i="4" s="1"/>
  <c r="P592" i="4"/>
  <c r="O592" i="4"/>
  <c r="N592" i="4"/>
  <c r="S591" i="4"/>
  <c r="Q591" i="4"/>
  <c r="R591" i="4" s="1"/>
  <c r="P591" i="4"/>
  <c r="O591" i="4"/>
  <c r="N591" i="4"/>
  <c r="S590" i="4"/>
  <c r="T590" i="4" s="1"/>
  <c r="Q590" i="4"/>
  <c r="R590" i="4" s="1"/>
  <c r="P590" i="4"/>
  <c r="O590" i="4"/>
  <c r="N590" i="4"/>
  <c r="S589" i="4"/>
  <c r="T589" i="4" s="1"/>
  <c r="Q589" i="4"/>
  <c r="R589" i="4" s="1"/>
  <c r="P589" i="4"/>
  <c r="O589" i="4"/>
  <c r="N589" i="4"/>
  <c r="S588" i="4"/>
  <c r="T588" i="4" s="1"/>
  <c r="Q588" i="4"/>
  <c r="R588" i="4" s="1"/>
  <c r="P588" i="4"/>
  <c r="O588" i="4"/>
  <c r="N588" i="4"/>
  <c r="S587" i="4"/>
  <c r="T587" i="4" s="1"/>
  <c r="Q587" i="4"/>
  <c r="R587" i="4" s="1"/>
  <c r="P587" i="4"/>
  <c r="O587" i="4"/>
  <c r="N587" i="4"/>
  <c r="S586" i="4"/>
  <c r="Q586" i="4"/>
  <c r="R586" i="4" s="1"/>
  <c r="P586" i="4"/>
  <c r="O586" i="4"/>
  <c r="N586" i="4"/>
  <c r="S585" i="4"/>
  <c r="T585" i="4" s="1"/>
  <c r="Q585" i="4"/>
  <c r="R585" i="4" s="1"/>
  <c r="P585" i="4"/>
  <c r="O585" i="4"/>
  <c r="N585" i="4"/>
  <c r="S584" i="4"/>
  <c r="Q584" i="4"/>
  <c r="R584" i="4" s="1"/>
  <c r="P584" i="4"/>
  <c r="O584" i="4"/>
  <c r="N584" i="4"/>
  <c r="S583" i="4"/>
  <c r="Q583" i="4"/>
  <c r="R583" i="4" s="1"/>
  <c r="P583" i="4"/>
  <c r="O583" i="4"/>
  <c r="N583" i="4"/>
  <c r="S582" i="4"/>
  <c r="Q582" i="4"/>
  <c r="R582" i="4" s="1"/>
  <c r="P582" i="4"/>
  <c r="O582" i="4"/>
  <c r="N582" i="4"/>
  <c r="S581" i="4"/>
  <c r="T581" i="4" s="1"/>
  <c r="Q581" i="4"/>
  <c r="R581" i="4" s="1"/>
  <c r="P581" i="4"/>
  <c r="O581" i="4"/>
  <c r="N581" i="4"/>
  <c r="S580" i="4"/>
  <c r="Q580" i="4"/>
  <c r="R580" i="4" s="1"/>
  <c r="P580" i="4"/>
  <c r="O580" i="4"/>
  <c r="N580" i="4"/>
  <c r="S579" i="4"/>
  <c r="T579" i="4" s="1"/>
  <c r="Q579" i="4"/>
  <c r="R579" i="4" s="1"/>
  <c r="P579" i="4"/>
  <c r="O579" i="4"/>
  <c r="N579" i="4"/>
  <c r="S578" i="4"/>
  <c r="Q578" i="4"/>
  <c r="R578" i="4" s="1"/>
  <c r="P578" i="4"/>
  <c r="O578" i="4"/>
  <c r="N578" i="4"/>
  <c r="S577" i="4"/>
  <c r="T577" i="4" s="1"/>
  <c r="Q577" i="4"/>
  <c r="R577" i="4" s="1"/>
  <c r="P577" i="4"/>
  <c r="O577" i="4"/>
  <c r="N577" i="4"/>
  <c r="S576" i="4"/>
  <c r="T576" i="4" s="1"/>
  <c r="Q576" i="4"/>
  <c r="R576" i="4" s="1"/>
  <c r="P576" i="4"/>
  <c r="O576" i="4"/>
  <c r="N576" i="4"/>
  <c r="S575" i="4"/>
  <c r="Q575" i="4"/>
  <c r="R575" i="4" s="1"/>
  <c r="P575" i="4"/>
  <c r="O575" i="4"/>
  <c r="N575" i="4"/>
  <c r="S574" i="4"/>
  <c r="T574" i="4" s="1"/>
  <c r="Q574" i="4"/>
  <c r="R574" i="4" s="1"/>
  <c r="P574" i="4"/>
  <c r="O574" i="4"/>
  <c r="N574" i="4"/>
  <c r="S573" i="4"/>
  <c r="T573" i="4" s="1"/>
  <c r="Q573" i="4"/>
  <c r="R573" i="4" s="1"/>
  <c r="P573" i="4"/>
  <c r="O573" i="4"/>
  <c r="N573" i="4"/>
  <c r="S572" i="4"/>
  <c r="T572" i="4" s="1"/>
  <c r="Q572" i="4"/>
  <c r="R572" i="4" s="1"/>
  <c r="P572" i="4"/>
  <c r="O572" i="4"/>
  <c r="N572" i="4"/>
  <c r="S571" i="4"/>
  <c r="Q571" i="4"/>
  <c r="R571" i="4" s="1"/>
  <c r="P571" i="4"/>
  <c r="O571" i="4"/>
  <c r="N571" i="4"/>
  <c r="S570" i="4"/>
  <c r="Q570" i="4"/>
  <c r="R570" i="4" s="1"/>
  <c r="P570" i="4"/>
  <c r="O570" i="4"/>
  <c r="N570" i="4"/>
  <c r="S569" i="4"/>
  <c r="Q569" i="4"/>
  <c r="R569" i="4" s="1"/>
  <c r="P569" i="4"/>
  <c r="O569" i="4"/>
  <c r="N569" i="4"/>
  <c r="S568" i="4"/>
  <c r="T568" i="4" s="1"/>
  <c r="Q568" i="4"/>
  <c r="R568" i="4" s="1"/>
  <c r="P568" i="4"/>
  <c r="O568" i="4"/>
  <c r="N568" i="4"/>
  <c r="S567" i="4"/>
  <c r="Q567" i="4"/>
  <c r="R567" i="4" s="1"/>
  <c r="P567" i="4"/>
  <c r="O567" i="4"/>
  <c r="N567" i="4"/>
  <c r="S566" i="4"/>
  <c r="T566" i="4" s="1"/>
  <c r="Q566" i="4"/>
  <c r="R566" i="4" s="1"/>
  <c r="P566" i="4"/>
  <c r="O566" i="4"/>
  <c r="N566" i="4"/>
  <c r="S565" i="4"/>
  <c r="Q565" i="4"/>
  <c r="R565" i="4" s="1"/>
  <c r="P565" i="4"/>
  <c r="O565" i="4"/>
  <c r="N565" i="4"/>
  <c r="S564" i="4"/>
  <c r="T564" i="4" s="1"/>
  <c r="Q564" i="4"/>
  <c r="R564" i="4" s="1"/>
  <c r="P564" i="4"/>
  <c r="O564" i="4"/>
  <c r="N564" i="4"/>
  <c r="S563" i="4"/>
  <c r="T563" i="4" s="1"/>
  <c r="Q563" i="4"/>
  <c r="R563" i="4" s="1"/>
  <c r="P563" i="4"/>
  <c r="O563" i="4"/>
  <c r="N563" i="4"/>
  <c r="S562" i="4"/>
  <c r="Q562" i="4"/>
  <c r="R562" i="4" s="1"/>
  <c r="P562" i="4"/>
  <c r="O562" i="4"/>
  <c r="N562" i="4"/>
  <c r="S561" i="4"/>
  <c r="T561" i="4" s="1"/>
  <c r="Q561" i="4"/>
  <c r="R561" i="4" s="1"/>
  <c r="P561" i="4"/>
  <c r="O561" i="4"/>
  <c r="N561" i="4"/>
  <c r="S560" i="4"/>
  <c r="T560" i="4" s="1"/>
  <c r="Q560" i="4"/>
  <c r="R560" i="4" s="1"/>
  <c r="P560" i="4"/>
  <c r="O560" i="4"/>
  <c r="N560" i="4"/>
  <c r="S559" i="4"/>
  <c r="Q559" i="4"/>
  <c r="R559" i="4" s="1"/>
  <c r="P559" i="4"/>
  <c r="O559" i="4"/>
  <c r="N559" i="4"/>
  <c r="S558" i="4"/>
  <c r="T558" i="4" s="1"/>
  <c r="Q558" i="4"/>
  <c r="R558" i="4" s="1"/>
  <c r="P558" i="4"/>
  <c r="O558" i="4"/>
  <c r="N558" i="4"/>
  <c r="S557" i="4"/>
  <c r="T557" i="4" s="1"/>
  <c r="Q557" i="4"/>
  <c r="R557" i="4" s="1"/>
  <c r="P557" i="4"/>
  <c r="O557" i="4"/>
  <c r="N557" i="4"/>
  <c r="S556" i="4"/>
  <c r="T556" i="4" s="1"/>
  <c r="Q556" i="4"/>
  <c r="R556" i="4" s="1"/>
  <c r="P556" i="4"/>
  <c r="O556" i="4"/>
  <c r="N556" i="4"/>
  <c r="S555" i="4"/>
  <c r="T555" i="4" s="1"/>
  <c r="Q555" i="4"/>
  <c r="R555" i="4" s="1"/>
  <c r="P555" i="4"/>
  <c r="O555" i="4"/>
  <c r="N555" i="4"/>
  <c r="S554" i="4"/>
  <c r="Q554" i="4"/>
  <c r="R554" i="4" s="1"/>
  <c r="P554" i="4"/>
  <c r="O554" i="4"/>
  <c r="N554" i="4"/>
  <c r="S553" i="4"/>
  <c r="T553" i="4" s="1"/>
  <c r="Q553" i="4"/>
  <c r="R553" i="4" s="1"/>
  <c r="P553" i="4"/>
  <c r="O553" i="4"/>
  <c r="N553" i="4"/>
  <c r="S552" i="4"/>
  <c r="Q552" i="4"/>
  <c r="R552" i="4" s="1"/>
  <c r="P552" i="4"/>
  <c r="O552" i="4"/>
  <c r="N552" i="4"/>
  <c r="S551" i="4"/>
  <c r="Q551" i="4"/>
  <c r="R551" i="4" s="1"/>
  <c r="P551" i="4"/>
  <c r="O551" i="4"/>
  <c r="N551" i="4"/>
  <c r="S550" i="4"/>
  <c r="Q550" i="4"/>
  <c r="R550" i="4" s="1"/>
  <c r="P550" i="4"/>
  <c r="O550" i="4"/>
  <c r="N550" i="4"/>
  <c r="S549" i="4"/>
  <c r="T549" i="4" s="1"/>
  <c r="Q549" i="4"/>
  <c r="R549" i="4" s="1"/>
  <c r="P549" i="4"/>
  <c r="O549" i="4"/>
  <c r="N549" i="4"/>
  <c r="S548" i="4"/>
  <c r="Q548" i="4"/>
  <c r="R548" i="4" s="1"/>
  <c r="P548" i="4"/>
  <c r="O548" i="4"/>
  <c r="N548" i="4"/>
  <c r="S547" i="4"/>
  <c r="T547" i="4" s="1"/>
  <c r="Q547" i="4"/>
  <c r="R547" i="4" s="1"/>
  <c r="P547" i="4"/>
  <c r="O547" i="4"/>
  <c r="N547" i="4"/>
  <c r="S546" i="4"/>
  <c r="Q546" i="4"/>
  <c r="R546" i="4" s="1"/>
  <c r="P546" i="4"/>
  <c r="O546" i="4"/>
  <c r="N546" i="4"/>
  <c r="S545" i="4"/>
  <c r="T545" i="4" s="1"/>
  <c r="Q545" i="4"/>
  <c r="R545" i="4" s="1"/>
  <c r="P545" i="4"/>
  <c r="O545" i="4"/>
  <c r="N545" i="4"/>
  <c r="S544" i="4"/>
  <c r="T544" i="4" s="1"/>
  <c r="Q544" i="4"/>
  <c r="R544" i="4" s="1"/>
  <c r="P544" i="4"/>
  <c r="O544" i="4"/>
  <c r="N544" i="4"/>
  <c r="S543" i="4"/>
  <c r="Q543" i="4"/>
  <c r="R543" i="4" s="1"/>
  <c r="P543" i="4"/>
  <c r="O543" i="4"/>
  <c r="N543" i="4"/>
  <c r="S542" i="4"/>
  <c r="Q542" i="4"/>
  <c r="R542" i="4" s="1"/>
  <c r="P542" i="4"/>
  <c r="O542" i="4"/>
  <c r="N542" i="4"/>
  <c r="S541" i="4"/>
  <c r="T541" i="4" s="1"/>
  <c r="Q541" i="4"/>
  <c r="R541" i="4" s="1"/>
  <c r="P541" i="4"/>
  <c r="O541" i="4"/>
  <c r="N541" i="4"/>
  <c r="S540" i="4"/>
  <c r="T540" i="4" s="1"/>
  <c r="Q540" i="4"/>
  <c r="R540" i="4" s="1"/>
  <c r="P540" i="4"/>
  <c r="O540" i="4"/>
  <c r="N540" i="4"/>
  <c r="S539" i="4"/>
  <c r="Q539" i="4"/>
  <c r="R539" i="4" s="1"/>
  <c r="P539" i="4"/>
  <c r="O539" i="4"/>
  <c r="N539" i="4"/>
  <c r="S538" i="4"/>
  <c r="Q538" i="4"/>
  <c r="R538" i="4" s="1"/>
  <c r="P538" i="4"/>
  <c r="O538" i="4"/>
  <c r="N538" i="4"/>
  <c r="S537" i="4"/>
  <c r="Q537" i="4"/>
  <c r="R537" i="4" s="1"/>
  <c r="P537" i="4"/>
  <c r="O537" i="4"/>
  <c r="N537" i="4"/>
  <c r="S536" i="4"/>
  <c r="T536" i="4" s="1"/>
  <c r="Q536" i="4"/>
  <c r="R536" i="4" s="1"/>
  <c r="P536" i="4"/>
  <c r="O536" i="4"/>
  <c r="N536" i="4"/>
  <c r="S535" i="4"/>
  <c r="Q535" i="4"/>
  <c r="R535" i="4" s="1"/>
  <c r="P535" i="4"/>
  <c r="O535" i="4"/>
  <c r="N535" i="4"/>
  <c r="S534" i="4"/>
  <c r="T534" i="4" s="1"/>
  <c r="Q534" i="4"/>
  <c r="R534" i="4" s="1"/>
  <c r="P534" i="4"/>
  <c r="O534" i="4"/>
  <c r="N534" i="4"/>
  <c r="S533" i="4"/>
  <c r="Q533" i="4"/>
  <c r="R533" i="4" s="1"/>
  <c r="P533" i="4"/>
  <c r="O533" i="4"/>
  <c r="N533" i="4"/>
  <c r="S532" i="4"/>
  <c r="T532" i="4" s="1"/>
  <c r="Q532" i="4"/>
  <c r="R532" i="4" s="1"/>
  <c r="P532" i="4"/>
  <c r="O532" i="4"/>
  <c r="N532" i="4"/>
  <c r="S531" i="4"/>
  <c r="T531" i="4" s="1"/>
  <c r="Q531" i="4"/>
  <c r="R531" i="4" s="1"/>
  <c r="P531" i="4"/>
  <c r="O531" i="4"/>
  <c r="N531" i="4"/>
  <c r="S530" i="4"/>
  <c r="Q530" i="4"/>
  <c r="R530" i="4" s="1"/>
  <c r="P530" i="4"/>
  <c r="O530" i="4"/>
  <c r="N530" i="4"/>
  <c r="S529" i="4"/>
  <c r="T529" i="4" s="1"/>
  <c r="Q529" i="4"/>
  <c r="R529" i="4" s="1"/>
  <c r="P529" i="4"/>
  <c r="O529" i="4"/>
  <c r="N529" i="4"/>
  <c r="S528" i="4"/>
  <c r="Q528" i="4"/>
  <c r="R528" i="4" s="1"/>
  <c r="P528" i="4"/>
  <c r="O528" i="4"/>
  <c r="N528" i="4"/>
  <c r="S527" i="4"/>
  <c r="T527" i="4" s="1"/>
  <c r="Q527" i="4"/>
  <c r="R527" i="4" s="1"/>
  <c r="P527" i="4"/>
  <c r="O527" i="4"/>
  <c r="N527" i="4"/>
  <c r="S526" i="4"/>
  <c r="T526" i="4" s="1"/>
  <c r="Q526" i="4"/>
  <c r="R526" i="4" s="1"/>
  <c r="P526" i="4"/>
  <c r="O526" i="4"/>
  <c r="N526" i="4"/>
  <c r="S525" i="4"/>
  <c r="T525" i="4" s="1"/>
  <c r="Q525" i="4"/>
  <c r="R525" i="4" s="1"/>
  <c r="P525" i="4"/>
  <c r="O525" i="4"/>
  <c r="N525" i="4"/>
  <c r="S524" i="4"/>
  <c r="T524" i="4" s="1"/>
  <c r="Q524" i="4"/>
  <c r="R524" i="4" s="1"/>
  <c r="P524" i="4"/>
  <c r="O524" i="4"/>
  <c r="N524" i="4"/>
  <c r="S523" i="4"/>
  <c r="T523" i="4" s="1"/>
  <c r="Q523" i="4"/>
  <c r="R523" i="4" s="1"/>
  <c r="P523" i="4"/>
  <c r="O523" i="4"/>
  <c r="N523" i="4"/>
  <c r="S522" i="4"/>
  <c r="Q522" i="4"/>
  <c r="R522" i="4" s="1"/>
  <c r="P522" i="4"/>
  <c r="O522" i="4"/>
  <c r="N522" i="4"/>
  <c r="S521" i="4"/>
  <c r="T521" i="4" s="1"/>
  <c r="Q521" i="4"/>
  <c r="R521" i="4" s="1"/>
  <c r="P521" i="4"/>
  <c r="O521" i="4"/>
  <c r="N521" i="4"/>
  <c r="S520" i="4"/>
  <c r="Q520" i="4"/>
  <c r="R520" i="4" s="1"/>
  <c r="P520" i="4"/>
  <c r="O520" i="4"/>
  <c r="N520" i="4"/>
  <c r="S519" i="4"/>
  <c r="T519" i="4" s="1"/>
  <c r="Q519" i="4"/>
  <c r="R519" i="4" s="1"/>
  <c r="P519" i="4"/>
  <c r="O519" i="4"/>
  <c r="N519" i="4"/>
  <c r="S518" i="4"/>
  <c r="T518" i="4" s="1"/>
  <c r="Q518" i="4"/>
  <c r="R518" i="4" s="1"/>
  <c r="P518" i="4"/>
  <c r="O518" i="4"/>
  <c r="N518" i="4"/>
  <c r="S517" i="4"/>
  <c r="T517" i="4" s="1"/>
  <c r="Q517" i="4"/>
  <c r="R517" i="4" s="1"/>
  <c r="P517" i="4"/>
  <c r="O517" i="4"/>
  <c r="N517" i="4"/>
  <c r="S516" i="4"/>
  <c r="T516" i="4" s="1"/>
  <c r="Q516" i="4"/>
  <c r="R516" i="4" s="1"/>
  <c r="P516" i="4"/>
  <c r="O516" i="4"/>
  <c r="N516" i="4"/>
  <c r="S515" i="4"/>
  <c r="T515" i="4" s="1"/>
  <c r="Q515" i="4"/>
  <c r="R515" i="4" s="1"/>
  <c r="P515" i="4"/>
  <c r="O515" i="4"/>
  <c r="N515" i="4"/>
  <c r="S514" i="4"/>
  <c r="T514" i="4" s="1"/>
  <c r="Q514" i="4"/>
  <c r="R514" i="4" s="1"/>
  <c r="P514" i="4"/>
  <c r="O514" i="4"/>
  <c r="N514" i="4"/>
  <c r="S513" i="4"/>
  <c r="T513" i="4" s="1"/>
  <c r="Q513" i="4"/>
  <c r="R513" i="4" s="1"/>
  <c r="P513" i="4"/>
  <c r="O513" i="4"/>
  <c r="N513" i="4"/>
  <c r="S512" i="4"/>
  <c r="T512" i="4" s="1"/>
  <c r="Q512" i="4"/>
  <c r="R512" i="4" s="1"/>
  <c r="P512" i="4"/>
  <c r="O512" i="4"/>
  <c r="N512" i="4"/>
  <c r="S511" i="4"/>
  <c r="T511" i="4" s="1"/>
  <c r="Q511" i="4"/>
  <c r="R511" i="4" s="1"/>
  <c r="P511" i="4"/>
  <c r="O511" i="4"/>
  <c r="N511" i="4"/>
  <c r="S510" i="4"/>
  <c r="T510" i="4" s="1"/>
  <c r="Q510" i="4"/>
  <c r="R510" i="4" s="1"/>
  <c r="P510" i="4"/>
  <c r="O510" i="4"/>
  <c r="N510" i="4"/>
  <c r="S509" i="4"/>
  <c r="T509" i="4" s="1"/>
  <c r="Q509" i="4"/>
  <c r="R509" i="4" s="1"/>
  <c r="P509" i="4"/>
  <c r="O509" i="4"/>
  <c r="N509" i="4"/>
  <c r="S508" i="4"/>
  <c r="T508" i="4" s="1"/>
  <c r="Q508" i="4"/>
  <c r="R508" i="4" s="1"/>
  <c r="P508" i="4"/>
  <c r="O508" i="4"/>
  <c r="N508" i="4"/>
  <c r="S507" i="4"/>
  <c r="T507" i="4" s="1"/>
  <c r="Q507" i="4"/>
  <c r="R507" i="4" s="1"/>
  <c r="P507" i="4"/>
  <c r="O507" i="4"/>
  <c r="N507" i="4"/>
  <c r="S506" i="4"/>
  <c r="T506" i="4" s="1"/>
  <c r="Q506" i="4"/>
  <c r="R506" i="4" s="1"/>
  <c r="P506" i="4"/>
  <c r="O506" i="4"/>
  <c r="N506" i="4"/>
  <c r="S505" i="4"/>
  <c r="T505" i="4" s="1"/>
  <c r="Q505" i="4"/>
  <c r="R505" i="4" s="1"/>
  <c r="P505" i="4"/>
  <c r="O505" i="4"/>
  <c r="N505" i="4"/>
  <c r="S504" i="4"/>
  <c r="Q504" i="4"/>
  <c r="R504" i="4" s="1"/>
  <c r="P504" i="4"/>
  <c r="O504" i="4"/>
  <c r="N504" i="4"/>
  <c r="S503" i="4"/>
  <c r="T503" i="4" s="1"/>
  <c r="Q503" i="4"/>
  <c r="R503" i="4" s="1"/>
  <c r="P503" i="4"/>
  <c r="O503" i="4"/>
  <c r="N503" i="4"/>
  <c r="S502" i="4"/>
  <c r="T502" i="4" s="1"/>
  <c r="Q502" i="4"/>
  <c r="R502" i="4" s="1"/>
  <c r="P502" i="4"/>
  <c r="O502" i="4"/>
  <c r="N502" i="4"/>
  <c r="S501" i="4"/>
  <c r="T501" i="4" s="1"/>
  <c r="Q501" i="4"/>
  <c r="R501" i="4" s="1"/>
  <c r="P501" i="4"/>
  <c r="O501" i="4"/>
  <c r="N501" i="4"/>
  <c r="S500" i="4"/>
  <c r="Q500" i="4"/>
  <c r="R500" i="4" s="1"/>
  <c r="P500" i="4"/>
  <c r="O500" i="4"/>
  <c r="N500" i="4"/>
  <c r="S499" i="4"/>
  <c r="T499" i="4" s="1"/>
  <c r="Q499" i="4"/>
  <c r="R499" i="4" s="1"/>
  <c r="P499" i="4"/>
  <c r="O499" i="4"/>
  <c r="N499" i="4"/>
  <c r="S498" i="4"/>
  <c r="Q498" i="4"/>
  <c r="R498" i="4" s="1"/>
  <c r="P498" i="4"/>
  <c r="O498" i="4"/>
  <c r="N498" i="4"/>
  <c r="S497" i="4"/>
  <c r="T497" i="4" s="1"/>
  <c r="Q497" i="4"/>
  <c r="R497" i="4" s="1"/>
  <c r="P497" i="4"/>
  <c r="O497" i="4"/>
  <c r="N497" i="4"/>
  <c r="S496" i="4"/>
  <c r="Q496" i="4"/>
  <c r="R496" i="4" s="1"/>
  <c r="P496" i="4"/>
  <c r="O496" i="4"/>
  <c r="N496" i="4"/>
  <c r="S495" i="4"/>
  <c r="T495" i="4" s="1"/>
  <c r="Q495" i="4"/>
  <c r="R495" i="4" s="1"/>
  <c r="P495" i="4"/>
  <c r="O495" i="4"/>
  <c r="N495" i="4"/>
  <c r="S494" i="4"/>
  <c r="T494" i="4" s="1"/>
  <c r="Q494" i="4"/>
  <c r="R494" i="4" s="1"/>
  <c r="P494" i="4"/>
  <c r="O494" i="4"/>
  <c r="N494" i="4"/>
  <c r="S493" i="4"/>
  <c r="T493" i="4" s="1"/>
  <c r="Q493" i="4"/>
  <c r="R493" i="4" s="1"/>
  <c r="P493" i="4"/>
  <c r="O493" i="4"/>
  <c r="N493" i="4"/>
  <c r="S492" i="4"/>
  <c r="T492" i="4" s="1"/>
  <c r="Q492" i="4"/>
  <c r="R492" i="4" s="1"/>
  <c r="P492" i="4"/>
  <c r="O492" i="4"/>
  <c r="N492" i="4"/>
  <c r="S491" i="4"/>
  <c r="T491" i="4" s="1"/>
  <c r="Q491" i="4"/>
  <c r="R491" i="4" s="1"/>
  <c r="P491" i="4"/>
  <c r="O491" i="4"/>
  <c r="N491" i="4"/>
  <c r="S490" i="4"/>
  <c r="T490" i="4" s="1"/>
  <c r="Q490" i="4"/>
  <c r="R490" i="4" s="1"/>
  <c r="P490" i="4"/>
  <c r="O490" i="4"/>
  <c r="N490" i="4"/>
  <c r="S489" i="4"/>
  <c r="T489" i="4" s="1"/>
  <c r="Q489" i="4"/>
  <c r="R489" i="4" s="1"/>
  <c r="P489" i="4"/>
  <c r="O489" i="4"/>
  <c r="N489" i="4"/>
  <c r="S488" i="4"/>
  <c r="Q488" i="4"/>
  <c r="R488" i="4" s="1"/>
  <c r="P488" i="4"/>
  <c r="O488" i="4"/>
  <c r="N488" i="4"/>
  <c r="S487" i="4"/>
  <c r="T487" i="4" s="1"/>
  <c r="Q487" i="4"/>
  <c r="R487" i="4" s="1"/>
  <c r="P487" i="4"/>
  <c r="O487" i="4"/>
  <c r="N487" i="4"/>
  <c r="S486" i="4"/>
  <c r="T486" i="4" s="1"/>
  <c r="Q486" i="4"/>
  <c r="R486" i="4" s="1"/>
  <c r="P486" i="4"/>
  <c r="O486" i="4"/>
  <c r="N486" i="4"/>
  <c r="S485" i="4"/>
  <c r="T485" i="4" s="1"/>
  <c r="Q485" i="4"/>
  <c r="R485" i="4" s="1"/>
  <c r="P485" i="4"/>
  <c r="O485" i="4"/>
  <c r="N485" i="4"/>
  <c r="S484" i="4"/>
  <c r="T484" i="4" s="1"/>
  <c r="Q484" i="4"/>
  <c r="R484" i="4" s="1"/>
  <c r="P484" i="4"/>
  <c r="O484" i="4"/>
  <c r="N484" i="4"/>
  <c r="S483" i="4"/>
  <c r="T483" i="4" s="1"/>
  <c r="Q483" i="4"/>
  <c r="R483" i="4" s="1"/>
  <c r="P483" i="4"/>
  <c r="O483" i="4"/>
  <c r="N483" i="4"/>
  <c r="S482" i="4"/>
  <c r="T482" i="4" s="1"/>
  <c r="Q482" i="4"/>
  <c r="R482" i="4" s="1"/>
  <c r="P482" i="4"/>
  <c r="O482" i="4"/>
  <c r="N482" i="4"/>
  <c r="S481" i="4"/>
  <c r="T481" i="4" s="1"/>
  <c r="Q481" i="4"/>
  <c r="R481" i="4" s="1"/>
  <c r="P481" i="4"/>
  <c r="O481" i="4"/>
  <c r="N481" i="4"/>
  <c r="S480" i="4"/>
  <c r="Q480" i="4"/>
  <c r="R480" i="4" s="1"/>
  <c r="P480" i="4"/>
  <c r="O480" i="4"/>
  <c r="N480" i="4"/>
  <c r="S479" i="4"/>
  <c r="T479" i="4" s="1"/>
  <c r="Q479" i="4"/>
  <c r="R479" i="4" s="1"/>
  <c r="P479" i="4"/>
  <c r="O479" i="4"/>
  <c r="N479" i="4"/>
  <c r="S478" i="4"/>
  <c r="Q478" i="4"/>
  <c r="R478" i="4" s="1"/>
  <c r="P478" i="4"/>
  <c r="O478" i="4"/>
  <c r="N478" i="4"/>
  <c r="S477" i="4"/>
  <c r="T477" i="4" s="1"/>
  <c r="Q477" i="4"/>
  <c r="R477" i="4" s="1"/>
  <c r="P477" i="4"/>
  <c r="O477" i="4"/>
  <c r="N477" i="4"/>
  <c r="S476" i="4"/>
  <c r="Q476" i="4"/>
  <c r="R476" i="4" s="1"/>
  <c r="P476" i="4"/>
  <c r="O476" i="4"/>
  <c r="N476" i="4"/>
  <c r="S475" i="4"/>
  <c r="T475" i="4" s="1"/>
  <c r="Q475" i="4"/>
  <c r="R475" i="4" s="1"/>
  <c r="P475" i="4"/>
  <c r="O475" i="4"/>
  <c r="N475" i="4"/>
  <c r="S474" i="4"/>
  <c r="T474" i="4" s="1"/>
  <c r="Q474" i="4"/>
  <c r="R474" i="4" s="1"/>
  <c r="P474" i="4"/>
  <c r="O474" i="4"/>
  <c r="N474" i="4"/>
  <c r="S473" i="4"/>
  <c r="T473" i="4" s="1"/>
  <c r="Q473" i="4"/>
  <c r="R473" i="4" s="1"/>
  <c r="P473" i="4"/>
  <c r="O473" i="4"/>
  <c r="N473" i="4"/>
  <c r="S472" i="4"/>
  <c r="Q472" i="4"/>
  <c r="R472" i="4" s="1"/>
  <c r="P472" i="4"/>
  <c r="O472" i="4"/>
  <c r="N472" i="4"/>
  <c r="S471" i="4"/>
  <c r="T471" i="4" s="1"/>
  <c r="Q471" i="4"/>
  <c r="R471" i="4" s="1"/>
  <c r="P471" i="4"/>
  <c r="O471" i="4"/>
  <c r="N471" i="4"/>
  <c r="S470" i="4"/>
  <c r="T470" i="4" s="1"/>
  <c r="Q470" i="4"/>
  <c r="R470" i="4" s="1"/>
  <c r="P470" i="4"/>
  <c r="O470" i="4"/>
  <c r="N470" i="4"/>
  <c r="S469" i="4"/>
  <c r="Q469" i="4"/>
  <c r="R469" i="4" s="1"/>
  <c r="P469" i="4"/>
  <c r="O469" i="4"/>
  <c r="N469" i="4"/>
  <c r="S468" i="4"/>
  <c r="Q468" i="4"/>
  <c r="R468" i="4" s="1"/>
  <c r="P468" i="4"/>
  <c r="O468" i="4"/>
  <c r="N468" i="4"/>
  <c r="S467" i="4"/>
  <c r="T467" i="4" s="1"/>
  <c r="Q467" i="4"/>
  <c r="R467" i="4" s="1"/>
  <c r="P467" i="4"/>
  <c r="O467" i="4"/>
  <c r="N467" i="4"/>
  <c r="S466" i="4"/>
  <c r="Q466" i="4"/>
  <c r="R466" i="4" s="1"/>
  <c r="P466" i="4"/>
  <c r="O466" i="4"/>
  <c r="N466" i="4"/>
  <c r="S465" i="4"/>
  <c r="Q465" i="4"/>
  <c r="R465" i="4" s="1"/>
  <c r="P465" i="4"/>
  <c r="O465" i="4"/>
  <c r="N465" i="4"/>
  <c r="S464" i="4"/>
  <c r="Q464" i="4"/>
  <c r="R464" i="4" s="1"/>
  <c r="P464" i="4"/>
  <c r="O464" i="4"/>
  <c r="N464" i="4"/>
  <c r="S463" i="4"/>
  <c r="T463" i="4" s="1"/>
  <c r="Q463" i="4"/>
  <c r="R463" i="4" s="1"/>
  <c r="P463" i="4"/>
  <c r="O463" i="4"/>
  <c r="N463" i="4"/>
  <c r="S462" i="4"/>
  <c r="Q462" i="4"/>
  <c r="R462" i="4" s="1"/>
  <c r="P462" i="4"/>
  <c r="O462" i="4"/>
  <c r="N462" i="4"/>
  <c r="S461" i="4"/>
  <c r="T461" i="4" s="1"/>
  <c r="Q461" i="4"/>
  <c r="R461" i="4" s="1"/>
  <c r="P461" i="4"/>
  <c r="O461" i="4"/>
  <c r="N461" i="4"/>
  <c r="S460" i="4"/>
  <c r="Q460" i="4"/>
  <c r="R460" i="4" s="1"/>
  <c r="P460" i="4"/>
  <c r="O460" i="4"/>
  <c r="N460" i="4"/>
  <c r="S459" i="4"/>
  <c r="T459" i="4" s="1"/>
  <c r="Q459" i="4"/>
  <c r="R459" i="4" s="1"/>
  <c r="P459" i="4"/>
  <c r="O459" i="4"/>
  <c r="N459" i="4"/>
  <c r="S458" i="4"/>
  <c r="T458" i="4" s="1"/>
  <c r="Q458" i="4"/>
  <c r="R458" i="4" s="1"/>
  <c r="P458" i="4"/>
  <c r="O458" i="4"/>
  <c r="N458" i="4"/>
  <c r="S457" i="4"/>
  <c r="T457" i="4" s="1"/>
  <c r="Q457" i="4"/>
  <c r="R457" i="4" s="1"/>
  <c r="P457" i="4"/>
  <c r="O457" i="4"/>
  <c r="N457" i="4"/>
  <c r="S456" i="4"/>
  <c r="Q456" i="4"/>
  <c r="R456" i="4" s="1"/>
  <c r="P456" i="4"/>
  <c r="O456" i="4"/>
  <c r="N456" i="4"/>
  <c r="S455" i="4"/>
  <c r="T455" i="4" s="1"/>
  <c r="Q455" i="4"/>
  <c r="R455" i="4" s="1"/>
  <c r="P455" i="4"/>
  <c r="O455" i="4"/>
  <c r="N455" i="4"/>
  <c r="S454" i="4"/>
  <c r="Q454" i="4"/>
  <c r="R454" i="4" s="1"/>
  <c r="P454" i="4"/>
  <c r="O454" i="4"/>
  <c r="N454" i="4"/>
  <c r="S453" i="4"/>
  <c r="T453" i="4" s="1"/>
  <c r="Q453" i="4"/>
  <c r="R453" i="4" s="1"/>
  <c r="P453" i="4"/>
  <c r="O453" i="4"/>
  <c r="N453" i="4"/>
  <c r="S452" i="4"/>
  <c r="Q452" i="4"/>
  <c r="R452" i="4" s="1"/>
  <c r="P452" i="4"/>
  <c r="O452" i="4"/>
  <c r="N452" i="4"/>
  <c r="S451" i="4"/>
  <c r="T451" i="4" s="1"/>
  <c r="Q451" i="4"/>
  <c r="R451" i="4" s="1"/>
  <c r="P451" i="4"/>
  <c r="O451" i="4"/>
  <c r="N451" i="4"/>
  <c r="S450" i="4"/>
  <c r="T450" i="4" s="1"/>
  <c r="Q450" i="4"/>
  <c r="R450" i="4" s="1"/>
  <c r="P450" i="4"/>
  <c r="O450" i="4"/>
  <c r="N450" i="4"/>
  <c r="S449" i="4"/>
  <c r="Q449" i="4"/>
  <c r="R449" i="4" s="1"/>
  <c r="P449" i="4"/>
  <c r="O449" i="4"/>
  <c r="N449" i="4"/>
  <c r="S448" i="4"/>
  <c r="Q448" i="4"/>
  <c r="R448" i="4" s="1"/>
  <c r="P448" i="4"/>
  <c r="O448" i="4"/>
  <c r="N448" i="4"/>
  <c r="S447" i="4"/>
  <c r="T447" i="4" s="1"/>
  <c r="Q447" i="4"/>
  <c r="R447" i="4" s="1"/>
  <c r="P447" i="4"/>
  <c r="O447" i="4"/>
  <c r="N447" i="4"/>
  <c r="S446" i="4"/>
  <c r="Q446" i="4"/>
  <c r="R446" i="4" s="1"/>
  <c r="P446" i="4"/>
  <c r="O446" i="4"/>
  <c r="N446" i="4"/>
  <c r="S445" i="4"/>
  <c r="T445" i="4" s="1"/>
  <c r="Q445" i="4"/>
  <c r="R445" i="4" s="1"/>
  <c r="P445" i="4"/>
  <c r="O445" i="4"/>
  <c r="N445" i="4"/>
  <c r="S444" i="4"/>
  <c r="Q444" i="4"/>
  <c r="R444" i="4" s="1"/>
  <c r="P444" i="4"/>
  <c r="O444" i="4"/>
  <c r="N444" i="4"/>
  <c r="S443" i="4"/>
  <c r="T443" i="4" s="1"/>
  <c r="Q443" i="4"/>
  <c r="R443" i="4" s="1"/>
  <c r="P443" i="4"/>
  <c r="O443" i="4"/>
  <c r="N443" i="4"/>
  <c r="S442" i="4"/>
  <c r="T442" i="4" s="1"/>
  <c r="Q442" i="4"/>
  <c r="R442" i="4" s="1"/>
  <c r="P442" i="4"/>
  <c r="O442" i="4"/>
  <c r="N442" i="4"/>
  <c r="S441" i="4"/>
  <c r="Q441" i="4"/>
  <c r="R441" i="4" s="1"/>
  <c r="P441" i="4"/>
  <c r="O441" i="4"/>
  <c r="N441" i="4"/>
  <c r="S440" i="4"/>
  <c r="Q440" i="4"/>
  <c r="R440" i="4" s="1"/>
  <c r="P440" i="4"/>
  <c r="O440" i="4"/>
  <c r="N440" i="4"/>
  <c r="S439" i="4"/>
  <c r="Q439" i="4"/>
  <c r="R439" i="4" s="1"/>
  <c r="P439" i="4"/>
  <c r="O439" i="4"/>
  <c r="N439" i="4"/>
  <c r="S438" i="4"/>
  <c r="T438" i="4" s="1"/>
  <c r="Q438" i="4"/>
  <c r="R438" i="4" s="1"/>
  <c r="P438" i="4"/>
  <c r="O438" i="4"/>
  <c r="N438" i="4"/>
  <c r="S437" i="4"/>
  <c r="Q437" i="4"/>
  <c r="R437" i="4" s="1"/>
  <c r="P437" i="4"/>
  <c r="O437" i="4"/>
  <c r="N437" i="4"/>
  <c r="S436" i="4"/>
  <c r="Q436" i="4"/>
  <c r="R436" i="4" s="1"/>
  <c r="P436" i="4"/>
  <c r="O436" i="4"/>
  <c r="N436" i="4"/>
  <c r="S435" i="4"/>
  <c r="Q435" i="4"/>
  <c r="R435" i="4" s="1"/>
  <c r="P435" i="4"/>
  <c r="O435" i="4"/>
  <c r="N435" i="4"/>
  <c r="S434" i="4"/>
  <c r="Q434" i="4"/>
  <c r="R434" i="4" s="1"/>
  <c r="P434" i="4"/>
  <c r="O434" i="4"/>
  <c r="N434" i="4"/>
  <c r="S433" i="4"/>
  <c r="Q433" i="4"/>
  <c r="R433" i="4" s="1"/>
  <c r="P433" i="4"/>
  <c r="O433" i="4"/>
  <c r="N433" i="4"/>
  <c r="S432" i="4"/>
  <c r="Q432" i="4"/>
  <c r="R432" i="4" s="1"/>
  <c r="P432" i="4"/>
  <c r="O432" i="4"/>
  <c r="N432" i="4"/>
  <c r="S431" i="4"/>
  <c r="Q431" i="4"/>
  <c r="R431" i="4" s="1"/>
  <c r="P431" i="4"/>
  <c r="O431" i="4"/>
  <c r="N431" i="4"/>
  <c r="S430" i="4"/>
  <c r="Q430" i="4"/>
  <c r="R430" i="4" s="1"/>
  <c r="P430" i="4"/>
  <c r="O430" i="4"/>
  <c r="N430" i="4"/>
  <c r="S429" i="4"/>
  <c r="T429" i="4" s="1"/>
  <c r="Q429" i="4"/>
  <c r="R429" i="4" s="1"/>
  <c r="P429" i="4"/>
  <c r="O429" i="4"/>
  <c r="N429" i="4"/>
  <c r="S428" i="4"/>
  <c r="Q428" i="4"/>
  <c r="R428" i="4" s="1"/>
  <c r="P428" i="4"/>
  <c r="O428" i="4"/>
  <c r="N428" i="4"/>
  <c r="S427" i="4"/>
  <c r="Q427" i="4"/>
  <c r="R427" i="4" s="1"/>
  <c r="P427" i="4"/>
  <c r="O427" i="4"/>
  <c r="N427" i="4"/>
  <c r="S426" i="4"/>
  <c r="T426" i="4" s="1"/>
  <c r="Q426" i="4"/>
  <c r="R426" i="4" s="1"/>
  <c r="P426" i="4"/>
  <c r="O426" i="4"/>
  <c r="N426" i="4"/>
  <c r="S425" i="4"/>
  <c r="T425" i="4" s="1"/>
  <c r="Q425" i="4"/>
  <c r="R425" i="4" s="1"/>
  <c r="P425" i="4"/>
  <c r="O425" i="4"/>
  <c r="N425" i="4"/>
  <c r="S424" i="4"/>
  <c r="Q424" i="4"/>
  <c r="R424" i="4" s="1"/>
  <c r="P424" i="4"/>
  <c r="O424" i="4"/>
  <c r="N424" i="4"/>
  <c r="S423" i="4"/>
  <c r="Q423" i="4"/>
  <c r="R423" i="4" s="1"/>
  <c r="P423" i="4"/>
  <c r="O423" i="4"/>
  <c r="N423" i="4"/>
  <c r="S422" i="4"/>
  <c r="T422" i="4" s="1"/>
  <c r="Q422" i="4"/>
  <c r="R422" i="4" s="1"/>
  <c r="P422" i="4"/>
  <c r="O422" i="4"/>
  <c r="N422" i="4"/>
  <c r="S421" i="4"/>
  <c r="T421" i="4" s="1"/>
  <c r="Q421" i="4"/>
  <c r="R421" i="4" s="1"/>
  <c r="P421" i="4"/>
  <c r="O421" i="4"/>
  <c r="N421" i="4"/>
  <c r="S420" i="4"/>
  <c r="Q420" i="4"/>
  <c r="R420" i="4" s="1"/>
  <c r="P420" i="4"/>
  <c r="O420" i="4"/>
  <c r="N420" i="4"/>
  <c r="S419" i="4"/>
  <c r="Q419" i="4"/>
  <c r="R419" i="4" s="1"/>
  <c r="P419" i="4"/>
  <c r="O419" i="4"/>
  <c r="N419" i="4"/>
  <c r="S418" i="4"/>
  <c r="T418" i="4" s="1"/>
  <c r="Q418" i="4"/>
  <c r="R418" i="4" s="1"/>
  <c r="P418" i="4"/>
  <c r="O418" i="4"/>
  <c r="N418" i="4"/>
  <c r="S417" i="4"/>
  <c r="Q417" i="4"/>
  <c r="R417" i="4" s="1"/>
  <c r="P417" i="4"/>
  <c r="O417" i="4"/>
  <c r="N417" i="4"/>
  <c r="S416" i="4"/>
  <c r="Q416" i="4"/>
  <c r="R416" i="4" s="1"/>
  <c r="P416" i="4"/>
  <c r="O416" i="4"/>
  <c r="N416" i="4"/>
  <c r="S415" i="4"/>
  <c r="Q415" i="4"/>
  <c r="R415" i="4" s="1"/>
  <c r="P415" i="4"/>
  <c r="O415" i="4"/>
  <c r="N415" i="4"/>
  <c r="S414" i="4"/>
  <c r="Q414" i="4"/>
  <c r="R414" i="4" s="1"/>
  <c r="P414" i="4"/>
  <c r="O414" i="4"/>
  <c r="N414" i="4"/>
  <c r="S413" i="4"/>
  <c r="T413" i="4" s="1"/>
  <c r="Q413" i="4"/>
  <c r="R413" i="4" s="1"/>
  <c r="P413" i="4"/>
  <c r="O413" i="4"/>
  <c r="N413" i="4"/>
  <c r="S412" i="4"/>
  <c r="Q412" i="4"/>
  <c r="R412" i="4" s="1"/>
  <c r="P412" i="4"/>
  <c r="O412" i="4"/>
  <c r="N412" i="4"/>
  <c r="S411" i="4"/>
  <c r="Q411" i="4"/>
  <c r="R411" i="4" s="1"/>
  <c r="P411" i="4"/>
  <c r="O411" i="4"/>
  <c r="N411" i="4"/>
  <c r="S410" i="4"/>
  <c r="Q410" i="4"/>
  <c r="R410" i="4" s="1"/>
  <c r="P410" i="4"/>
  <c r="O410" i="4"/>
  <c r="N410" i="4"/>
  <c r="S409" i="4"/>
  <c r="Q409" i="4"/>
  <c r="R409" i="4" s="1"/>
  <c r="P409" i="4"/>
  <c r="O409" i="4"/>
  <c r="N409" i="4"/>
  <c r="S408" i="4"/>
  <c r="Q408" i="4"/>
  <c r="R408" i="4" s="1"/>
  <c r="P408" i="4"/>
  <c r="O408" i="4"/>
  <c r="N408" i="4"/>
  <c r="S407" i="4"/>
  <c r="Q407" i="4"/>
  <c r="R407" i="4" s="1"/>
  <c r="P407" i="4"/>
  <c r="O407" i="4"/>
  <c r="N407" i="4"/>
  <c r="S406" i="4"/>
  <c r="Q406" i="4"/>
  <c r="R406" i="4" s="1"/>
  <c r="P406" i="4"/>
  <c r="O406" i="4"/>
  <c r="N406" i="4"/>
  <c r="S405" i="4"/>
  <c r="T405" i="4" s="1"/>
  <c r="Q405" i="4"/>
  <c r="R405" i="4" s="1"/>
  <c r="P405" i="4"/>
  <c r="O405" i="4"/>
  <c r="N405" i="4"/>
  <c r="S404" i="4"/>
  <c r="Q404" i="4"/>
  <c r="R404" i="4" s="1"/>
  <c r="P404" i="4"/>
  <c r="O404" i="4"/>
  <c r="N404" i="4"/>
  <c r="S403" i="4"/>
  <c r="T403" i="4" s="1"/>
  <c r="Q403" i="4"/>
  <c r="R403" i="4" s="1"/>
  <c r="P403" i="4"/>
  <c r="O403" i="4"/>
  <c r="N403" i="4"/>
  <c r="S402" i="4"/>
  <c r="Q402" i="4"/>
  <c r="R402" i="4" s="1"/>
  <c r="P402" i="4"/>
  <c r="O402" i="4"/>
  <c r="N402" i="4"/>
  <c r="S401" i="4"/>
  <c r="Q401" i="4"/>
  <c r="R401" i="4" s="1"/>
  <c r="P401" i="4"/>
  <c r="O401" i="4"/>
  <c r="N401" i="4"/>
  <c r="S400" i="4"/>
  <c r="Q400" i="4"/>
  <c r="R400" i="4" s="1"/>
  <c r="P400" i="4"/>
  <c r="O400" i="4"/>
  <c r="N400" i="4"/>
  <c r="S399" i="4"/>
  <c r="T399" i="4" s="1"/>
  <c r="Q399" i="4"/>
  <c r="M15" i="5" s="1"/>
  <c r="C24" i="9" s="1"/>
  <c r="E24" i="9" s="1"/>
  <c r="P399" i="4"/>
  <c r="O399" i="4"/>
  <c r="N399" i="4"/>
  <c r="S398" i="4"/>
  <c r="Q398" i="4"/>
  <c r="R398" i="4" s="1"/>
  <c r="P398" i="4"/>
  <c r="O398" i="4"/>
  <c r="N398" i="4"/>
  <c r="S397" i="4"/>
  <c r="Q397" i="4"/>
  <c r="R397" i="4" s="1"/>
  <c r="P397" i="4"/>
  <c r="O397" i="4"/>
  <c r="N397" i="4"/>
  <c r="S396" i="4"/>
  <c r="T396" i="4" s="1"/>
  <c r="Q396" i="4"/>
  <c r="R396" i="4" s="1"/>
  <c r="P396" i="4"/>
  <c r="O396" i="4"/>
  <c r="N396" i="4"/>
  <c r="S395" i="4"/>
  <c r="T395" i="4" s="1"/>
  <c r="Q395" i="4"/>
  <c r="R395" i="4" s="1"/>
  <c r="P395" i="4"/>
  <c r="O395" i="4"/>
  <c r="N395" i="4"/>
  <c r="S394" i="4"/>
  <c r="Q394" i="4"/>
  <c r="R394" i="4" s="1"/>
  <c r="P394" i="4"/>
  <c r="O394" i="4"/>
  <c r="N394" i="4"/>
  <c r="S393" i="4"/>
  <c r="Q393" i="4"/>
  <c r="R393" i="4" s="1"/>
  <c r="P393" i="4"/>
  <c r="O393" i="4"/>
  <c r="N393" i="4"/>
  <c r="S392" i="4"/>
  <c r="T392" i="4" s="1"/>
  <c r="Q392" i="4"/>
  <c r="R392" i="4" s="1"/>
  <c r="P392" i="4"/>
  <c r="O392" i="4"/>
  <c r="N392" i="4"/>
  <c r="S391" i="4"/>
  <c r="T391" i="4" s="1"/>
  <c r="Q391" i="4"/>
  <c r="R391" i="4" s="1"/>
  <c r="P391" i="4"/>
  <c r="O391" i="4"/>
  <c r="N391" i="4"/>
  <c r="S390" i="4"/>
  <c r="Q390" i="4"/>
  <c r="R390" i="4" s="1"/>
  <c r="P390" i="4"/>
  <c r="O390" i="4"/>
  <c r="N390" i="4"/>
  <c r="S389" i="4"/>
  <c r="Q389" i="4"/>
  <c r="R389" i="4" s="1"/>
  <c r="P389" i="4"/>
  <c r="O389" i="4"/>
  <c r="N389" i="4"/>
  <c r="S388" i="4"/>
  <c r="T388" i="4" s="1"/>
  <c r="Q388" i="4"/>
  <c r="R388" i="4" s="1"/>
  <c r="P388" i="4"/>
  <c r="O388" i="4"/>
  <c r="N388" i="4"/>
  <c r="S387" i="4"/>
  <c r="Q387" i="4"/>
  <c r="R387" i="4" s="1"/>
  <c r="P387" i="4"/>
  <c r="O387" i="4"/>
  <c r="N387" i="4"/>
  <c r="S386" i="4"/>
  <c r="T386" i="4" s="1"/>
  <c r="Q386" i="4"/>
  <c r="R386" i="4" s="1"/>
  <c r="P386" i="4"/>
  <c r="O386" i="4"/>
  <c r="N386" i="4"/>
  <c r="S385" i="4"/>
  <c r="Q385" i="4"/>
  <c r="R385" i="4" s="1"/>
  <c r="P385" i="4"/>
  <c r="O385" i="4"/>
  <c r="N385" i="4"/>
  <c r="S384" i="4"/>
  <c r="Q384" i="4"/>
  <c r="R384" i="4" s="1"/>
  <c r="P384" i="4"/>
  <c r="O384" i="4"/>
  <c r="N384" i="4"/>
  <c r="S383" i="4"/>
  <c r="Q383" i="4"/>
  <c r="R383" i="4" s="1"/>
  <c r="P383" i="4"/>
  <c r="O383" i="4"/>
  <c r="N383" i="4"/>
  <c r="S382" i="4"/>
  <c r="T382" i="4" s="1"/>
  <c r="Q382" i="4"/>
  <c r="R382" i="4" s="1"/>
  <c r="P382" i="4"/>
  <c r="O382" i="4"/>
  <c r="N382" i="4"/>
  <c r="S381" i="4"/>
  <c r="Q381" i="4"/>
  <c r="R381" i="4" s="1"/>
  <c r="P381" i="4"/>
  <c r="O381" i="4"/>
  <c r="N381" i="4"/>
  <c r="S380" i="4"/>
  <c r="T380" i="4" s="1"/>
  <c r="Q380" i="4"/>
  <c r="R380" i="4" s="1"/>
  <c r="P380" i="4"/>
  <c r="O380" i="4"/>
  <c r="N380" i="4"/>
  <c r="S379" i="4"/>
  <c r="Q379" i="4"/>
  <c r="R379" i="4" s="1"/>
  <c r="P379" i="4"/>
  <c r="O379" i="4"/>
  <c r="N379" i="4"/>
  <c r="S378" i="4"/>
  <c r="T378" i="4" s="1"/>
  <c r="Q378" i="4"/>
  <c r="R378" i="4" s="1"/>
  <c r="P378" i="4"/>
  <c r="O378" i="4"/>
  <c r="N378" i="4"/>
  <c r="S377" i="4"/>
  <c r="Q377" i="4"/>
  <c r="R377" i="4" s="1"/>
  <c r="P377" i="4"/>
  <c r="O377" i="4"/>
  <c r="N377" i="4"/>
  <c r="S376" i="4"/>
  <c r="Q376" i="4"/>
  <c r="R376" i="4" s="1"/>
  <c r="P376" i="4"/>
  <c r="O376" i="4"/>
  <c r="N376" i="4"/>
  <c r="S375" i="4"/>
  <c r="Q375" i="4"/>
  <c r="R375" i="4" s="1"/>
  <c r="P375" i="4"/>
  <c r="O375" i="4"/>
  <c r="N375" i="4"/>
  <c r="S374" i="4"/>
  <c r="T374" i="4" s="1"/>
  <c r="Q374" i="4"/>
  <c r="R374" i="4" s="1"/>
  <c r="P374" i="4"/>
  <c r="O374" i="4"/>
  <c r="N374" i="4"/>
  <c r="S373" i="4"/>
  <c r="Q373" i="4"/>
  <c r="R373" i="4" s="1"/>
  <c r="P373" i="4"/>
  <c r="O373" i="4"/>
  <c r="N373" i="4"/>
  <c r="S372" i="4"/>
  <c r="T372" i="4" s="1"/>
  <c r="Q372" i="4"/>
  <c r="R372" i="4" s="1"/>
  <c r="P372" i="4"/>
  <c r="O372" i="4"/>
  <c r="N372" i="4"/>
  <c r="S371" i="4"/>
  <c r="Q371" i="4"/>
  <c r="R371" i="4" s="1"/>
  <c r="P371" i="4"/>
  <c r="O371" i="4"/>
  <c r="N371" i="4"/>
  <c r="S370" i="4"/>
  <c r="T370" i="4" s="1"/>
  <c r="Q370" i="4"/>
  <c r="R370" i="4" s="1"/>
  <c r="P370" i="4"/>
  <c r="O370" i="4"/>
  <c r="N370" i="4"/>
  <c r="S369" i="4"/>
  <c r="Q369" i="4"/>
  <c r="R369" i="4" s="1"/>
  <c r="P369" i="4"/>
  <c r="O369" i="4"/>
  <c r="N369" i="4"/>
  <c r="S368" i="4"/>
  <c r="Q368" i="4"/>
  <c r="R368" i="4" s="1"/>
  <c r="P368" i="4"/>
  <c r="O368" i="4"/>
  <c r="N368" i="4"/>
  <c r="S367" i="4"/>
  <c r="Q367" i="4"/>
  <c r="R367" i="4" s="1"/>
  <c r="P367" i="4"/>
  <c r="O367" i="4"/>
  <c r="N367" i="4"/>
  <c r="S366" i="4"/>
  <c r="T366" i="4" s="1"/>
  <c r="Q366" i="4"/>
  <c r="R366" i="4" s="1"/>
  <c r="P366" i="4"/>
  <c r="O366" i="4"/>
  <c r="N366" i="4"/>
  <c r="S365" i="4"/>
  <c r="Q365" i="4"/>
  <c r="R365" i="4" s="1"/>
  <c r="P365" i="4"/>
  <c r="O365" i="4"/>
  <c r="N365" i="4"/>
  <c r="S364" i="4"/>
  <c r="T364" i="4" s="1"/>
  <c r="Q364" i="4"/>
  <c r="M16" i="5" s="1"/>
  <c r="P364" i="4"/>
  <c r="O364" i="4"/>
  <c r="N364" i="4"/>
  <c r="S363" i="4"/>
  <c r="Q363" i="4"/>
  <c r="R363" i="4" s="1"/>
  <c r="P363" i="4"/>
  <c r="O363" i="4"/>
  <c r="N363" i="4"/>
  <c r="S362" i="4"/>
  <c r="T362" i="4" s="1"/>
  <c r="Q362" i="4"/>
  <c r="R362" i="4" s="1"/>
  <c r="P362" i="4"/>
  <c r="O362" i="4"/>
  <c r="N362" i="4"/>
  <c r="S361" i="4"/>
  <c r="Q361" i="4"/>
  <c r="R361" i="4" s="1"/>
  <c r="P361" i="4"/>
  <c r="O361" i="4"/>
  <c r="N361" i="4"/>
  <c r="S360" i="4"/>
  <c r="T360" i="4" s="1"/>
  <c r="Q360" i="4"/>
  <c r="R360" i="4" s="1"/>
  <c r="P360" i="4"/>
  <c r="O360" i="4"/>
  <c r="N360" i="4"/>
  <c r="S359" i="4"/>
  <c r="Q359" i="4"/>
  <c r="R359" i="4" s="1"/>
  <c r="P359" i="4"/>
  <c r="O359" i="4"/>
  <c r="N359" i="4"/>
  <c r="S358" i="4"/>
  <c r="T358" i="4" s="1"/>
  <c r="Q358" i="4"/>
  <c r="R358" i="4" s="1"/>
  <c r="P358" i="4"/>
  <c r="O358" i="4"/>
  <c r="N358" i="4"/>
  <c r="S357" i="4"/>
  <c r="Q357" i="4"/>
  <c r="R357" i="4" s="1"/>
  <c r="P357" i="4"/>
  <c r="O357" i="4"/>
  <c r="N357" i="4"/>
  <c r="S356" i="4"/>
  <c r="T356" i="4" s="1"/>
  <c r="Q356" i="4"/>
  <c r="R356" i="4" s="1"/>
  <c r="P356" i="4"/>
  <c r="O356" i="4"/>
  <c r="N356" i="4"/>
  <c r="S355" i="4"/>
  <c r="Q355" i="4"/>
  <c r="R355" i="4" s="1"/>
  <c r="P355" i="4"/>
  <c r="O355" i="4"/>
  <c r="N355" i="4"/>
  <c r="S354" i="4"/>
  <c r="T354" i="4" s="1"/>
  <c r="Q354" i="4"/>
  <c r="R354" i="4" s="1"/>
  <c r="P354" i="4"/>
  <c r="O354" i="4"/>
  <c r="N354" i="4"/>
  <c r="S353" i="4"/>
  <c r="Q353" i="4"/>
  <c r="R353" i="4" s="1"/>
  <c r="P353" i="4"/>
  <c r="O353" i="4"/>
  <c r="N353" i="4"/>
  <c r="S352" i="4"/>
  <c r="T352" i="4" s="1"/>
  <c r="Q352" i="4"/>
  <c r="R352" i="4" s="1"/>
  <c r="P352" i="4"/>
  <c r="O352" i="4"/>
  <c r="N352" i="4"/>
  <c r="S351" i="4"/>
  <c r="T351" i="4" s="1"/>
  <c r="Q351" i="4"/>
  <c r="R351" i="4" s="1"/>
  <c r="P351" i="4"/>
  <c r="O351" i="4"/>
  <c r="N351" i="4"/>
  <c r="S350" i="4"/>
  <c r="T350" i="4" s="1"/>
  <c r="Q350" i="4"/>
  <c r="R350" i="4" s="1"/>
  <c r="P350" i="4"/>
  <c r="O350" i="4"/>
  <c r="N350" i="4"/>
  <c r="S349" i="4"/>
  <c r="T349" i="4" s="1"/>
  <c r="Q349" i="4"/>
  <c r="R349" i="4" s="1"/>
  <c r="P349" i="4"/>
  <c r="O349" i="4"/>
  <c r="N349" i="4"/>
  <c r="S348" i="4"/>
  <c r="T348" i="4" s="1"/>
  <c r="Q348" i="4"/>
  <c r="R348" i="4" s="1"/>
  <c r="P348" i="4"/>
  <c r="O348" i="4"/>
  <c r="N348" i="4"/>
  <c r="S347" i="4"/>
  <c r="Q347" i="4"/>
  <c r="R347" i="4" s="1"/>
  <c r="P347" i="4"/>
  <c r="O347" i="4"/>
  <c r="N347" i="4"/>
  <c r="S346" i="4"/>
  <c r="T346" i="4" s="1"/>
  <c r="Q346" i="4"/>
  <c r="R346" i="4" s="1"/>
  <c r="P346" i="4"/>
  <c r="O346" i="4"/>
  <c r="N346" i="4"/>
  <c r="S345" i="4"/>
  <c r="Q345" i="4"/>
  <c r="R345" i="4" s="1"/>
  <c r="P345" i="4"/>
  <c r="O345" i="4"/>
  <c r="N345" i="4"/>
  <c r="S344" i="4"/>
  <c r="T344" i="4" s="1"/>
  <c r="Q344" i="4"/>
  <c r="R344" i="4" s="1"/>
  <c r="P344" i="4"/>
  <c r="O344" i="4"/>
  <c r="N344" i="4"/>
  <c r="S343" i="4"/>
  <c r="Q343" i="4"/>
  <c r="R343" i="4" s="1"/>
  <c r="P343" i="4"/>
  <c r="O343" i="4"/>
  <c r="N343" i="4"/>
  <c r="S342" i="4"/>
  <c r="T342" i="4" s="1"/>
  <c r="Q342" i="4"/>
  <c r="R342" i="4" s="1"/>
  <c r="P342" i="4"/>
  <c r="O342" i="4"/>
  <c r="N342" i="4"/>
  <c r="S341" i="4"/>
  <c r="Q341" i="4"/>
  <c r="R341" i="4" s="1"/>
  <c r="P341" i="4"/>
  <c r="O341" i="4"/>
  <c r="N341" i="4"/>
  <c r="S340" i="4"/>
  <c r="T340" i="4" s="1"/>
  <c r="Q340" i="4"/>
  <c r="R340" i="4" s="1"/>
  <c r="P340" i="4"/>
  <c r="O340" i="4"/>
  <c r="N340" i="4"/>
  <c r="S339" i="4"/>
  <c r="Q339" i="4"/>
  <c r="R339" i="4" s="1"/>
  <c r="P339" i="4"/>
  <c r="O339" i="4"/>
  <c r="N339" i="4"/>
  <c r="S338" i="4"/>
  <c r="Q338" i="4"/>
  <c r="R338" i="4" s="1"/>
  <c r="P338" i="4"/>
  <c r="O338" i="4"/>
  <c r="N338" i="4"/>
  <c r="S337" i="4"/>
  <c r="Q337" i="4"/>
  <c r="R337" i="4" s="1"/>
  <c r="P337" i="4"/>
  <c r="O337" i="4"/>
  <c r="N337" i="4"/>
  <c r="S336" i="4"/>
  <c r="T336" i="4" s="1"/>
  <c r="Q336" i="4"/>
  <c r="R336" i="4" s="1"/>
  <c r="P336" i="4"/>
  <c r="O336" i="4"/>
  <c r="N336" i="4"/>
  <c r="S335" i="4"/>
  <c r="Q335" i="4"/>
  <c r="R335" i="4" s="1"/>
  <c r="P335" i="4"/>
  <c r="O335" i="4"/>
  <c r="N335" i="4"/>
  <c r="S334" i="4"/>
  <c r="Q334" i="4"/>
  <c r="R334" i="4" s="1"/>
  <c r="P334" i="4"/>
  <c r="O334" i="4"/>
  <c r="N334" i="4"/>
  <c r="S333" i="4"/>
  <c r="Q333" i="4"/>
  <c r="R333" i="4" s="1"/>
  <c r="P333" i="4"/>
  <c r="O333" i="4"/>
  <c r="N333" i="4"/>
  <c r="S332" i="4"/>
  <c r="T332" i="4" s="1"/>
  <c r="Q332" i="4"/>
  <c r="R332" i="4" s="1"/>
  <c r="P332" i="4"/>
  <c r="O332" i="4"/>
  <c r="N332" i="4"/>
  <c r="S331" i="4"/>
  <c r="Q331" i="4"/>
  <c r="R331" i="4" s="1"/>
  <c r="P331" i="4"/>
  <c r="O331" i="4"/>
  <c r="N331" i="4"/>
  <c r="S330" i="4"/>
  <c r="T330" i="4" s="1"/>
  <c r="Q330" i="4"/>
  <c r="R330" i="4" s="1"/>
  <c r="P330" i="4"/>
  <c r="O330" i="4"/>
  <c r="N330" i="4"/>
  <c r="S329" i="4"/>
  <c r="Q329" i="4"/>
  <c r="R329" i="4" s="1"/>
  <c r="P329" i="4"/>
  <c r="O329" i="4"/>
  <c r="N329" i="4"/>
  <c r="S328" i="4"/>
  <c r="Q328" i="4"/>
  <c r="R328" i="4" s="1"/>
  <c r="P328" i="4"/>
  <c r="O328" i="4"/>
  <c r="N328" i="4"/>
  <c r="S327" i="4"/>
  <c r="Q327" i="4"/>
  <c r="R327" i="4" s="1"/>
  <c r="P327" i="4"/>
  <c r="O327" i="4"/>
  <c r="N327" i="4"/>
  <c r="S326" i="4"/>
  <c r="T326" i="4" s="1"/>
  <c r="Q326" i="4"/>
  <c r="R326" i="4" s="1"/>
  <c r="P326" i="4"/>
  <c r="O326" i="4"/>
  <c r="N326" i="4"/>
  <c r="S325" i="4"/>
  <c r="Q325" i="4"/>
  <c r="R325" i="4" s="1"/>
  <c r="P325" i="4"/>
  <c r="O325" i="4"/>
  <c r="N325" i="4"/>
  <c r="S324" i="4"/>
  <c r="T324" i="4" s="1"/>
  <c r="Q324" i="4"/>
  <c r="R324" i="4" s="1"/>
  <c r="P324" i="4"/>
  <c r="O324" i="4"/>
  <c r="N324" i="4"/>
  <c r="S323" i="4"/>
  <c r="Q323" i="4"/>
  <c r="R323" i="4" s="1"/>
  <c r="P323" i="4"/>
  <c r="O323" i="4"/>
  <c r="N323" i="4"/>
  <c r="S322" i="4"/>
  <c r="Q322" i="4"/>
  <c r="R322" i="4" s="1"/>
  <c r="P322" i="4"/>
  <c r="O322" i="4"/>
  <c r="N322" i="4"/>
  <c r="S321" i="4"/>
  <c r="Q321" i="4"/>
  <c r="R321" i="4" s="1"/>
  <c r="P321" i="4"/>
  <c r="O321" i="4"/>
  <c r="N321" i="4"/>
  <c r="S320" i="4"/>
  <c r="T320" i="4" s="1"/>
  <c r="Q320" i="4"/>
  <c r="R320" i="4" s="1"/>
  <c r="P320" i="4"/>
  <c r="O320" i="4"/>
  <c r="N320" i="4"/>
  <c r="S319" i="4"/>
  <c r="Q319" i="4"/>
  <c r="R319" i="4" s="1"/>
  <c r="P319" i="4"/>
  <c r="O319" i="4"/>
  <c r="N319" i="4"/>
  <c r="S318" i="4"/>
  <c r="Q318" i="4"/>
  <c r="R318" i="4" s="1"/>
  <c r="P318" i="4"/>
  <c r="O318" i="4"/>
  <c r="N318" i="4"/>
  <c r="S317" i="4"/>
  <c r="Q317" i="4"/>
  <c r="R317" i="4" s="1"/>
  <c r="P317" i="4"/>
  <c r="O317" i="4"/>
  <c r="N317" i="4"/>
  <c r="S316" i="4"/>
  <c r="T316" i="4" s="1"/>
  <c r="Q316" i="4"/>
  <c r="R316" i="4" s="1"/>
  <c r="P316" i="4"/>
  <c r="O316" i="4"/>
  <c r="N316" i="4"/>
  <c r="S315" i="4"/>
  <c r="Q315" i="4"/>
  <c r="R315" i="4" s="1"/>
  <c r="P315" i="4"/>
  <c r="O315" i="4"/>
  <c r="N315" i="4"/>
  <c r="S314" i="4"/>
  <c r="T314" i="4" s="1"/>
  <c r="Q314" i="4"/>
  <c r="R314" i="4" s="1"/>
  <c r="P314" i="4"/>
  <c r="O314" i="4"/>
  <c r="N314" i="4"/>
  <c r="S313" i="4"/>
  <c r="Q313" i="4"/>
  <c r="R313" i="4" s="1"/>
  <c r="P313" i="4"/>
  <c r="O313" i="4"/>
  <c r="N313" i="4"/>
  <c r="S312" i="4"/>
  <c r="D11" i="5" s="1"/>
  <c r="Q312" i="4"/>
  <c r="P312" i="4"/>
  <c r="O312" i="4"/>
  <c r="N312" i="4"/>
  <c r="S311" i="4"/>
  <c r="Q311" i="4"/>
  <c r="R311" i="4" s="1"/>
  <c r="P311" i="4"/>
  <c r="O311" i="4"/>
  <c r="N311" i="4"/>
  <c r="S310" i="4"/>
  <c r="T310" i="4" s="1"/>
  <c r="Q310" i="4"/>
  <c r="R310" i="4" s="1"/>
  <c r="P310" i="4"/>
  <c r="O310" i="4"/>
  <c r="N310" i="4"/>
  <c r="S309" i="4"/>
  <c r="Q309" i="4"/>
  <c r="R309" i="4" s="1"/>
  <c r="P309" i="4"/>
  <c r="O309" i="4"/>
  <c r="N309" i="4"/>
  <c r="S308" i="4"/>
  <c r="T308" i="4" s="1"/>
  <c r="Q308" i="4"/>
  <c r="R308" i="4" s="1"/>
  <c r="P308" i="4"/>
  <c r="O308" i="4"/>
  <c r="N308" i="4"/>
  <c r="S307" i="4"/>
  <c r="Q307" i="4"/>
  <c r="P307" i="4"/>
  <c r="O307" i="4"/>
  <c r="N307" i="4"/>
  <c r="S306" i="4"/>
  <c r="T306" i="4" s="1"/>
  <c r="Q306" i="4"/>
  <c r="R306" i="4" s="1"/>
  <c r="P306" i="4"/>
  <c r="O306" i="4"/>
  <c r="N306" i="4"/>
  <c r="S305" i="4"/>
  <c r="T305" i="4" s="1"/>
  <c r="Q305" i="4"/>
  <c r="R305" i="4" s="1"/>
  <c r="P305" i="4"/>
  <c r="O305" i="4"/>
  <c r="N305" i="4"/>
  <c r="S304" i="4"/>
  <c r="T304" i="4" s="1"/>
  <c r="Q304" i="4"/>
  <c r="R304" i="4" s="1"/>
  <c r="P304" i="4"/>
  <c r="O304" i="4"/>
  <c r="N304" i="4"/>
  <c r="S303" i="4"/>
  <c r="Q303" i="4"/>
  <c r="R303" i="4" s="1"/>
  <c r="P303" i="4"/>
  <c r="O303" i="4"/>
  <c r="N303" i="4"/>
  <c r="S302" i="4"/>
  <c r="T302" i="4" s="1"/>
  <c r="Q302" i="4"/>
  <c r="R302" i="4" s="1"/>
  <c r="P302" i="4"/>
  <c r="O302" i="4"/>
  <c r="N302" i="4"/>
  <c r="S301" i="4"/>
  <c r="T301" i="4" s="1"/>
  <c r="Q301" i="4"/>
  <c r="R301" i="4" s="1"/>
  <c r="P301" i="4"/>
  <c r="O301" i="4"/>
  <c r="N301" i="4"/>
  <c r="S300" i="4"/>
  <c r="T300" i="4" s="1"/>
  <c r="Q300" i="4"/>
  <c r="R300" i="4" s="1"/>
  <c r="P300" i="4"/>
  <c r="O300" i="4"/>
  <c r="N300" i="4"/>
  <c r="S299" i="4"/>
  <c r="Q299" i="4"/>
  <c r="R299" i="4" s="1"/>
  <c r="P299" i="4"/>
  <c r="O299" i="4"/>
  <c r="N299" i="4"/>
  <c r="S298" i="4"/>
  <c r="T298" i="4" s="1"/>
  <c r="Q298" i="4"/>
  <c r="R298" i="4" s="1"/>
  <c r="P298" i="4"/>
  <c r="O298" i="4"/>
  <c r="N298" i="4"/>
  <c r="S297" i="4"/>
  <c r="T297" i="4" s="1"/>
  <c r="Q297" i="4"/>
  <c r="R297" i="4" s="1"/>
  <c r="P297" i="4"/>
  <c r="O297" i="4"/>
  <c r="N297" i="4"/>
  <c r="S296" i="4"/>
  <c r="T296" i="4" s="1"/>
  <c r="Q296" i="4"/>
  <c r="R296" i="4" s="1"/>
  <c r="P296" i="4"/>
  <c r="O296" i="4"/>
  <c r="N296" i="4"/>
  <c r="S295" i="4"/>
  <c r="T295" i="4" s="1"/>
  <c r="Q295" i="4"/>
  <c r="R295" i="4" s="1"/>
  <c r="P295" i="4"/>
  <c r="O295" i="4"/>
  <c r="N295" i="4"/>
  <c r="S294" i="4"/>
  <c r="T294" i="4" s="1"/>
  <c r="Q294" i="4"/>
  <c r="R294" i="4" s="1"/>
  <c r="P294" i="4"/>
  <c r="O294" i="4"/>
  <c r="N294" i="4"/>
  <c r="S293" i="4"/>
  <c r="T293" i="4" s="1"/>
  <c r="Q293" i="4"/>
  <c r="R293" i="4" s="1"/>
  <c r="P293" i="4"/>
  <c r="O293" i="4"/>
  <c r="N293" i="4"/>
  <c r="S292" i="4"/>
  <c r="T292" i="4" s="1"/>
  <c r="Q292" i="4"/>
  <c r="R292" i="4" s="1"/>
  <c r="P292" i="4"/>
  <c r="O292" i="4"/>
  <c r="N292" i="4"/>
  <c r="S291" i="4"/>
  <c r="T291" i="4" s="1"/>
  <c r="Q291" i="4"/>
  <c r="R291" i="4" s="1"/>
  <c r="P291" i="4"/>
  <c r="O291" i="4"/>
  <c r="N291" i="4"/>
  <c r="S290" i="4"/>
  <c r="T290" i="4" s="1"/>
  <c r="Q290" i="4"/>
  <c r="R290" i="4" s="1"/>
  <c r="P290" i="4"/>
  <c r="O290" i="4"/>
  <c r="N290" i="4"/>
  <c r="S289" i="4"/>
  <c r="T289" i="4" s="1"/>
  <c r="Q289" i="4"/>
  <c r="R289" i="4" s="1"/>
  <c r="P289" i="4"/>
  <c r="O289" i="4"/>
  <c r="N289" i="4"/>
  <c r="S288" i="4"/>
  <c r="T288" i="4" s="1"/>
  <c r="Q288" i="4"/>
  <c r="R288" i="4" s="1"/>
  <c r="P288" i="4"/>
  <c r="O288" i="4"/>
  <c r="N288" i="4"/>
  <c r="S287" i="4"/>
  <c r="T287" i="4" s="1"/>
  <c r="Q287" i="4"/>
  <c r="R287" i="4" s="1"/>
  <c r="P287" i="4"/>
  <c r="O287" i="4"/>
  <c r="N287" i="4"/>
  <c r="S286" i="4"/>
  <c r="T286" i="4" s="1"/>
  <c r="Q286" i="4"/>
  <c r="R286" i="4" s="1"/>
  <c r="P286" i="4"/>
  <c r="O286" i="4"/>
  <c r="N286" i="4"/>
  <c r="S285" i="4"/>
  <c r="T285" i="4" s="1"/>
  <c r="Q285" i="4"/>
  <c r="R285" i="4" s="1"/>
  <c r="P285" i="4"/>
  <c r="O285" i="4"/>
  <c r="N285" i="4"/>
  <c r="S284" i="4"/>
  <c r="T284" i="4" s="1"/>
  <c r="Q284" i="4"/>
  <c r="R284" i="4" s="1"/>
  <c r="P284" i="4"/>
  <c r="O284" i="4"/>
  <c r="N284" i="4"/>
  <c r="S283" i="4"/>
  <c r="T283" i="4" s="1"/>
  <c r="Q283" i="4"/>
  <c r="R283" i="4" s="1"/>
  <c r="P283" i="4"/>
  <c r="O283" i="4"/>
  <c r="N283" i="4"/>
  <c r="S282" i="4"/>
  <c r="T282" i="4" s="1"/>
  <c r="Q282" i="4"/>
  <c r="R282" i="4" s="1"/>
  <c r="P282" i="4"/>
  <c r="O282" i="4"/>
  <c r="N282" i="4"/>
  <c r="S281" i="4"/>
  <c r="T281" i="4" s="1"/>
  <c r="Q281" i="4"/>
  <c r="R281" i="4" s="1"/>
  <c r="P281" i="4"/>
  <c r="O281" i="4"/>
  <c r="N281" i="4"/>
  <c r="S280" i="4"/>
  <c r="T280" i="4" s="1"/>
  <c r="Q280" i="4"/>
  <c r="R280" i="4" s="1"/>
  <c r="P280" i="4"/>
  <c r="O280" i="4"/>
  <c r="N280" i="4"/>
  <c r="S279" i="4"/>
  <c r="T279" i="4" s="1"/>
  <c r="Q279" i="4"/>
  <c r="R279" i="4" s="1"/>
  <c r="P279" i="4"/>
  <c r="O279" i="4"/>
  <c r="N279" i="4"/>
  <c r="S278" i="4"/>
  <c r="T278" i="4" s="1"/>
  <c r="Q278" i="4"/>
  <c r="R278" i="4" s="1"/>
  <c r="P278" i="4"/>
  <c r="O278" i="4"/>
  <c r="N278" i="4"/>
  <c r="S277" i="4"/>
  <c r="T277" i="4" s="1"/>
  <c r="Q277" i="4"/>
  <c r="R277" i="4" s="1"/>
  <c r="P277" i="4"/>
  <c r="O277" i="4"/>
  <c r="N277" i="4"/>
  <c r="S276" i="4"/>
  <c r="T276" i="4" s="1"/>
  <c r="Q276" i="4"/>
  <c r="R276" i="4" s="1"/>
  <c r="P276" i="4"/>
  <c r="O276" i="4"/>
  <c r="N276" i="4"/>
  <c r="S275" i="4"/>
  <c r="T275" i="4" s="1"/>
  <c r="Q275" i="4"/>
  <c r="R275" i="4" s="1"/>
  <c r="P275" i="4"/>
  <c r="O275" i="4"/>
  <c r="N275" i="4"/>
  <c r="S274" i="4"/>
  <c r="T274" i="4" s="1"/>
  <c r="Q274" i="4"/>
  <c r="R274" i="4" s="1"/>
  <c r="P274" i="4"/>
  <c r="O274" i="4"/>
  <c r="N274" i="4"/>
  <c r="S273" i="4"/>
  <c r="T273" i="4" s="1"/>
  <c r="Q273" i="4"/>
  <c r="R273" i="4" s="1"/>
  <c r="P273" i="4"/>
  <c r="O273" i="4"/>
  <c r="N273" i="4"/>
  <c r="S272" i="4"/>
  <c r="T272" i="4" s="1"/>
  <c r="Q272" i="4"/>
  <c r="R272" i="4" s="1"/>
  <c r="P272" i="4"/>
  <c r="O272" i="4"/>
  <c r="N272" i="4"/>
  <c r="S271" i="4"/>
  <c r="T271" i="4" s="1"/>
  <c r="Q271" i="4"/>
  <c r="R271" i="4" s="1"/>
  <c r="P271" i="4"/>
  <c r="O271" i="4"/>
  <c r="N271" i="4"/>
  <c r="S270" i="4"/>
  <c r="T270" i="4" s="1"/>
  <c r="Q270" i="4"/>
  <c r="R270" i="4" s="1"/>
  <c r="P270" i="4"/>
  <c r="O270" i="4"/>
  <c r="N270" i="4"/>
  <c r="S269" i="4"/>
  <c r="T269" i="4" s="1"/>
  <c r="Q269" i="4"/>
  <c r="R269" i="4" s="1"/>
  <c r="P269" i="4"/>
  <c r="O269" i="4"/>
  <c r="N269" i="4"/>
  <c r="S268" i="4"/>
  <c r="T268" i="4" s="1"/>
  <c r="Q268" i="4"/>
  <c r="R268" i="4" s="1"/>
  <c r="P268" i="4"/>
  <c r="O268" i="4"/>
  <c r="N268" i="4"/>
  <c r="S267" i="4"/>
  <c r="T267" i="4" s="1"/>
  <c r="Q267" i="4"/>
  <c r="R267" i="4" s="1"/>
  <c r="P267" i="4"/>
  <c r="O267" i="4"/>
  <c r="N267" i="4"/>
  <c r="S266" i="4"/>
  <c r="T266" i="4" s="1"/>
  <c r="Q266" i="4"/>
  <c r="R266" i="4" s="1"/>
  <c r="P266" i="4"/>
  <c r="O266" i="4"/>
  <c r="N266" i="4"/>
  <c r="S265" i="4"/>
  <c r="T265" i="4" s="1"/>
  <c r="Q265" i="4"/>
  <c r="R265" i="4" s="1"/>
  <c r="P265" i="4"/>
  <c r="O265" i="4"/>
  <c r="N265" i="4"/>
  <c r="S264" i="4"/>
  <c r="T264" i="4" s="1"/>
  <c r="Q264" i="4"/>
  <c r="R264" i="4" s="1"/>
  <c r="P264" i="4"/>
  <c r="O264" i="4"/>
  <c r="N264" i="4"/>
  <c r="S263" i="4"/>
  <c r="T263" i="4" s="1"/>
  <c r="Q263" i="4"/>
  <c r="R263" i="4" s="1"/>
  <c r="P263" i="4"/>
  <c r="O263" i="4"/>
  <c r="N263" i="4"/>
  <c r="S262" i="4"/>
  <c r="T262" i="4" s="1"/>
  <c r="Q262" i="4"/>
  <c r="R262" i="4" s="1"/>
  <c r="P262" i="4"/>
  <c r="O262" i="4"/>
  <c r="N262" i="4"/>
  <c r="S261" i="4"/>
  <c r="T261" i="4" s="1"/>
  <c r="Q261" i="4"/>
  <c r="R261" i="4" s="1"/>
  <c r="P261" i="4"/>
  <c r="O261" i="4"/>
  <c r="N261" i="4"/>
  <c r="S260" i="4"/>
  <c r="T260" i="4" s="1"/>
  <c r="Q260" i="4"/>
  <c r="R260" i="4" s="1"/>
  <c r="P260" i="4"/>
  <c r="O260" i="4"/>
  <c r="N260" i="4"/>
  <c r="S259" i="4"/>
  <c r="T259" i="4" s="1"/>
  <c r="Q259" i="4"/>
  <c r="R259" i="4" s="1"/>
  <c r="P259" i="4"/>
  <c r="O259" i="4"/>
  <c r="N259" i="4"/>
  <c r="S258" i="4"/>
  <c r="T258" i="4" s="1"/>
  <c r="Q258" i="4"/>
  <c r="R258" i="4" s="1"/>
  <c r="P258" i="4"/>
  <c r="O258" i="4"/>
  <c r="N258" i="4"/>
  <c r="S257" i="4"/>
  <c r="T257" i="4" s="1"/>
  <c r="Q257" i="4"/>
  <c r="R257" i="4" s="1"/>
  <c r="P257" i="4"/>
  <c r="O257" i="4"/>
  <c r="N257" i="4"/>
  <c r="S256" i="4"/>
  <c r="T256" i="4" s="1"/>
  <c r="Q256" i="4"/>
  <c r="R256" i="4" s="1"/>
  <c r="P256" i="4"/>
  <c r="O256" i="4"/>
  <c r="N256" i="4"/>
  <c r="S255" i="4"/>
  <c r="T255" i="4" s="1"/>
  <c r="Q255" i="4"/>
  <c r="R255" i="4" s="1"/>
  <c r="P255" i="4"/>
  <c r="O255" i="4"/>
  <c r="N255" i="4"/>
  <c r="S254" i="4"/>
  <c r="T254" i="4" s="1"/>
  <c r="Q254" i="4"/>
  <c r="R254" i="4" s="1"/>
  <c r="P254" i="4"/>
  <c r="O254" i="4"/>
  <c r="N254" i="4"/>
  <c r="S253" i="4"/>
  <c r="D12" i="5" s="1"/>
  <c r="Q253" i="4"/>
  <c r="M12" i="5" s="1"/>
  <c r="P253" i="4"/>
  <c r="O253" i="4"/>
  <c r="N253" i="4"/>
  <c r="S252" i="4"/>
  <c r="T252" i="4" s="1"/>
  <c r="Q252" i="4"/>
  <c r="R252" i="4" s="1"/>
  <c r="P252" i="4"/>
  <c r="O252" i="4"/>
  <c r="N252" i="4"/>
  <c r="S251" i="4"/>
  <c r="T251" i="4" s="1"/>
  <c r="Q251" i="4"/>
  <c r="R251" i="4" s="1"/>
  <c r="P251" i="4"/>
  <c r="O251" i="4"/>
  <c r="N251" i="4"/>
  <c r="S250" i="4"/>
  <c r="T250" i="4" s="1"/>
  <c r="Q250" i="4"/>
  <c r="R250" i="4" s="1"/>
  <c r="P250" i="4"/>
  <c r="O250" i="4"/>
  <c r="N250" i="4"/>
  <c r="S249" i="4"/>
  <c r="T249" i="4" s="1"/>
  <c r="Q249" i="4"/>
  <c r="R249" i="4" s="1"/>
  <c r="P249" i="4"/>
  <c r="O249" i="4"/>
  <c r="N249" i="4"/>
  <c r="S248" i="4"/>
  <c r="T248" i="4" s="1"/>
  <c r="Q248" i="4"/>
  <c r="R248" i="4" s="1"/>
  <c r="P248" i="4"/>
  <c r="O248" i="4"/>
  <c r="N248" i="4"/>
  <c r="S247" i="4"/>
  <c r="T247" i="4" s="1"/>
  <c r="Q247" i="4"/>
  <c r="R247" i="4" s="1"/>
  <c r="P247" i="4"/>
  <c r="O247" i="4"/>
  <c r="N247" i="4"/>
  <c r="S246" i="4"/>
  <c r="T246" i="4" s="1"/>
  <c r="Q246" i="4"/>
  <c r="R246" i="4" s="1"/>
  <c r="P246" i="4"/>
  <c r="O246" i="4"/>
  <c r="N246" i="4"/>
  <c r="S245" i="4"/>
  <c r="T245" i="4" s="1"/>
  <c r="Q245" i="4"/>
  <c r="R245" i="4" s="1"/>
  <c r="P245" i="4"/>
  <c r="O245" i="4"/>
  <c r="N245" i="4"/>
  <c r="S244" i="4"/>
  <c r="T244" i="4" s="1"/>
  <c r="Q244" i="4"/>
  <c r="R244" i="4" s="1"/>
  <c r="P244" i="4"/>
  <c r="O244" i="4"/>
  <c r="N244" i="4"/>
  <c r="S243" i="4"/>
  <c r="T243" i="4" s="1"/>
  <c r="Q243" i="4"/>
  <c r="R243" i="4" s="1"/>
  <c r="P243" i="4"/>
  <c r="O243" i="4"/>
  <c r="N243" i="4"/>
  <c r="S242" i="4"/>
  <c r="T242" i="4" s="1"/>
  <c r="Q242" i="4"/>
  <c r="R242" i="4" s="1"/>
  <c r="P242" i="4"/>
  <c r="O242" i="4"/>
  <c r="N242" i="4"/>
  <c r="S241" i="4"/>
  <c r="T241" i="4" s="1"/>
  <c r="Q241" i="4"/>
  <c r="R241" i="4" s="1"/>
  <c r="P241" i="4"/>
  <c r="O241" i="4"/>
  <c r="N241" i="4"/>
  <c r="S240" i="4"/>
  <c r="T240" i="4" s="1"/>
  <c r="Q240" i="4"/>
  <c r="R240" i="4" s="1"/>
  <c r="P240" i="4"/>
  <c r="O240" i="4"/>
  <c r="N240" i="4"/>
  <c r="S239" i="4"/>
  <c r="T239" i="4" s="1"/>
  <c r="Q239" i="4"/>
  <c r="R239" i="4" s="1"/>
  <c r="P239" i="4"/>
  <c r="O239" i="4"/>
  <c r="N239" i="4"/>
  <c r="S238" i="4"/>
  <c r="T238" i="4" s="1"/>
  <c r="Q238" i="4"/>
  <c r="R238" i="4" s="1"/>
  <c r="P238" i="4"/>
  <c r="O238" i="4"/>
  <c r="N238" i="4"/>
  <c r="S237" i="4"/>
  <c r="T237" i="4" s="1"/>
  <c r="Q237" i="4"/>
  <c r="R237" i="4" s="1"/>
  <c r="P237" i="4"/>
  <c r="O237" i="4"/>
  <c r="N237" i="4"/>
  <c r="S236" i="4"/>
  <c r="T236" i="4" s="1"/>
  <c r="Q236" i="4"/>
  <c r="R236" i="4" s="1"/>
  <c r="P236" i="4"/>
  <c r="O236" i="4"/>
  <c r="N236" i="4"/>
  <c r="S235" i="4"/>
  <c r="T235" i="4" s="1"/>
  <c r="Q235" i="4"/>
  <c r="R235" i="4" s="1"/>
  <c r="P235" i="4"/>
  <c r="O235" i="4"/>
  <c r="N235" i="4"/>
  <c r="S234" i="4"/>
  <c r="T234" i="4" s="1"/>
  <c r="Q234" i="4"/>
  <c r="R234" i="4" s="1"/>
  <c r="P234" i="4"/>
  <c r="O234" i="4"/>
  <c r="N234" i="4"/>
  <c r="S233" i="4"/>
  <c r="T233" i="4" s="1"/>
  <c r="Q233" i="4"/>
  <c r="R233" i="4" s="1"/>
  <c r="P233" i="4"/>
  <c r="O233" i="4"/>
  <c r="N233" i="4"/>
  <c r="S232" i="4"/>
  <c r="T232" i="4" s="1"/>
  <c r="Q232" i="4"/>
  <c r="R232" i="4" s="1"/>
  <c r="P232" i="4"/>
  <c r="O232" i="4"/>
  <c r="N232" i="4"/>
  <c r="S231" i="4"/>
  <c r="T231" i="4" s="1"/>
  <c r="Q231" i="4"/>
  <c r="R231" i="4" s="1"/>
  <c r="P231" i="4"/>
  <c r="O231" i="4"/>
  <c r="N231" i="4"/>
  <c r="S230" i="4"/>
  <c r="T230" i="4" s="1"/>
  <c r="Q230" i="4"/>
  <c r="R230" i="4" s="1"/>
  <c r="P230" i="4"/>
  <c r="O230" i="4"/>
  <c r="N230" i="4"/>
  <c r="S229" i="4"/>
  <c r="T229" i="4" s="1"/>
  <c r="Q229" i="4"/>
  <c r="R229" i="4" s="1"/>
  <c r="P229" i="4"/>
  <c r="O229" i="4"/>
  <c r="N229" i="4"/>
  <c r="S228" i="4"/>
  <c r="T228" i="4" s="1"/>
  <c r="Q228" i="4"/>
  <c r="R228" i="4" s="1"/>
  <c r="P228" i="4"/>
  <c r="O228" i="4"/>
  <c r="N228" i="4"/>
  <c r="S227" i="4"/>
  <c r="T227" i="4" s="1"/>
  <c r="Q227" i="4"/>
  <c r="R227" i="4" s="1"/>
  <c r="P227" i="4"/>
  <c r="O227" i="4"/>
  <c r="N227" i="4"/>
  <c r="S226" i="4"/>
  <c r="T226" i="4" s="1"/>
  <c r="Q226" i="4"/>
  <c r="R226" i="4" s="1"/>
  <c r="P226" i="4"/>
  <c r="O226" i="4"/>
  <c r="N226" i="4"/>
  <c r="S225" i="4"/>
  <c r="T225" i="4" s="1"/>
  <c r="Q225" i="4"/>
  <c r="R225" i="4" s="1"/>
  <c r="P225" i="4"/>
  <c r="O225" i="4"/>
  <c r="N225" i="4"/>
  <c r="S224" i="4"/>
  <c r="T224" i="4" s="1"/>
  <c r="Q224" i="4"/>
  <c r="R224" i="4" s="1"/>
  <c r="P224" i="4"/>
  <c r="O224" i="4"/>
  <c r="N224" i="4"/>
  <c r="S223" i="4"/>
  <c r="T223" i="4" s="1"/>
  <c r="Q223" i="4"/>
  <c r="R223" i="4" s="1"/>
  <c r="P223" i="4"/>
  <c r="O223" i="4"/>
  <c r="N223" i="4"/>
  <c r="S222" i="4"/>
  <c r="T222" i="4" s="1"/>
  <c r="Q222" i="4"/>
  <c r="R222" i="4" s="1"/>
  <c r="P222" i="4"/>
  <c r="O222" i="4"/>
  <c r="N222" i="4"/>
  <c r="S221" i="4"/>
  <c r="T221" i="4" s="1"/>
  <c r="Q221" i="4"/>
  <c r="R221" i="4" s="1"/>
  <c r="P221" i="4"/>
  <c r="O221" i="4"/>
  <c r="N221" i="4"/>
  <c r="S220" i="4"/>
  <c r="T220" i="4" s="1"/>
  <c r="Q220" i="4"/>
  <c r="R220" i="4" s="1"/>
  <c r="P220" i="4"/>
  <c r="O220" i="4"/>
  <c r="N220" i="4"/>
  <c r="S219" i="4"/>
  <c r="T219" i="4" s="1"/>
  <c r="Q219" i="4"/>
  <c r="R219" i="4" s="1"/>
  <c r="P219" i="4"/>
  <c r="O219" i="4"/>
  <c r="N219" i="4"/>
  <c r="S218" i="4"/>
  <c r="T218" i="4" s="1"/>
  <c r="Q218" i="4"/>
  <c r="R218" i="4" s="1"/>
  <c r="P218" i="4"/>
  <c r="O218" i="4"/>
  <c r="N218" i="4"/>
  <c r="S217" i="4"/>
  <c r="T217" i="4" s="1"/>
  <c r="Q217" i="4"/>
  <c r="R217" i="4" s="1"/>
  <c r="P217" i="4"/>
  <c r="O217" i="4"/>
  <c r="N217" i="4"/>
  <c r="S216" i="4"/>
  <c r="T216" i="4" s="1"/>
  <c r="Q216" i="4"/>
  <c r="R216" i="4" s="1"/>
  <c r="P216" i="4"/>
  <c r="O216" i="4"/>
  <c r="N216" i="4"/>
  <c r="S215" i="4"/>
  <c r="T215" i="4" s="1"/>
  <c r="Q215" i="4"/>
  <c r="R215" i="4" s="1"/>
  <c r="P215" i="4"/>
  <c r="O215" i="4"/>
  <c r="N215" i="4"/>
  <c r="S214" i="4"/>
  <c r="Q214" i="4"/>
  <c r="R214" i="4" s="1"/>
  <c r="P214" i="4"/>
  <c r="O214" i="4"/>
  <c r="N214" i="4"/>
  <c r="S213" i="4"/>
  <c r="T213" i="4" s="1"/>
  <c r="Q213" i="4"/>
  <c r="R213" i="4" s="1"/>
  <c r="P213" i="4"/>
  <c r="O213" i="4"/>
  <c r="N213" i="4"/>
  <c r="S212" i="4"/>
  <c r="Q212" i="4"/>
  <c r="R212" i="4" s="1"/>
  <c r="P212" i="4"/>
  <c r="O212" i="4"/>
  <c r="N212" i="4"/>
  <c r="S211" i="4"/>
  <c r="T211" i="4" s="1"/>
  <c r="Q211" i="4"/>
  <c r="R211" i="4" s="1"/>
  <c r="P211" i="4"/>
  <c r="O211" i="4"/>
  <c r="N211" i="4"/>
  <c r="S210" i="4"/>
  <c r="T210" i="4" s="1"/>
  <c r="Q210" i="4"/>
  <c r="R210" i="4" s="1"/>
  <c r="P210" i="4"/>
  <c r="O210" i="4"/>
  <c r="N210" i="4"/>
  <c r="S209" i="4"/>
  <c r="Q209" i="4"/>
  <c r="R209" i="4" s="1"/>
  <c r="P209" i="4"/>
  <c r="O209" i="4"/>
  <c r="N209" i="4"/>
  <c r="S208" i="4"/>
  <c r="Q208" i="4"/>
  <c r="R208" i="4" s="1"/>
  <c r="P208" i="4"/>
  <c r="O208" i="4"/>
  <c r="N208" i="4"/>
  <c r="S207" i="4"/>
  <c r="T207" i="4" s="1"/>
  <c r="Q207" i="4"/>
  <c r="R207" i="4" s="1"/>
  <c r="P207" i="4"/>
  <c r="O207" i="4"/>
  <c r="N207" i="4"/>
  <c r="S206" i="4"/>
  <c r="Q206" i="4"/>
  <c r="R206" i="4" s="1"/>
  <c r="P206" i="4"/>
  <c r="O206" i="4"/>
  <c r="N206" i="4"/>
  <c r="S205" i="4"/>
  <c r="T205" i="4" s="1"/>
  <c r="Q205" i="4"/>
  <c r="R205" i="4" s="1"/>
  <c r="P205" i="4"/>
  <c r="O205" i="4"/>
  <c r="N205" i="4"/>
  <c r="S204" i="4"/>
  <c r="Q204" i="4"/>
  <c r="R204" i="4" s="1"/>
  <c r="P204" i="4"/>
  <c r="O204" i="4"/>
  <c r="N204" i="4"/>
  <c r="S203" i="4"/>
  <c r="T203" i="4" s="1"/>
  <c r="Q203" i="4"/>
  <c r="R203" i="4" s="1"/>
  <c r="P203" i="4"/>
  <c r="O203" i="4"/>
  <c r="N203" i="4"/>
  <c r="S202" i="4"/>
  <c r="T202" i="4" s="1"/>
  <c r="Q202" i="4"/>
  <c r="R202" i="4" s="1"/>
  <c r="P202" i="4"/>
  <c r="O202" i="4"/>
  <c r="N202" i="4"/>
  <c r="S201" i="4"/>
  <c r="Q201" i="4"/>
  <c r="R201" i="4" s="1"/>
  <c r="P201" i="4"/>
  <c r="O201" i="4"/>
  <c r="N201" i="4"/>
  <c r="S200" i="4"/>
  <c r="Q200" i="4"/>
  <c r="R200" i="4" s="1"/>
  <c r="P200" i="4"/>
  <c r="O200" i="4"/>
  <c r="N200" i="4"/>
  <c r="S199" i="4"/>
  <c r="T199" i="4" s="1"/>
  <c r="Q199" i="4"/>
  <c r="R199" i="4" s="1"/>
  <c r="P199" i="4"/>
  <c r="O199" i="4"/>
  <c r="N199" i="4"/>
  <c r="S198" i="4"/>
  <c r="Q198" i="4"/>
  <c r="R198" i="4" s="1"/>
  <c r="P198" i="4"/>
  <c r="O198" i="4"/>
  <c r="N198" i="4"/>
  <c r="S197" i="4"/>
  <c r="U197" i="4" s="1"/>
  <c r="Q197" i="4"/>
  <c r="R197" i="4" s="1"/>
  <c r="P197" i="4"/>
  <c r="O197" i="4"/>
  <c r="N197" i="4"/>
  <c r="S196" i="4"/>
  <c r="Q196" i="4"/>
  <c r="R196" i="4" s="1"/>
  <c r="P196" i="4"/>
  <c r="O196" i="4"/>
  <c r="N196" i="4"/>
  <c r="S195" i="4"/>
  <c r="T195" i="4" s="1"/>
  <c r="Q195" i="4"/>
  <c r="R195" i="4" s="1"/>
  <c r="P195" i="4"/>
  <c r="O195" i="4"/>
  <c r="N195" i="4"/>
  <c r="S194" i="4"/>
  <c r="Q194" i="4"/>
  <c r="R194" i="4" s="1"/>
  <c r="P194" i="4"/>
  <c r="O194" i="4"/>
  <c r="N194" i="4"/>
  <c r="S193" i="4"/>
  <c r="Q193" i="4"/>
  <c r="R193" i="4" s="1"/>
  <c r="P193" i="4"/>
  <c r="O193" i="4"/>
  <c r="N193" i="4"/>
  <c r="S192" i="4"/>
  <c r="Q192" i="4"/>
  <c r="R192" i="4" s="1"/>
  <c r="P192" i="4"/>
  <c r="O192" i="4"/>
  <c r="N192" i="4"/>
  <c r="S191" i="4"/>
  <c r="T191" i="4" s="1"/>
  <c r="Q191" i="4"/>
  <c r="R191" i="4" s="1"/>
  <c r="P191" i="4"/>
  <c r="O191" i="4"/>
  <c r="N191" i="4"/>
  <c r="S190" i="4"/>
  <c r="Q190" i="4"/>
  <c r="R190" i="4" s="1"/>
  <c r="P190" i="4"/>
  <c r="O190" i="4"/>
  <c r="N190" i="4"/>
  <c r="S189" i="4"/>
  <c r="U189" i="4" s="1"/>
  <c r="Q189" i="4"/>
  <c r="R189" i="4" s="1"/>
  <c r="P189" i="4"/>
  <c r="O189" i="4"/>
  <c r="N189" i="4"/>
  <c r="S188" i="4"/>
  <c r="Q188" i="4"/>
  <c r="R188" i="4" s="1"/>
  <c r="P188" i="4"/>
  <c r="O188" i="4"/>
  <c r="N188" i="4"/>
  <c r="S187" i="4"/>
  <c r="T187" i="4" s="1"/>
  <c r="Q187" i="4"/>
  <c r="R187" i="4" s="1"/>
  <c r="P187" i="4"/>
  <c r="O187" i="4"/>
  <c r="N187" i="4"/>
  <c r="S186" i="4"/>
  <c r="Q186" i="4"/>
  <c r="R186" i="4" s="1"/>
  <c r="P186" i="4"/>
  <c r="O186" i="4"/>
  <c r="N186" i="4"/>
  <c r="S185" i="4"/>
  <c r="Q185" i="4"/>
  <c r="R185" i="4" s="1"/>
  <c r="P185" i="4"/>
  <c r="O185" i="4"/>
  <c r="N185" i="4"/>
  <c r="S184" i="4"/>
  <c r="Q184" i="4"/>
  <c r="R184" i="4" s="1"/>
  <c r="P184" i="4"/>
  <c r="O184" i="4"/>
  <c r="N184" i="4"/>
  <c r="S183" i="4"/>
  <c r="T183" i="4" s="1"/>
  <c r="Q183" i="4"/>
  <c r="R183" i="4" s="1"/>
  <c r="P183" i="4"/>
  <c r="O183" i="4"/>
  <c r="N183" i="4"/>
  <c r="S182" i="4"/>
  <c r="Q182" i="4"/>
  <c r="R182" i="4" s="1"/>
  <c r="P182" i="4"/>
  <c r="O182" i="4"/>
  <c r="N182" i="4"/>
  <c r="S181" i="4"/>
  <c r="T181" i="4" s="1"/>
  <c r="Q181" i="4"/>
  <c r="R181" i="4" s="1"/>
  <c r="P181" i="4"/>
  <c r="O181" i="4"/>
  <c r="N181" i="4"/>
  <c r="S180" i="4"/>
  <c r="Q180" i="4"/>
  <c r="R180" i="4" s="1"/>
  <c r="P180" i="4"/>
  <c r="O180" i="4"/>
  <c r="N180" i="4"/>
  <c r="S179" i="4"/>
  <c r="T179" i="4" s="1"/>
  <c r="Q179" i="4"/>
  <c r="R179" i="4" s="1"/>
  <c r="P179" i="4"/>
  <c r="O179" i="4"/>
  <c r="N179" i="4"/>
  <c r="S178" i="4"/>
  <c r="T178" i="4" s="1"/>
  <c r="Q178" i="4"/>
  <c r="R178" i="4" s="1"/>
  <c r="P178" i="4"/>
  <c r="O178" i="4"/>
  <c r="N178" i="4"/>
  <c r="S177" i="4"/>
  <c r="Q177" i="4"/>
  <c r="R177" i="4" s="1"/>
  <c r="P177" i="4"/>
  <c r="O177" i="4"/>
  <c r="N177" i="4"/>
  <c r="S176" i="4"/>
  <c r="Q176" i="4"/>
  <c r="R176" i="4" s="1"/>
  <c r="P176" i="4"/>
  <c r="O176" i="4"/>
  <c r="N176" i="4"/>
  <c r="S175" i="4"/>
  <c r="T175" i="4" s="1"/>
  <c r="Q175" i="4"/>
  <c r="R175" i="4" s="1"/>
  <c r="P175" i="4"/>
  <c r="O175" i="4"/>
  <c r="N175" i="4"/>
  <c r="S174" i="4"/>
  <c r="Q174" i="4"/>
  <c r="R174" i="4" s="1"/>
  <c r="P174" i="4"/>
  <c r="O174" i="4"/>
  <c r="N174" i="4"/>
  <c r="S173" i="4"/>
  <c r="T173" i="4" s="1"/>
  <c r="Q173" i="4"/>
  <c r="R173" i="4" s="1"/>
  <c r="P173" i="4"/>
  <c r="O173" i="4"/>
  <c r="N173" i="4"/>
  <c r="S172" i="4"/>
  <c r="Q172" i="4"/>
  <c r="R172" i="4" s="1"/>
  <c r="P172" i="4"/>
  <c r="O172" i="4"/>
  <c r="N172" i="4"/>
  <c r="S171" i="4"/>
  <c r="T171" i="4" s="1"/>
  <c r="Q171" i="4"/>
  <c r="R171" i="4" s="1"/>
  <c r="P171" i="4"/>
  <c r="O171" i="4"/>
  <c r="N171" i="4"/>
  <c r="S170" i="4"/>
  <c r="T170" i="4" s="1"/>
  <c r="Q170" i="4"/>
  <c r="R170" i="4" s="1"/>
  <c r="P170" i="4"/>
  <c r="O170" i="4"/>
  <c r="N170" i="4"/>
  <c r="S169" i="4"/>
  <c r="Q169" i="4"/>
  <c r="R169" i="4" s="1"/>
  <c r="P169" i="4"/>
  <c r="O169" i="4"/>
  <c r="N169" i="4"/>
  <c r="S168" i="4"/>
  <c r="Q168" i="4"/>
  <c r="R168" i="4" s="1"/>
  <c r="P168" i="4"/>
  <c r="O168" i="4"/>
  <c r="N168" i="4"/>
  <c r="S167" i="4"/>
  <c r="T167" i="4" s="1"/>
  <c r="Q167" i="4"/>
  <c r="R167" i="4" s="1"/>
  <c r="P167" i="4"/>
  <c r="O167" i="4"/>
  <c r="N167" i="4"/>
  <c r="S166" i="4"/>
  <c r="Q166" i="4"/>
  <c r="R166" i="4" s="1"/>
  <c r="P166" i="4"/>
  <c r="O166" i="4"/>
  <c r="N166" i="4"/>
  <c r="S165" i="4"/>
  <c r="U165" i="4" s="1"/>
  <c r="Q165" i="4"/>
  <c r="R165" i="4" s="1"/>
  <c r="P165" i="4"/>
  <c r="O165" i="4"/>
  <c r="N165" i="4"/>
  <c r="S164" i="4"/>
  <c r="Q164" i="4"/>
  <c r="R164" i="4" s="1"/>
  <c r="P164" i="4"/>
  <c r="O164" i="4"/>
  <c r="N164" i="4"/>
  <c r="S163" i="4"/>
  <c r="T163" i="4" s="1"/>
  <c r="Q163" i="4"/>
  <c r="R163" i="4" s="1"/>
  <c r="P163" i="4"/>
  <c r="O163" i="4"/>
  <c r="N163" i="4"/>
  <c r="S162" i="4"/>
  <c r="Q162" i="4"/>
  <c r="R162" i="4" s="1"/>
  <c r="P162" i="4"/>
  <c r="O162" i="4"/>
  <c r="N162" i="4"/>
  <c r="S161" i="4"/>
  <c r="Q161" i="4"/>
  <c r="R161" i="4" s="1"/>
  <c r="P161" i="4"/>
  <c r="O161" i="4"/>
  <c r="N161" i="4"/>
  <c r="S160" i="4"/>
  <c r="Q160" i="4"/>
  <c r="R160" i="4" s="1"/>
  <c r="P160" i="4"/>
  <c r="O160" i="4"/>
  <c r="N160" i="4"/>
  <c r="S159" i="4"/>
  <c r="T159" i="4" s="1"/>
  <c r="Q159" i="4"/>
  <c r="R159" i="4" s="1"/>
  <c r="P159" i="4"/>
  <c r="O159" i="4"/>
  <c r="N159" i="4"/>
  <c r="S158" i="4"/>
  <c r="Q158" i="4"/>
  <c r="R158" i="4" s="1"/>
  <c r="P158" i="4"/>
  <c r="O158" i="4"/>
  <c r="N158" i="4"/>
  <c r="S157" i="4"/>
  <c r="U157" i="4" s="1"/>
  <c r="Q157" i="4"/>
  <c r="R157" i="4" s="1"/>
  <c r="P157" i="4"/>
  <c r="O157" i="4"/>
  <c r="N157" i="4"/>
  <c r="S156" i="4"/>
  <c r="Q156" i="4"/>
  <c r="R156" i="4" s="1"/>
  <c r="P156" i="4"/>
  <c r="O156" i="4"/>
  <c r="N156" i="4"/>
  <c r="S155" i="4"/>
  <c r="T155" i="4" s="1"/>
  <c r="Q155" i="4"/>
  <c r="R155" i="4" s="1"/>
  <c r="P155" i="4"/>
  <c r="O155" i="4"/>
  <c r="N155" i="4"/>
  <c r="S154" i="4"/>
  <c r="Q154" i="4"/>
  <c r="R154" i="4" s="1"/>
  <c r="P154" i="4"/>
  <c r="O154" i="4"/>
  <c r="N154" i="4"/>
  <c r="S153" i="4"/>
  <c r="Q153" i="4"/>
  <c r="R153" i="4" s="1"/>
  <c r="P153" i="4"/>
  <c r="O153" i="4"/>
  <c r="N153" i="4"/>
  <c r="S152" i="4"/>
  <c r="Q152" i="4"/>
  <c r="R152" i="4" s="1"/>
  <c r="P152" i="4"/>
  <c r="O152" i="4"/>
  <c r="N152" i="4"/>
  <c r="S151" i="4"/>
  <c r="T151" i="4" s="1"/>
  <c r="Q151" i="4"/>
  <c r="R151" i="4" s="1"/>
  <c r="P151" i="4"/>
  <c r="O151" i="4"/>
  <c r="N151" i="4"/>
  <c r="S150" i="4"/>
  <c r="Q150" i="4"/>
  <c r="R150" i="4" s="1"/>
  <c r="P150" i="4"/>
  <c r="O150" i="4"/>
  <c r="N150" i="4"/>
  <c r="S149" i="4"/>
  <c r="T149" i="4" s="1"/>
  <c r="Q149" i="4"/>
  <c r="R149" i="4" s="1"/>
  <c r="P149" i="4"/>
  <c r="O149" i="4"/>
  <c r="N149" i="4"/>
  <c r="S148" i="4"/>
  <c r="Q148" i="4"/>
  <c r="R148" i="4" s="1"/>
  <c r="P148" i="4"/>
  <c r="O148" i="4"/>
  <c r="N148" i="4"/>
  <c r="S147" i="4"/>
  <c r="T147" i="4" s="1"/>
  <c r="Q147" i="4"/>
  <c r="R147" i="4" s="1"/>
  <c r="P147" i="4"/>
  <c r="O147" i="4"/>
  <c r="N147" i="4"/>
  <c r="S146" i="4"/>
  <c r="T146" i="4" s="1"/>
  <c r="Q146" i="4"/>
  <c r="R146" i="4" s="1"/>
  <c r="P146" i="4"/>
  <c r="O146" i="4"/>
  <c r="N146" i="4"/>
  <c r="S145" i="4"/>
  <c r="U145" i="4" s="1"/>
  <c r="Q145" i="4"/>
  <c r="R145" i="4" s="1"/>
  <c r="P145" i="4"/>
  <c r="O145" i="4"/>
  <c r="N145" i="4"/>
  <c r="S144" i="4"/>
  <c r="Q144" i="4"/>
  <c r="R144" i="4" s="1"/>
  <c r="P144" i="4"/>
  <c r="O144" i="4"/>
  <c r="N144" i="4"/>
  <c r="S143" i="4"/>
  <c r="T143" i="4" s="1"/>
  <c r="Q143" i="4"/>
  <c r="R143" i="4" s="1"/>
  <c r="P143" i="4"/>
  <c r="O143" i="4"/>
  <c r="N143" i="4"/>
  <c r="S142" i="4"/>
  <c r="Q142" i="4"/>
  <c r="R142" i="4" s="1"/>
  <c r="P142" i="4"/>
  <c r="O142" i="4"/>
  <c r="N142" i="4"/>
  <c r="S141" i="4"/>
  <c r="T141" i="4" s="1"/>
  <c r="Q141" i="4"/>
  <c r="R141" i="4" s="1"/>
  <c r="P141" i="4"/>
  <c r="O141" i="4"/>
  <c r="N141" i="4"/>
  <c r="S140" i="4"/>
  <c r="Q140" i="4"/>
  <c r="R140" i="4" s="1"/>
  <c r="P140" i="4"/>
  <c r="O140" i="4"/>
  <c r="N140" i="4"/>
  <c r="S139" i="4"/>
  <c r="T139" i="4" s="1"/>
  <c r="Q139" i="4"/>
  <c r="R139" i="4" s="1"/>
  <c r="P139" i="4"/>
  <c r="O139" i="4"/>
  <c r="N139" i="4"/>
  <c r="S138" i="4"/>
  <c r="T138" i="4" s="1"/>
  <c r="Q138" i="4"/>
  <c r="R138" i="4" s="1"/>
  <c r="P138" i="4"/>
  <c r="O138" i="4"/>
  <c r="N138" i="4"/>
  <c r="S137" i="4"/>
  <c r="U137" i="4" s="1"/>
  <c r="Q137" i="4"/>
  <c r="R137" i="4" s="1"/>
  <c r="P137" i="4"/>
  <c r="O137" i="4"/>
  <c r="N137" i="4"/>
  <c r="S136" i="4"/>
  <c r="Q136" i="4"/>
  <c r="R136" i="4" s="1"/>
  <c r="P136" i="4"/>
  <c r="O136" i="4"/>
  <c r="N136" i="4"/>
  <c r="S135" i="4"/>
  <c r="T135" i="4" s="1"/>
  <c r="Q135" i="4"/>
  <c r="R135" i="4" s="1"/>
  <c r="P135" i="4"/>
  <c r="O135" i="4"/>
  <c r="N135" i="4"/>
  <c r="S134" i="4"/>
  <c r="Q134" i="4"/>
  <c r="R134" i="4" s="1"/>
  <c r="P134" i="4"/>
  <c r="O134" i="4"/>
  <c r="N134" i="4"/>
  <c r="S133" i="4"/>
  <c r="T133" i="4" s="1"/>
  <c r="Q133" i="4"/>
  <c r="R133" i="4" s="1"/>
  <c r="P133" i="4"/>
  <c r="O133" i="4"/>
  <c r="N133" i="4"/>
  <c r="S132" i="4"/>
  <c r="Q132" i="4"/>
  <c r="R132" i="4" s="1"/>
  <c r="P132" i="4"/>
  <c r="O132" i="4"/>
  <c r="N132" i="4"/>
  <c r="S131" i="4"/>
  <c r="T131" i="4" s="1"/>
  <c r="Q131" i="4"/>
  <c r="R131" i="4" s="1"/>
  <c r="P131" i="4"/>
  <c r="O131" i="4"/>
  <c r="N131" i="4"/>
  <c r="S130" i="4"/>
  <c r="T130" i="4" s="1"/>
  <c r="Q130" i="4"/>
  <c r="R130" i="4" s="1"/>
  <c r="P130" i="4"/>
  <c r="O130" i="4"/>
  <c r="N130" i="4"/>
  <c r="S129" i="4"/>
  <c r="U129" i="4" s="1"/>
  <c r="Q129" i="4"/>
  <c r="R129" i="4" s="1"/>
  <c r="P129" i="4"/>
  <c r="O129" i="4"/>
  <c r="N129" i="4"/>
  <c r="S128" i="4"/>
  <c r="Q128" i="4"/>
  <c r="R128" i="4" s="1"/>
  <c r="P128" i="4"/>
  <c r="O128" i="4"/>
  <c r="N128" i="4"/>
  <c r="S127" i="4"/>
  <c r="T127" i="4" s="1"/>
  <c r="Q127" i="4"/>
  <c r="R127" i="4" s="1"/>
  <c r="P127" i="4"/>
  <c r="O127" i="4"/>
  <c r="N127" i="4"/>
  <c r="S126" i="4"/>
  <c r="Q126" i="4"/>
  <c r="R126" i="4" s="1"/>
  <c r="P126" i="4"/>
  <c r="O126" i="4"/>
  <c r="N126" i="4"/>
  <c r="S125" i="4"/>
  <c r="T125" i="4" s="1"/>
  <c r="Q125" i="4"/>
  <c r="R125" i="4" s="1"/>
  <c r="P125" i="4"/>
  <c r="O125" i="4"/>
  <c r="N125" i="4"/>
  <c r="S124" i="4"/>
  <c r="Q124" i="4"/>
  <c r="R124" i="4" s="1"/>
  <c r="P124" i="4"/>
  <c r="O124" i="4"/>
  <c r="N124" i="4"/>
  <c r="S123" i="4"/>
  <c r="T123" i="4" s="1"/>
  <c r="Q123" i="4"/>
  <c r="R123" i="4" s="1"/>
  <c r="P123" i="4"/>
  <c r="O123" i="4"/>
  <c r="N123" i="4"/>
  <c r="S122" i="4"/>
  <c r="Q122" i="4"/>
  <c r="R122" i="4" s="1"/>
  <c r="P122" i="4"/>
  <c r="O122" i="4"/>
  <c r="N122" i="4"/>
  <c r="S121" i="4"/>
  <c r="Q121" i="4"/>
  <c r="R121" i="4" s="1"/>
  <c r="P121" i="4"/>
  <c r="O121" i="4"/>
  <c r="N121" i="4"/>
  <c r="S120" i="4"/>
  <c r="Q120" i="4"/>
  <c r="R120" i="4" s="1"/>
  <c r="P120" i="4"/>
  <c r="O120" i="4"/>
  <c r="N120" i="4"/>
  <c r="S119" i="4"/>
  <c r="T119" i="4" s="1"/>
  <c r="Q119" i="4"/>
  <c r="R119" i="4" s="1"/>
  <c r="P119" i="4"/>
  <c r="O119" i="4"/>
  <c r="N119" i="4"/>
  <c r="S118" i="4"/>
  <c r="Q118" i="4"/>
  <c r="R118" i="4" s="1"/>
  <c r="P118" i="4"/>
  <c r="O118" i="4"/>
  <c r="N118" i="4"/>
  <c r="S117" i="4"/>
  <c r="U117" i="4" s="1"/>
  <c r="Q117" i="4"/>
  <c r="R117" i="4" s="1"/>
  <c r="P117" i="4"/>
  <c r="O117" i="4"/>
  <c r="N117" i="4"/>
  <c r="S116" i="4"/>
  <c r="Q116" i="4"/>
  <c r="R116" i="4" s="1"/>
  <c r="P116" i="4"/>
  <c r="O116" i="4"/>
  <c r="N116" i="4"/>
  <c r="S115" i="4"/>
  <c r="T115" i="4" s="1"/>
  <c r="Q115" i="4"/>
  <c r="R115" i="4" s="1"/>
  <c r="P115" i="4"/>
  <c r="O115" i="4"/>
  <c r="N115" i="4"/>
  <c r="S114" i="4"/>
  <c r="Q114" i="4"/>
  <c r="R114" i="4" s="1"/>
  <c r="P114" i="4"/>
  <c r="O114" i="4"/>
  <c r="N114" i="4"/>
  <c r="S113" i="4"/>
  <c r="Q113" i="4"/>
  <c r="R113" i="4" s="1"/>
  <c r="P113" i="4"/>
  <c r="O113" i="4"/>
  <c r="N113" i="4"/>
  <c r="S112" i="4"/>
  <c r="Q112" i="4"/>
  <c r="R112" i="4" s="1"/>
  <c r="P112" i="4"/>
  <c r="O112" i="4"/>
  <c r="N112" i="4"/>
  <c r="S111" i="4"/>
  <c r="Q111" i="4"/>
  <c r="R111" i="4" s="1"/>
  <c r="P111" i="4"/>
  <c r="O111" i="4"/>
  <c r="N111" i="4"/>
  <c r="S110" i="4"/>
  <c r="Q110" i="4"/>
  <c r="R110" i="4" s="1"/>
  <c r="P110" i="4"/>
  <c r="O110" i="4"/>
  <c r="N110" i="4"/>
  <c r="S109" i="4"/>
  <c r="U109" i="4" s="1"/>
  <c r="Q109" i="4"/>
  <c r="R109" i="4" s="1"/>
  <c r="P109" i="4"/>
  <c r="O109" i="4"/>
  <c r="N109" i="4"/>
  <c r="S108" i="4"/>
  <c r="Q108" i="4"/>
  <c r="R108" i="4" s="1"/>
  <c r="P108" i="4"/>
  <c r="O108" i="4"/>
  <c r="N108" i="4"/>
  <c r="S107" i="4"/>
  <c r="T107" i="4" s="1"/>
  <c r="Q107" i="4"/>
  <c r="R107" i="4" s="1"/>
  <c r="P107" i="4"/>
  <c r="O107" i="4"/>
  <c r="N107" i="4"/>
  <c r="S106" i="4"/>
  <c r="Q106" i="4"/>
  <c r="R106" i="4" s="1"/>
  <c r="P106" i="4"/>
  <c r="O106" i="4"/>
  <c r="N106" i="4"/>
  <c r="S105" i="4"/>
  <c r="Q105" i="4"/>
  <c r="R105" i="4" s="1"/>
  <c r="P105" i="4"/>
  <c r="O105" i="4"/>
  <c r="N105" i="4"/>
  <c r="S104" i="4"/>
  <c r="Q104" i="4"/>
  <c r="R104" i="4" s="1"/>
  <c r="P104" i="4"/>
  <c r="O104" i="4"/>
  <c r="N104" i="4"/>
  <c r="S103" i="4"/>
  <c r="Q103" i="4"/>
  <c r="R103" i="4" s="1"/>
  <c r="P103" i="4"/>
  <c r="O103" i="4"/>
  <c r="N103" i="4"/>
  <c r="S102" i="4"/>
  <c r="Q102" i="4"/>
  <c r="R102" i="4" s="1"/>
  <c r="P102" i="4"/>
  <c r="O102" i="4"/>
  <c r="N102" i="4"/>
  <c r="S101" i="4"/>
  <c r="T101" i="4" s="1"/>
  <c r="Q101" i="4"/>
  <c r="R101" i="4" s="1"/>
  <c r="P101" i="4"/>
  <c r="O101" i="4"/>
  <c r="N101" i="4"/>
  <c r="S100" i="4"/>
  <c r="Q100" i="4"/>
  <c r="R100" i="4" s="1"/>
  <c r="P100" i="4"/>
  <c r="O100" i="4"/>
  <c r="N100" i="4"/>
  <c r="S99" i="4"/>
  <c r="T99" i="4" s="1"/>
  <c r="Q99" i="4"/>
  <c r="R99" i="4" s="1"/>
  <c r="P99" i="4"/>
  <c r="O99" i="4"/>
  <c r="N99" i="4"/>
  <c r="S98" i="4"/>
  <c r="Q98" i="4"/>
  <c r="R98" i="4" s="1"/>
  <c r="P98" i="4"/>
  <c r="O98" i="4"/>
  <c r="N98" i="4"/>
  <c r="S97" i="4"/>
  <c r="T97" i="4" s="1"/>
  <c r="Q97" i="4"/>
  <c r="M19" i="5" s="1"/>
  <c r="P97" i="4"/>
  <c r="O97" i="4"/>
  <c r="N97" i="4"/>
  <c r="S96" i="4"/>
  <c r="Q96" i="4"/>
  <c r="R96" i="4" s="1"/>
  <c r="P96" i="4"/>
  <c r="O96" i="4"/>
  <c r="N96" i="4"/>
  <c r="S95" i="4"/>
  <c r="T95" i="4" s="1"/>
  <c r="Q95" i="4"/>
  <c r="R95" i="4" s="1"/>
  <c r="P95" i="4"/>
  <c r="O95" i="4"/>
  <c r="N95" i="4"/>
  <c r="S94" i="4"/>
  <c r="Q94" i="4"/>
  <c r="R94" i="4" s="1"/>
  <c r="P94" i="4"/>
  <c r="O94" i="4"/>
  <c r="N94" i="4"/>
  <c r="S93" i="4"/>
  <c r="T93" i="4" s="1"/>
  <c r="Q93" i="4"/>
  <c r="R93" i="4" s="1"/>
  <c r="P93" i="4"/>
  <c r="O93" i="4"/>
  <c r="N93" i="4"/>
  <c r="S92" i="4"/>
  <c r="Q92" i="4"/>
  <c r="R92" i="4" s="1"/>
  <c r="P92" i="4"/>
  <c r="O92" i="4"/>
  <c r="N92" i="4"/>
  <c r="S91" i="4"/>
  <c r="T91" i="4" s="1"/>
  <c r="Q91" i="4"/>
  <c r="R91" i="4" s="1"/>
  <c r="P91" i="4"/>
  <c r="O91" i="4"/>
  <c r="N91" i="4"/>
  <c r="S90" i="4"/>
  <c r="Q90" i="4"/>
  <c r="R90" i="4" s="1"/>
  <c r="P90" i="4"/>
  <c r="O90" i="4"/>
  <c r="N90" i="4"/>
  <c r="S89" i="4"/>
  <c r="Q89" i="4"/>
  <c r="R89" i="4" s="1"/>
  <c r="P89" i="4"/>
  <c r="O89" i="4"/>
  <c r="N89" i="4"/>
  <c r="S88" i="4"/>
  <c r="Q88" i="4"/>
  <c r="R88" i="4" s="1"/>
  <c r="P88" i="4"/>
  <c r="O88" i="4"/>
  <c r="N88" i="4"/>
  <c r="S87" i="4"/>
  <c r="T87" i="4" s="1"/>
  <c r="Q87" i="4"/>
  <c r="R87" i="4" s="1"/>
  <c r="P87" i="4"/>
  <c r="O87" i="4"/>
  <c r="N87" i="4"/>
  <c r="S86" i="4"/>
  <c r="Q86" i="4"/>
  <c r="R86" i="4" s="1"/>
  <c r="P86" i="4"/>
  <c r="O86" i="4"/>
  <c r="N86" i="4"/>
  <c r="S85" i="4"/>
  <c r="U85" i="4" s="1"/>
  <c r="Q85" i="4"/>
  <c r="R85" i="4" s="1"/>
  <c r="P85" i="4"/>
  <c r="O85" i="4"/>
  <c r="N85" i="4"/>
  <c r="S84" i="4"/>
  <c r="Q84" i="4"/>
  <c r="R84" i="4" s="1"/>
  <c r="P84" i="4"/>
  <c r="O84" i="4"/>
  <c r="N84" i="4"/>
  <c r="S83" i="4"/>
  <c r="T83" i="4" s="1"/>
  <c r="Q83" i="4"/>
  <c r="R83" i="4" s="1"/>
  <c r="P83" i="4"/>
  <c r="O83" i="4"/>
  <c r="N83" i="4"/>
  <c r="S82" i="4"/>
  <c r="Q82" i="4"/>
  <c r="R82" i="4" s="1"/>
  <c r="P82" i="4"/>
  <c r="O82" i="4"/>
  <c r="N82" i="4"/>
  <c r="S81" i="4"/>
  <c r="Q81" i="4"/>
  <c r="R81" i="4" s="1"/>
  <c r="P81" i="4"/>
  <c r="O81" i="4"/>
  <c r="N81" i="4"/>
  <c r="S80" i="4"/>
  <c r="Q80" i="4"/>
  <c r="R80" i="4" s="1"/>
  <c r="P80" i="4"/>
  <c r="O80" i="4"/>
  <c r="N80" i="4"/>
  <c r="S79" i="4"/>
  <c r="Q79" i="4"/>
  <c r="R79" i="4" s="1"/>
  <c r="P79" i="4"/>
  <c r="O79" i="4"/>
  <c r="N79" i="4"/>
  <c r="S78" i="4"/>
  <c r="Q78" i="4"/>
  <c r="R78" i="4" s="1"/>
  <c r="P78" i="4"/>
  <c r="O78" i="4"/>
  <c r="N78" i="4"/>
  <c r="S77" i="4"/>
  <c r="T77" i="4" s="1"/>
  <c r="Q77" i="4"/>
  <c r="R77" i="4" s="1"/>
  <c r="P77" i="4"/>
  <c r="O77" i="4"/>
  <c r="N77" i="4"/>
  <c r="S76" i="4"/>
  <c r="Q76" i="4"/>
  <c r="R76" i="4" s="1"/>
  <c r="P76" i="4"/>
  <c r="O76" i="4"/>
  <c r="N76" i="4"/>
  <c r="S75" i="4"/>
  <c r="T75" i="4" s="1"/>
  <c r="Q75" i="4"/>
  <c r="R75" i="4" s="1"/>
  <c r="P75" i="4"/>
  <c r="O75" i="4"/>
  <c r="N75" i="4"/>
  <c r="S74" i="4"/>
  <c r="Q74" i="4"/>
  <c r="R74" i="4" s="1"/>
  <c r="P74" i="4"/>
  <c r="O74" i="4"/>
  <c r="N74" i="4"/>
  <c r="S73" i="4"/>
  <c r="U73" i="4" s="1"/>
  <c r="Q73" i="4"/>
  <c r="R73" i="4" s="1"/>
  <c r="P73" i="4"/>
  <c r="O73" i="4"/>
  <c r="N73" i="4"/>
  <c r="S72" i="4"/>
  <c r="Q72" i="4"/>
  <c r="R72" i="4" s="1"/>
  <c r="P72" i="4"/>
  <c r="O72" i="4"/>
  <c r="N72" i="4"/>
  <c r="S71" i="4"/>
  <c r="Q71" i="4"/>
  <c r="R71" i="4" s="1"/>
  <c r="P71" i="4"/>
  <c r="O71" i="4"/>
  <c r="N71" i="4"/>
  <c r="S70" i="4"/>
  <c r="Q70" i="4"/>
  <c r="R70" i="4" s="1"/>
  <c r="P70" i="4"/>
  <c r="O70" i="4"/>
  <c r="N70" i="4"/>
  <c r="S69" i="4"/>
  <c r="T69" i="4" s="1"/>
  <c r="Q69" i="4"/>
  <c r="M14" i="5" s="1"/>
  <c r="C23" i="9" s="1"/>
  <c r="E23" i="9" s="1"/>
  <c r="P69" i="4"/>
  <c r="O69" i="4"/>
  <c r="N69" i="4"/>
  <c r="S68" i="4"/>
  <c r="Q68" i="4"/>
  <c r="R68" i="4" s="1"/>
  <c r="P68" i="4"/>
  <c r="O68" i="4"/>
  <c r="N68" i="4"/>
  <c r="S67" i="4"/>
  <c r="T67" i="4" s="1"/>
  <c r="Q67" i="4"/>
  <c r="R67" i="4" s="1"/>
  <c r="P67" i="4"/>
  <c r="O67" i="4"/>
  <c r="N67" i="4"/>
  <c r="S66" i="4"/>
  <c r="Q66" i="4"/>
  <c r="R66" i="4" s="1"/>
  <c r="P66" i="4"/>
  <c r="O66" i="4"/>
  <c r="N66" i="4"/>
  <c r="S65" i="4"/>
  <c r="U65" i="4" s="1"/>
  <c r="Q65" i="4"/>
  <c r="R65" i="4" s="1"/>
  <c r="P65" i="4"/>
  <c r="O65" i="4"/>
  <c r="N65" i="4"/>
  <c r="S64" i="4"/>
  <c r="D13" i="5" s="1"/>
  <c r="I13" i="5" s="1"/>
  <c r="Q64" i="4"/>
  <c r="M13" i="5" s="1"/>
  <c r="C22" i="9" s="1"/>
  <c r="E22" i="9" s="1"/>
  <c r="P64" i="4"/>
  <c r="O64" i="4"/>
  <c r="N64" i="4"/>
  <c r="S63" i="4"/>
  <c r="T63" i="4" s="1"/>
  <c r="Q63" i="4"/>
  <c r="R63" i="4" s="1"/>
  <c r="P63" i="4"/>
  <c r="O63" i="4"/>
  <c r="N63" i="4"/>
  <c r="S62" i="4"/>
  <c r="Q62" i="4"/>
  <c r="R62" i="4" s="1"/>
  <c r="P62" i="4"/>
  <c r="O62" i="4"/>
  <c r="N62" i="4"/>
  <c r="S61" i="4"/>
  <c r="U61" i="4" s="1"/>
  <c r="Q61" i="4"/>
  <c r="R61" i="4" s="1"/>
  <c r="P61" i="4"/>
  <c r="O61" i="4"/>
  <c r="N61" i="4"/>
  <c r="S60" i="4"/>
  <c r="T60" i="4" s="1"/>
  <c r="Q60" i="4"/>
  <c r="R60" i="4" s="1"/>
  <c r="P60" i="4"/>
  <c r="O60" i="4"/>
  <c r="N60" i="4"/>
  <c r="S59" i="4"/>
  <c r="T59" i="4" s="1"/>
  <c r="Q59" i="4"/>
  <c r="R59" i="4" s="1"/>
  <c r="P59" i="4"/>
  <c r="O59" i="4"/>
  <c r="N59" i="4"/>
  <c r="S58" i="4"/>
  <c r="Q58" i="4"/>
  <c r="R58" i="4" s="1"/>
  <c r="P58" i="4"/>
  <c r="O58" i="4"/>
  <c r="N58" i="4"/>
  <c r="S57" i="4"/>
  <c r="U57" i="4" s="1"/>
  <c r="Q57" i="4"/>
  <c r="R57" i="4" s="1"/>
  <c r="P57" i="4"/>
  <c r="O57" i="4"/>
  <c r="N57" i="4"/>
  <c r="S56" i="4"/>
  <c r="T56" i="4" s="1"/>
  <c r="Q56" i="4"/>
  <c r="R56" i="4" s="1"/>
  <c r="P56" i="4"/>
  <c r="O56" i="4"/>
  <c r="N56" i="4"/>
  <c r="S55" i="4"/>
  <c r="T55" i="4" s="1"/>
  <c r="Q55" i="4"/>
  <c r="R55" i="4" s="1"/>
  <c r="P55" i="4"/>
  <c r="O55" i="4"/>
  <c r="N55" i="4"/>
  <c r="S54" i="4"/>
  <c r="Q54" i="4"/>
  <c r="R54" i="4" s="1"/>
  <c r="P54" i="4"/>
  <c r="O54" i="4"/>
  <c r="N54" i="4"/>
  <c r="S53" i="4"/>
  <c r="U53" i="4" s="1"/>
  <c r="Q53" i="4"/>
  <c r="R53" i="4" s="1"/>
  <c r="P53" i="4"/>
  <c r="O53" i="4"/>
  <c r="N53" i="4"/>
  <c r="S52" i="4"/>
  <c r="T52" i="4" s="1"/>
  <c r="Q52" i="4"/>
  <c r="R52" i="4" s="1"/>
  <c r="P52" i="4"/>
  <c r="O52" i="4"/>
  <c r="N52" i="4"/>
  <c r="S51" i="4"/>
  <c r="T51" i="4" s="1"/>
  <c r="Q51" i="4"/>
  <c r="R51" i="4" s="1"/>
  <c r="P51" i="4"/>
  <c r="O51" i="4"/>
  <c r="N51" i="4"/>
  <c r="S50" i="4"/>
  <c r="Q50" i="4"/>
  <c r="R50" i="4" s="1"/>
  <c r="P50" i="4"/>
  <c r="O50" i="4"/>
  <c r="N50" i="4"/>
  <c r="S49" i="4"/>
  <c r="U49" i="4" s="1"/>
  <c r="Q49" i="4"/>
  <c r="R49" i="4" s="1"/>
  <c r="P49" i="4"/>
  <c r="O49" i="4"/>
  <c r="N49" i="4"/>
  <c r="S48" i="4"/>
  <c r="T48" i="4" s="1"/>
  <c r="Q48" i="4"/>
  <c r="R48" i="4" s="1"/>
  <c r="P48" i="4"/>
  <c r="O48" i="4"/>
  <c r="N48" i="4"/>
  <c r="S47" i="4"/>
  <c r="T47" i="4" s="1"/>
  <c r="Q47" i="4"/>
  <c r="R47" i="4" s="1"/>
  <c r="P47" i="4"/>
  <c r="O47" i="4"/>
  <c r="N47" i="4"/>
  <c r="S46" i="4"/>
  <c r="Q46" i="4"/>
  <c r="R46" i="4" s="1"/>
  <c r="P46" i="4"/>
  <c r="O46" i="4"/>
  <c r="N46" i="4"/>
  <c r="S45" i="4"/>
  <c r="U45" i="4" s="1"/>
  <c r="Q45" i="4"/>
  <c r="R45" i="4" s="1"/>
  <c r="P45" i="4"/>
  <c r="O45" i="4"/>
  <c r="N45" i="4"/>
  <c r="S44" i="4"/>
  <c r="T44" i="4" s="1"/>
  <c r="Q44" i="4"/>
  <c r="R44" i="4" s="1"/>
  <c r="P44" i="4"/>
  <c r="O44" i="4"/>
  <c r="N44" i="4"/>
  <c r="S43" i="4"/>
  <c r="T43" i="4" s="1"/>
  <c r="Q43" i="4"/>
  <c r="R43" i="4" s="1"/>
  <c r="P43" i="4"/>
  <c r="O43" i="4"/>
  <c r="N43" i="4"/>
  <c r="S42" i="4"/>
  <c r="Q42" i="4"/>
  <c r="R42" i="4" s="1"/>
  <c r="P42" i="4"/>
  <c r="O42" i="4"/>
  <c r="N42" i="4"/>
  <c r="S41" i="4"/>
  <c r="U41" i="4" s="1"/>
  <c r="Q41" i="4"/>
  <c r="R41" i="4" s="1"/>
  <c r="P41" i="4"/>
  <c r="O41" i="4"/>
  <c r="N41" i="4"/>
  <c r="S40" i="4"/>
  <c r="T40" i="4" s="1"/>
  <c r="Q40" i="4"/>
  <c r="R40" i="4" s="1"/>
  <c r="P40" i="4"/>
  <c r="O40" i="4"/>
  <c r="N40" i="4"/>
  <c r="S39" i="4"/>
  <c r="T39" i="4" s="1"/>
  <c r="Q39" i="4"/>
  <c r="R39" i="4" s="1"/>
  <c r="P39" i="4"/>
  <c r="O39" i="4"/>
  <c r="N39" i="4"/>
  <c r="S38" i="4"/>
  <c r="Q38" i="4"/>
  <c r="R38" i="4" s="1"/>
  <c r="P38" i="4"/>
  <c r="O38" i="4"/>
  <c r="N38" i="4"/>
  <c r="S37" i="4"/>
  <c r="U37" i="4" s="1"/>
  <c r="Q37" i="4"/>
  <c r="R37" i="4" s="1"/>
  <c r="P37" i="4"/>
  <c r="O37" i="4"/>
  <c r="N37" i="4"/>
  <c r="S36" i="4"/>
  <c r="T36" i="4" s="1"/>
  <c r="Q36" i="4"/>
  <c r="R36" i="4" s="1"/>
  <c r="P36" i="4"/>
  <c r="O36" i="4"/>
  <c r="N36" i="4"/>
  <c r="S35" i="4"/>
  <c r="T35" i="4" s="1"/>
  <c r="Q35" i="4"/>
  <c r="R35" i="4" s="1"/>
  <c r="P35" i="4"/>
  <c r="O35" i="4"/>
  <c r="N35" i="4"/>
  <c r="S34" i="4"/>
  <c r="Q34" i="4"/>
  <c r="R34" i="4" s="1"/>
  <c r="P34" i="4"/>
  <c r="O34" i="4"/>
  <c r="N34" i="4"/>
  <c r="S33" i="4"/>
  <c r="U33" i="4" s="1"/>
  <c r="Q33" i="4"/>
  <c r="R33" i="4" s="1"/>
  <c r="P33" i="4"/>
  <c r="O33" i="4"/>
  <c r="N33" i="4"/>
  <c r="S32" i="4"/>
  <c r="T32" i="4" s="1"/>
  <c r="Q32" i="4"/>
  <c r="R32" i="4" s="1"/>
  <c r="P32" i="4"/>
  <c r="O32" i="4"/>
  <c r="N32" i="4"/>
  <c r="S31" i="4"/>
  <c r="T31" i="4" s="1"/>
  <c r="Q31" i="4"/>
  <c r="R31" i="4" s="1"/>
  <c r="P31" i="4"/>
  <c r="O31" i="4"/>
  <c r="N31" i="4"/>
  <c r="S30" i="4"/>
  <c r="Q30" i="4"/>
  <c r="R30" i="4" s="1"/>
  <c r="P30" i="4"/>
  <c r="O30" i="4"/>
  <c r="N30" i="4"/>
  <c r="S29" i="4"/>
  <c r="U29" i="4" s="1"/>
  <c r="Q29" i="4"/>
  <c r="R29" i="4" s="1"/>
  <c r="P29" i="4"/>
  <c r="O29" i="4"/>
  <c r="N29" i="4"/>
  <c r="S28" i="4"/>
  <c r="T28" i="4" s="1"/>
  <c r="Q28" i="4"/>
  <c r="R28" i="4" s="1"/>
  <c r="P28" i="4"/>
  <c r="O28" i="4"/>
  <c r="N28" i="4"/>
  <c r="S27" i="4"/>
  <c r="T27" i="4" s="1"/>
  <c r="Q27" i="4"/>
  <c r="R27" i="4" s="1"/>
  <c r="P27" i="4"/>
  <c r="O27" i="4"/>
  <c r="N27" i="4"/>
  <c r="S26" i="4"/>
  <c r="Q26" i="4"/>
  <c r="R26" i="4" s="1"/>
  <c r="P26" i="4"/>
  <c r="O26" i="4"/>
  <c r="N26" i="4"/>
  <c r="S25" i="4"/>
  <c r="U25" i="4" s="1"/>
  <c r="Q25" i="4"/>
  <c r="R25" i="4" s="1"/>
  <c r="P25" i="4"/>
  <c r="O25" i="4"/>
  <c r="N25" i="4"/>
  <c r="S24" i="4"/>
  <c r="T24" i="4" s="1"/>
  <c r="Q24" i="4"/>
  <c r="R24" i="4" s="1"/>
  <c r="P24" i="4"/>
  <c r="O24" i="4"/>
  <c r="N24" i="4"/>
  <c r="S23" i="4"/>
  <c r="T23" i="4" s="1"/>
  <c r="Q23" i="4"/>
  <c r="R23" i="4" s="1"/>
  <c r="P23" i="4"/>
  <c r="O23" i="4"/>
  <c r="N23" i="4"/>
  <c r="S22" i="4"/>
  <c r="Q22" i="4"/>
  <c r="R22" i="4" s="1"/>
  <c r="P22" i="4"/>
  <c r="O22" i="4"/>
  <c r="N22" i="4"/>
  <c r="S21" i="4"/>
  <c r="U21" i="4" s="1"/>
  <c r="Q21" i="4"/>
  <c r="R21" i="4" s="1"/>
  <c r="P21" i="4"/>
  <c r="O21" i="4"/>
  <c r="N21" i="4"/>
  <c r="S20" i="4"/>
  <c r="T20" i="4" s="1"/>
  <c r="Q20" i="4"/>
  <c r="R20" i="4" s="1"/>
  <c r="P20" i="4"/>
  <c r="O20" i="4"/>
  <c r="N20" i="4"/>
  <c r="S19" i="4"/>
  <c r="T19" i="4" s="1"/>
  <c r="Q19" i="4"/>
  <c r="R19" i="4" s="1"/>
  <c r="P19" i="4"/>
  <c r="O19" i="4"/>
  <c r="N19" i="4"/>
  <c r="S18" i="4"/>
  <c r="Q18" i="4"/>
  <c r="R18" i="4" s="1"/>
  <c r="P18" i="4"/>
  <c r="O18" i="4"/>
  <c r="N18" i="4"/>
  <c r="S17" i="4"/>
  <c r="U17" i="4" s="1"/>
  <c r="Q17" i="4"/>
  <c r="R17" i="4" s="1"/>
  <c r="P17" i="4"/>
  <c r="O17" i="4"/>
  <c r="N17" i="4"/>
  <c r="S16" i="4"/>
  <c r="T16" i="4" s="1"/>
  <c r="Q16" i="4"/>
  <c r="R16" i="4" s="1"/>
  <c r="P16" i="4"/>
  <c r="O16" i="4"/>
  <c r="N16" i="4"/>
  <c r="S15" i="4"/>
  <c r="T15" i="4" s="1"/>
  <c r="Q15" i="4"/>
  <c r="R15" i="4" s="1"/>
  <c r="P15" i="4"/>
  <c r="O15" i="4"/>
  <c r="N15" i="4"/>
  <c r="S14" i="4"/>
  <c r="Q14" i="4"/>
  <c r="R14" i="4" s="1"/>
  <c r="P14" i="4"/>
  <c r="O14" i="4"/>
  <c r="N14" i="4"/>
  <c r="S13" i="4"/>
  <c r="U13" i="4" s="1"/>
  <c r="Q13" i="4"/>
  <c r="R13" i="4" s="1"/>
  <c r="P13" i="4"/>
  <c r="O13" i="4"/>
  <c r="N13" i="4"/>
  <c r="S12" i="4"/>
  <c r="D18" i="5" s="1"/>
  <c r="Q12" i="4"/>
  <c r="M20" i="5" s="1"/>
  <c r="P12" i="4"/>
  <c r="O12" i="4"/>
  <c r="N12" i="4"/>
  <c r="S11" i="4"/>
  <c r="T11" i="4" s="1"/>
  <c r="Q11" i="4"/>
  <c r="R11" i="4" s="1"/>
  <c r="P11" i="4"/>
  <c r="O11" i="4"/>
  <c r="N11" i="4"/>
  <c r="S10" i="4"/>
  <c r="Q10" i="4"/>
  <c r="R10" i="4" s="1"/>
  <c r="P10" i="4"/>
  <c r="O10" i="4"/>
  <c r="N10" i="4"/>
  <c r="S9" i="4"/>
  <c r="U9" i="4" s="1"/>
  <c r="Q9" i="4"/>
  <c r="R9" i="4" s="1"/>
  <c r="P9" i="4"/>
  <c r="O9" i="4"/>
  <c r="N9" i="4"/>
  <c r="A4" i="4"/>
  <c r="B34" i="3"/>
  <c r="B33" i="3"/>
  <c r="B32" i="3"/>
  <c r="B31" i="3"/>
  <c r="B30" i="3"/>
  <c r="A4" i="3"/>
  <c r="C41" i="2"/>
  <c r="C6" i="5" s="1"/>
  <c r="C28" i="2"/>
  <c r="B28" i="2"/>
  <c r="C27" i="2"/>
  <c r="B27" i="2"/>
  <c r="C26" i="2"/>
  <c r="B26" i="2"/>
  <c r="C11" i="9" s="1"/>
  <c r="E11" i="9" s="1"/>
  <c r="C25" i="2"/>
  <c r="B25" i="2"/>
  <c r="C10" i="9" s="1"/>
  <c r="E10" i="9" s="1"/>
  <c r="C24" i="2"/>
  <c r="C13" i="9" s="1"/>
  <c r="E13" i="9" s="1"/>
  <c r="B24" i="2"/>
  <c r="C9" i="9" s="1"/>
  <c r="E9" i="9" s="1"/>
  <c r="C15" i="2"/>
  <c r="C18" i="9" s="1"/>
  <c r="E18" i="9" s="1"/>
  <c r="A4" i="2"/>
  <c r="C7" i="1"/>
  <c r="A7" i="1"/>
  <c r="O5" i="1"/>
  <c r="M5" i="1"/>
  <c r="K5" i="1"/>
  <c r="I5" i="1"/>
  <c r="G5" i="1"/>
  <c r="E5" i="1"/>
  <c r="C5" i="1"/>
  <c r="A5" i="1"/>
  <c r="U71" i="4" l="1"/>
  <c r="U79" i="4"/>
  <c r="U103" i="4"/>
  <c r="U111" i="4"/>
  <c r="U68" i="4"/>
  <c r="U76" i="4"/>
  <c r="U84" i="4"/>
  <c r="U88" i="4"/>
  <c r="U92" i="4"/>
  <c r="U96" i="4"/>
  <c r="U120" i="4"/>
  <c r="U328" i="4"/>
  <c r="U400" i="4"/>
  <c r="U10" i="4"/>
  <c r="U14" i="4"/>
  <c r="U18" i="4"/>
  <c r="U22" i="4"/>
  <c r="U26" i="4"/>
  <c r="U30" i="4"/>
  <c r="U34" i="4"/>
  <c r="U38" i="4"/>
  <c r="U42" i="4"/>
  <c r="U46" i="4"/>
  <c r="U50" i="4"/>
  <c r="U54" i="4"/>
  <c r="U58" i="4"/>
  <c r="U62" i="4"/>
  <c r="U66" i="4"/>
  <c r="U74" i="4"/>
  <c r="U122" i="4"/>
  <c r="U126" i="4"/>
  <c r="U134" i="4"/>
  <c r="U142" i="4"/>
  <c r="U154" i="4"/>
  <c r="U162" i="4"/>
  <c r="U406" i="4"/>
  <c r="U90" i="4"/>
  <c r="U98" i="4"/>
  <c r="U116" i="4"/>
  <c r="U186" i="4"/>
  <c r="U194" i="4"/>
  <c r="U477" i="4"/>
  <c r="T328" i="4"/>
  <c r="U372" i="4"/>
  <c r="E25" i="2"/>
  <c r="T66" i="4"/>
  <c r="B23" i="12"/>
  <c r="T65" i="4"/>
  <c r="T454" i="4"/>
  <c r="U454" i="4"/>
  <c r="D26" i="2"/>
  <c r="D28" i="2"/>
  <c r="T12" i="4"/>
  <c r="T64" i="4"/>
  <c r="T253" i="4"/>
  <c r="T309" i="4"/>
  <c r="U309" i="4"/>
  <c r="E27" i="2"/>
  <c r="U64" i="4"/>
  <c r="U441" i="4"/>
  <c r="T441" i="4"/>
  <c r="U380" i="4"/>
  <c r="U544" i="4"/>
  <c r="U549" i="4"/>
  <c r="U561" i="4"/>
  <c r="U585" i="4"/>
  <c r="R253" i="4"/>
  <c r="U305" i="4"/>
  <c r="T312" i="4"/>
  <c r="U161" i="4"/>
  <c r="T161" i="4"/>
  <c r="U172" i="4"/>
  <c r="T172" i="4"/>
  <c r="U174" i="4"/>
  <c r="T174" i="4"/>
  <c r="U176" i="4"/>
  <c r="T176" i="4"/>
  <c r="U193" i="4"/>
  <c r="T193" i="4"/>
  <c r="U206" i="4"/>
  <c r="T206" i="4"/>
  <c r="U208" i="4"/>
  <c r="T208" i="4"/>
  <c r="U334" i="4"/>
  <c r="T334" i="4"/>
  <c r="U417" i="4"/>
  <c r="T417" i="4"/>
  <c r="T430" i="4"/>
  <c r="U430" i="4"/>
  <c r="T434" i="4"/>
  <c r="U434" i="4"/>
  <c r="T552" i="4"/>
  <c r="U552" i="4"/>
  <c r="T10" i="4"/>
  <c r="R12" i="4"/>
  <c r="T14" i="4"/>
  <c r="T22" i="4"/>
  <c r="T26" i="4"/>
  <c r="T38" i="4"/>
  <c r="T42" i="4"/>
  <c r="T46" i="4"/>
  <c r="T50" i="4"/>
  <c r="T58" i="4"/>
  <c r="T62" i="4"/>
  <c r="R64" i="4"/>
  <c r="T79" i="4"/>
  <c r="T103" i="4"/>
  <c r="T109" i="4"/>
  <c r="U132" i="4"/>
  <c r="T132" i="4"/>
  <c r="U148" i="4"/>
  <c r="T148" i="4"/>
  <c r="T154" i="4"/>
  <c r="U169" i="4"/>
  <c r="T169" i="4"/>
  <c r="U180" i="4"/>
  <c r="T180" i="4"/>
  <c r="U184" i="4"/>
  <c r="T184" i="4"/>
  <c r="T189" i="4"/>
  <c r="U201" i="4"/>
  <c r="T201" i="4"/>
  <c r="U212" i="4"/>
  <c r="T212" i="4"/>
  <c r="U214" i="4"/>
  <c r="T214" i="4"/>
  <c r="U318" i="4"/>
  <c r="T318" i="4"/>
  <c r="T321" i="4"/>
  <c r="U321" i="4"/>
  <c r="T384" i="4"/>
  <c r="U384" i="4"/>
  <c r="U601" i="4"/>
  <c r="U593" i="4"/>
  <c r="U581" i="4"/>
  <c r="U576" i="4"/>
  <c r="U557" i="4"/>
  <c r="U555" i="4"/>
  <c r="U553" i="4"/>
  <c r="U540" i="4"/>
  <c r="U534" i="4"/>
  <c r="U526" i="4"/>
  <c r="U490" i="4"/>
  <c r="U470" i="4"/>
  <c r="U461" i="4"/>
  <c r="U450" i="4"/>
  <c r="U438" i="4"/>
  <c r="U429" i="4"/>
  <c r="U418" i="4"/>
  <c r="U395" i="4"/>
  <c r="U332" i="4"/>
  <c r="U564" i="4"/>
  <c r="U536" i="4"/>
  <c r="U457" i="4"/>
  <c r="U425" i="4"/>
  <c r="U392" i="4"/>
  <c r="U336" i="4"/>
  <c r="U320" i="4"/>
  <c r="U566" i="4"/>
  <c r="U563" i="4"/>
  <c r="U532" i="4"/>
  <c r="U506" i="4"/>
  <c r="U388" i="4"/>
  <c r="U340" i="4"/>
  <c r="U312" i="4"/>
  <c r="U310" i="4"/>
  <c r="U306" i="4"/>
  <c r="U302" i="4"/>
  <c r="U298" i="4"/>
  <c r="U297" i="4"/>
  <c r="U296" i="4"/>
  <c r="U295" i="4"/>
  <c r="U294" i="4"/>
  <c r="U293" i="4"/>
  <c r="U292" i="4"/>
  <c r="U291" i="4"/>
  <c r="U290" i="4"/>
  <c r="U289" i="4"/>
  <c r="U288" i="4"/>
  <c r="U287" i="4"/>
  <c r="U286" i="4"/>
  <c r="U285" i="4"/>
  <c r="U284" i="4"/>
  <c r="U283" i="4"/>
  <c r="U282" i="4"/>
  <c r="U281" i="4"/>
  <c r="U280" i="4"/>
  <c r="U279" i="4"/>
  <c r="U278" i="4"/>
  <c r="U277" i="4"/>
  <c r="U276" i="4"/>
  <c r="U275" i="4"/>
  <c r="U274" i="4"/>
  <c r="U273" i="4"/>
  <c r="U272" i="4"/>
  <c r="U271" i="4"/>
  <c r="U270" i="4"/>
  <c r="U269" i="4"/>
  <c r="U268" i="4"/>
  <c r="U267" i="4"/>
  <c r="U266" i="4"/>
  <c r="U265" i="4"/>
  <c r="U264" i="4"/>
  <c r="U263" i="4"/>
  <c r="U262" i="4"/>
  <c r="U261" i="4"/>
  <c r="U260" i="4"/>
  <c r="U259" i="4"/>
  <c r="U258" i="4"/>
  <c r="U257" i="4"/>
  <c r="U256" i="4"/>
  <c r="U255" i="4"/>
  <c r="U254" i="4"/>
  <c r="U253" i="4"/>
  <c r="U252" i="4"/>
  <c r="U251" i="4"/>
  <c r="U250" i="4"/>
  <c r="U249" i="4"/>
  <c r="U248" i="4"/>
  <c r="U247" i="4"/>
  <c r="U246" i="4"/>
  <c r="U245" i="4"/>
  <c r="U244" i="4"/>
  <c r="U243" i="4"/>
  <c r="U242" i="4"/>
  <c r="U241" i="4"/>
  <c r="U240" i="4"/>
  <c r="U239" i="4"/>
  <c r="U238" i="4"/>
  <c r="U237" i="4"/>
  <c r="U236" i="4"/>
  <c r="U235" i="4"/>
  <c r="U234" i="4"/>
  <c r="U233" i="4"/>
  <c r="U232" i="4"/>
  <c r="U231" i="4"/>
  <c r="U230" i="4"/>
  <c r="U229" i="4"/>
  <c r="U228" i="4"/>
  <c r="U227" i="4"/>
  <c r="U226" i="4"/>
  <c r="U225" i="4"/>
  <c r="U224" i="4"/>
  <c r="U223" i="4"/>
  <c r="U222" i="4"/>
  <c r="U221" i="4"/>
  <c r="U220" i="4"/>
  <c r="U219" i="4"/>
  <c r="U218" i="4"/>
  <c r="U217" i="4"/>
  <c r="U216" i="4"/>
  <c r="U215" i="4"/>
  <c r="U574" i="4"/>
  <c r="U568" i="4"/>
  <c r="U344" i="4"/>
  <c r="U324" i="4"/>
  <c r="U316" i="4"/>
  <c r="T9" i="4"/>
  <c r="T13" i="4"/>
  <c r="U16" i="4"/>
  <c r="T17" i="4"/>
  <c r="U20" i="4"/>
  <c r="T21" i="4"/>
  <c r="U24" i="4"/>
  <c r="T25" i="4"/>
  <c r="U28" i="4"/>
  <c r="T29" i="4"/>
  <c r="U32" i="4"/>
  <c r="T33" i="4"/>
  <c r="U36" i="4"/>
  <c r="T37" i="4"/>
  <c r="U40" i="4"/>
  <c r="T41" i="4"/>
  <c r="U44" i="4"/>
  <c r="T45" i="4"/>
  <c r="U48" i="4"/>
  <c r="T49" i="4"/>
  <c r="U52" i="4"/>
  <c r="T53" i="4"/>
  <c r="U56" i="4"/>
  <c r="T57" i="4"/>
  <c r="U60" i="4"/>
  <c r="T61" i="4"/>
  <c r="U67" i="4"/>
  <c r="R69" i="4"/>
  <c r="U70" i="4"/>
  <c r="T73" i="4"/>
  <c r="U75" i="4"/>
  <c r="U78" i="4"/>
  <c r="T85" i="4"/>
  <c r="U87" i="4"/>
  <c r="U89" i="4"/>
  <c r="T89" i="4"/>
  <c r="U93" i="4"/>
  <c r="R97" i="4"/>
  <c r="U100" i="4"/>
  <c r="U104" i="4"/>
  <c r="U106" i="4"/>
  <c r="T111" i="4"/>
  <c r="T117" i="4"/>
  <c r="U119" i="4"/>
  <c r="U121" i="4"/>
  <c r="T121" i="4"/>
  <c r="T126" i="4"/>
  <c r="T129" i="4"/>
  <c r="T134" i="4"/>
  <c r="T137" i="4"/>
  <c r="T142" i="4"/>
  <c r="T145" i="4"/>
  <c r="U156" i="4"/>
  <c r="T156" i="4"/>
  <c r="U158" i="4"/>
  <c r="T158" i="4"/>
  <c r="U160" i="4"/>
  <c r="T160" i="4"/>
  <c r="T162" i="4"/>
  <c r="T165" i="4"/>
  <c r="U170" i="4"/>
  <c r="U173" i="4"/>
  <c r="U177" i="4"/>
  <c r="T177" i="4"/>
  <c r="U188" i="4"/>
  <c r="T188" i="4"/>
  <c r="U190" i="4"/>
  <c r="T190" i="4"/>
  <c r="U192" i="4"/>
  <c r="T192" i="4"/>
  <c r="T194" i="4"/>
  <c r="T197" i="4"/>
  <c r="U202" i="4"/>
  <c r="U205" i="4"/>
  <c r="U209" i="4"/>
  <c r="T209" i="4"/>
  <c r="U301" i="4"/>
  <c r="T313" i="4"/>
  <c r="U313" i="4"/>
  <c r="U322" i="4"/>
  <c r="T322" i="4"/>
  <c r="U445" i="4"/>
  <c r="U449" i="4"/>
  <c r="T449" i="4"/>
  <c r="T462" i="4"/>
  <c r="U462" i="4"/>
  <c r="T466" i="4"/>
  <c r="U466" i="4"/>
  <c r="U524" i="4"/>
  <c r="T528" i="4"/>
  <c r="U528" i="4"/>
  <c r="U596" i="4"/>
  <c r="U105" i="4"/>
  <c r="T105" i="4"/>
  <c r="U204" i="4"/>
  <c r="T204" i="4"/>
  <c r="U383" i="4"/>
  <c r="T383" i="4"/>
  <c r="T18" i="4"/>
  <c r="T30" i="4"/>
  <c r="T34" i="4"/>
  <c r="T54" i="4"/>
  <c r="T71" i="4"/>
  <c r="U81" i="4"/>
  <c r="T81" i="4"/>
  <c r="U113" i="4"/>
  <c r="T113" i="4"/>
  <c r="U124" i="4"/>
  <c r="T124" i="4"/>
  <c r="U140" i="4"/>
  <c r="T140" i="4"/>
  <c r="U150" i="4"/>
  <c r="T150" i="4"/>
  <c r="U152" i="4"/>
  <c r="T152" i="4"/>
  <c r="T157" i="4"/>
  <c r="U182" i="4"/>
  <c r="T182" i="4"/>
  <c r="T186" i="4"/>
  <c r="U375" i="4"/>
  <c r="T375" i="4"/>
  <c r="U469" i="4"/>
  <c r="T469" i="4"/>
  <c r="T542" i="4"/>
  <c r="U542" i="4"/>
  <c r="U11" i="4"/>
  <c r="U15" i="4"/>
  <c r="U19" i="4"/>
  <c r="U23" i="4"/>
  <c r="U27" i="4"/>
  <c r="U31" i="4"/>
  <c r="U35" i="4"/>
  <c r="U39" i="4"/>
  <c r="U43" i="4"/>
  <c r="U47" i="4"/>
  <c r="U51" i="4"/>
  <c r="U55" i="4"/>
  <c r="U59" i="4"/>
  <c r="U63" i="4"/>
  <c r="U72" i="4"/>
  <c r="U77" i="4"/>
  <c r="U80" i="4"/>
  <c r="U82" i="4"/>
  <c r="U95" i="4"/>
  <c r="U101" i="4"/>
  <c r="U108" i="4"/>
  <c r="U112" i="4"/>
  <c r="U114" i="4"/>
  <c r="U125" i="4"/>
  <c r="U128" i="4"/>
  <c r="T128" i="4"/>
  <c r="U130" i="4"/>
  <c r="U133" i="4"/>
  <c r="U136" i="4"/>
  <c r="T136" i="4"/>
  <c r="U138" i="4"/>
  <c r="U141" i="4"/>
  <c r="U144" i="4"/>
  <c r="T144" i="4"/>
  <c r="U146" i="4"/>
  <c r="U149" i="4"/>
  <c r="U153" i="4"/>
  <c r="T153" i="4"/>
  <c r="U164" i="4"/>
  <c r="T164" i="4"/>
  <c r="U166" i="4"/>
  <c r="T166" i="4"/>
  <c r="U168" i="4"/>
  <c r="T168" i="4"/>
  <c r="U178" i="4"/>
  <c r="U181" i="4"/>
  <c r="U185" i="4"/>
  <c r="T185" i="4"/>
  <c r="U196" i="4"/>
  <c r="T196" i="4"/>
  <c r="U198" i="4"/>
  <c r="T198" i="4"/>
  <c r="U200" i="4"/>
  <c r="T200" i="4"/>
  <c r="U210" i="4"/>
  <c r="U213" i="4"/>
  <c r="U326" i="4"/>
  <c r="T333" i="4"/>
  <c r="U333" i="4"/>
  <c r="U416" i="4"/>
  <c r="U422" i="4"/>
  <c r="U437" i="4"/>
  <c r="T437" i="4"/>
  <c r="U473" i="4"/>
  <c r="T500" i="4"/>
  <c r="U500" i="4"/>
  <c r="T522" i="4"/>
  <c r="U522" i="4"/>
  <c r="T582" i="4"/>
  <c r="U582" i="4"/>
  <c r="U587" i="4"/>
  <c r="T597" i="4"/>
  <c r="U597" i="4"/>
  <c r="T329" i="4"/>
  <c r="U329" i="4"/>
  <c r="U338" i="4"/>
  <c r="U359" i="4"/>
  <c r="T359" i="4"/>
  <c r="U367" i="4"/>
  <c r="T367" i="4"/>
  <c r="T376" i="4"/>
  <c r="U376" i="4"/>
  <c r="U397" i="4"/>
  <c r="U401" i="4"/>
  <c r="T401" i="4"/>
  <c r="U411" i="4"/>
  <c r="T411" i="4"/>
  <c r="T539" i="4"/>
  <c r="U539" i="4"/>
  <c r="T580" i="4"/>
  <c r="U580" i="4"/>
  <c r="T595" i="4"/>
  <c r="U595" i="4"/>
  <c r="U83" i="4"/>
  <c r="U86" i="4"/>
  <c r="U91" i="4"/>
  <c r="U94" i="4"/>
  <c r="U99" i="4"/>
  <c r="U102" i="4"/>
  <c r="U107" i="4"/>
  <c r="U110" i="4"/>
  <c r="U115" i="4"/>
  <c r="U118" i="4"/>
  <c r="U123" i="4"/>
  <c r="U127" i="4"/>
  <c r="U131" i="4"/>
  <c r="U135" i="4"/>
  <c r="U139" i="4"/>
  <c r="U143" i="4"/>
  <c r="U147" i="4"/>
  <c r="T317" i="4"/>
  <c r="U317" i="4"/>
  <c r="T338" i="4"/>
  <c r="T345" i="4"/>
  <c r="U345" i="4"/>
  <c r="U357" i="4"/>
  <c r="T357" i="4"/>
  <c r="U365" i="4"/>
  <c r="T365" i="4"/>
  <c r="T368" i="4"/>
  <c r="U368" i="4"/>
  <c r="U428" i="4"/>
  <c r="T520" i="4"/>
  <c r="U520" i="4"/>
  <c r="T569" i="4"/>
  <c r="U569" i="4"/>
  <c r="U572" i="4"/>
  <c r="U589" i="4"/>
  <c r="U151" i="4"/>
  <c r="U155" i="4"/>
  <c r="U159" i="4"/>
  <c r="U163" i="4"/>
  <c r="U167" i="4"/>
  <c r="U171" i="4"/>
  <c r="U175" i="4"/>
  <c r="U179" i="4"/>
  <c r="U183" i="4"/>
  <c r="U187" i="4"/>
  <c r="U191" i="4"/>
  <c r="U195" i="4"/>
  <c r="U199" i="4"/>
  <c r="U203" i="4"/>
  <c r="U207" i="4"/>
  <c r="U211" i="4"/>
  <c r="U300" i="4"/>
  <c r="U314" i="4"/>
  <c r="T325" i="4"/>
  <c r="U325" i="4"/>
  <c r="U330" i="4"/>
  <c r="T341" i="4"/>
  <c r="U341" i="4"/>
  <c r="U346" i="4"/>
  <c r="U355" i="4"/>
  <c r="T355" i="4"/>
  <c r="U363" i="4"/>
  <c r="T363" i="4"/>
  <c r="U371" i="4"/>
  <c r="T371" i="4"/>
  <c r="U379" i="4"/>
  <c r="T379" i="4"/>
  <c r="U387" i="4"/>
  <c r="T387" i="4"/>
  <c r="U408" i="4"/>
  <c r="U414" i="4"/>
  <c r="U421" i="4"/>
  <c r="U432" i="4"/>
  <c r="T446" i="4"/>
  <c r="U446" i="4"/>
  <c r="U453" i="4"/>
  <c r="T478" i="4"/>
  <c r="U478" i="4"/>
  <c r="T550" i="4"/>
  <c r="U550" i="4"/>
  <c r="T337" i="4"/>
  <c r="U337" i="4"/>
  <c r="U342" i="4"/>
  <c r="U349" i="4"/>
  <c r="U351" i="4"/>
  <c r="U353" i="4"/>
  <c r="T353" i="4"/>
  <c r="U361" i="4"/>
  <c r="T361" i="4"/>
  <c r="U391" i="4"/>
  <c r="U393" i="4"/>
  <c r="U403" i="4"/>
  <c r="U409" i="4"/>
  <c r="T409" i="4"/>
  <c r="U433" i="4"/>
  <c r="T433" i="4"/>
  <c r="U465" i="4"/>
  <c r="T465" i="4"/>
  <c r="T498" i="4"/>
  <c r="U498" i="4"/>
  <c r="T537" i="4"/>
  <c r="U537" i="4"/>
  <c r="T548" i="4"/>
  <c r="U548" i="4"/>
  <c r="T565" i="4"/>
  <c r="U565" i="4"/>
  <c r="T571" i="4"/>
  <c r="U571" i="4"/>
  <c r="T584" i="4"/>
  <c r="U584" i="4"/>
  <c r="U389" i="4"/>
  <c r="U404" i="4"/>
  <c r="U407" i="4"/>
  <c r="U412" i="4"/>
  <c r="U415" i="4"/>
  <c r="U424" i="4"/>
  <c r="U440" i="4"/>
  <c r="U610" i="4"/>
  <c r="U618" i="4"/>
  <c r="U626" i="4"/>
  <c r="U304" i="4"/>
  <c r="U308" i="4"/>
  <c r="U348" i="4"/>
  <c r="U350" i="4"/>
  <c r="U352" i="4"/>
  <c r="U354" i="4"/>
  <c r="U356" i="4"/>
  <c r="U358" i="4"/>
  <c r="U360" i="4"/>
  <c r="U362" i="4"/>
  <c r="U366" i="4"/>
  <c r="U370" i="4"/>
  <c r="U374" i="4"/>
  <c r="U378" i="4"/>
  <c r="U382" i="4"/>
  <c r="U386" i="4"/>
  <c r="U396" i="4"/>
  <c r="U402" i="4"/>
  <c r="U405" i="4"/>
  <c r="T407" i="4"/>
  <c r="U410" i="4"/>
  <c r="U413" i="4"/>
  <c r="T415" i="4"/>
  <c r="U420" i="4"/>
  <c r="U426" i="4"/>
  <c r="U436" i="4"/>
  <c r="U442" i="4"/>
  <c r="U458" i="4"/>
  <c r="U474" i="4"/>
  <c r="U482" i="4"/>
  <c r="U492" i="4"/>
  <c r="U508" i="4"/>
  <c r="U529" i="4"/>
  <c r="U531" i="4"/>
  <c r="U541" i="4"/>
  <c r="U545" i="4"/>
  <c r="U547" i="4"/>
  <c r="U556" i="4"/>
  <c r="U558" i="4"/>
  <c r="U560" i="4"/>
  <c r="U573" i="4"/>
  <c r="U577" i="4"/>
  <c r="U579" i="4"/>
  <c r="U588" i="4"/>
  <c r="U590" i="4"/>
  <c r="U592" i="4"/>
  <c r="U600" i="4"/>
  <c r="T427" i="4"/>
  <c r="U427" i="4"/>
  <c r="U448" i="4"/>
  <c r="T448" i="4"/>
  <c r="U464" i="4"/>
  <c r="T464" i="4"/>
  <c r="T480" i="4"/>
  <c r="U480" i="4"/>
  <c r="E24" i="2"/>
  <c r="D27" i="2"/>
  <c r="E28" i="2"/>
  <c r="U12" i="4"/>
  <c r="D14" i="5"/>
  <c r="E14" i="5" s="1"/>
  <c r="U69" i="4"/>
  <c r="T70" i="4"/>
  <c r="T74" i="4"/>
  <c r="T78" i="4"/>
  <c r="T82" i="4"/>
  <c r="T86" i="4"/>
  <c r="T90" i="4"/>
  <c r="T94" i="4"/>
  <c r="D19" i="5"/>
  <c r="E19" i="5" s="1"/>
  <c r="U97" i="4"/>
  <c r="T98" i="4"/>
  <c r="T102" i="4"/>
  <c r="T106" i="4"/>
  <c r="T110" i="4"/>
  <c r="T114" i="4"/>
  <c r="T118" i="4"/>
  <c r="T122" i="4"/>
  <c r="B23" i="7"/>
  <c r="C23" i="7" s="1"/>
  <c r="U299" i="4"/>
  <c r="T299" i="4"/>
  <c r="U303" i="4"/>
  <c r="T303" i="4"/>
  <c r="D17" i="5"/>
  <c r="E17" i="5" s="1"/>
  <c r="U307" i="4"/>
  <c r="T307" i="4"/>
  <c r="U311" i="4"/>
  <c r="T311" i="4"/>
  <c r="U315" i="4"/>
  <c r="T315" i="4"/>
  <c r="U319" i="4"/>
  <c r="T319" i="4"/>
  <c r="U323" i="4"/>
  <c r="T323" i="4"/>
  <c r="U327" i="4"/>
  <c r="T327" i="4"/>
  <c r="U331" i="4"/>
  <c r="T331" i="4"/>
  <c r="U335" i="4"/>
  <c r="T335" i="4"/>
  <c r="U339" i="4"/>
  <c r="T339" i="4"/>
  <c r="U343" i="4"/>
  <c r="T343" i="4"/>
  <c r="U347" i="4"/>
  <c r="T347" i="4"/>
  <c r="D25" i="2"/>
  <c r="E26" i="2"/>
  <c r="T68" i="4"/>
  <c r="T72" i="4"/>
  <c r="T76" i="4"/>
  <c r="T80" i="4"/>
  <c r="T84" i="4"/>
  <c r="T88" i="4"/>
  <c r="T92" i="4"/>
  <c r="T96" i="4"/>
  <c r="T100" i="4"/>
  <c r="T104" i="4"/>
  <c r="T108" i="4"/>
  <c r="T112" i="4"/>
  <c r="T116" i="4"/>
  <c r="T120" i="4"/>
  <c r="U398" i="4"/>
  <c r="T398" i="4"/>
  <c r="T423" i="4"/>
  <c r="U423" i="4"/>
  <c r="T439" i="4"/>
  <c r="U439" i="4"/>
  <c r="M11" i="5"/>
  <c r="R312" i="4"/>
  <c r="U369" i="4"/>
  <c r="T369" i="4"/>
  <c r="U373" i="4"/>
  <c r="T373" i="4"/>
  <c r="U377" i="4"/>
  <c r="T377" i="4"/>
  <c r="U381" i="4"/>
  <c r="T381" i="4"/>
  <c r="U385" i="4"/>
  <c r="T385" i="4"/>
  <c r="U394" i="4"/>
  <c r="T394" i="4"/>
  <c r="T419" i="4"/>
  <c r="U419" i="4"/>
  <c r="T435" i="4"/>
  <c r="U435" i="4"/>
  <c r="M17" i="5"/>
  <c r="R307" i="4"/>
  <c r="D16" i="5"/>
  <c r="N16" i="5" s="1"/>
  <c r="U364" i="4"/>
  <c r="U390" i="4"/>
  <c r="T390" i="4"/>
  <c r="T431" i="4"/>
  <c r="U431" i="4"/>
  <c r="U444" i="4"/>
  <c r="T444" i="4"/>
  <c r="U460" i="4"/>
  <c r="T460" i="4"/>
  <c r="U476" i="4"/>
  <c r="T476" i="4"/>
  <c r="T488" i="4"/>
  <c r="U488" i="4"/>
  <c r="T504" i="4"/>
  <c r="U504" i="4"/>
  <c r="T535" i="4"/>
  <c r="U535" i="4"/>
  <c r="T546" i="4"/>
  <c r="U546" i="4"/>
  <c r="T567" i="4"/>
  <c r="U567" i="4"/>
  <c r="T578" i="4"/>
  <c r="U578" i="4"/>
  <c r="T389" i="4"/>
  <c r="T393" i="4"/>
  <c r="T397" i="4"/>
  <c r="T400" i="4"/>
  <c r="T402" i="4"/>
  <c r="T404" i="4"/>
  <c r="T406" i="4"/>
  <c r="T408" i="4"/>
  <c r="T410" i="4"/>
  <c r="T412" i="4"/>
  <c r="T414" i="4"/>
  <c r="T416" i="4"/>
  <c r="T420" i="4"/>
  <c r="T424" i="4"/>
  <c r="T428" i="4"/>
  <c r="T432" i="4"/>
  <c r="T436" i="4"/>
  <c r="T440" i="4"/>
  <c r="U456" i="4"/>
  <c r="T456" i="4"/>
  <c r="U472" i="4"/>
  <c r="T472" i="4"/>
  <c r="T533" i="4"/>
  <c r="U533" i="4"/>
  <c r="R364" i="4"/>
  <c r="D15" i="5"/>
  <c r="I15" i="5" s="1"/>
  <c r="U399" i="4"/>
  <c r="U452" i="4"/>
  <c r="T452" i="4"/>
  <c r="U468" i="4"/>
  <c r="T468" i="4"/>
  <c r="T496" i="4"/>
  <c r="U496" i="4"/>
  <c r="R399" i="4"/>
  <c r="U443" i="4"/>
  <c r="U447" i="4"/>
  <c r="U451" i="4"/>
  <c r="U455" i="4"/>
  <c r="U459" i="4"/>
  <c r="U463" i="4"/>
  <c r="U467" i="4"/>
  <c r="U471" i="4"/>
  <c r="U475" i="4"/>
  <c r="U479" i="4"/>
  <c r="U484" i="4"/>
  <c r="T538" i="4"/>
  <c r="U538" i="4"/>
  <c r="T559" i="4"/>
  <c r="U559" i="4"/>
  <c r="T570" i="4"/>
  <c r="U570" i="4"/>
  <c r="T591" i="4"/>
  <c r="U591" i="4"/>
  <c r="T599" i="4"/>
  <c r="U599" i="4"/>
  <c r="C18" i="6"/>
  <c r="C33" i="6" s="1"/>
  <c r="T543" i="4"/>
  <c r="U543" i="4"/>
  <c r="T554" i="4"/>
  <c r="U554" i="4"/>
  <c r="T575" i="4"/>
  <c r="U575" i="4"/>
  <c r="T586" i="4"/>
  <c r="U586" i="4"/>
  <c r="U486" i="4"/>
  <c r="U494" i="4"/>
  <c r="U502" i="4"/>
  <c r="U510" i="4"/>
  <c r="U512" i="4"/>
  <c r="U514" i="4"/>
  <c r="U516" i="4"/>
  <c r="U518" i="4"/>
  <c r="T530" i="4"/>
  <c r="U530" i="4"/>
  <c r="T551" i="4"/>
  <c r="U551" i="4"/>
  <c r="T562" i="4"/>
  <c r="U562" i="4"/>
  <c r="T583" i="4"/>
  <c r="U583" i="4"/>
  <c r="T594" i="4"/>
  <c r="U594" i="4"/>
  <c r="T610" i="4"/>
  <c r="T618" i="4"/>
  <c r="T626" i="4"/>
  <c r="U602" i="4"/>
  <c r="U606" i="4"/>
  <c r="U614" i="4"/>
  <c r="U622" i="4"/>
  <c r="U598" i="4"/>
  <c r="U603" i="4"/>
  <c r="N12" i="5"/>
  <c r="F12" i="5"/>
  <c r="H12" i="5"/>
  <c r="G12" i="5"/>
  <c r="I12" i="5"/>
  <c r="E12" i="5"/>
  <c r="B30" i="12"/>
  <c r="B15" i="12"/>
  <c r="B17" i="12"/>
  <c r="C30" i="2"/>
  <c r="H18" i="5"/>
  <c r="G18" i="5"/>
  <c r="B37" i="5" s="1"/>
  <c r="F18" i="5"/>
  <c r="E18" i="5"/>
  <c r="U481" i="4"/>
  <c r="U485" i="4"/>
  <c r="U489" i="4"/>
  <c r="U493" i="4"/>
  <c r="U497" i="4"/>
  <c r="U501" i="4"/>
  <c r="U505" i="4"/>
  <c r="U509" i="4"/>
  <c r="U513" i="4"/>
  <c r="U517" i="4"/>
  <c r="U521" i="4"/>
  <c r="U525" i="4"/>
  <c r="U609" i="4"/>
  <c r="T609" i="4"/>
  <c r="U617" i="4"/>
  <c r="T617" i="4"/>
  <c r="U625" i="4"/>
  <c r="T625" i="4"/>
  <c r="I18" i="5"/>
  <c r="M18" i="5"/>
  <c r="C17" i="9"/>
  <c r="E17" i="9" s="1"/>
  <c r="B24" i="7"/>
  <c r="C24" i="7" s="1"/>
  <c r="B22" i="7"/>
  <c r="C34" i="9" s="1"/>
  <c r="E34" i="9" s="1"/>
  <c r="B25" i="7"/>
  <c r="C35" i="9" s="1"/>
  <c r="E35" i="9" s="1"/>
  <c r="I11" i="5"/>
  <c r="E11" i="5"/>
  <c r="N11" i="5"/>
  <c r="H11" i="5"/>
  <c r="G11" i="5"/>
  <c r="G13" i="5"/>
  <c r="B32" i="5" s="1"/>
  <c r="F13" i="5"/>
  <c r="N13" i="5"/>
  <c r="E13" i="5"/>
  <c r="N18" i="5"/>
  <c r="D20" i="5"/>
  <c r="D31" i="14"/>
  <c r="B31" i="14"/>
  <c r="C31" i="2"/>
  <c r="C15" i="9" s="1"/>
  <c r="E15" i="9" s="1"/>
  <c r="D24" i="2"/>
  <c r="C12" i="9" s="1"/>
  <c r="E12" i="9" s="1"/>
  <c r="U483" i="4"/>
  <c r="U487" i="4"/>
  <c r="U491" i="4"/>
  <c r="U495" i="4"/>
  <c r="U499" i="4"/>
  <c r="U503" i="4"/>
  <c r="U507" i="4"/>
  <c r="U511" i="4"/>
  <c r="U515" i="4"/>
  <c r="U519" i="4"/>
  <c r="U523" i="4"/>
  <c r="U527" i="4"/>
  <c r="U605" i="4"/>
  <c r="T605" i="4"/>
  <c r="U613" i="4"/>
  <c r="T613" i="4"/>
  <c r="U621" i="4"/>
  <c r="T621" i="4"/>
  <c r="F11" i="5"/>
  <c r="H13" i="5"/>
  <c r="C21" i="9" s="1"/>
  <c r="E21" i="9" s="1"/>
  <c r="C28" i="9"/>
  <c r="E28" i="9" s="1"/>
  <c r="U604" i="4"/>
  <c r="U608" i="4"/>
  <c r="U612" i="4"/>
  <c r="U616" i="4"/>
  <c r="U620" i="4"/>
  <c r="U624" i="4"/>
  <c r="T604" i="4"/>
  <c r="U607" i="4"/>
  <c r="T608" i="4"/>
  <c r="U611" i="4"/>
  <c r="T612" i="4"/>
  <c r="U615" i="4"/>
  <c r="T616" i="4"/>
  <c r="U619" i="4"/>
  <c r="T620" i="4"/>
  <c r="U623" i="4"/>
  <c r="T624" i="4"/>
  <c r="H14" i="5" l="1"/>
  <c r="N14" i="5"/>
  <c r="G19" i="5"/>
  <c r="B38" i="5" s="1"/>
  <c r="G14" i="5"/>
  <c r="B33" i="5" s="1"/>
  <c r="F14" i="5"/>
  <c r="I14" i="5"/>
  <c r="I19" i="5"/>
  <c r="H19" i="5"/>
  <c r="G16" i="5"/>
  <c r="B35" i="5" s="1"/>
  <c r="N19" i="5"/>
  <c r="F19" i="5"/>
  <c r="F15" i="5"/>
  <c r="E15" i="5"/>
  <c r="B25" i="6"/>
  <c r="C25" i="6" s="1"/>
  <c r="H15" i="5"/>
  <c r="F17" i="5"/>
  <c r="B29" i="6"/>
  <c r="F29" i="6" s="1"/>
  <c r="N15" i="5"/>
  <c r="I17" i="5"/>
  <c r="N17" i="5"/>
  <c r="H17" i="5"/>
  <c r="G17" i="5"/>
  <c r="B36" i="5" s="1"/>
  <c r="B26" i="6"/>
  <c r="C26" i="6" s="1"/>
  <c r="C29" i="9"/>
  <c r="E29" i="9" s="1"/>
  <c r="B27" i="6"/>
  <c r="E27" i="6" s="1"/>
  <c r="B22" i="6"/>
  <c r="F22" i="6" s="1"/>
  <c r="B28" i="6"/>
  <c r="G28" i="6" s="1"/>
  <c r="G15" i="5"/>
  <c r="B34" i="5" s="1"/>
  <c r="B26" i="7"/>
  <c r="C36" i="9" s="1"/>
  <c r="E36" i="9" s="1"/>
  <c r="B27" i="7"/>
  <c r="C27" i="7" s="1"/>
  <c r="H16" i="5"/>
  <c r="B24" i="6"/>
  <c r="G24" i="6" s="1"/>
  <c r="E16" i="5"/>
  <c r="F16" i="5"/>
  <c r="I16" i="5"/>
  <c r="C20" i="9"/>
  <c r="E20" i="9" s="1"/>
  <c r="B31" i="5"/>
  <c r="B23" i="6"/>
  <c r="F31" i="14"/>
  <c r="C25" i="7"/>
  <c r="N20" i="5"/>
  <c r="F20" i="5"/>
  <c r="I20" i="5"/>
  <c r="E20" i="5"/>
  <c r="H20" i="5"/>
  <c r="G20" i="5"/>
  <c r="B39" i="5" s="1"/>
  <c r="C25" i="5"/>
  <c r="C26" i="5" s="1"/>
  <c r="C16" i="9"/>
  <c r="E16" i="9" s="1"/>
  <c r="C14" i="9"/>
  <c r="E14" i="9" s="1"/>
  <c r="C32" i="2"/>
  <c r="E22" i="6"/>
  <c r="C19" i="9"/>
  <c r="E19" i="9" s="1"/>
  <c r="B30" i="5"/>
  <c r="C22" i="7"/>
  <c r="B29" i="12"/>
  <c r="H29" i="12" s="1"/>
  <c r="B31" i="12"/>
  <c r="H31" i="12" s="1"/>
  <c r="G29" i="6" l="1"/>
  <c r="F25" i="6"/>
  <c r="C30" i="9"/>
  <c r="E30" i="9" s="1"/>
  <c r="G22" i="6"/>
  <c r="D22" i="6"/>
  <c r="C22" i="6"/>
  <c r="C31" i="9" s="1"/>
  <c r="E31" i="9" s="1"/>
  <c r="E24" i="6"/>
  <c r="E29" i="6"/>
  <c r="I25" i="6"/>
  <c r="D29" i="6"/>
  <c r="E25" i="6"/>
  <c r="H29" i="6"/>
  <c r="C29" i="6"/>
  <c r="D25" i="6"/>
  <c r="G25" i="6"/>
  <c r="F28" i="6"/>
  <c r="I29" i="6"/>
  <c r="H25" i="6"/>
  <c r="H28" i="6"/>
  <c r="E28" i="6"/>
  <c r="G26" i="6"/>
  <c r="I27" i="6"/>
  <c r="D26" i="6"/>
  <c r="H21" i="5"/>
  <c r="H22" i="5" s="1"/>
  <c r="F27" i="6"/>
  <c r="F21" i="5"/>
  <c r="E26" i="6"/>
  <c r="H27" i="6"/>
  <c r="C27" i="6"/>
  <c r="H26" i="6"/>
  <c r="F26" i="6"/>
  <c r="D27" i="6"/>
  <c r="G27" i="6"/>
  <c r="I26" i="6"/>
  <c r="C26" i="7"/>
  <c r="C33" i="9"/>
  <c r="E33" i="9" s="1"/>
  <c r="F24" i="6"/>
  <c r="I28" i="6"/>
  <c r="C28" i="6"/>
  <c r="I24" i="6"/>
  <c r="C24" i="6"/>
  <c r="H24" i="6" s="1"/>
  <c r="D28" i="6"/>
  <c r="D24" i="6"/>
  <c r="E21" i="5"/>
  <c r="I21" i="5"/>
  <c r="I22" i="5" s="1"/>
  <c r="G23" i="6"/>
  <c r="C23" i="6"/>
  <c r="H23" i="6" s="1"/>
  <c r="I23" i="6" s="1"/>
  <c r="F23" i="6"/>
  <c r="E23" i="6"/>
  <c r="D23" i="6"/>
  <c r="G21" i="5"/>
  <c r="G22" i="5" s="1"/>
  <c r="C27" i="5" s="1"/>
  <c r="H22" i="6"/>
  <c r="C32" i="9" l="1"/>
  <c r="E32" i="9" s="1"/>
  <c r="I22" i="6"/>
  <c r="D39" i="9" l="1"/>
  <c r="C39" i="9"/>
  <c r="E39" i="9" l="1"/>
</calcChain>
</file>

<file path=xl/sharedStrings.xml><?xml version="1.0" encoding="utf-8"?>
<sst xmlns="http://schemas.openxmlformats.org/spreadsheetml/2006/main" count="5225" uniqueCount="2116">
  <si>
    <t>NUTRIMETRÍA  ·  NMX-42</t>
  </si>
  <si>
    <t>Explorador renal de alimentos y equivalentes · versión 1.0 · Fase 7 · sujeto a licencia y revisión clínica</t>
  </si>
  <si>
    <t>Navegación — use las pestañas inferiores del libro</t>
  </si>
  <si>
    <t>Bloqueo y cobertura</t>
  </si>
  <si>
    <t>Paciente y límites</t>
  </si>
  <si>
    <t>Base clasificada</t>
  </si>
  <si>
    <t>Buscar y filtrar</t>
  </si>
  <si>
    <t>Cambiar por otro</t>
  </si>
  <si>
    <t>Intercambios renales</t>
  </si>
  <si>
    <t>Referencias y advertencias</t>
  </si>
  <si>
    <t>Control de calidad</t>
  </si>
  <si>
    <t>Constantes</t>
  </si>
  <si>
    <t>Historial</t>
  </si>
  <si>
    <t>Código del producto</t>
  </si>
  <si>
    <t>NMX-42</t>
  </si>
  <si>
    <t>Versión</t>
  </si>
  <si>
    <t>1.0</t>
  </si>
  <si>
    <t>Fecha</t>
  </si>
  <si>
    <t>2026-07-24</t>
  </si>
  <si>
    <t>Fuente de composición</t>
  </si>
  <si>
    <t>Estado</t>
  </si>
  <si>
    <t>Sujeto a licencia y a revisión clínica · vea la hoja LICENCIA antes de usar</t>
  </si>
  <si>
    <t>Formato</t>
  </si>
  <si>
    <t>.xlsx sin macros · Microsoft 365 (Windows) y Excel 2021 · sin funciones matriciales</t>
  </si>
  <si>
    <t>Responsable</t>
  </si>
  <si>
    <t>Equipo Nutrimetría (completar por el titular)</t>
  </si>
  <si>
    <t>DOS CONDICIONES ANTES DE USAR ESTE ARCHIVO</t>
  </si>
  <si>
    <t>REVISIÓN CLÍNICA · La hoja LICENCIA incluye una lista de cinco puntos que parte marcada en No. Mientras no la complete, el libro se declara a sí mismo no apto para orientar a un paciente. Es deliberado.</t>
  </si>
  <si>
    <t>QUÉ HACE ESTE EXPLORADOR</t>
  </si>
  <si>
    <t>Clasifica cada alimento de la base según su contenido de potasio, fósforo y sodio, y calcula la razón fósforo sobre proteína en las fuentes proteicas: el criterio para cubrir el requerimiento de proteína con la menor carga fosfórica.</t>
  </si>
  <si>
    <t>Permite consultar y comparar alimentos escalando a la porción real, y muestra qué proporción del límite diario del paciente aporta la selección.</t>
  </si>
  <si>
    <t>Propone sustituciones dentro del mismo grupo, ordenadas por el nutriente que usted priorice.</t>
  </si>
  <si>
    <t>De los 618 alimentos de la base, solo 376 tienen los cinco nutrientes críticos completos. Los 242 restantes quedan EXCLUIDOS y marcados: no porque sean inadecuados, sino porque se desconoce su contenido.</t>
  </si>
  <si>
    <t>AVISO DE ALCANCE</t>
  </si>
  <si>
    <t>EXACTITUD MATEMÁTICA ≠ VALIDACIÓN CLÍNICA. No está validado clínicamente y no constituye diagnóstico ni prescripción.</t>
  </si>
  <si>
    <t>Este libro NO define los límites diarios del paciente: los define el equipo tratante a partir del laboratorio y de la situación clínica. Aquí solo se registran para ordenar los alimentos.</t>
  </si>
  <si>
    <t>Los umbrales de contenido bajo, medio y alto son convenciones de trabajo editables, no categorías normadas.</t>
  </si>
  <si>
    <t>Las tablas de composición NO capturan el fósforo de aditivos de productos procesados, que se absorbe casi por completo: la carga real puede superar ampliamente lo que muestra este explorador.</t>
  </si>
  <si>
    <t>El libro no aplica reducción de potasio por remojo ni doble cocción, porque la fuente no documenta esas pérdidas.</t>
  </si>
  <si>
    <t>Los sustitutos de sal no figuran en la base y suelen ser cloruro de potasio: pregúntelos de forma dirigida.</t>
  </si>
  <si>
    <t>Un intercambio renal debe verificarse en potasio, fósforo y sodio a la vez: un alimento bajo en potasio puede ser muy alto en sodio.</t>
  </si>
  <si>
    <t>FLUJO DE USO</t>
  </si>
  <si>
    <t>Lea LICENCIA y complete la lista de revisión clínica. Sin eso, el libro se declara no apto.</t>
  </si>
  <si>
    <t>En DATOS registre al paciente y los límites diarios INDICADOS por el equipo tratante, y elija qué nutriente quiere reducir.</t>
  </si>
  <si>
    <t>En EXPLORADOR consulte alimentos y porciones: verá el contenido, el nivel de cada nutriente y qué proporción del límite diario aporta la selección.</t>
  </si>
  <si>
    <t>En SUSTITUCIÓN indique un alimento a reemplazar y revise las alternativas del mismo grupo con menor carga.</t>
  </si>
  <si>
    <t>En EQUIVALENTES revise cómo se distribuyen los alimentos utilizables entre los grupos renales.</t>
  </si>
  <si>
    <t>En CONFIG ajuste los umbrales de clasificación al criterio que usted aplica.</t>
  </si>
  <si>
    <t>Para registrar la ingesta del paciente use NMX-22 o NMX-29: este módulo selecciona alimentos, no evalúa consumo.</t>
  </si>
  <si>
    <t>Bloqueo de licencia y cobertura de datos · leer antes de usar</t>
  </si>
  <si>
    <t>SITUACIÓN DE LA LICENCIA</t>
  </si>
  <si>
    <t>BLOQUEO ACTIVO. La base de composición proviene de la Tabla de Composición de Alimentos del INTA de la Universidad de Chile, edición 2018. No se encontró dentro del material entregado ninguna autorización de redistribución comercial.</t>
  </si>
  <si>
    <t>En consecuencia: este archivo es de USO PERSONAL del titular. No lo redistribuya, no lo comercialice y no lo incorpore a un producto de pago mientras no exista autorización documentada.</t>
  </si>
  <si>
    <t>No se declara que estos datos sean de dominio público, porque no hay evidencia de ello.</t>
  </si>
  <si>
    <t>Nutrimetría NO cuenta con respaldo ni aval del INTA ni de la Universidad de Chile. Nada en este archivo debe presentarse como avalado por esas instituciones.</t>
  </si>
  <si>
    <t>Para levantar el bloqueo se requiere autorización escrita, o bien reemplazar la fuente por otra con licencia compatible. El motor de este libro permite ese reemplazo sin reescribir las hojas de trabajo.</t>
  </si>
  <si>
    <t>Esta revisión no sustituye asesoría jurídica.</t>
  </si>
  <si>
    <t>¿Existe autorización documentada de la fuente?</t>
  </si>
  <si>
    <t>No</t>
  </si>
  <si>
    <t>Estado del bloqueo</t>
  </si>
  <si>
    <t>COBERTURA DE DATOS · LA LIMITACIÓN OPERATIVA MÁS IMPORTANTE</t>
  </si>
  <si>
    <t>En contexto renal, un dato ausente NO es un dato en cero. Un alimento sin dato de potasio o de fósforo no puede recomendarse como bajo en esos nutrientes: simplemente no se sabe cuánto aporta. Este libro marca esos alimentos como NO UTILIZABLES y los excluye del explorador y del sustituidor.</t>
  </si>
  <si>
    <t>Nutriente</t>
  </si>
  <si>
    <t>Alimentos con dato</t>
  </si>
  <si>
    <t>Total</t>
  </si>
  <si>
    <t>Cobertura</t>
  </si>
  <si>
    <t>Alimentos sin dato</t>
  </si>
  <si>
    <t>Potasio</t>
  </si>
  <si>
    <t>Fósforo</t>
  </si>
  <si>
    <t>Sodio</t>
  </si>
  <si>
    <t>Proteínas</t>
  </si>
  <si>
    <t>Energía</t>
  </si>
  <si>
    <t>Alimentos UTILIZABLES en contexto renal</t>
  </si>
  <si>
    <t>Con los cinco nutrientes presentes</t>
  </si>
  <si>
    <t>Alimentos NO utilizables por datos ausentes</t>
  </si>
  <si>
    <t>Proporción utilizable</t>
  </si>
  <si>
    <t>Lectura</t>
  </si>
  <si>
    <t>REVISIÓN CLÍNICA OBLIGATORIA ANTES DE USAR CON UN PACIENTE</t>
  </si>
  <si>
    <t>¿Un profesional revisó los umbrales de clasificación de CONFIG?</t>
  </si>
  <si>
    <t>¿Los límites del paciente provienen de su indicación clínica y no de este libro?</t>
  </si>
  <si>
    <t>¿Se verificó el laboratorio reciente del paciente?</t>
  </si>
  <si>
    <t>¿Se consideró el fósforo de aditivos, que la tabla no captura?</t>
  </si>
  <si>
    <t>¿Se coordinó con el equipo tratante de nefrología?</t>
  </si>
  <si>
    <t>Estado de la revisión clínica</t>
  </si>
  <si>
    <t>El ejemplo viene con las cinco casillas en No, de modo que el libro se declara a sí mismo no apto para uso clínico hasta que usted complete la revisión. Es deliberado: un explorador de alimentos renales mal usado puede llevar a restricciones innecesarias o a pasar por alto una carga relevante.</t>
  </si>
  <si>
    <t>Paciente y límites indicados</t>
  </si>
  <si>
    <t>IDENTIFICACIÓN</t>
  </si>
  <si>
    <t>Nombre o identificador</t>
  </si>
  <si>
    <t>Caso de ejemplo</t>
  </si>
  <si>
    <t>Edad (años)</t>
  </si>
  <si>
    <t>Situación renal</t>
  </si>
  <si>
    <t>Trasplante</t>
  </si>
  <si>
    <t>Peso de cálculo (kg)</t>
  </si>
  <si>
    <t>Profesional responsable</t>
  </si>
  <si>
    <t>—</t>
  </si>
  <si>
    <t>LÍMITES DIARIOS INDICADOS POR EL EQUIPO TRATANTE</t>
  </si>
  <si>
    <t>Debe provenir de la indicación clínica, no de este libro</t>
  </si>
  <si>
    <t>Ajustar según fosfemia</t>
  </si>
  <si>
    <t>Límite máximo</t>
  </si>
  <si>
    <t>1,2 g/kg en diálisis</t>
  </si>
  <si>
    <t>30 kcal/kg</t>
  </si>
  <si>
    <t>PRIORIDAD DE ESTA CONSULTA</t>
  </si>
  <si>
    <t>Nutriente que se quiere reducir</t>
  </si>
  <si>
    <t>Determina el orden en que el sustituidor propone alternativas</t>
  </si>
  <si>
    <t>Laboratorio reciente · potasio sérico (mEq/L)</t>
  </si>
  <si>
    <t>Laboratorio reciente · fósforo sérico (mg/dL)</t>
  </si>
  <si>
    <t>Observaciones clínicas</t>
  </si>
  <si>
    <t>Hiperkalemia persistente pese a la restricción declarada.</t>
  </si>
  <si>
    <t>Los límites diarios NO los define este libro: los define el equipo tratante a partir del laboratorio y de la situación del paciente. Aquí solo se registran para que el explorador ordene los alimentos según esa indicación.</t>
  </si>
  <si>
    <t>Base de alimentos clasificada según criterios renales</t>
  </si>
  <si>
    <t>Hoja de consulta: no modifique sus valores. 's/i' indica que la fuente no informa ese nutriente y NO equivale a cero. Los alimentos marcados como no utilizables quedan fuera del explorador.</t>
  </si>
  <si>
    <t>ID</t>
  </si>
  <si>
    <t>Alimento</t>
  </si>
  <si>
    <t>Grupo</t>
  </si>
  <si>
    <t>Código</t>
  </si>
  <si>
    <t>Origen del grupo</t>
  </si>
  <si>
    <t>Energía (kcal)</t>
  </si>
  <si>
    <t>Proteínas (g)</t>
  </si>
  <si>
    <t>Potasio (mg)</t>
  </si>
  <si>
    <t>Fósforo (mg)</t>
  </si>
  <si>
    <t>Sodio (mg)</t>
  </si>
  <si>
    <t>Proteína</t>
  </si>
  <si>
    <t>Calcio (mg)</t>
  </si>
  <si>
    <t>Nivel de potasio</t>
  </si>
  <si>
    <t>Nivel de fósforo</t>
  </si>
  <si>
    <t>Nivel de sodio</t>
  </si>
  <si>
    <t>Razón P/proteína</t>
  </si>
  <si>
    <t>Nivel de la razón</t>
  </si>
  <si>
    <t>Estado del dato</t>
  </si>
  <si>
    <t>Clave de orden</t>
  </si>
  <si>
    <t>Valor de orden (auxiliar)</t>
  </si>
  <si>
    <t>INTA-0001</t>
  </si>
  <si>
    <t>Leche materna</t>
  </si>
  <si>
    <t>Leche y derivados</t>
  </si>
  <si>
    <t>2.1</t>
  </si>
  <si>
    <t>declarado en la fuente</t>
  </si>
  <si>
    <t>INTA-0002</t>
  </si>
  <si>
    <t>Leche de Burra</t>
  </si>
  <si>
    <t>s/i</t>
  </si>
  <si>
    <t>INTA-0003</t>
  </si>
  <si>
    <t>Leche de cabra con Vit. D</t>
  </si>
  <si>
    <t>INTA-0004</t>
  </si>
  <si>
    <t>Leche fluida entera</t>
  </si>
  <si>
    <t>INTA-0005</t>
  </si>
  <si>
    <t>Leche fluida entera 2</t>
  </si>
  <si>
    <t>INTA-0006</t>
  </si>
  <si>
    <t>Leche entera con sabor</t>
  </si>
  <si>
    <t>INTA-0007</t>
  </si>
  <si>
    <t>Leche semidescremada</t>
  </si>
  <si>
    <t>INTA-0008</t>
  </si>
  <si>
    <t>Leche semidescremada con sabor</t>
  </si>
  <si>
    <t>INTA-0009</t>
  </si>
  <si>
    <t>Leche semidescremada con sabor chocolate</t>
  </si>
  <si>
    <t>INTA-0010</t>
  </si>
  <si>
    <t>Leche semidescremada con sabor frutilla</t>
  </si>
  <si>
    <t>INTA-0011</t>
  </si>
  <si>
    <t>Leche semidescremada sin lactosa</t>
  </si>
  <si>
    <t>INTA-0012</t>
  </si>
  <si>
    <t>Leche descremada</t>
  </si>
  <si>
    <t>INTA-0013</t>
  </si>
  <si>
    <t>Leche descremada 2</t>
  </si>
  <si>
    <t>INTA-0014</t>
  </si>
  <si>
    <t>Leche en polvo 26% MG</t>
  </si>
  <si>
    <t>INTA-0015</t>
  </si>
  <si>
    <t>Leche en polvo 26% MG con Vit. D</t>
  </si>
  <si>
    <t>INTA-0016</t>
  </si>
  <si>
    <t>Leche en polvo 18% MG extra calcio</t>
  </si>
  <si>
    <t>INTA-0017</t>
  </si>
  <si>
    <t>Leche en polvo 12% MG</t>
  </si>
  <si>
    <t>INTA-0018</t>
  </si>
  <si>
    <t>Leche en polvo descremada</t>
  </si>
  <si>
    <t>INTA-0019</t>
  </si>
  <si>
    <t>Leche en polvo descremada extra calcio</t>
  </si>
  <si>
    <t>INTA-0020</t>
  </si>
  <si>
    <t>Leche en polvo purita cereal</t>
  </si>
  <si>
    <t>INTA-0021</t>
  </si>
  <si>
    <t>Leche condensada</t>
  </si>
  <si>
    <t>INTA-0022</t>
  </si>
  <si>
    <t>Leche evaporada</t>
  </si>
  <si>
    <t>INTA-0023</t>
  </si>
  <si>
    <t>Quesillo</t>
  </si>
  <si>
    <t>INTA-0024</t>
  </si>
  <si>
    <t>Quesillo 0% MG</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</si>
  <si>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</si>
  <si>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</si>
  <si>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</si>
  <si>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</si>
  <si>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</si>
  <si>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</si>
  <si>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</si>
  <si>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</si>
  <si>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</si>
  <si>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</si>
  <si>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</si>
  <si>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</si>
  <si>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</si>
  <si>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</si>
  <si>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</si>
  <si>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</si>
  <si>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</si>
  <si>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</si>
  <si>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</si>
  <si>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</si>
  <si>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</si>
  <si>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</si>
  <si>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</si>
  <si>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</si>
  <si>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</si>
  <si>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</si>
  <si>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</si>
  <si>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</si>
  <si>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</si>
  <si>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</si>
  <si>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</si>
  <si>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</si>
  <si>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</si>
  <si>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</si>
  <si>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</si>
  <si>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</si>
  <si>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</si>
  <si>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</si>
  <si>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</si>
  <si>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</si>
  <si>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</si>
  <si>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Yogurt natural</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</si>
  <si>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</si>
  <si>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</si>
  <si>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</si>
  <si>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</si>
  <si>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</si>
  <si>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</si>
  <si>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</si>
  <si>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</si>
  <si>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</si>
  <si>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</si>
  <si>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</si>
  <si>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</si>
  <si>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</si>
  <si>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</si>
  <si>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</si>
  <si>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</si>
  <si>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</si>
  <si>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 entero</t>
  </si>
  <si>
    <t>HUEVOS</t>
  </si>
  <si>
    <t>2.2</t>
  </si>
  <si>
    <t>INTA-0055</t>
  </si>
  <si>
    <t>Huevo entero cocido</t>
  </si>
  <si>
    <t>INTA-0056</t>
  </si>
  <si>
    <t>Clara de huevo</t>
  </si>
  <si>
    <t>INTA-0057</t>
  </si>
  <si>
    <t>Yema de huevo</t>
  </si>
  <si>
    <t>INTA-0058</t>
  </si>
  <si>
    <t>Huevo de codorniz</t>
  </si>
  <si>
    <t>INTA-0059</t>
  </si>
  <si>
    <t>Pollo cocido</t>
  </si>
  <si>
    <t>Carnes y Vísceras</t>
  </si>
  <si>
    <t>2.3</t>
  </si>
  <si>
    <t>INTA-0060</t>
  </si>
  <si>
    <t>Pollo pierna</t>
  </si>
  <si>
    <t>INTA-0061</t>
  </si>
  <si>
    <t>Pollo pechuga</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</si>
  <si>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</si>
  <si>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</si>
  <si>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</si>
  <si>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</si>
  <si>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</si>
  <si>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</si>
  <si>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</si>
  <si>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</si>
  <si>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</si>
  <si>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</si>
  <si>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</si>
  <si>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</si>
  <si>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</si>
  <si>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</si>
  <si>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</si>
  <si>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</si>
  <si>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</si>
  <si>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</si>
  <si>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</si>
  <si>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</si>
  <si>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</si>
  <si>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</si>
  <si>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</si>
  <si>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</si>
  <si>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</si>
  <si>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</si>
  <si>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</si>
  <si>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</si>
  <si>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</si>
  <si>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</si>
  <si>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</si>
  <si>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</si>
  <si>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</si>
  <si>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</si>
  <si>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</si>
  <si>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</si>
  <si>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</si>
  <si>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</si>
  <si>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</si>
  <si>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</si>
  <si>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</si>
  <si>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</si>
  <si>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</si>
  <si>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</si>
  <si>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</si>
  <si>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</si>
  <si>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</si>
  <si>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</si>
  <si>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</si>
  <si>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</si>
  <si>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</si>
  <si>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</si>
  <si>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</si>
  <si>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</si>
  <si>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</si>
  <si>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</si>
  <si>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</si>
  <si>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</si>
  <si>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</si>
  <si>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</si>
  <si>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</si>
  <si>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</si>
  <si>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</si>
  <si>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</si>
  <si>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</si>
  <si>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</si>
  <si>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</si>
  <si>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</si>
  <si>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</si>
  <si>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</si>
  <si>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</si>
  <si>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</si>
  <si>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</si>
  <si>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</si>
  <si>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</si>
  <si>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</si>
  <si>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</si>
  <si>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</si>
  <si>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</si>
  <si>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</si>
  <si>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</si>
  <si>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</si>
  <si>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</si>
  <si>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</si>
  <si>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</si>
  <si>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</si>
  <si>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</si>
  <si>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</si>
  <si>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</si>
  <si>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</si>
  <si>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</si>
  <si>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</si>
  <si>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</si>
  <si>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</si>
  <si>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</si>
  <si>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</si>
  <si>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</si>
  <si>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</si>
  <si>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</si>
  <si>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</si>
  <si>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</si>
  <si>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</si>
  <si>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</si>
  <si>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</si>
  <si>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</si>
  <si>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</si>
  <si>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</si>
  <si>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</si>
  <si>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</si>
  <si>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</si>
  <si>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</si>
  <si>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</si>
  <si>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</si>
  <si>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</si>
  <si>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</si>
  <si>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</si>
  <si>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</si>
  <si>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</si>
  <si>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</si>
  <si>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</si>
  <si>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</si>
  <si>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</si>
  <si>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</si>
  <si>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</si>
  <si>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</si>
  <si>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</si>
  <si>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</si>
  <si>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</si>
  <si>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</si>
  <si>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</si>
  <si>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</si>
  <si>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</si>
  <si>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</si>
  <si>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</si>
  <si>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</si>
  <si>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</si>
  <si>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</si>
  <si>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</si>
  <si>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</si>
  <si>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</si>
  <si>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</si>
  <si>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</si>
  <si>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</si>
  <si>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</si>
  <si>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</si>
  <si>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</si>
  <si>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</si>
  <si>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</si>
  <si>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</si>
  <si>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</si>
  <si>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</si>
  <si>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</si>
  <si>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</si>
  <si>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</si>
  <si>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</si>
  <si>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</si>
  <si>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</si>
  <si>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</si>
  <si>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</si>
  <si>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</si>
  <si>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</si>
  <si>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</si>
  <si>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</si>
  <si>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</si>
  <si>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Pescados y mariscos</t>
  </si>
  <si>
    <t>2.4</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</si>
  <si>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</si>
  <si>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</si>
  <si>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</si>
  <si>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</si>
  <si>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</si>
  <si>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</si>
  <si>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</si>
  <si>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</si>
  <si>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</si>
  <si>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</si>
  <si>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</si>
  <si>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</si>
  <si>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</si>
  <si>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</si>
  <si>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</si>
  <si>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</si>
  <si>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</si>
  <si>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</si>
  <si>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</si>
  <si>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</si>
  <si>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</si>
  <si>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</si>
  <si>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</si>
  <si>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</si>
  <si>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</si>
  <si>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</si>
  <si>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</si>
  <si>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</si>
  <si>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</si>
  <si>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</si>
  <si>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</si>
  <si>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</si>
  <si>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</si>
  <si>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</si>
  <si>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</si>
  <si>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</si>
  <si>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</si>
  <si>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</si>
  <si>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</si>
  <si>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</si>
  <si>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</si>
  <si>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</si>
  <si>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</si>
  <si>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</si>
  <si>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</si>
  <si>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</si>
  <si>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</si>
  <si>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</si>
  <si>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</si>
  <si>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</si>
  <si>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</si>
  <si>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</si>
  <si>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</si>
  <si>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</si>
  <si>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</si>
  <si>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</si>
  <si>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</si>
  <si>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</si>
  <si>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</si>
  <si>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</si>
  <si>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</si>
  <si>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</si>
  <si>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</si>
  <si>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</si>
  <si>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</si>
  <si>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</si>
  <si>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</si>
  <si>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</si>
  <si>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</si>
  <si>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</si>
  <si>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</si>
  <si>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</si>
  <si>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</si>
  <si>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</si>
  <si>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</si>
  <si>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</si>
  <si>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</si>
  <si>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</si>
  <si>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</si>
  <si>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</si>
  <si>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</si>
  <si>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</si>
  <si>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</si>
  <si>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</si>
  <si>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</si>
  <si>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</si>
  <si>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</si>
  <si>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</si>
  <si>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</si>
  <si>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</si>
  <si>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</si>
  <si>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</si>
  <si>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</si>
  <si>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</si>
  <si>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</si>
  <si>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</si>
  <si>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leguminosas y oleaginosas</t>
  </si>
  <si>
    <t>2.5</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</si>
  <si>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</si>
  <si>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</si>
  <si>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</si>
  <si>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</si>
  <si>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</si>
  <si>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</si>
  <si>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</si>
  <si>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</si>
  <si>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</si>
  <si>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</si>
  <si>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</si>
  <si>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</si>
  <si>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</si>
  <si>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</si>
  <si>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</si>
  <si>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</si>
  <si>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</si>
  <si>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Lenteja cocida</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</si>
  <si>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</si>
  <si>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</si>
  <si>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</si>
  <si>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</si>
  <si>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</si>
  <si>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</si>
  <si>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</si>
  <si>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</si>
  <si>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</si>
  <si>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</si>
  <si>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</si>
  <si>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</si>
  <si>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</si>
  <si>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</si>
  <si>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</si>
  <si>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</si>
  <si>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</si>
  <si>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</si>
  <si>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semillas, almendras y nueces</t>
  </si>
  <si>
    <t>2.6</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</si>
  <si>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</si>
  <si>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</si>
  <si>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</si>
  <si>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</si>
  <si>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</si>
  <si>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</si>
  <si>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</si>
  <si>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</si>
  <si>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</si>
  <si>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</si>
  <si>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</si>
  <si>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</si>
  <si>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</si>
  <si>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</si>
  <si>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</si>
  <si>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</si>
  <si>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</si>
  <si>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</si>
  <si>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</si>
  <si>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</si>
  <si>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</si>
  <si>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</si>
  <si>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</si>
  <si>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</si>
  <si>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</si>
  <si>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</si>
  <si>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</si>
  <si>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</si>
  <si>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</si>
  <si>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</si>
  <si>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</si>
  <si>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</si>
  <si>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</si>
  <si>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</si>
  <si>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</si>
  <si>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</si>
  <si>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</si>
  <si>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</si>
  <si>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</si>
  <si>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</si>
  <si>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cereales y derivados</t>
  </si>
  <si>
    <t>2.7</t>
  </si>
  <si>
    <t>INTA-0230</t>
  </si>
  <si>
    <t>Pan blanco sin sal</t>
  </si>
  <si>
    <t>INTA-0231</t>
  </si>
  <si>
    <t>Pan de centeno</t>
  </si>
  <si>
    <t>INTA-0232</t>
  </si>
  <si>
    <t>Pan de miel</t>
  </si>
  <si>
    <t>INTA-0233</t>
  </si>
  <si>
    <t>Pan especial</t>
  </si>
  <si>
    <t>INTA-0234</t>
  </si>
  <si>
    <t>Pan hallulla</t>
  </si>
  <si>
    <t>INTA-0235</t>
  </si>
  <si>
    <t>Pan integral</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</si>
  <si>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</si>
  <si>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</si>
  <si>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</si>
  <si>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</si>
  <si>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</si>
  <si>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</si>
  <si>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</si>
  <si>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</si>
  <si>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</si>
  <si>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</si>
  <si>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</si>
  <si>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</si>
  <si>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</si>
  <si>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</si>
  <si>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</si>
  <si>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</si>
  <si>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</si>
  <si>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</si>
  <si>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</si>
  <si>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Arroz blanco cocido</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</si>
  <si>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</si>
  <si>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</si>
  <si>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</si>
  <si>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</si>
  <si>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</si>
  <si>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</si>
  <si>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</si>
  <si>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</si>
  <si>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</si>
  <si>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</si>
  <si>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</si>
  <si>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</si>
  <si>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</si>
  <si>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</si>
  <si>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</si>
  <si>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</si>
  <si>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</si>
  <si>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</si>
  <si>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</si>
  <si>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</si>
  <si>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</si>
  <si>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</si>
  <si>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</si>
  <si>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</si>
  <si>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</si>
  <si>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</si>
  <si>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</si>
  <si>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</si>
  <si>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</si>
  <si>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</si>
  <si>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</si>
  <si>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</si>
  <si>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</si>
  <si>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</si>
  <si>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</si>
  <si>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</si>
  <si>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</si>
  <si>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</si>
  <si>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</si>
  <si>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</si>
  <si>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</si>
  <si>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</si>
  <si>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</si>
  <si>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</si>
  <si>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</si>
  <si>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</si>
  <si>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</si>
  <si>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</si>
  <si>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</si>
  <si>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</si>
  <si>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</si>
  <si>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</si>
  <si>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</si>
  <si>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</si>
  <si>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</si>
  <si>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</si>
  <si>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</si>
  <si>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</si>
  <si>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</si>
  <si>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</si>
  <si>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</si>
  <si>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</si>
  <si>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</si>
  <si>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</si>
  <si>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</si>
  <si>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</si>
  <si>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</si>
  <si>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</si>
  <si>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</si>
  <si>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</si>
  <si>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</si>
  <si>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</si>
  <si>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</si>
  <si>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Galleta mantequilla</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</si>
  <si>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</si>
  <si>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</si>
  <si>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</si>
  <si>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</si>
  <si>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</si>
  <si>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</si>
  <si>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</si>
  <si>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</si>
  <si>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</si>
  <si>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</si>
  <si>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</si>
  <si>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</si>
  <si>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</si>
  <si>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</si>
  <si>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</si>
  <si>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</si>
  <si>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</si>
  <si>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</si>
  <si>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</si>
  <si>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</si>
  <si>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</si>
  <si>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</si>
  <si>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</si>
  <si>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</si>
  <si>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</si>
  <si>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</si>
  <si>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</si>
  <si>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</si>
  <si>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</si>
  <si>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</si>
  <si>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</si>
  <si>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</si>
  <si>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</si>
  <si>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</si>
  <si>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</si>
  <si>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</si>
  <si>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</si>
  <si>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</si>
  <si>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</si>
  <si>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</si>
  <si>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</si>
  <si>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</si>
  <si>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Papas</t>
  </si>
  <si>
    <t>2.8</t>
  </si>
  <si>
    <t>INTA-0304</t>
  </si>
  <si>
    <t>Papa cocida</t>
  </si>
  <si>
    <t>INTA-0305</t>
  </si>
  <si>
    <t>Papa cruda</t>
  </si>
  <si>
    <t>INTA-0306</t>
  </si>
  <si>
    <t>Papa entera rojiza</t>
  </si>
  <si>
    <t>INTA-0307</t>
  </si>
  <si>
    <t>Aceite de canola</t>
  </si>
  <si>
    <t>aceites y grasas</t>
  </si>
  <si>
    <t>2.9</t>
  </si>
  <si>
    <t>INTA-0308</t>
  </si>
  <si>
    <t>Aceite de coco</t>
  </si>
  <si>
    <t>INTA-0309</t>
  </si>
  <si>
    <t>Aceite de maíz</t>
  </si>
  <si>
    <t>INTA-0310</t>
  </si>
  <si>
    <t>Aceite de maravilla</t>
  </si>
  <si>
    <t>INTA-0311</t>
  </si>
  <si>
    <t>Aceite de maravilla (USDA)</t>
  </si>
  <si>
    <t>INTA-0312</t>
  </si>
  <si>
    <t>Aceite de maravilla (Schmidt)</t>
  </si>
  <si>
    <t>INTA-0313</t>
  </si>
  <si>
    <t>Aceite de oliva</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</si>
  <si>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</si>
  <si>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</si>
  <si>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</si>
  <si>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</si>
  <si>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</si>
  <si>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</si>
  <si>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</si>
  <si>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</si>
  <si>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</si>
  <si>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</si>
  <si>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</si>
  <si>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</si>
  <si>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</si>
  <si>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</si>
  <si>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</si>
  <si>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</si>
  <si>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</si>
  <si>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</si>
  <si>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</si>
  <si>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</si>
  <si>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</si>
  <si>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</si>
  <si>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</si>
  <si>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Mantequilla (Analisis INTA)</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</si>
  <si>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</si>
  <si>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</si>
  <si>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</si>
  <si>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</si>
  <si>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</si>
  <si>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</si>
  <si>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</si>
  <si>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</si>
  <si>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</si>
  <si>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</si>
  <si>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</si>
  <si>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</si>
  <si>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</si>
  <si>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Espárrago</t>
  </si>
  <si>
    <t>Verduras y hortalizas</t>
  </si>
  <si>
    <t>2.10</t>
  </si>
  <si>
    <t>reconstruido (cabecera ausente en la fuente)</t>
  </si>
  <si>
    <t>INTA-0333</t>
  </si>
  <si>
    <t>Espinaca cocida</t>
  </si>
  <si>
    <t>INTA-0334</t>
  </si>
  <si>
    <t>Espinaca</t>
  </si>
  <si>
    <t>INTA-0335</t>
  </si>
  <si>
    <t>Hinojo bulbo</t>
  </si>
  <si>
    <t>INTA-0336</t>
  </si>
  <si>
    <t>Lechuga</t>
  </si>
  <si>
    <t>INTA-0337</t>
  </si>
  <si>
    <t>Lechuga escarola</t>
  </si>
  <si>
    <t>INTA-0338</t>
  </si>
  <si>
    <t>Lechuga roja</t>
  </si>
  <si>
    <t>INTA-0339</t>
  </si>
  <si>
    <t>Luche</t>
  </si>
  <si>
    <t>INTA-0340</t>
  </si>
  <si>
    <t>Luche Ahumado</t>
  </si>
  <si>
    <t>INTA-0341</t>
  </si>
  <si>
    <t>Nabos</t>
  </si>
  <si>
    <t>INTA-0342</t>
  </si>
  <si>
    <t>Penca</t>
  </si>
  <si>
    <t>INTA-0343</t>
  </si>
  <si>
    <t>Pepino</t>
  </si>
  <si>
    <t>INTA-0344</t>
  </si>
  <si>
    <t>Pepinillos en conserva</t>
  </si>
  <si>
    <t>INTA-0345</t>
  </si>
  <si>
    <t>Pickles</t>
  </si>
  <si>
    <t>INTA-0346</t>
  </si>
  <si>
    <t>Pimentón rojo</t>
  </si>
  <si>
    <t>INTA-0347</t>
  </si>
  <si>
    <t>Pimentón verde</t>
  </si>
  <si>
    <t>INTA-0348</t>
  </si>
  <si>
    <t>Poroto verde enlatado</t>
  </si>
  <si>
    <t>INTA-0349</t>
  </si>
  <si>
    <t>Porotos verdes</t>
  </si>
  <si>
    <t>INTA-0350</t>
  </si>
  <si>
    <t>Puerro</t>
  </si>
  <si>
    <t>INTA-0351</t>
  </si>
  <si>
    <t>Rabanito</t>
  </si>
  <si>
    <t>INTA-0352</t>
  </si>
  <si>
    <t>Repollitos de bruselas</t>
  </si>
  <si>
    <t>INTA-0353</t>
  </si>
  <si>
    <t>Repollitos de bruselas cocido con sal</t>
  </si>
  <si>
    <t>INTA-0354</t>
  </si>
  <si>
    <t>Repollo</t>
  </si>
  <si>
    <t>INTA-0355</t>
  </si>
  <si>
    <t>Repollo morado</t>
  </si>
  <si>
    <t>INTA-0356</t>
  </si>
  <si>
    <t>Tomate</t>
  </si>
  <si>
    <t>INTA-0357</t>
  </si>
  <si>
    <t>Ulte</t>
  </si>
  <si>
    <t>INTA-0358</t>
  </si>
  <si>
    <t>Zanahoria</t>
  </si>
  <si>
    <t>INTA-0359</t>
  </si>
  <si>
    <t>Zanahoria cocida con sal</t>
  </si>
  <si>
    <t>INTA-0360</t>
  </si>
  <si>
    <t>Zapallo italiano</t>
  </si>
  <si>
    <t>INTA-0361</t>
  </si>
  <si>
    <t>Zapallo italianos cocido con sal</t>
  </si>
  <si>
    <t>INTA-0362</t>
  </si>
  <si>
    <t>Zapallo</t>
  </si>
  <si>
    <t>INTA-0363</t>
  </si>
  <si>
    <t>Aceitunas negras</t>
  </si>
  <si>
    <t>Frutas</t>
  </si>
  <si>
    <t>2.11</t>
  </si>
  <si>
    <t>INTA-0364</t>
  </si>
  <si>
    <t>Aceitunas verdes</t>
  </si>
  <si>
    <t>INTA-0365</t>
  </si>
  <si>
    <t>Arándanos azul</t>
  </si>
  <si>
    <t>INTA-0366</t>
  </si>
  <si>
    <t>Arándanos rojo</t>
  </si>
  <si>
    <t>INTA-0367</t>
  </si>
  <si>
    <t>Caqui</t>
  </si>
  <si>
    <t>INTA-0368</t>
  </si>
  <si>
    <t>Cerezas</t>
  </si>
  <si>
    <t>INTA-0369</t>
  </si>
  <si>
    <t>Chirimoya</t>
  </si>
  <si>
    <t>INTA-0370</t>
  </si>
  <si>
    <t>Ciruelas</t>
  </si>
  <si>
    <t>INTA-0371</t>
  </si>
  <si>
    <t>Ciruelas desecadas</t>
  </si>
  <si>
    <t>INTA-0372</t>
  </si>
  <si>
    <t>Clementinas</t>
  </si>
  <si>
    <t>INTA-0373</t>
  </si>
  <si>
    <t>Damasco</t>
  </si>
  <si>
    <t>INTA-0374</t>
  </si>
  <si>
    <t>Damascos secos</t>
  </si>
  <si>
    <t>INTA-0375</t>
  </si>
  <si>
    <t>Durazno</t>
  </si>
  <si>
    <t>INTA-0376</t>
  </si>
  <si>
    <t>Duraznos en conserva</t>
  </si>
  <si>
    <t>INTA-0377</t>
  </si>
  <si>
    <t>Frambuesa</t>
  </si>
  <si>
    <t>INTA-0378</t>
  </si>
  <si>
    <t>Frutilla</t>
  </si>
  <si>
    <t>INTA-0379</t>
  </si>
  <si>
    <t>Granada</t>
  </si>
  <si>
    <t>INTA-0380</t>
  </si>
  <si>
    <t>Grosella roja y blanca</t>
  </si>
  <si>
    <t>INTA-0381</t>
  </si>
  <si>
    <t>Guayaba</t>
  </si>
  <si>
    <t>INTA-0382</t>
  </si>
  <si>
    <t>Guindas</t>
  </si>
  <si>
    <t>INTA-0383</t>
  </si>
  <si>
    <t>Guindas ácidas rojas</t>
  </si>
  <si>
    <t>INTA-0384</t>
  </si>
  <si>
    <t>Higos frescos</t>
  </si>
  <si>
    <t>INTA-0385</t>
  </si>
  <si>
    <t>Higos secos</t>
  </si>
  <si>
    <t>INTA-0386</t>
  </si>
  <si>
    <t>Huesillo</t>
  </si>
  <si>
    <t>INTA-0387</t>
  </si>
  <si>
    <t>Kiwi</t>
  </si>
  <si>
    <t>INTA-0388</t>
  </si>
  <si>
    <t>Limón fruto</t>
  </si>
  <si>
    <t>INTA-0389</t>
  </si>
  <si>
    <t>Mandarina</t>
  </si>
  <si>
    <t>INTA-0390</t>
  </si>
  <si>
    <t>Mango</t>
  </si>
  <si>
    <t>INTA-0391</t>
  </si>
  <si>
    <t>Manzana</t>
  </si>
  <si>
    <t>INTA-0392</t>
  </si>
  <si>
    <t>Manzana fuji</t>
  </si>
  <si>
    <t>INTA-0393</t>
  </si>
  <si>
    <t>Manzana golden</t>
  </si>
  <si>
    <t>INTA-0394</t>
  </si>
  <si>
    <t>Manzana roja</t>
  </si>
  <si>
    <t>INTA-0395</t>
  </si>
  <si>
    <t>Manzana sin cáscara</t>
  </si>
  <si>
    <t>INTA-0396</t>
  </si>
  <si>
    <t>Manzana verde</t>
  </si>
  <si>
    <t>INTA-0397</t>
  </si>
  <si>
    <t>Melón</t>
  </si>
  <si>
    <t>INTA-0398</t>
  </si>
  <si>
    <t>Membrillo</t>
  </si>
  <si>
    <t>INTA-0399</t>
  </si>
  <si>
    <t>Mora</t>
  </si>
  <si>
    <t>INTA-0400</t>
  </si>
  <si>
    <t>Naranja</t>
  </si>
  <si>
    <t>INTA-0401</t>
  </si>
  <si>
    <t>Níspero</t>
  </si>
  <si>
    <t>INTA-0402</t>
  </si>
  <si>
    <t>Palta</t>
  </si>
  <si>
    <t>INTA-0403</t>
  </si>
  <si>
    <t>Palta hass</t>
  </si>
  <si>
    <t>INTA-0404</t>
  </si>
  <si>
    <t>Papaya</t>
  </si>
  <si>
    <t>INTA-0405</t>
  </si>
  <si>
    <t>Pasas</t>
  </si>
  <si>
    <t>INTA-0406</t>
  </si>
  <si>
    <t>Pepino dulce</t>
  </si>
  <si>
    <t>INTA-0407</t>
  </si>
  <si>
    <t>Azúcar</t>
  </si>
  <si>
    <t>de Dulces y miel</t>
  </si>
  <si>
    <t>2.12</t>
  </si>
  <si>
    <t>INTA-0408</t>
  </si>
  <si>
    <t>Azúcar flor</t>
  </si>
  <si>
    <t>INTA-0409</t>
  </si>
  <si>
    <t>Azúcar light con estevia</t>
  </si>
  <si>
    <t>INTA-0410</t>
  </si>
  <si>
    <t>Azúcar light con sucralosa</t>
  </si>
  <si>
    <t>INTA-0411</t>
  </si>
  <si>
    <t>Azúcar rubia</t>
  </si>
  <si>
    <t>INTA-0412</t>
  </si>
  <si>
    <t>Miel de abeja</t>
  </si>
  <si>
    <t>INTA-0413</t>
  </si>
  <si>
    <t>Miel de abeja 2</t>
  </si>
  <si>
    <t>INTA-0414</t>
  </si>
  <si>
    <t>Miel de palma</t>
  </si>
  <si>
    <t>INTA-0415</t>
  </si>
  <si>
    <t>Alfajor</t>
  </si>
  <si>
    <t>dulces</t>
  </si>
  <si>
    <t>2.13</t>
  </si>
  <si>
    <t>INTA-0416</t>
  </si>
  <si>
    <t>Barra cereal</t>
  </si>
  <si>
    <t>INTA-0417</t>
  </si>
  <si>
    <t>Barra sabor chocolate con relleno</t>
  </si>
  <si>
    <t>INTA-0418</t>
  </si>
  <si>
    <t>Berlín</t>
  </si>
  <si>
    <t>INTA-0419</t>
  </si>
  <si>
    <t>Biscocho simple</t>
  </si>
  <si>
    <t>INTA-0420</t>
  </si>
  <si>
    <t>Cacao en polvo sin azúcar</t>
  </si>
  <si>
    <t>INTA-0421</t>
  </si>
  <si>
    <t>Chancaca</t>
  </si>
  <si>
    <t>INTA-0422</t>
  </si>
  <si>
    <t>Chocolate de leche con almendras</t>
  </si>
  <si>
    <t>INTA-0423</t>
  </si>
  <si>
    <t>Chocolate amargo 60-69% cacao</t>
  </si>
  <si>
    <t>INTA-0424</t>
  </si>
  <si>
    <t>Chocolate amargo 70-85% cacao</t>
  </si>
  <si>
    <t>INTA-0425</t>
  </si>
  <si>
    <t>Chocolate de leche</t>
  </si>
  <si>
    <t>INTA-0426</t>
  </si>
  <si>
    <t>Cacao en polvo con azúcar</t>
  </si>
  <si>
    <t>INTA-0427</t>
  </si>
  <si>
    <t>Fruta confitada</t>
  </si>
  <si>
    <t>INTA-0428</t>
  </si>
  <si>
    <t>Jalea polvo</t>
  </si>
  <si>
    <t>INTA-0429</t>
  </si>
  <si>
    <t>Jalea reconstituida</t>
  </si>
  <si>
    <t>INTA-0430</t>
  </si>
  <si>
    <t>Jalea reconstituida sin azúcar</t>
  </si>
  <si>
    <t>INTA-0431</t>
  </si>
  <si>
    <t>Jalea polvo sin azúcar</t>
  </si>
  <si>
    <t>INTA-0432</t>
  </si>
  <si>
    <t>Manjar</t>
  </si>
  <si>
    <t>INTA-0433</t>
  </si>
  <si>
    <t>Mermelada damasco</t>
  </si>
  <si>
    <t>INTA-0434</t>
  </si>
  <si>
    <t>Mermelada membrillo</t>
  </si>
  <si>
    <t>INTA-0435</t>
  </si>
  <si>
    <t>Mermelada sin azúcar adicionada</t>
  </si>
  <si>
    <t>INTA-0436</t>
  </si>
  <si>
    <t>Dulce de membrillo</t>
  </si>
  <si>
    <t>INTA-0437</t>
  </si>
  <si>
    <t>Mousse vainilla</t>
  </si>
  <si>
    <t>INTA-0438</t>
  </si>
  <si>
    <t>Muffins arándano</t>
  </si>
  <si>
    <t>INTA-0439</t>
  </si>
  <si>
    <t>Oblea bañada con cobertura sabor chocolate</t>
  </si>
  <si>
    <t>INTA-0440</t>
  </si>
  <si>
    <t>Cono de barquillo azucarado</t>
  </si>
  <si>
    <t>INTA-0441</t>
  </si>
  <si>
    <t>Pie de limón</t>
  </si>
  <si>
    <t>INTA-0442</t>
  </si>
  <si>
    <t>Strudel de manzana</t>
  </si>
  <si>
    <t>INTA-0443</t>
  </si>
  <si>
    <t>Marshmallow</t>
  </si>
  <si>
    <t>INTA-0444</t>
  </si>
  <si>
    <t>Sustancia simple (Marshmallow)</t>
  </si>
  <si>
    <t>INTA-0445</t>
  </si>
  <si>
    <t>Sustancia (Marshmallow) con chocolate</t>
  </si>
  <si>
    <t>INTA-0446</t>
  </si>
  <si>
    <t>Arroz con leche</t>
  </si>
  <si>
    <t>postres de leches</t>
  </si>
  <si>
    <t>2.14</t>
  </si>
  <si>
    <t>INTA-0447</t>
  </si>
  <si>
    <t>Flan de vainilla</t>
  </si>
  <si>
    <t>INTA-0448</t>
  </si>
  <si>
    <t>Flan sabor vainilla</t>
  </si>
  <si>
    <t>INTA-0449</t>
  </si>
  <si>
    <t>Flan reconstituido</t>
  </si>
  <si>
    <t>INTA-0450</t>
  </si>
  <si>
    <t>Leche asada con salsa de caramelo</t>
  </si>
  <si>
    <t>INTA-0451</t>
  </si>
  <si>
    <t>Sémola con leche con salsa caramelo</t>
  </si>
  <si>
    <t>INTA-0452</t>
  </si>
  <si>
    <t>Bebida de soya sabor manzana</t>
  </si>
  <si>
    <t>Jugos y Néctares</t>
  </si>
  <si>
    <t>2.15</t>
  </si>
  <si>
    <t>INTA-0453</t>
  </si>
  <si>
    <t>Jugo de limón</t>
  </si>
  <si>
    <t>INTA-0454</t>
  </si>
  <si>
    <t>Jugo de mandarina</t>
  </si>
  <si>
    <t>INTA-0455</t>
  </si>
  <si>
    <t>Jugo de maqui</t>
  </si>
  <si>
    <t>INTA-0456</t>
  </si>
  <si>
    <t>Jugo de naranja</t>
  </si>
  <si>
    <t>INTA-0457</t>
  </si>
  <si>
    <t>Jugo de pomelo</t>
  </si>
  <si>
    <t>INTA-0458</t>
  </si>
  <si>
    <t>Néctar damasco</t>
  </si>
  <si>
    <t>INTA-0459</t>
  </si>
  <si>
    <t>Néctar damasco light</t>
  </si>
  <si>
    <t>INTA-0460</t>
  </si>
  <si>
    <t>Néctar durazno</t>
  </si>
  <si>
    <t>INTA-0461</t>
  </si>
  <si>
    <t>Néctar durazno light</t>
  </si>
  <si>
    <t>INTA-0462</t>
  </si>
  <si>
    <t>Néctar manzana</t>
  </si>
  <si>
    <t>INTA-0463</t>
  </si>
  <si>
    <t>Néctar naranja</t>
  </si>
  <si>
    <t>INTA-0464</t>
  </si>
  <si>
    <t>Néctar naranja light</t>
  </si>
  <si>
    <t>INTA-0465</t>
  </si>
  <si>
    <t>Néctar uva light</t>
  </si>
  <si>
    <t>INTA-0466</t>
  </si>
  <si>
    <t>Refresco polvo bajo en calorías</t>
  </si>
  <si>
    <t>Refrescos en Polvo</t>
  </si>
  <si>
    <t>2.16</t>
  </si>
  <si>
    <t>INTA-0467</t>
  </si>
  <si>
    <t>Refresco en polvo light durazno</t>
  </si>
  <si>
    <t>INTA-0468</t>
  </si>
  <si>
    <t>Refresco polvo light naranja</t>
  </si>
  <si>
    <t>INTA-0469</t>
  </si>
  <si>
    <t>Refresco polvo light piña</t>
  </si>
  <si>
    <t>INTA-0470</t>
  </si>
  <si>
    <t>Agua</t>
  </si>
  <si>
    <t>bebidas</t>
  </si>
  <si>
    <t>2.17</t>
  </si>
  <si>
    <t>INTA-0471</t>
  </si>
  <si>
    <t>Bebida cola light</t>
  </si>
  <si>
    <t>INTA-0472</t>
  </si>
  <si>
    <t>Bebida cola tradicional</t>
  </si>
  <si>
    <t>INTA-0473</t>
  </si>
  <si>
    <t>Bebida energética</t>
  </si>
  <si>
    <t>INTA-0474</t>
  </si>
  <si>
    <t>Bebida gaseosa sabor limón</t>
  </si>
  <si>
    <t>INTA-0475</t>
  </si>
  <si>
    <t>Bebida gaseosa sabor naranja</t>
  </si>
  <si>
    <t>INTA-0476</t>
  </si>
  <si>
    <t>Bebida gaseosa sabor piña</t>
  </si>
  <si>
    <t>INTA-0477</t>
  </si>
  <si>
    <t>Bebida gaseosa sabor piña libre de</t>
  </si>
  <si>
    <t>INTA-0478</t>
  </si>
  <si>
    <t>Bebida isotónica sabor lima limón</t>
  </si>
  <si>
    <t>INTA-0479</t>
  </si>
  <si>
    <t>Bebida isotónica</t>
  </si>
  <si>
    <t>INTA-0480</t>
  </si>
  <si>
    <t>Cerveza</t>
  </si>
  <si>
    <t>alcoholes</t>
  </si>
  <si>
    <t>2.18</t>
  </si>
  <si>
    <t>INTA-0481</t>
  </si>
  <si>
    <t>Champagna</t>
  </si>
  <si>
    <t>INTA-0482</t>
  </si>
  <si>
    <t>Licor de café</t>
  </si>
  <si>
    <t>INTA-0483</t>
  </si>
  <si>
    <t>Licor de menta</t>
  </si>
  <si>
    <t>INTA-0484</t>
  </si>
  <si>
    <t>Martini</t>
  </si>
  <si>
    <t>INTA-0485</t>
  </si>
  <si>
    <t>Pisco</t>
  </si>
  <si>
    <t>INTA-0486</t>
  </si>
  <si>
    <t>Pisco sour</t>
  </si>
  <si>
    <t>INTA-0487</t>
  </si>
  <si>
    <t>Ron</t>
  </si>
  <si>
    <t>INTA-0488</t>
  </si>
  <si>
    <t>Vodka</t>
  </si>
  <si>
    <t>INTA-0489</t>
  </si>
  <si>
    <t>Whisky</t>
  </si>
  <si>
    <t>INTA-0490</t>
  </si>
  <si>
    <t>Vino blanco</t>
  </si>
  <si>
    <t>INTA-0491</t>
  </si>
  <si>
    <t>Vino tinto</t>
  </si>
  <si>
    <t>INTA-0492</t>
  </si>
  <si>
    <t>Vino tinto 2</t>
  </si>
  <si>
    <t>INTA-0493</t>
  </si>
  <si>
    <t>Hojuelas papas fritas</t>
  </si>
  <si>
    <t>productos salados</t>
  </si>
  <si>
    <t>2.19</t>
  </si>
  <si>
    <t>INTA-0494</t>
  </si>
  <si>
    <t>Hojuelas papas fritas sabor crema y cebolla</t>
  </si>
  <si>
    <t>INTA-0495</t>
  </si>
  <si>
    <t>Suflé sabor queso</t>
  </si>
  <si>
    <t>INTA-0496</t>
  </si>
  <si>
    <t>Pesto</t>
  </si>
  <si>
    <t>Salsas</t>
  </si>
  <si>
    <t>2.20</t>
  </si>
  <si>
    <t>INTA-0497</t>
  </si>
  <si>
    <t>Salsa ají</t>
  </si>
  <si>
    <t>INTA-0498</t>
  </si>
  <si>
    <t>Salsa blanca casera</t>
  </si>
  <si>
    <t>INTA-0499</t>
  </si>
  <si>
    <t>Salsa de tomates</t>
  </si>
  <si>
    <t>INTA-0500</t>
  </si>
  <si>
    <t>Salsa de tomates con cebolla</t>
  </si>
  <si>
    <t>INTA-0501</t>
  </si>
  <si>
    <t>Salsa tártara</t>
  </si>
  <si>
    <t>INTA-0502</t>
  </si>
  <si>
    <t>Salsa teriyaki</t>
  </si>
  <si>
    <t>INTA-0503</t>
  </si>
  <si>
    <t>Salsa verde</t>
  </si>
  <si>
    <t>INTA-0504</t>
  </si>
  <si>
    <t>Ajo en polvo</t>
  </si>
  <si>
    <t>Especias</t>
  </si>
  <si>
    <t>2.21</t>
  </si>
  <si>
    <t>INTA-0505</t>
  </si>
  <si>
    <t>Albahaca fresca</t>
  </si>
  <si>
    <t>INTA-0506</t>
  </si>
  <si>
    <t>Albahaca seca</t>
  </si>
  <si>
    <t>INTA-0507</t>
  </si>
  <si>
    <t>Azafrán</t>
  </si>
  <si>
    <t>INTA-0508</t>
  </si>
  <si>
    <t>Canela</t>
  </si>
  <si>
    <t>INTA-0509</t>
  </si>
  <si>
    <t>Cardamomo</t>
  </si>
  <si>
    <t>INTA-0510</t>
  </si>
  <si>
    <t>Cebolla en polvo</t>
  </si>
  <si>
    <t>INTA-0511</t>
  </si>
  <si>
    <t>Clavo de olor</t>
  </si>
  <si>
    <t>INTA-0512</t>
  </si>
  <si>
    <t>Cúrcuma en polvo</t>
  </si>
  <si>
    <t>INTA-0513</t>
  </si>
  <si>
    <t>Curry</t>
  </si>
  <si>
    <t>INTA-0514</t>
  </si>
  <si>
    <t>Eneldo fresco</t>
  </si>
  <si>
    <t>INTA-0515</t>
  </si>
  <si>
    <t>Eneldo seco</t>
  </si>
  <si>
    <t>INTA-0516</t>
  </si>
  <si>
    <t>Estragón seco</t>
  </si>
  <si>
    <t>INTA-0517</t>
  </si>
  <si>
    <t>Hierbabuena</t>
  </si>
  <si>
    <t>INTA-0518</t>
  </si>
  <si>
    <t>Jengibre</t>
  </si>
  <si>
    <t>INTA-0519</t>
  </si>
  <si>
    <t>Laurel deshidratado</t>
  </si>
  <si>
    <t>INTA-0520</t>
  </si>
  <si>
    <t>Locoto fresco</t>
  </si>
  <si>
    <t>INTA-0521</t>
  </si>
  <si>
    <t>Locoto verde</t>
  </si>
  <si>
    <t>INTA-0522</t>
  </si>
  <si>
    <t>Menta fresca</t>
  </si>
  <si>
    <t>INTA-0523</t>
  </si>
  <si>
    <t>Menta seca</t>
  </si>
  <si>
    <t>INTA-0524</t>
  </si>
  <si>
    <t>Merkén</t>
  </si>
  <si>
    <t>INTA-0525</t>
  </si>
  <si>
    <t>Nuez moscada</t>
  </si>
  <si>
    <t>INTA-0526</t>
  </si>
  <si>
    <t>Orégano seco</t>
  </si>
  <si>
    <t>INTA-0527</t>
  </si>
  <si>
    <t>Paprika</t>
  </si>
  <si>
    <t>INTA-0528</t>
  </si>
  <si>
    <t>Pimentón deshidratado</t>
  </si>
  <si>
    <t>INTA-0529</t>
  </si>
  <si>
    <t>Perejil fresco</t>
  </si>
  <si>
    <t>INTA-0530</t>
  </si>
  <si>
    <t>Perejil seco</t>
  </si>
  <si>
    <t>INTA-0531</t>
  </si>
  <si>
    <t>Pimienta blanca</t>
  </si>
  <si>
    <t>INTA-0532</t>
  </si>
  <si>
    <t>Pimienta negra</t>
  </si>
  <si>
    <t>INTA-0533</t>
  </si>
  <si>
    <t>Pimienta roja</t>
  </si>
  <si>
    <t>INTA-0534</t>
  </si>
  <si>
    <t>Romero fresco</t>
  </si>
  <si>
    <t>INTA-0535</t>
  </si>
  <si>
    <t>Romero seco</t>
  </si>
  <si>
    <t>INTA-0536</t>
  </si>
  <si>
    <t>Sal de mar</t>
  </si>
  <si>
    <t>INTA-0537</t>
  </si>
  <si>
    <t>Sal de mesa</t>
  </si>
  <si>
    <t>INTA-0538</t>
  </si>
  <si>
    <t>Semilla de amapola</t>
  </si>
  <si>
    <t>INTA-0539</t>
  </si>
  <si>
    <t>Semilla de comino</t>
  </si>
  <si>
    <t>INTA-0540</t>
  </si>
  <si>
    <t>Semillas de hinojo</t>
  </si>
  <si>
    <t>INTA-0541</t>
  </si>
  <si>
    <t>Semilla de mostaza</t>
  </si>
  <si>
    <t>INTA-0542</t>
  </si>
  <si>
    <t>Tomillo fresco</t>
  </si>
  <si>
    <t>INTA-0543</t>
  </si>
  <si>
    <t>Tomillo seco</t>
  </si>
  <si>
    <t>INTA-0544</t>
  </si>
  <si>
    <t>Endulzante agave líquido</t>
  </si>
  <si>
    <t>Endulzantes</t>
  </si>
  <si>
    <t>2.22</t>
  </si>
  <si>
    <t>INTA-0545</t>
  </si>
  <si>
    <t>Endulzante agave en tableta</t>
  </si>
  <si>
    <t>INTA-0546</t>
  </si>
  <si>
    <t>Endulzante más stevia líquido</t>
  </si>
  <si>
    <t>INTA-0547</t>
  </si>
  <si>
    <t>Endulzante sucralosa líquido</t>
  </si>
  <si>
    <t>INTA-0548</t>
  </si>
  <si>
    <t>Carne asada</t>
  </si>
  <si>
    <t>platos preparados</t>
  </si>
  <si>
    <t>2.23</t>
  </si>
  <si>
    <t>INTA-0549</t>
  </si>
  <si>
    <t>Cebolla en escabeche</t>
  </si>
  <si>
    <t>INTA-0550</t>
  </si>
  <si>
    <t>Cerdo a la mostaza</t>
  </si>
  <si>
    <t>INTA-0551</t>
  </si>
  <si>
    <t>Crema de cebolla</t>
  </si>
  <si>
    <t>INTA-0552</t>
  </si>
  <si>
    <t>Lentejas con arroz</t>
  </si>
  <si>
    <t>INTA-0553</t>
  </si>
  <si>
    <t>Manzana asada</t>
  </si>
  <si>
    <t>INTA-0554</t>
  </si>
  <si>
    <t>Puré manzana</t>
  </si>
  <si>
    <t>INTA-0555</t>
  </si>
  <si>
    <t>Puré manzana plátano</t>
  </si>
  <si>
    <t>INTA-0556</t>
  </si>
  <si>
    <t>Puré pera con canela</t>
  </si>
  <si>
    <t>INTA-0557</t>
  </si>
  <si>
    <t>Puré pera plátano</t>
  </si>
  <si>
    <t>INTA-0558</t>
  </si>
  <si>
    <t>Mariscal</t>
  </si>
  <si>
    <t>INTA-0559</t>
  </si>
  <si>
    <t>Pollo a la mostaza</t>
  </si>
  <si>
    <t>INTA-0560</t>
  </si>
  <si>
    <t>Sopa de sémola</t>
  </si>
  <si>
    <t>INTA-0561</t>
  </si>
  <si>
    <t>Sopa de verduras</t>
  </si>
  <si>
    <t>INTA-0562</t>
  </si>
  <si>
    <t>Tomate con papas</t>
  </si>
  <si>
    <t>INTA-0563</t>
  </si>
  <si>
    <t>Torta de durazno con crema</t>
  </si>
  <si>
    <t>INTA-0564</t>
  </si>
  <si>
    <t>Verduras guisadas</t>
  </si>
  <si>
    <t>INTA-0565</t>
  </si>
  <si>
    <t>Bebida lactea años dorados</t>
  </si>
  <si>
    <t>Alimentos con formulaciones Especiales</t>
  </si>
  <si>
    <t>2.24</t>
  </si>
  <si>
    <t>INTA-0566</t>
  </si>
  <si>
    <t>Crema años dorados arveja</t>
  </si>
  <si>
    <t>INTA-0567</t>
  </si>
  <si>
    <t>Crema años dorados espárrago</t>
  </si>
  <si>
    <t>INTA-0568</t>
  </si>
  <si>
    <t>Crema años dorados lentejas</t>
  </si>
  <si>
    <t>INTA-0569</t>
  </si>
  <si>
    <t>Crema años dorados verduras</t>
  </si>
  <si>
    <t>INTA-0570</t>
  </si>
  <si>
    <t>Cyclinex 1 amino acid mix</t>
  </si>
  <si>
    <t>INTA-0571</t>
  </si>
  <si>
    <t>Cyclinex 2</t>
  </si>
  <si>
    <t>INTA-0572</t>
  </si>
  <si>
    <t>Dialamine</t>
  </si>
  <si>
    <t>INTA-0573</t>
  </si>
  <si>
    <t>Essential amino acid mix</t>
  </si>
  <si>
    <t>INTA-0574</t>
  </si>
  <si>
    <t>GA1 Anamix infant</t>
  </si>
  <si>
    <t>INTA-0575</t>
  </si>
  <si>
    <t>Glutarex 1</t>
  </si>
  <si>
    <t>INTA-0576</t>
  </si>
  <si>
    <t>Glutarex 2</t>
  </si>
  <si>
    <t>INTA-0577</t>
  </si>
  <si>
    <t>IVA Anamix infant</t>
  </si>
  <si>
    <t>INTA-0578</t>
  </si>
  <si>
    <t>Ketonex 1</t>
  </si>
  <si>
    <t>INTA-0579</t>
  </si>
  <si>
    <t>Ketonex 2</t>
  </si>
  <si>
    <t>INTA-0580</t>
  </si>
  <si>
    <t>Leche continuación</t>
  </si>
  <si>
    <t>INTA-0581</t>
  </si>
  <si>
    <t>Fórmula láctea prematuro</t>
  </si>
  <si>
    <t>INTA-0582</t>
  </si>
  <si>
    <t>Fórmula láctea prematuro 2</t>
  </si>
  <si>
    <t>INTA-0583</t>
  </si>
  <si>
    <t>Fórmula láctea Purita Cereal</t>
  </si>
  <si>
    <t>INTA-0584</t>
  </si>
  <si>
    <t>Leche Purita Fortificada</t>
  </si>
  <si>
    <t>INTA-0585</t>
  </si>
  <si>
    <t>Bebida láctea Purita Mamá</t>
  </si>
  <si>
    <t>INTA-0586</t>
  </si>
  <si>
    <t>Sopa crema de ave Mi sopita</t>
  </si>
  <si>
    <t>INTA-0587</t>
  </si>
  <si>
    <t>Sopa crema de legumbres Mi sopita</t>
  </si>
  <si>
    <t>INTA-0588</t>
  </si>
  <si>
    <t>Sopa crema de verduras Mi sopita</t>
  </si>
  <si>
    <t>INTA-0589</t>
  </si>
  <si>
    <t>MMA-PA Anamix Infant</t>
  </si>
  <si>
    <t>INTA-0590</t>
  </si>
  <si>
    <t>Monogen</t>
  </si>
  <si>
    <t>INTA-0591</t>
  </si>
  <si>
    <t>MSUD Anamix Infant</t>
  </si>
  <si>
    <t>INTA-0592</t>
  </si>
  <si>
    <t>MSUD Maxamaid</t>
  </si>
  <si>
    <t>INTA-0593</t>
  </si>
  <si>
    <t>MSUD Maxamum</t>
  </si>
  <si>
    <t>INTA-0594</t>
  </si>
  <si>
    <t>MSUD Med A Plus</t>
  </si>
  <si>
    <t>INTA-0595</t>
  </si>
  <si>
    <t>MSUD Med B Plus</t>
  </si>
  <si>
    <t>INTA-0596</t>
  </si>
  <si>
    <t>MSUD OAcMedB Plus</t>
  </si>
  <si>
    <t>INTA-0597</t>
  </si>
  <si>
    <t>P-AM2</t>
  </si>
  <si>
    <t>INTA-0598</t>
  </si>
  <si>
    <t>Phenex 1</t>
  </si>
  <si>
    <t>INTA-0599</t>
  </si>
  <si>
    <t>Phenex 2</t>
  </si>
  <si>
    <t>INTA-0600</t>
  </si>
  <si>
    <t>PKU2 Nutri Concentrated</t>
  </si>
  <si>
    <t>INTA-0601</t>
  </si>
  <si>
    <t>PKU 2 Nutri Energy</t>
  </si>
  <si>
    <t>INTA-0602</t>
  </si>
  <si>
    <t>PKU Anamix Infant</t>
  </si>
  <si>
    <t>INTA-0603</t>
  </si>
  <si>
    <t>PKU Fórmula</t>
  </si>
  <si>
    <t>INTA-0604</t>
  </si>
  <si>
    <t>PKU Med B Plus</t>
  </si>
  <si>
    <t>INTA-0605</t>
  </si>
  <si>
    <t>Portagen</t>
  </si>
  <si>
    <t>INTA-0606</t>
  </si>
  <si>
    <t>Propimex 1</t>
  </si>
  <si>
    <t>INTA-0607</t>
  </si>
  <si>
    <t>Propimex 2</t>
  </si>
  <si>
    <t>INTA-0608</t>
  </si>
  <si>
    <t>Tyr 2</t>
  </si>
  <si>
    <t>INTA-0609</t>
  </si>
  <si>
    <t>Tyrex 1</t>
  </si>
  <si>
    <t>INTA-0610</t>
  </si>
  <si>
    <t>Tyrex 2 Advanta</t>
  </si>
  <si>
    <t>INTA-0611</t>
  </si>
  <si>
    <t>XLEU Maxamaid</t>
  </si>
  <si>
    <t>INTA-0612</t>
  </si>
  <si>
    <t>XLEU Maxamum</t>
  </si>
  <si>
    <t>INTA-0613</t>
  </si>
  <si>
    <t>XLYSLOW TRY Maxamaid</t>
  </si>
  <si>
    <t>INTA-0614</t>
  </si>
  <si>
    <t>XLYSLOW TRY Maxamum</t>
  </si>
  <si>
    <t>INTA-0615</t>
  </si>
  <si>
    <t>XMTV Maxamaid</t>
  </si>
  <si>
    <t>INTA-0616</t>
  </si>
  <si>
    <t>XP Maxamaid</t>
  </si>
  <si>
    <t>INTA-0617</t>
  </si>
  <si>
    <t>XP Maxamum</t>
  </si>
  <si>
    <t>INTA-0618</t>
  </si>
  <si>
    <t>XPHEN TYR Maxamum</t>
  </si>
  <si>
    <t>Consulta de alimentos · contenido renal por 100 gramos</t>
  </si>
  <si>
    <t>CONSULTA DE ALIMENTOS</t>
  </si>
  <si>
    <t>Elija hasta diez alimentos y compare su contenido. La porción es editable: el libro escala los valores.</t>
  </si>
  <si>
    <t>Nº</t>
  </si>
  <si>
    <t>Gramos</t>
  </si>
  <si>
    <t>Nivel K</t>
  </si>
  <si>
    <t>Nivel P</t>
  </si>
  <si>
    <t>Nivel Na</t>
  </si>
  <si>
    <t>P/proteína</t>
  </si>
  <si>
    <t>Alerta</t>
  </si>
  <si>
    <t>TOTAL DE LA SELECCIÓN</t>
  </si>
  <si>
    <t>Proporción del límite diario</t>
  </si>
  <si>
    <t>LECTURA DE LA SELECCIÓN</t>
  </si>
  <si>
    <t>Alimentos no utilizables en la selección</t>
  </si>
  <si>
    <t>Advertencia de cobertura</t>
  </si>
  <si>
    <t>Potasio de la selección frente al límite diario</t>
  </si>
  <si>
    <t>Este explorador informa el contenido de la fuente por cien gramos, escalado a la porción que usted indique. NO considera el efecto de la cocción: el remojo y la doble cocción reducen el potasio de algunos alimentos en proporciones que la tabla no documenta. Tampoco considera el fósforo de aditivos de productos procesados.</t>
  </si>
  <si>
    <t>Sustituidor · alternativas del mismo grupo con menor carga</t>
  </si>
  <si>
    <t>Indique un alimento que quiera reemplazar. El libro busca alternativas DEL MISMO GRUPO con datos completos y las ordena por el nutriente que usted priorizó en la hoja DATOS. La sustitución es una sugerencia de contenido: la aceptabilidad, el rol culinario y la equivalencia de porción los decide usted.</t>
  </si>
  <si>
    <t>ALIMENTO A REEMPLAZAR</t>
  </si>
  <si>
    <t>Nutriente priorizado</t>
  </si>
  <si>
    <t>Potasio (mg/100 g)</t>
  </si>
  <si>
    <t>Fósforo (mg/100 g)</t>
  </si>
  <si>
    <t>Sodio (mg/100 g)</t>
  </si>
  <si>
    <t>Alternativas disponibles en el grupo</t>
  </si>
  <si>
    <t>Solo se cuentan las que tienen los cinco nutrientes críticos</t>
  </si>
  <si>
    <t>ALTERNATIVAS ORDENADAS DE MENOR A MAYOR</t>
  </si>
  <si>
    <t>Orden</t>
  </si>
  <si>
    <t>Diferencia de potasio</t>
  </si>
  <si>
    <t>Comentario</t>
  </si>
  <si>
    <t>CÓMO LEER ESTAS ALTERNATIVAS</t>
  </si>
  <si>
    <t>Alcance de la sustitución</t>
  </si>
  <si>
    <t>Cuando el grupo ofrece pocas alternativas</t>
  </si>
  <si>
    <t>Advertencia sobre cocción</t>
  </si>
  <si>
    <t>Intercambios construidos con criterio renal</t>
  </si>
  <si>
    <t>Un intercambio renal NO equivale a un intercambio convencional. En los sistemas habituales los alimentos de un grupo se intercambian porque aportan macronutrientes similares; aquí además deben aportar potasio, fósforo y sodio comparables. Un alimento puede ser intercambiable por macronutrientes y NO serlo en contexto renal.</t>
  </si>
  <si>
    <t>GRUPOS DE INTERCAMBIO RENAL</t>
  </si>
  <si>
    <t>Grupo renal</t>
  </si>
  <si>
    <t>Criterio de inclusión</t>
  </si>
  <si>
    <t>Potasio por porción</t>
  </si>
  <si>
    <t>Fósforo por porción</t>
  </si>
  <si>
    <t>Uso sugerido</t>
  </si>
  <si>
    <t>Muy bajo en potasio</t>
  </si>
  <si>
    <t>Hasta 100 mg de potasio por 100 g</t>
  </si>
  <si>
    <t>Menos de 100 mg</t>
  </si>
  <si>
    <t>Variable</t>
  </si>
  <si>
    <t>Bajo en potasio</t>
  </si>
  <si>
    <t>Entre 100 y 200 mg por 100 g</t>
  </si>
  <si>
    <t>100 a 200 mg</t>
  </si>
  <si>
    <t>Moderado en potasio</t>
  </si>
  <si>
    <t>Entre 200 y 300 mg por 100 g</t>
  </si>
  <si>
    <t>200 a 300 mg</t>
  </si>
  <si>
    <t>Alto en potasio</t>
  </si>
  <si>
    <t>Sobre 300 mg por 100 g</t>
  </si>
  <si>
    <t>Más de 300 mg</t>
  </si>
  <si>
    <t>Proteína de baja carga fosfórica</t>
  </si>
  <si>
    <t>Razón fósforo sobre proteína bajo 12 mg/g</t>
  </si>
  <si>
    <t>Baja en relación al aporte proteico</t>
  </si>
  <si>
    <t>Proteína de carga fosfórica alta</t>
  </si>
  <si>
    <t>Razón sobre 16 mg/g</t>
  </si>
  <si>
    <t>Alta en relación al aporte proteico</t>
  </si>
  <si>
    <t>RECUENTO DE ALIMENTOS POR GRUPO RENAL</t>
  </si>
  <si>
    <t>Alimentos utilizables</t>
  </si>
  <si>
    <t>Proporción de los utilizables</t>
  </si>
  <si>
    <t>Bajo o medio en potasio</t>
  </si>
  <si>
    <t>Muy alto en potasio</t>
  </si>
  <si>
    <t>ADVERTENCIA SOBRE EL USO DE INTERCAMBIOS EN CONTEXTO RENAL</t>
  </si>
  <si>
    <t>Un intercambio renal debe verificarse en las TRES dimensiones: potasio, fósforo y sodio. Un alimento bajo en potasio puede ser muy alto en sodio, y el intercambio resultaría contraproducente.</t>
  </si>
  <si>
    <t>La clasificación por cien gramos no equivale a clasificación por porción: un alimento moderado en potasio consumido en porción grande puede aportar más que uno alto en porción pequeña.</t>
  </si>
  <si>
    <t>Los alimentos sin datos completos NO aparecen en ningún grupo: no significa que sean seguros, significa que se desconoce su contenido.</t>
  </si>
  <si>
    <t>El fósforo de aditivos en productos procesados no está en la tabla y puede superar ampliamente al fósforo natural declarado. Revise siempre el etiquetado.</t>
  </si>
  <si>
    <t>Fuente, método y advertencias clínicas</t>
  </si>
  <si>
    <t>FUENTE Y MÉTODO</t>
  </si>
  <si>
    <t>Elemento</t>
  </si>
  <si>
    <t>Detalle</t>
  </si>
  <si>
    <t>Composición de alimentos</t>
  </si>
  <si>
    <t>Tabla de Composición de Alimentos del INTA, Universidad de Chile, edición 2018. Valores por cien gramos de porción comestible. Se aplicó la reconstrucción del grupo 2.10 de verduras y hortalizas, cuya fila de cabecera no viene en el archivo fuente: cada registro corregido queda marcado en la columna correspondiente.</t>
  </si>
  <si>
    <t>Licencia · BLOQUEO ACTIVO</t>
  </si>
  <si>
    <t>No se encontró autorización de redistribución comercial dentro del material entregado. Uso personal del titular. No redistribuir, no comercializar y no incorporar a un producto de pago sin autorización documentada. Nutrimetría no cuenta con respaldo del INTA ni de la Universidad de Chile. Esta revisión no sustituye asesoría jurídica.</t>
  </si>
  <si>
    <t>Cobertura de los nutrientes críticos</t>
  </si>
  <si>
    <t>Potasio presente en 403 de 618 alimentos, fósforo en 428 y sodio en 567. Solo 376 alimentos tienen los cinco nutrientes críticos completos y pueden usarse en este explorador. Los 242 restantes quedan excluidos porque se desconoce su contenido, NO porque sean inadecuados.</t>
  </si>
  <si>
    <t>Un dato ausente no es un cero</t>
  </si>
  <si>
    <t>Es el principio que ordena todo este libro. Un alimento sin dato de potasio no puede recomendarse como bajo en potasio. Si el paciente lo consume, esa carga no aparece en ningún total y el cálculo queda subestimado sin que nada lo advierta, salvo la marca de no utilizable.</t>
  </si>
  <si>
    <t>Umbrales de clasificación</t>
  </si>
  <si>
    <t>Los cortes de contenido bajo, medio, alto y muy alto son convenciones de trabajo de este libro para ORDENAR alimentos. No existen categorías normadas por cien gramos: lo que importa clínicamente es la carga total del día frente al laboratorio del paciente. Son editables en CONFIG.</t>
  </si>
  <si>
    <t>Razón fósforo sobre proteína</t>
  </si>
  <si>
    <t>Expresa los miligramos de fósforo por gramo de proteína del alimento. Es el criterio habitual para elegir fuentes proteicas en enfermedad renal, porque permite cubrir el requerimiento de proteína con la menor carga fosfórica posible. Solo se calcula en alimentos que aportan al menos el mínimo de proteína configurado: aplicada a una fruta o a un aceite entrega cifras sin significado.</t>
  </si>
  <si>
    <t>Fósforo de aditivos · limitación mayor</t>
  </si>
  <si>
    <t>Las tablas de composición reflejan el fósforo natural del alimento y NO el añadido como aditivo en productos procesados, embutidos, bebidas de cola y quesos fundidos. El fósforo inorgánico de los aditivos tiene absorción casi completa, de modo que la carga real puede superar ampliamente lo que muestra este explorador. Revise siempre el etiquetado.</t>
  </si>
  <si>
    <t>Cocción y potasio</t>
  </si>
  <si>
    <t>El remojo prolongado y la doble cocción reducen el contenido de potasio de algunos alimentos, en proporciones que la fuente no documenta. Este libro NO aplica factores de reducción: muestra el alimento tal como figura en la tabla. Sustituir el alimento no es la única vía para bajar la carga de potasio.</t>
  </si>
  <si>
    <t>Sustitutos de sal</t>
  </si>
  <si>
    <t>No figuran en la base y suelen estar formulados con cloruro de potasio. Su uso puede desencadenar hiperkalemia grave y solo se detecta preguntando de forma dirigida, como hace el módulo NMX-29.</t>
  </si>
  <si>
    <t>Un intercambio renal debe verificarse en potasio, fósforo y sodio a la vez. Un alimento intercambiable por macronutrientes puede no serlo en contexto renal, y un alimento bajo en potasio puede ser muy alto en sodio.</t>
  </si>
  <si>
    <t>Relación con otros módulos</t>
  </si>
  <si>
    <t>NMX-22 registra la ingesta renal de varios días. NMX-29 levanta el recordatorio renal con sondeo de fuentes ocultas. Este módulo se ocupa de la selección de alimentos: qué elegir y por qué cambiar uno por otro.</t>
  </si>
  <si>
    <t>Qué NO hace este libro</t>
  </si>
  <si>
    <t>No prescribe límites: los define el equipo tratante. No diagnostica. No calcula la ingesta de un paciente. No considera aditivos, cocción ni sustitutos de sal. No está validado clínicamente.</t>
  </si>
  <si>
    <t>Control de calidad del motor de cálculo</t>
  </si>
  <si>
    <t>Los valores esperados se calcularon de forma independiente del motor del libro (verificación externa).</t>
  </si>
  <si>
    <t>Bloque</t>
  </si>
  <si>
    <t>Descripción de la prueba</t>
  </si>
  <si>
    <t>Obtenido</t>
  </si>
  <si>
    <t>Esperado</t>
  </si>
  <si>
    <t>A</t>
  </si>
  <si>
    <t>Alimentos con dato de potasio</t>
  </si>
  <si>
    <t>Alimentos con dato de fósforo</t>
  </si>
  <si>
    <t>Alimentos con dato de sodio</t>
  </si>
  <si>
    <t>Cobertura del potasio</t>
  </si>
  <si>
    <t>Total de alimentos en la base</t>
  </si>
  <si>
    <t>B</t>
  </si>
  <si>
    <t>Utilizables más no utilizables suman el total</t>
  </si>
  <si>
    <t>C</t>
  </si>
  <si>
    <t>El libro se declara no apto sin revisión clínica</t>
  </si>
  <si>
    <t>SE DECLARA</t>
  </si>
  <si>
    <t>El bloqueo de licencia está activo</t>
  </si>
  <si>
    <t>ACTIVO</t>
  </si>
  <si>
    <t>D</t>
  </si>
  <si>
    <t>Potasio de 150 g de papa cocida (545 × 1,5)</t>
  </si>
  <si>
    <t>Potasio de 150 g de arroz blanco cocido (35 × 1,5)</t>
  </si>
  <si>
    <t>Fósforo de 100 g de clara de huevo</t>
  </si>
  <si>
    <t>Razón fósforo/proteína de la clara de huevo</t>
  </si>
  <si>
    <t>Razón fósforo/proteína del pollo pechuga</t>
  </si>
  <si>
    <t>E</t>
  </si>
  <si>
    <t>La manzana no recibe razón P/proteína por no ser fuente proteica</t>
  </si>
  <si>
    <t>N/C</t>
  </si>
  <si>
    <t>Nivel de potasio asignado a la papa cocida</t>
  </si>
  <si>
    <t>Muy alto</t>
  </si>
  <si>
    <t>Nivel de potasio asignado a la maicena</t>
  </si>
  <si>
    <t>Bajo</t>
  </si>
  <si>
    <t>Nivel de sodio asignado a la clara de huevo</t>
  </si>
  <si>
    <t>Alto</t>
  </si>
  <si>
    <t>F</t>
  </si>
  <si>
    <t>Grupo detectado para la papa cocida</t>
  </si>
  <si>
    <t>Alternativas con datos completos en ese grupo</t>
  </si>
  <si>
    <t>Primera alternativa propuesta</t>
  </si>
  <si>
    <t>Potasio de la primera alternativa</t>
  </si>
  <si>
    <t>Diferencia de potasio con el alimento de referencia</t>
  </si>
  <si>
    <t>La tercera alternativa es el propio alimento de referencia</t>
  </si>
  <si>
    <t>ES LA REFERENCIA</t>
  </si>
  <si>
    <t>G</t>
  </si>
  <si>
    <t>Alimentos utilizables con potasio bajo</t>
  </si>
  <si>
    <t>Alimentos utilizables con potasio muy alto</t>
  </si>
  <si>
    <t>Fuentes proteicas de baja carga fosfórica</t>
  </si>
  <si>
    <t>H</t>
  </si>
  <si>
    <t>Un valor ausente NO se interpreta como cero</t>
  </si>
  <si>
    <t>ND</t>
  </si>
  <si>
    <t>RESUMEN</t>
  </si>
  <si>
    <t>Pruebas aprobadas</t>
  </si>
  <si>
    <t>Configuración · umbrales de clasificación renal</t>
  </si>
  <si>
    <t>Los umbrales de esta hoja son convenciones de trabajo para ORDENAR alimentos, no puntos de corte clínicos. No existen categorías normadas de contenido de potasio o fósforo por cada cien gramos: lo que importa es la carga total del día en relación con el laboratorio del paciente. Edítelos según el criterio que usted aplique.</t>
  </si>
  <si>
    <t>CLASIFICACIÓN POR CONTENIDO EN 100 GRAMOS</t>
  </si>
  <si>
    <t>Bajo · hasta</t>
  </si>
  <si>
    <t>Medio · hasta</t>
  </si>
  <si>
    <t>Alto · hasta</t>
  </si>
  <si>
    <t>Sobre ese valor</t>
  </si>
  <si>
    <t>RAZÓN FÓSFORO SOBRE PROTEÍNA</t>
  </si>
  <si>
    <t>Razón deseable · hasta</t>
  </si>
  <si>
    <t>mg/g</t>
  </si>
  <si>
    <t>Razón aceptable · hasta</t>
  </si>
  <si>
    <t>Proteína mínima para que la razón tenga sentido</t>
  </si>
  <si>
    <t>g/100 g</t>
  </si>
  <si>
    <t>Cobertura mínima de datos para uso renal</t>
  </si>
  <si>
    <t>nutrientes</t>
  </si>
  <si>
    <t>Número de alternativas que muestra el sustituidor</t>
  </si>
  <si>
    <t>alimentos</t>
  </si>
  <si>
    <t>Tolerancia de las pruebas</t>
  </si>
  <si>
    <t>±</t>
  </si>
  <si>
    <t>La razón fósforo sobre proteína solo tiene sentido en fuentes proteicas. Aplicada a una fruta o a un aceite entrega cifras altísimas que no significan nada, porque el denominador es casi cero. Por eso el libro la calcula únicamente cuando el alimento aporta al menos el mínimo de proteína configurado.</t>
  </si>
  <si>
    <t>LISTAS</t>
  </si>
  <si>
    <t>SI</t>
  </si>
  <si>
    <t>SITUACION</t>
  </si>
  <si>
    <t>PRIORIDAD</t>
  </si>
  <si>
    <t>Sí</t>
  </si>
  <si>
    <t>ERC etapas 1–2</t>
  </si>
  <si>
    <t>ERC etapas 3–5 sin diálisis</t>
  </si>
  <si>
    <t>Hemodiálisis</t>
  </si>
  <si>
    <t>Diálisis peritoneal</t>
  </si>
  <si>
    <t>Razón fósforo/proteína</t>
  </si>
  <si>
    <t>Historial de versiones</t>
  </si>
  <si>
    <t>Cambio</t>
  </si>
  <si>
    <t>Versión inicial de NMX-42: explorador de alimentos con clasificación renal, sustituidor de alimentos e intercambios construidos con criterio renal.</t>
  </si>
  <si>
    <t>Fase 7 · Especialidades y productos complementarios.</t>
  </si>
  <si>
    <t>Hoja LICENCIA en primera posición con el bloqueo de redistribución y una lista de revisión clínica de cinco puntos que parte marcada en No.</t>
  </si>
  <si>
    <t>El propio libro se declara no apto para uso con pacientes hasta que el profesional complete la revisión.</t>
  </si>
  <si>
    <t>Marca de utilizable o no utilizable por alimento según la presencia de los cinco nutrientes críticos. Los no utilizables quedan fuera del explorador y del sustituidor.</t>
  </si>
  <si>
    <t>Un alimento sin dato de potasio no puede recomendarse como bajo en potasio: se desconoce su contenido.</t>
  </si>
  <si>
    <t>La razón fósforo sobre proteína solo se calcula en alimentos que superan el mínimo de proteína configurado.</t>
  </si>
  <si>
    <t>Aplicada a una fruta o a un aceite entrega cifras altísimas que no significan nada.</t>
  </si>
  <si>
    <t>Sustituidor que ordena alternativas del mismo grupo según el nutriente priorizado, con columna auxiliar de orden y sin fórmulas matriciales.</t>
  </si>
  <si>
    <t>Compatibilidad con Excel 2019 y anteriores.</t>
  </si>
  <si>
    <t>El explorador informa qué proporción del límite diario aporta la selección y advierte cuando hay alimentos sin datos completos.</t>
  </si>
  <si>
    <t>Los totales subestiman la carga si algún alimento quedó fuera del cálculo.</t>
  </si>
  <si>
    <t>Advertencias explícitas sobre fósforo de aditivos, efecto de la cocción sobre el potasio y sustitutos de sal.</t>
  </si>
  <si>
    <t>Son las tres cargas que una tabla de composición no puede capturar.</t>
  </si>
  <si>
    <t>Diseño visual, barra de navegación y enlaces de retorno replicados de NMX-10 aprobado.</t>
  </si>
  <si>
    <t>Unificar la identidad de la colección.</t>
  </si>
  <si>
    <t>1.0.1</t>
  </si>
  <si>
    <t>2026-08-01</t>
  </si>
  <si>
    <t>Corregido el caso de ejemplo: EXPLORADOR!B11 y SUSTITUCION!C12 vuelven a Papa cocida (estaban en Choclo cocido / Galleta vainilla) y LICENCIA!C14 vuelve a No (sin autorización, bloqueo activo). Las 29 pruebas quedan aprobadas.</t>
  </si>
  <si>
    <t>Diabetes (confirmación clínica)</t>
  </si>
  <si>
    <t>Meta clínica de potasio (mg/día)</t>
  </si>
  <si>
    <t>Meta clínica de fósforo (mg/día)</t>
  </si>
  <si>
    <t>Meta clínica de sodio (mg/día)</t>
  </si>
  <si>
    <t>Meta clínica de proteínas (g/día)</t>
  </si>
  <si>
    <t>Meta clínica de energía (kcal/día)</t>
  </si>
  <si>
    <t>Estas metas son registradas por el profesional y no se derivan de una tabla universal. Potasio, fósforo y sodio dependen del contexto clínico; proteína debe diferenciar no diálisis, hemodiálisis, diálisis peritoneal, diabetes y trasplante. En el ejemplo postrasplante, proteína queda ND.</t>
  </si>
  <si>
    <t>TRAZABILIDAD DE METAS CLÍNICAS</t>
  </si>
  <si>
    <t>Componente</t>
  </si>
  <si>
    <t>Fuente</t>
  </si>
  <si>
    <t>Limitación</t>
  </si>
  <si>
    <t>Equipo tratante</t>
  </si>
  <si>
    <t>No existe cifra universal. Integrar kalemia, fármacos, acidosis, diálisis, tránsito intestinal y sustitutos de sal.</t>
  </si>
  <si>
    <t>No existe cifra universal. INTA no captura bien aditivos fosfatados ni absorción; integrar fosfemia, quelantes y diálisis.</t>
  </si>
  <si>
    <t>Equipo tratante / KDOQI 2020</t>
  </si>
  <si>
    <t>KDOQI orienta &lt;2300 mg/día en ERC 3–5, 5D o postrasplante; individualizar por presión, volumen y pérdidas.</t>
  </si>
  <si>
    <t>No usar una cifra para todas las poblaciones. Trasplante requiere evaluación clínica y no recibe meta automática.</t>
  </si>
  <si>
    <t>25–35 kcal/kg/día es un rango orientador sujeto a edad, actividad, composición corporal, inflamación y objetivo clínico.</t>
  </si>
  <si>
    <t>NUMERICO_INGRESADO indica una meta clínica documentada. ND indica ausencia de un dato utilizable; ND nunca equivale a cero y no permite declarar un alimento seguro.</t>
  </si>
  <si>
    <t>Puede considerarse ante hiperkalemia o indicación clínica; no es la base obligatoria para toda persona con ERC.</t>
  </si>
  <si>
    <t>Opción de menor carga por porción cuando el contexto clínico lo requiere.</t>
  </si>
  <si>
    <t>Interpretar por porción y total diario; no se asigna frecuencia automática.</t>
  </si>
  <si>
    <t>No restringir por la categoría aislada: evaluar porción, cocción, laboratorio y patrón alimentario.</t>
  </si>
  <si>
    <t>Comparador descriptivo entre fuentes proteicas; no define una preferencia automática.</t>
  </si>
  <si>
    <t>Revisar con fosfemia, aditivos, quelantes y suficiencia proteica; no constituye prohibición automática.</t>
  </si>
  <si>
    <t>La kalemia normal no activa automáticamente una dieta baja en potasio. Las categorías por 100 g sirven para ordenar, no para prescribir. Integre porción, técnica culinaria, laboratorio, fármacos, modalidad de diálisis y objetivos del equipo tratante.</t>
  </si>
  <si>
    <t>KDOQI 2020 / KDIGO 2024 · TRAZABILIDAD CLÍNICA</t>
  </si>
  <si>
    <t>KDOQI 2020</t>
  </si>
  <si>
    <t>Evaluación y terapia nutricional: proteína diferenciada, energía individualizada y electrolitos según contexto.</t>
  </si>
  <si>
    <t>Fuente oficial KDOQI</t>
  </si>
  <si>
    <t>https://www.kidney.org/professionals/kdoqi/guidelines-and-commentaries/nutrition-ckd</t>
  </si>
  <si>
    <t>DOI KDOQI</t>
  </si>
  <si>
    <t>https://doi.org/10.1053/j.ajkd.2020.05.006</t>
  </si>
  <si>
    <t>KDIGO 2024</t>
  </si>
  <si>
    <t>Evaluación y manejo de ERC: CGA, TFGe, ACR, cronicidad, riesgo y derivación.</t>
  </si>
  <si>
    <t>Fuente oficial KDIGO</t>
  </si>
  <si>
    <t>https://kdigo.org/guidelines/ckd-evaluation-and-management/</t>
  </si>
  <si>
    <t>PDF KDIGO 2024</t>
  </si>
  <si>
    <t>https://kdigo.org/wp-content/uploads/2024/03/KDIGO-2024-CKD-Guideline.pdf</t>
  </si>
  <si>
    <t>KDIGO 2026</t>
  </si>
  <si>
    <t>Actualización focalizada en desarrollo: EN_DESARROLLO_NO_IMPLEMENTAR.</t>
  </si>
  <si>
    <t>Anuncio oficial 2026</t>
  </si>
  <si>
    <t>https://kdigo.org/kdigo-announces-update-to-2024-ckd-guideline/</t>
  </si>
  <si>
    <t>Marcas comerciales</t>
  </si>
  <si>
    <t>INTA puede no representar formulaciones comerciales actuales; verificar etiqueta, fabricante y versión.</t>
  </si>
  <si>
    <t>Datos s/i</t>
  </si>
  <si>
    <t>Se conservan como ND, nunca como cero; los totales pueden subestimar la carga real.</t>
  </si>
  <si>
    <t>DIABETES</t>
  </si>
  <si>
    <t>1.1</t>
  </si>
  <si>
    <t>2026-08-05</t>
  </si>
  <si>
    <t>Añadidas MATRIZ_RENAL, TRAZABILIDAD_RENAL y VALIDACION_RENAL con KDOQI 2020, KDIGO 2024 y bloqueo de KDIGO 2026.</t>
  </si>
  <si>
    <t>Diabetes se registra explícitamente; CGA, G/A y derivación se documentan sin convertir el explorador en prescriptor.</t>
  </si>
  <si>
    <t>Metas separadas en valor, estado ND, fuente y limitación; proteína postrasplante del ejemplo queda ND.</t>
  </si>
  <si>
    <t>Uso sugerido de equivalentes reescrito para evitar restricciones automáticas por categorías de 100 g.</t>
  </si>
  <si>
    <t>Documentadas limitaciones INTA: aditivos de fósforo, potasio postcocción, marcas comerciales y datos s/i.</t>
  </si>
  <si>
    <t>NMX-42 · TRAZABILIDAD CLÍNICA RENAL</t>
  </si>
  <si>
    <t>KDIGO 2024 para evaluación y manejo; KDOQI 2020 para evaluación y terapia nutricional. La hoja clasifica, documenta y alerta: no prescribe automáticamente.</t>
  </si>
  <si>
    <t>Complete solo celdas arena. TFGe/ACR requieren cronicidad o evidencia adicional. Potasio y fósforo dependen de laboratorio, tratamiento y contexto clínico.</t>
  </si>
  <si>
    <t>ENTRADAS Y CONTEXTO</t>
  </si>
  <si>
    <t>Campo</t>
  </si>
  <si>
    <t>Valor</t>
  </si>
  <si>
    <t>Unidad/estado</t>
  </si>
  <si>
    <t>Fuente del dato</t>
  </si>
  <si>
    <t>Interpretación auxiliar</t>
  </si>
  <si>
    <t>Documento</t>
  </si>
  <si>
    <t>TFGe</t>
  </si>
  <si>
    <t>mL/min/1,73 m²</t>
  </si>
  <si>
    <t>Resultado clínico validado</t>
  </si>
  <si>
    <t>No se calcula en este libro; validar ecuación y contexto</t>
  </si>
  <si>
    <t>ACR urinaria</t>
  </si>
  <si>
    <t>Laboratorio</t>
  </si>
  <si>
    <t>Confirmar persistencia y unidad</t>
  </si>
  <si>
    <t>Cronicidad confirmada</t>
  </si>
  <si>
    <t>Sí / No / ND</t>
  </si>
  <si>
    <t>Historia clínica</t>
  </si>
  <si>
    <t>No asumir con un único valor</t>
  </si>
  <si>
    <t>Riesgo KFRE a 5 años</t>
  </si>
  <si>
    <t>%</t>
  </si>
  <si>
    <t>Calculadora clínica validada</t>
  </si>
  <si>
    <t>No válido en todos los contextos; no se calcula aquí</t>
  </si>
  <si>
    <t>Alteración persistente de potasio</t>
  </si>
  <si>
    <t>Historia y controles seriados</t>
  </si>
  <si>
    <t>Una medición aislada no demuestra persistencia</t>
  </si>
  <si>
    <t>Potasio sérico</t>
  </si>
  <si>
    <t>mEq/L</t>
  </si>
  <si>
    <t>Laboratorio reciente</t>
  </si>
  <si>
    <t>Rango institucional y causas no dietarias</t>
  </si>
  <si>
    <t>Fósforo sérico</t>
  </si>
  <si>
    <t>mg/dL</t>
  </si>
  <si>
    <t>Rango institucional, diálisis y tratamiento</t>
  </si>
  <si>
    <t>Situación clínica</t>
  </si>
  <si>
    <t>texto</t>
  </si>
  <si>
    <t>Libro clínico</t>
  </si>
  <si>
    <t>Confirmar contra ficha clínica</t>
  </si>
  <si>
    <t>KDOQI/KDIGO</t>
  </si>
  <si>
    <t>Modalidad renal</t>
  </si>
  <si>
    <t>contexto</t>
  </si>
  <si>
    <t>Derivada de situación clínica</t>
  </si>
  <si>
    <t>Verificar manualmente</t>
  </si>
  <si>
    <t>Diabetes</t>
  </si>
  <si>
    <t>Derivada cuando está explícita</t>
  </si>
  <si>
    <t>ND exige confirmación antes de objetivo proteico no dialítico</t>
  </si>
  <si>
    <t>Sí / No</t>
  </si>
  <si>
    <t>No asignar proteína automática</t>
  </si>
  <si>
    <t>SALIDAS KDIGO 2024</t>
  </si>
  <si>
    <t>Salida</t>
  </si>
  <si>
    <t>Resultado</t>
  </si>
  <si>
    <t>Condición</t>
  </si>
  <si>
    <t>Uso en el libro</t>
  </si>
  <si>
    <t>Estadio G</t>
  </si>
  <si>
    <t>G1–G5</t>
  </si>
  <si>
    <t>Valor numérico válido</t>
  </si>
  <si>
    <t>Clasificación</t>
  </si>
  <si>
    <t>IMPLEMENTADO</t>
  </si>
  <si>
    <t>Albuminuria A</t>
  </si>
  <si>
    <t>A1–A3</t>
  </si>
  <si>
    <t>ACR</t>
  </si>
  <si>
    <t>Confirmación de ERC</t>
  </si>
  <si>
    <t>estado</t>
  </si>
  <si>
    <t>TFGe + ACR + cronicidad</t>
  </si>
  <si>
    <t>G1/G2 no confirman ERC sin daño renal</t>
  </si>
  <si>
    <t>Trazabilidad</t>
  </si>
  <si>
    <t>Criterio de derivación</t>
  </si>
  <si>
    <t>alerta</t>
  </si>
  <si>
    <t>TFGe / KFRE / K persistente</t>
  </si>
  <si>
    <t>No reemplaza juicio clínico ni urgencia</t>
  </si>
  <si>
    <t>Alerta no prescriptiva</t>
  </si>
  <si>
    <t>IMPLEMENTADO_COMO_ALERTA</t>
  </si>
  <si>
    <t>Actualización KDIGO 2026</t>
  </si>
  <si>
    <t>EN_DESARROLLO_NO_IMPLEMENTAR</t>
  </si>
  <si>
    <t>gobernanza</t>
  </si>
  <si>
    <t>Anuncio oficial</t>
  </si>
  <si>
    <t>No es recomendación final</t>
  </si>
  <si>
    <t>Bloqueo de implementación</t>
  </si>
  <si>
    <t>TERAPIA NUTRICIONAL KDOQI 2020 · ESTADO, NO PRESCRIPCIÓN AUTOMÁTICA</t>
  </si>
  <si>
    <t>Valor/estado</t>
  </si>
  <si>
    <t>Unidad</t>
  </si>
  <si>
    <t>Condiciones</t>
  </si>
  <si>
    <t>Implementación</t>
  </si>
  <si>
    <t>g/kg/día</t>
  </si>
  <si>
    <t>Población, diálisis y diabetes</t>
  </si>
  <si>
    <t>ND en G1–G2 y trasplante; supervisión clínica</t>
  </si>
  <si>
    <t>Rangos solo en poblaciones respaldadas</t>
  </si>
  <si>
    <t>kcal/kg/día</t>
  </si>
  <si>
    <t>Edad, sexo, actividad, composición, estadio, enfermedad</t>
  </si>
  <si>
    <t>No usar un punto fijo universal</t>
  </si>
  <si>
    <t>Rango contextual</t>
  </si>
  <si>
    <t>mg/día</t>
  </si>
  <si>
    <t>ERC 3–5, 5D o postrasplante; presión y volumen</t>
  </si>
  <si>
    <t>No extrapolar automáticamente a G1–G2</t>
  </si>
  <si>
    <t>Límite condicional</t>
  </si>
  <si>
    <t>Kalemia, fármacos, acidosis, diálisis, sustitutos de sal</t>
  </si>
  <si>
    <t>No cifra universal; potasio normal no activa restricción</t>
  </si>
  <si>
    <t>Estado contextual</t>
  </si>
  <si>
    <t>Fosfemia, fuente, aditivos, quelantes y diálisis</t>
  </si>
  <si>
    <t>INTA no captura aditivos; no cifra universal</t>
  </si>
  <si>
    <t>Modelo de dato</t>
  </si>
  <si>
    <t>VALOR | ND | FUENTE | LIMITACIÓN</t>
  </si>
  <si>
    <t>regla</t>
  </si>
  <si>
    <t>Metodología NMX</t>
  </si>
  <si>
    <t>Toda salida clínica</t>
  </si>
  <si>
    <t>ND nunca equivale a cero</t>
  </si>
  <si>
    <t>Gobernanza</t>
  </si>
  <si>
    <t>FUENTES OFICIALES</t>
  </si>
  <si>
    <t>KDOQI 2020 · DOI</t>
  </si>
  <si>
    <t>KDIGO 2026 · actualización en desarrollo</t>
  </si>
  <si>
    <t>MATRIZ_RENAL · TRAZABILIDAD KDOQI 2020 / KDIGO 2024</t>
  </si>
  <si>
    <t>Matriz clínica y metodológica. Los valores ND no son ceros; las recomendaciones contextuales no se convierten en prescripción automática.</t>
  </si>
  <si>
    <t>KDIGO 2026: EN_DESARROLLO_NO_IMPLEMENTAR. Fuentes oficiales: KDIGO 2024 para evaluación/manejo y KDOQI 2020 para evaluación/terapia nutricional.</t>
  </si>
  <si>
    <t>Recomendacion_ID</t>
  </si>
  <si>
    <t>Organismo</t>
  </si>
  <si>
    <t>Año</t>
  </si>
  <si>
    <t>Capítulo</t>
  </si>
  <si>
    <t>Recomendación</t>
  </si>
  <si>
    <t>Población</t>
  </si>
  <si>
    <t>Estadio_G</t>
  </si>
  <si>
    <t>Albuminuria_A</t>
  </si>
  <si>
    <t>Diálisis</t>
  </si>
  <si>
    <t>Evidencia</t>
  </si>
  <si>
    <t>Página</t>
  </si>
  <si>
    <t>Implementado_en</t>
  </si>
  <si>
    <t>KDIGO24-DEF-01</t>
  </si>
  <si>
    <t>KDIGO</t>
  </si>
  <si>
    <t>Clinical Practice Guideline for the Evaluation and Management of CKD</t>
  </si>
  <si>
    <t>1.1 Definición y clasificación</t>
  </si>
  <si>
    <t>Definir ERC por anomalías de estructura o función renal presentes durante al menos 3 meses, con implicaciones para la salud.</t>
  </si>
  <si>
    <t>Adultos y niños evaluados por posible ERC</t>
  </si>
  <si>
    <t>Todas</t>
  </si>
  <si>
    <t>Sí/No</t>
  </si>
  <si>
    <t>meses</t>
  </si>
  <si>
    <t>No confirmar cronicidad con un único resultado aislado.</t>
  </si>
  <si>
    <t>Definición KDIGO</t>
  </si>
  <si>
    <t>S137</t>
  </si>
  <si>
    <t>NMX-22/29/42 · TRAZABILIDAD_RENAL!B23</t>
  </si>
  <si>
    <t>KDIGO24-G1</t>
  </si>
  <si>
    <t>1.1 Tabla 2</t>
  </si>
  <si>
    <t>Clasificación G1: TFGe normal o alta.</t>
  </si>
  <si>
    <t>Evaluación de ERC</t>
  </si>
  <si>
    <t>G1</t>
  </si>
  <si>
    <t>mL/min/1,73 m² o más</t>
  </si>
  <si>
    <t>G1 no confirma ERC por sí solo sin otro marcador de daño renal.</t>
  </si>
  <si>
    <t>Tabla de clasificación</t>
  </si>
  <si>
    <t>VALIDACION_RENAL · caso G1</t>
  </si>
  <si>
    <t>KDIGO24-G2</t>
  </si>
  <si>
    <t>Clasificación G2: disminución leve de TFGe.</t>
  </si>
  <si>
    <t>G2</t>
  </si>
  <si>
    <t>60–89</t>
  </si>
  <si>
    <t>G2 no confirma ERC por sí solo sin otro marcador de daño renal.</t>
  </si>
  <si>
    <t>VALIDACION_RENAL · caso G2</t>
  </si>
  <si>
    <t>KDIGO24-G3A</t>
  </si>
  <si>
    <t>Clasificación G3a.</t>
  </si>
  <si>
    <t>G3a</t>
  </si>
  <si>
    <t>No diálisis</t>
  </si>
  <si>
    <t>45–59</t>
  </si>
  <si>
    <t>Interpretar junto con albuminuria y cronicidad.</t>
  </si>
  <si>
    <t>VALIDACION_RENAL · caso G3a</t>
  </si>
  <si>
    <t>KDIGO24-G3B</t>
  </si>
  <si>
    <t>Clasificación G3b.</t>
  </si>
  <si>
    <t>G3b</t>
  </si>
  <si>
    <t>30–44</t>
  </si>
  <si>
    <t>VALIDACION_RENAL · caso G3b</t>
  </si>
  <si>
    <t>KDIGO24-G4</t>
  </si>
  <si>
    <t>Clasificación G4.</t>
  </si>
  <si>
    <t>G4</t>
  </si>
  <si>
    <t>15–29</t>
  </si>
  <si>
    <t>Puede activar criterio de derivación por TFGe &lt;30.</t>
  </si>
  <si>
    <t>VALIDACION_RENAL · caso G4 y derivación</t>
  </si>
  <si>
    <t>KDIGO24-G5</t>
  </si>
  <si>
    <t>Clasificación G5: falla renal.</t>
  </si>
  <si>
    <t>G5</t>
  </si>
  <si>
    <t>Con o sin diálisis</t>
  </si>
  <si>
    <t>&lt;15</t>
  </si>
  <si>
    <t>Distinguir G5 sin diálisis de G5D.</t>
  </si>
  <si>
    <t>VALIDACION_RENAL · caso G5</t>
  </si>
  <si>
    <t>KDIGO24-A1</t>
  </si>
  <si>
    <t>1.1 Tabla 3</t>
  </si>
  <si>
    <t>Albuminuria A1.</t>
  </si>
  <si>
    <t>A1</t>
  </si>
  <si>
    <t>&lt;30</t>
  </si>
  <si>
    <t>mg/g ACR</t>
  </si>
  <si>
    <t>Normal a levemente aumentada.</t>
  </si>
  <si>
    <t>VALIDACION_RENAL · caso A1</t>
  </si>
  <si>
    <t>KDIGO24-A2</t>
  </si>
  <si>
    <t>Albuminuria A2.</t>
  </si>
  <si>
    <t>A2</t>
  </si>
  <si>
    <t>30–300</t>
  </si>
  <si>
    <t>Moderadamente aumentada.</t>
  </si>
  <si>
    <t>VALIDACION_RENAL · caso A2</t>
  </si>
  <si>
    <t>KDIGO24-A3</t>
  </si>
  <si>
    <t>Albuminuria A3.</t>
  </si>
  <si>
    <t>A3</t>
  </si>
  <si>
    <t>&gt;300</t>
  </si>
  <si>
    <t>Severamente aumentada.</t>
  </si>
  <si>
    <t>VALIDACION_RENAL · caso A3</t>
  </si>
  <si>
    <t>KDIGO24-EVAL-01</t>
  </si>
  <si>
    <t>1.1 Detección y evaluación</t>
  </si>
  <si>
    <t>Evaluar a las personas en riesgo usando medición de albuminuria urinaria y estimación de GFR.</t>
  </si>
  <si>
    <t>Personas en riesgo</t>
  </si>
  <si>
    <t>Ambas dimensiones son necesarias; no sustituir una por la otra.</t>
  </si>
  <si>
    <t>Practice Point 1.1.1.1</t>
  </si>
  <si>
    <t>S149</t>
  </si>
  <si>
    <t>TRAZABILIDAD_RENAL · entradas TFGe y ACR</t>
  </si>
  <si>
    <t>KDIGO24-EVAL-02</t>
  </si>
  <si>
    <t>1.1 Confirmación</t>
  </si>
  <si>
    <t>Repetir hallazgos incidentales de ACR elevada, hematuria o TFGe baja para confirmar ERC.</t>
  </si>
  <si>
    <t>Hallazgo incidental</t>
  </si>
  <si>
    <t>No aplica</t>
  </si>
  <si>
    <t>No asumir cronicidad a partir de un único valor anormal.</t>
  </si>
  <si>
    <t>Practice Point</t>
  </si>
  <si>
    <t>TRAZABILIDAD_RENAL · cronicidad confirmada</t>
  </si>
  <si>
    <t>KDIGO24-EVAL-03</t>
  </si>
  <si>
    <t>1.1 Estimación de GFR</t>
  </si>
  <si>
    <t>Usar eGFR basada en creatinina; si la cistatina C está disponible, considerar eGFR creatinina-cistatina para mayor precisión.</t>
  </si>
  <si>
    <t>El libro no recalcula eGFR: recibe el valor clínico validado.</t>
  </si>
  <si>
    <t>Recomendación/Practice Point</t>
  </si>
  <si>
    <t>TRAZABILIDAD_RENAL · limitación de TFGe</t>
  </si>
  <si>
    <t>DOCUMENTADO_NO_AUTOMATIZADO</t>
  </si>
  <si>
    <t>KDIGO24-REF-01</t>
  </si>
  <si>
    <t>5.1 Derivación</t>
  </si>
  <si>
    <t>Un riesgo de falla renal a 5 años de 3%–5% puede utilizarse para apoyar la derivación a nefrología, además de criterios por TFGe, ACR y otros hallazgos.</t>
  </si>
  <si>
    <t>ERC G3–G5</t>
  </si>
  <si>
    <t>G3–G5</t>
  </si>
  <si>
    <t>3–5</t>
  </si>
  <si>
    <t>% a 5 años</t>
  </si>
  <si>
    <t>KFRE no está validada para G1–G2 ni para todos los contextos; el valor se ingresa, no se calcula.</t>
  </si>
  <si>
    <t>Practice Point 2.2.1</t>
  </si>
  <si>
    <t>S201</t>
  </si>
  <si>
    <t>TRAZABILIDAD_RENAL · KFRE y derivación</t>
  </si>
  <si>
    <t>KDIGO24-REF-02</t>
  </si>
  <si>
    <t>5.1 Figura 48</t>
  </si>
  <si>
    <t>Derivar o consultar a nefrología ante TFGe &lt;30, caída sostenida, albuminuria significativa, alteraciones persistentes de potasio, acidosis, anemia, enfermedad ósea o malnutrición, entre otros criterios.</t>
  </si>
  <si>
    <t>Adultos con ERC</t>
  </si>
  <si>
    <t>G4–G5 o criterio clínico</t>
  </si>
  <si>
    <t>A2–A3 o criterio clínico</t>
  </si>
  <si>
    <t>La alerta no sustituye evaluación clínica ni urgencia local.</t>
  </si>
  <si>
    <t>Practice Point/Figura 48</t>
  </si>
  <si>
    <t>S255</t>
  </si>
  <si>
    <t>TRAZABILIDAD_RENAL · alerta de derivación</t>
  </si>
  <si>
    <t>KDIGO26-UPD-01</t>
  </si>
  <si>
    <t>Focused update to the 2024 CKD Guideline</t>
  </si>
  <si>
    <t>Actualización focalizada de capítulo 3</t>
  </si>
  <si>
    <t>Actualización anunciada en marzo de 2026 sobre terapias modificadoras de enfermedad; continúa en desarrollo y no constituye recomendación final.</t>
  </si>
  <si>
    <t>Personas con ERC</t>
  </si>
  <si>
    <t>No usar para cambiar metas o recomendaciones hasta publicación final y evaluación metodológica.</t>
  </si>
  <si>
    <t>Anuncio de proceso</t>
  </si>
  <si>
    <t>Web 17-03-2026</t>
  </si>
  <si>
    <t>MATRIZ_RENAL y TRAZABILIDAD_RENAL</t>
  </si>
  <si>
    <t>KDOQI20-SCR-01</t>
  </si>
  <si>
    <t>KDOQI/NKF</t>
  </si>
  <si>
    <t>Clinical Practice Guideline for Nutrition in CKD: 2020 Update</t>
  </si>
  <si>
    <t>1.1 Tamizaje nutricional</t>
  </si>
  <si>
    <t>Realizar tamizaje nutricional periódico en ERC 3–5D y postrasplante para identificar riesgo de desgaste proteico-energético.</t>
  </si>
  <si>
    <t>Adultos con ERC 3–5D o postrasplante</t>
  </si>
  <si>
    <t>HD/DP</t>
  </si>
  <si>
    <t>Frecuencia y herramienta según contexto clínico.</t>
  </si>
  <si>
    <t>Guideline statement</t>
  </si>
  <si>
    <t>S19–S20</t>
  </si>
  <si>
    <t>NMX-22/29 · evaluación; matriz</t>
  </si>
  <si>
    <t>KDOQI20-ASSESS-01</t>
  </si>
  <si>
    <t>1.3 Evaluación de ingesta</t>
  </si>
  <si>
    <t>Preferir registro alimentario de 3 días para evaluar ingesta dietaria en ERC 3–5D.</t>
  </si>
  <si>
    <t>Adultos con ERC 3–5D</t>
  </si>
  <si>
    <t>días</t>
  </si>
  <si>
    <t>Usar días representativos; en diálisis distinguir día con y sin sesión.</t>
  </si>
  <si>
    <t>Opinion/Guideline statement</t>
  </si>
  <si>
    <t>S20</t>
  </si>
  <si>
    <t>NMX-22 · REGISTRO</t>
  </si>
  <si>
    <t>KDOQI20-ASSESS-02</t>
  </si>
  <si>
    <t>El recordatorio de 24 horas es una alternativa para evaluar ingesta cuando no se dispone de un registro de 3 días.</t>
  </si>
  <si>
    <t>horas</t>
  </si>
  <si>
    <t>Aplicar entrevista estructurada y reconocer sesgo de memoria.</t>
  </si>
  <si>
    <t>NMX-29 · RECORDATORIO</t>
  </si>
  <si>
    <t>KDOQI20-MNT-01</t>
  </si>
  <si>
    <t>2.1 Terapia nutricional médica</t>
  </si>
  <si>
    <t>La terapia nutricional médica debe ser proporcionada por nutricionista dietista registrado o equivalente, en colaboración con el equipo médico.</t>
  </si>
  <si>
    <t>Adultos con ERC 1–5D y postrasplante</t>
  </si>
  <si>
    <t>Los libros son apoyo documental, no prescriptores autónomos.</t>
  </si>
  <si>
    <t>Todos los libros · advertencia de uso</t>
  </si>
  <si>
    <t>IMPLEMENTADO_COMO_GOBERNANZA</t>
  </si>
  <si>
    <t>KDOQI20-PROT-01</t>
  </si>
  <si>
    <t>3.0.1 Restricción proteica</t>
  </si>
  <si>
    <t>En adultos metabólicamente estables con ERC 3–5 sin diabetes y bajo estrecha supervisión clínica, recomendar dieta baja en proteína.</t>
  </si>
  <si>
    <t>ERC 3–5 sin diálisis, sin diabetes</t>
  </si>
  <si>
    <t>0.55–0.60</t>
  </si>
  <si>
    <t>Requiere aporte energético adecuado y supervisión cercana.</t>
  </si>
  <si>
    <t>1A</t>
  </si>
  <si>
    <t>NMX-22/29 CONFIG y TRAZABILIDAD_RENAL</t>
  </si>
  <si>
    <t>IMPLEMENTADO_CON_CONDICIONES</t>
  </si>
  <si>
    <t>KDOQI20-PROT-02</t>
  </si>
  <si>
    <t>3.0.1 Dieta muy baja en proteína</t>
  </si>
  <si>
    <t>Alternativa de 0,28–0,43 g/kg/día suplementada con cetoanálogos para alcanzar requerimientos proteicos, bajo estrecha supervisión.</t>
  </si>
  <si>
    <t>0.28–0.43</t>
  </si>
  <si>
    <t>g/kg/día + cetoanálogos</t>
  </si>
  <si>
    <t>No se automatiza por complejidad, disponibilidad, seguridad y necesidad de supervisión especializada.</t>
  </si>
  <si>
    <t>MATRIZ_RENAL solamente</t>
  </si>
  <si>
    <t>KDOQI20-PROT-03</t>
  </si>
  <si>
    <t>3.0.2 Diabetes</t>
  </si>
  <si>
    <t>En ERC 3–5 sin diálisis y con diabetes, un objetivo de proteína de 0,6–0,8 g/kg/día puede ser razonable para mantener estado nutricional y control glucémico.</t>
  </si>
  <si>
    <t>ERC 3–5 sin diálisis, con diabetes</t>
  </si>
  <si>
    <t>0.60–0.80</t>
  </si>
  <si>
    <t>Individualizar según control metabólico, estado nutricional y progresión.</t>
  </si>
  <si>
    <t>Opinion</t>
  </si>
  <si>
    <t>KDOQI20-PROT-04</t>
  </si>
  <si>
    <t>3.1.1 Diálisis</t>
  </si>
  <si>
    <t>En hemodiálisis de mantención y diálisis peritoneal, recomendar 1,0–1,2 g/kg/día en adultos metabólicamente estables.</t>
  </si>
  <si>
    <t>HD y DP</t>
  </si>
  <si>
    <t>G5D</t>
  </si>
  <si>
    <t>1.00–1.20</t>
  </si>
  <si>
    <t>Puede requerir ajuste por catabolismo, inflamación, pérdidas y estado nutricional.</t>
  </si>
  <si>
    <t>HD 1C; DP Opinion</t>
  </si>
  <si>
    <t>KDOQI20-PROT-05</t>
  </si>
  <si>
    <t>3.1.2 Diálisis y diabetes</t>
  </si>
  <si>
    <t>En HD o DP con diabetes, 1,0–1,2 g/kg/día; considerar necesidades mayores según estado nutricional y control glucémico.</t>
  </si>
  <si>
    <t>HD y DP con diabetes</t>
  </si>
  <si>
    <t>No reducir al rango de ERC sin diálisis.</t>
  </si>
  <si>
    <t>TRAZABILIDAD_RENAL y VALIDACION_RENAL</t>
  </si>
  <si>
    <t>KDOQI20-PROT-06</t>
  </si>
  <si>
    <t>3.0–3.1 Alcance</t>
  </si>
  <si>
    <t>No asignar automáticamente un mismo valor proteico a G1–G2 o al postrasplante estable a partir de las declaraciones proteicas anteriores.</t>
  </si>
  <si>
    <t>G1–G2 y postrasplante</t>
  </si>
  <si>
    <t>G1–G2</t>
  </si>
  <si>
    <t>Se registra ND y se exige individualización clínica; no se infiere 0,8–1,0 como recomendación KDOQI 2020.</t>
  </si>
  <si>
    <t>Interpretación metodológica del alcance</t>
  </si>
  <si>
    <t>NMX-22/29 CONFIG; NMX-42 DATOS</t>
  </si>
  <si>
    <t>ND_NO_PRESCRIBIR</t>
  </si>
  <si>
    <t>KDOQI20-ENER-01</t>
  </si>
  <si>
    <t>3.2.1 Energía</t>
  </si>
  <si>
    <t>En adultos metabólicamente estables con ERC 1–5D o postrasplante, prescribir 25–35 kcal/kg/día según edad, sexo, actividad, composición corporal, objetivos de peso, estadio, enfermedad e inflamación.</t>
  </si>
  <si>
    <t>ERC 1–5D y postrasplante</t>
  </si>
  <si>
    <t>25–35</t>
  </si>
  <si>
    <t>Rango que exige individualización; no usar un valor fijo universal.</t>
  </si>
  <si>
    <t>1C</t>
  </si>
  <si>
    <t>KDOQI20-NA-01</t>
  </si>
  <si>
    <t>6.4 Sodio</t>
  </si>
  <si>
    <t>En ERC 3–5, ERC 5D o postrasplante, limitar sodio a menos de 100 mmol/día para reducir presión arterial y mejorar control de volumen.</t>
  </si>
  <si>
    <t>ERC 3–5, 5D y postrasplante</t>
  </si>
  <si>
    <t>&lt;2300</t>
  </si>
  <si>
    <t>Individualizar por presión arterial, volumen, pérdidas y comorbilidades; no se aplica automáticamente a G1–G2 desde esta declaración.</t>
  </si>
  <si>
    <t>1B/2B</t>
  </si>
  <si>
    <t>S23</t>
  </si>
  <si>
    <t>NMX-22/29 CONFIG; NMX-42 meta ingresada</t>
  </si>
  <si>
    <t>KDOQI20-K-01</t>
  </si>
  <si>
    <t>6.1 Potasio</t>
  </si>
  <si>
    <t>Ajustar la ingesta de potasio para mantener el potasio sérico en rango normal.</t>
  </si>
  <si>
    <t>ERC 3–5D o postrasplante</t>
  </si>
  <si>
    <t>No existe una cifra única; considerar fármacos, acidosis, glucemia, estreñimiento, diálisis, sustitutos de sal y patrón dietario.</t>
  </si>
  <si>
    <t>S23; S83</t>
  </si>
  <si>
    <t>NMX-22/29 metas manuales; NMX-42 contexto</t>
  </si>
  <si>
    <t>INDIVIDUALIZAR_NO_AUTOMATIZAR</t>
  </si>
  <si>
    <t>KDOQI20-K-02</t>
  </si>
  <si>
    <t>6.1.2 Hipo/hiperkalemia</t>
  </si>
  <si>
    <t>En hiperpotasemia o hipopotasemia, ajustar el potasio dietario considerando las necesidades individuales y factores no dietarios.</t>
  </si>
  <si>
    <t>ERC 3–5D o postrasplante con alteración de K</t>
  </si>
  <si>
    <t>Potasio normal no activa restricción automática. Una medición anormal no demuestra persistencia.</t>
  </si>
  <si>
    <t>IMPLEMENTADO_COMO_ESTADO_CONTEXTUAL</t>
  </si>
  <si>
    <t>KDOQI20-P-01</t>
  </si>
  <si>
    <t>6.3 Fósforo</t>
  </si>
  <si>
    <t>Ajustar el fósforo dietario para mantener el fosfato sérico en rango normal.</t>
  </si>
  <si>
    <t>No se implementa un límite dietario universal de 800–1000 mg; el tratamiento depende de laboratorio, fuentes y terapia.</t>
  </si>
  <si>
    <t>S23; S79</t>
  </si>
  <si>
    <t>KDOQI20-P-02</t>
  </si>
  <si>
    <t>6.3.2 Fuente de fósforo</t>
  </si>
  <si>
    <t>Considerar la biodisponibilidad de la fuente de fósforo y la presencia de aditivos al recomendar restricción.</t>
  </si>
  <si>
    <t>El fósforo inorgánico añadido no está representado de forma fiable por tablas generales de composición.</t>
  </si>
  <si>
    <t>FUENTES, MATRIZ_RENAL y limitaciones INTA</t>
  </si>
  <si>
    <t>IMPLEMENTADO_COMO_ADVERTENCIA</t>
  </si>
  <si>
    <t>KDOQI20-TYPE-01</t>
  </si>
  <si>
    <t>3.3 Tipo de proteína</t>
  </si>
  <si>
    <t>La evidencia es insuficiente para recomendar un tipo específico de proteína sobre otro en ERC.</t>
  </si>
  <si>
    <t>La razón fósforo/proteína es un descriptor comparativo, no una prescripción de tipo de proteína.</t>
  </si>
  <si>
    <t>Evidence insufficient</t>
  </si>
  <si>
    <t>NMX-22/29/42 · advertencia de interpretación</t>
  </si>
  <si>
    <t>INTA18-LIM-01</t>
  </si>
  <si>
    <t>INTA / Metodología local</t>
  </si>
  <si>
    <t>Tabla de Composición de Alimentos INTA 2018</t>
  </si>
  <si>
    <t>Limitación de fuente</t>
  </si>
  <si>
    <t>Los datos s/i se modelan como ND, nunca como cero.</t>
  </si>
  <si>
    <t>Usuarios de los libros</t>
  </si>
  <si>
    <t>Un total con alimentos ND subestima la carga real.</t>
  </si>
  <si>
    <t>Regla de calidad de datos</t>
  </si>
  <si>
    <t>NMX-22/29/42 · cálculos y cobertura</t>
  </si>
  <si>
    <t>INTA18-LIM-02</t>
  </si>
  <si>
    <t>La base no permite estimar de forma fiable el fósforo de aditivos en productos comerciales.</t>
  </si>
  <si>
    <t>Revisar ingredientes y aditivos fosfatados; marcas y reformulaciones pueden cambiar.</t>
  </si>
  <si>
    <t>Limitación documental</t>
  </si>
  <si>
    <t>FUENTES y MATRIZ_RENAL</t>
  </si>
  <si>
    <t>INTA18-LIM-03</t>
  </si>
  <si>
    <t>La tabla no documenta pérdidas de potasio por remojo, doble cocción o método postcocción de forma aplicable a cada alimento.</t>
  </si>
  <si>
    <t>No aplicar factores automáticos; registrar técnica y fuente específica si se usan.</t>
  </si>
  <si>
    <t>NMX-29 factores en 1,00; NMX-42 advertencia</t>
  </si>
  <si>
    <t>INTA18-LIM-04</t>
  </si>
  <si>
    <t>La composición por marca comercial, reformulación, sodio añadido y sustitutos de sal puede no estar representada.</t>
  </si>
  <si>
    <t>Verificar etiqueta vigente y no extrapolar entre marcas.</t>
  </si>
  <si>
    <t>VALIDACIÓN REPRODUCIBLE · REGLAS RENALES</t>
  </si>
  <si>
    <t>Pruebas independientes de clasificación G/A, poblaciones, estados ND, contexto de potasio/fósforo, TFGe inválida y derivación.</t>
  </si>
  <si>
    <t>Estas pruebas verifican lógica y trazabilidad; no constituyen validación clínica prospectiva.</t>
  </si>
  <si>
    <t>Caso_ID</t>
  </si>
  <si>
    <t>Dominio</t>
  </si>
  <si>
    <t>Entrada_1</t>
  </si>
  <si>
    <t>Entrada_2</t>
  </si>
  <si>
    <t>QA-G1</t>
  </si>
  <si>
    <t>QA-G2</t>
  </si>
  <si>
    <t>QA-G3A</t>
  </si>
  <si>
    <t>QA-G3B</t>
  </si>
  <si>
    <t>QA-G4</t>
  </si>
  <si>
    <t>QA-G5</t>
  </si>
  <si>
    <t>QA-A1</t>
  </si>
  <si>
    <t>QA-A2</t>
  </si>
  <si>
    <t>QA-A3</t>
  </si>
  <si>
    <t>QA-NODIAL-NODM</t>
  </si>
  <si>
    <t>ERC G3–G5 sin diálisis</t>
  </si>
  <si>
    <t>0.55–0.60 g/kg/d</t>
  </si>
  <si>
    <t>QA-NODIAL-DM</t>
  </si>
  <si>
    <t>0.60–0.80 g/kg/d</t>
  </si>
  <si>
    <t>QA-HD</t>
  </si>
  <si>
    <t>1.00–1.20 g/kg/d</t>
  </si>
  <si>
    <t>QA-PD</t>
  </si>
  <si>
    <t>QA-DIAL-DM</t>
  </si>
  <si>
    <t>QA-TRASPLANTE</t>
  </si>
  <si>
    <t>ND · individualizar</t>
  </si>
  <si>
    <t>QA-HIPERK</t>
  </si>
  <si>
    <t>INDIVIDUALIZAR_POR_HIPERKALEMIA</t>
  </si>
  <si>
    <t>QA-K-NORMAL</t>
  </si>
  <si>
    <t>SIN_RESTRICCION_AUTOMATICA</t>
  </si>
  <si>
    <t>QA-P-ND</t>
  </si>
  <si>
    <t>QA-EGFR-INVALIDA</t>
  </si>
  <si>
    <t>TFGe_INVALIDA</t>
  </si>
  <si>
    <t>QA-DERIVACION-EGFR</t>
  </si>
  <si>
    <t>Derivación</t>
  </si>
  <si>
    <t>DERIVACION_NEFROLOGIA</t>
  </si>
  <si>
    <t>QA-DERIVACION-K</t>
  </si>
  <si>
    <t>QA-G1-A1-SIN-DAÑO</t>
  </si>
  <si>
    <t>Confirmación ERC</t>
  </si>
  <si>
    <t>NO_CONFIRMA_ERC_SIN_OTRO_MARCADOR</t>
  </si>
  <si>
    <t>QA-KDIGO2026</t>
  </si>
  <si>
    <t>Pruebas totales</t>
  </si>
  <si>
    <t>INTA, Universidad de Chile, edición 2018 · LICENCIA</t>
  </si>
  <si>
    <t xml:space="preserve">LICENCIA · La base proviene del INTA de la Universidad de Chile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</si>
</sst>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64" formatCode="0.0%"/>
    <numFmt numFmtId="165" formatCode="0.0"/>
    <numFmt numFmtId="166" formatCode="\+0;\-0;0"/>
  </numFmts>
  <fonts count="31">
    <font>
      <sz val="11"/>
      <color theme="1"/>
      <name val="Calibri"/>
    </font>
    <font>
      <sz val="10"/>
      <name val="Arial"/>
    </font>
    <font>
      <b/>
      <sz val="20"/>
      <color rgb="FFFFFFFF"/>
      <name val="Arial"/>
    </font>
    <font>
      <b/>
      <sz val="14"/>
      <color rgb="FFFFFFFF"/>
      <name val="Arial"/>
    </font>
    <font>
      <b/>
      <sz val="10"/>
      <color rgb="FFFFFFFF"/>
      <name val="Aptos"/>
    </font>
    <font>
      <sz val="11"/>
      <color rgb="FF155E6C"/>
      <name val="Aptos"/>
    </font>
    <font>
      <b/>
      <sz val="11"/>
      <color rgb="FF1A1A1A"/>
      <name val="Arial"/>
    </font>
    <font>
      <b/>
      <sz val="10"/>
      <color rgb="FF1A1A1A"/>
      <name val="Arial"/>
    </font>
    <font>
      <b/>
      <sz val="11"/>
      <color rgb="FFFFFFFF"/>
      <name val="Arial"/>
    </font>
    <font>
      <b/>
      <sz val="10"/>
      <color rgb="FF155E6C"/>
      <name val="Arial"/>
    </font>
    <font>
      <b/>
      <sz val="12"/>
      <color rgb="FF1A1A1A"/>
      <name val="Arial"/>
    </font>
    <font>
      <b/>
      <sz val="10"/>
      <color rgb="FF0000CC"/>
      <name val="Arial"/>
    </font>
    <font>
      <b/>
      <sz val="11"/>
      <color rgb="FFB45309"/>
      <name val="Arial"/>
    </font>
    <font>
      <b/>
      <sz val="10"/>
      <color rgb="FFFFFFFF"/>
      <name val="Arial"/>
    </font>
    <font>
      <sz val="10"/>
      <color rgb="FF1A1A1A"/>
      <name val="Arial"/>
    </font>
    <font>
      <b/>
      <sz val="10"/>
      <color rgb="FFB45309"/>
      <name val="Arial"/>
    </font>
    <font>
      <sz val="9"/>
      <color rgb="FF5A6B70"/>
      <name val="Arial"/>
    </font>
    <font>
      <b/>
      <sz val="9"/>
      <color rgb="FFFFFFFF"/>
      <name val="Arial"/>
    </font>
    <font>
      <sz val="9"/>
      <color rgb="FF1A1A1A"/>
      <name val="Arial"/>
    </font>
    <font>
      <b/>
      <sz val="9"/>
      <color rgb="FFB45309"/>
      <name val="Arial"/>
    </font>
    <font>
      <sz val="8"/>
      <color rgb="FF5A6B70"/>
      <name val="Arial"/>
    </font>
    <font>
      <b/>
      <sz val="9"/>
      <color rgb="FF1C6B72"/>
      <name val="Arial"/>
    </font>
    <font>
      <b/>
      <sz val="9"/>
      <color rgb="FF1A1A1A"/>
      <name val="Arial"/>
    </font>
    <font>
      <b/>
      <sz val="10"/>
      <color rgb="FF1C6B72"/>
      <name val="Arial"/>
    </font>
    <font>
      <b/>
      <sz val="18"/>
      <color rgb="FFFFFFFF"/>
      <name val="Arial"/>
    </font>
    <font>
      <b/>
      <sz val="9"/>
      <color rgb="FFC65911"/>
      <name val="Arial"/>
    </font>
    <font>
      <b/>
      <sz val="9"/>
      <color rgb="FF9C0006"/>
      <name val="Arial"/>
    </font>
    <font>
      <b/>
      <sz val="8"/>
      <color rgb="FFFFFFFF"/>
      <name val="Arial"/>
    </font>
    <font>
      <sz val="8"/>
      <color rgb="FF1A1A1A"/>
      <name val="Arial"/>
    </font>
    <font>
      <b/>
      <sz val="8"/>
      <color rgb="FF1A1A1A"/>
      <name val="Arial"/>
    </font>
    <font>
      <b/>
      <sz val="10"/>
      <color rgb="FF1A1A1A"/>
      <name val="Arial"/>
      <family val="2"/>
    </font>
  </fonts>
  <fills count="20">
    <fill>
      <patternFill patternType="none"/>
    </fill>
    <fill>
      <patternFill patternType="gray125"/>
    </fill>
    <fill>
      <patternFill patternType="solid">
        <fgColor rgb="FF0F3B44"/>
      </patternFill>
    </fill>
    <fill>
      <patternFill patternType="solid">
        <fgColor rgb="FF1C6B72"/>
      </patternFill>
    </fill>
    <fill>
      <patternFill patternType="solid">
        <fgColor rgb="FF17324D"/>
      </patternFill>
    </fill>
    <fill>
      <patternFill patternType="solid">
        <fgColor rgb="FFDCEFF1"/>
      </patternFill>
    </fill>
    <fill>
      <patternFill patternType="solid">
        <fgColor rgb="FFE7E0F5"/>
      </patternFill>
    </fill>
    <fill>
      <patternFill patternType="solid">
        <fgColor rgb="FFFBE4D5"/>
      </patternFill>
    </fill>
    <fill>
      <patternFill patternType="solid">
        <fgColor rgb="FFFCEFCE"/>
      </patternFill>
    </fill>
    <fill>
      <patternFill patternType="solid">
        <fgColor rgb="FFF4F6F7"/>
      </patternFill>
    </fill>
    <fill>
      <patternFill patternType="solid">
        <fgColor rgb="FFDFF0E3"/>
      </patternFill>
    </fill>
    <fill>
      <patternFill patternType="solid">
        <fgColor rgb="FF0F3B44"/>
      </patternFill>
    </fill>
    <fill>
      <patternFill patternType="solid">
        <fgColor rgb="FF1C6B72"/>
      </patternFill>
    </fill>
    <fill>
      <patternFill patternType="solid">
        <fgColor rgb="FFFCE4D6"/>
      </patternFill>
    </fill>
    <fill>
      <patternFill patternType="solid">
        <fgColor rgb="FF17324D"/>
      </patternFill>
    </fill>
    <fill>
      <patternFill patternType="solid">
        <fgColor rgb="FFEEF2F3"/>
      </patternFill>
    </fill>
    <fill>
      <patternFill patternType="solid">
        <fgColor rgb="FFFFF2CC"/>
      </patternFill>
    </fill>
    <fill>
      <patternFill patternType="solid">
        <fgColor rgb="FFDCEFF1"/>
      </patternFill>
    </fill>
    <fill>
      <patternFill patternType="solid">
        <fgColor rgb="FFF4CCCC"/>
      </patternFill>
    </fill>
    <fill>
      <patternFill patternType="solid">
        <fgColor rgb="FFE7E0F5"/>
      </patternFill>
    </fill>
  </fills>
  <borders count="18">
    <border>
      <left/>
      <right/>
      <top/>
      <bottom/>
      <diagonal/>
    </border>
    <border>
      <left style="thin">
        <color rgb="FFB7C7CB"/>
      </left>
      <right style="thin">
        <color rgb="FFB7C7CB"/>
      </right>
      <top style="thin">
        <color rgb="FFB7C7CB"/>
      </top>
      <bottom style="thin">
        <color rgb="FFB7C7CB"/>
      </bottom>
      <diagonal/>
    </border>
    <border>
      <left style="thin">
        <color rgb="FFB7C7CB"/>
      </left>
      <right style="thin">
        <color rgb="FFB7C7CB"/>
      </right>
      <top/>
      <bottom/>
      <diagonal/>
    </border>
    <border>
      <left style="thin">
        <color rgb="FFB7C7CB"/>
      </left>
      <right/>
      <top style="thin">
        <color rgb="FFB7C7CB"/>
      </top>
      <bottom style="thin">
        <color rgb="FFB7C7CB"/>
      </bottom>
      <diagonal/>
    </border>
    <border>
      <left/>
      <right/>
      <top style="thin">
        <color rgb="FFB7C7CB"/>
      </top>
      <bottom style="thin">
        <color rgb="FFB7C7CB"/>
      </bottom>
      <diagonal/>
    </border>
    <border>
      <left/>
      <right style="thin">
        <color rgb="FFB7C7CB"/>
      </right>
      <top style="thin">
        <color rgb="FFB7C7CB"/>
      </top>
      <bottom style="thin">
        <color rgb="FFB7C7CB"/>
      </bottom>
      <diagonal/>
    </border>
    <border>
      <left style="thin">
        <color rgb="FFB7C7CB"/>
      </left>
      <right/>
      <top style="thin">
        <color rgb="FFB7C7CB"/>
      </top>
      <bottom/>
      <diagonal/>
    </border>
    <border>
      <left/>
      <right/>
      <top style="thin">
        <color rgb="FFB7C7CB"/>
      </top>
      <bottom/>
      <diagonal/>
    </border>
    <border>
      <left/>
      <right style="thin">
        <color rgb="FFB7C7CB"/>
      </right>
      <top style="thin">
        <color rgb="FFB7C7CB"/>
      </top>
      <bottom/>
      <diagonal/>
    </border>
    <border>
      <left style="thin">
        <color rgb="FFB7C7CB"/>
      </left>
      <right/>
      <top/>
      <bottom/>
      <diagonal/>
    </border>
    <border>
      <left/>
      <right style="thin">
        <color rgb="FFB7C7CB"/>
      </right>
      <top/>
      <bottom/>
      <diagonal/>
    </border>
    <border>
      <left style="thin">
        <color rgb="FFB7C7CB"/>
      </left>
      <right/>
      <top/>
      <bottom style="thin">
        <color rgb="FFB7C7CB"/>
      </bottom>
      <diagonal/>
    </border>
    <border>
      <left/>
      <right/>
      <top/>
      <bottom style="thin">
        <color rgb="FFB7C7CB"/>
      </bottom>
      <diagonal/>
    </border>
    <border>
      <left/>
      <right style="thin">
        <color rgb="FFB7C7CB"/>
      </right>
      <top/>
      <bottom style="thin">
        <color rgb="FFB7C7CB"/>
      </bottom>
      <diagonal/>
    </border>
    <border>
      <left style="thin">
        <color rgb="FFB7C7CB"/>
      </left>
      <right/>
      <top style="thin">
        <color rgb="FFB7C7CB"/>
      </top>
      <bottom/>
      <diagonal/>
    </border>
    <border>
      <left/>
      <right/>
      <top style="thin">
        <color rgb="FFB7C7CB"/>
      </top>
      <bottom/>
      <diagonal/>
    </border>
    <border>
      <left style="thin">
        <color rgb="FFB7C7CB"/>
      </left>
      <right style="thin">
        <color rgb="FFB7C7CB"/>
      </right>
      <top style="thin">
        <color rgb="FFB7C7CB"/>
      </top>
      <bottom/>
      <diagonal/>
    </border>
    <border>
      <left style="thin">
        <color rgb="FFB7C7CB"/>
      </left>
      <right style="thin">
        <color rgb="FFB7C7CB"/>
      </right>
      <top/>
      <bottom style="thin">
        <color rgb="FFB7C7CB"/>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167">
    <xf numFmtId="0" fontId="0" fillId="0" borderId="0" xfId="0"/>
    <xf numFmtId="0" fontId="12"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0" fillId="5" borderId="1" xfId="0" applyFont="1" applyFill="1" applyBorder="1" applyAlignment="1">
      <alignment horizontal="center" vertical="center"/>
    </xf>
    <xf numFmtId="0" fontId="9" fillId="5"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8" fillId="3" borderId="1" xfId="0" applyFont="1" applyFill="1" applyBorder="1" applyAlignment="1">
      <alignment horizontal="left" vertical="center"/>
    </xf>
    <xf numFmtId="0" fontId="7" fillId="6" borderId="1" xfId="0" applyFont="1" applyFill="1" applyBorder="1" applyAlignment="1">
      <alignment horizontal="left" vertical="center" wrapText="1"/>
    </xf>
    <xf numFmtId="0" fontId="6" fillId="6" borderId="1" xfId="0" applyFont="1" applyFill="1" applyBorder="1" applyAlignment="1">
      <alignment horizontal="left" vertical="center"/>
    </xf>
    <xf numFmtId="0" fontId="5" fillId="5"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0" xfId="0" applyFont="1" applyFill="1" applyBorder="1" applyAlignment="1">
      <alignment horizontal="left" vertical="center" wrapText="1"/>
    </xf>
    <xf numFmtId="0" fontId="2" fillId="2" borderId="0" xfId="0" applyFont="1" applyFill="1" applyBorder="1" applyAlignment="1">
      <alignment horizontal="left" vertical="center"/>
    </xf>
    <xf numFmtId="0" fontId="0" fillId="0" borderId="0" xfId="0" applyAlignment="1"/>
    <xf numFmtId="0" fontId="13" fillId="3" borderId="1" xfId="0" applyFont="1" applyFill="1" applyBorder="1" applyAlignment="1">
      <alignment horizontal="center" vertical="center"/>
    </xf>
    <xf numFmtId="0" fontId="14" fillId="9" borderId="1" xfId="0" applyFont="1" applyFill="1" applyBorder="1" applyAlignment="1">
      <alignment horizontal="left" vertical="center"/>
    </xf>
    <xf numFmtId="0" fontId="14" fillId="9" borderId="1" xfId="0" applyFont="1" applyFill="1" applyBorder="1" applyAlignment="1">
      <alignment horizontal="center" vertical="center"/>
    </xf>
    <xf numFmtId="164" fontId="6" fillId="10" borderId="1" xfId="0" applyNumberFormat="1" applyFont="1" applyFill="1" applyBorder="1" applyAlignment="1">
      <alignment horizontal="center" vertical="center"/>
    </xf>
    <xf numFmtId="0" fontId="15" fillId="7"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18" fillId="0" borderId="0" xfId="0" applyFont="1" applyAlignment="1">
      <alignment horizontal="left" vertical="center"/>
    </xf>
    <xf numFmtId="0" fontId="18" fillId="9" borderId="0" xfId="0" applyFont="1" applyFill="1" applyAlignment="1">
      <alignment horizontal="right" vertical="center"/>
    </xf>
    <xf numFmtId="0" fontId="18" fillId="5" borderId="0" xfId="0" applyFont="1" applyFill="1" applyAlignment="1">
      <alignment horizontal="center" vertical="center"/>
    </xf>
    <xf numFmtId="165" fontId="18" fillId="9" borderId="0" xfId="0" applyNumberFormat="1" applyFont="1" applyFill="1" applyAlignment="1">
      <alignment horizontal="center" vertical="center"/>
    </xf>
    <xf numFmtId="0" fontId="19" fillId="7" borderId="0" xfId="0" applyFont="1" applyFill="1" applyAlignment="1">
      <alignment horizontal="center" vertical="center"/>
    </xf>
    <xf numFmtId="0" fontId="20" fillId="6" borderId="0" xfId="0" applyFont="1" applyFill="1" applyAlignment="1">
      <alignment horizontal="center" vertical="center"/>
    </xf>
    <xf numFmtId="0" fontId="16" fillId="6" borderId="1" xfId="0" applyFont="1" applyFill="1" applyBorder="1" applyAlignment="1">
      <alignment horizontal="center" vertical="center"/>
    </xf>
    <xf numFmtId="0" fontId="11" fillId="8" borderId="1" xfId="0" applyFont="1" applyFill="1" applyBorder="1" applyAlignment="1">
      <alignment horizontal="left" vertical="center"/>
    </xf>
    <xf numFmtId="0" fontId="11" fillId="8" borderId="1" xfId="0" applyFont="1" applyFill="1" applyBorder="1" applyAlignment="1">
      <alignment horizontal="center" vertical="center"/>
    </xf>
    <xf numFmtId="0" fontId="19" fillId="7" borderId="1" xfId="0" applyFont="1" applyFill="1" applyBorder="1" applyAlignment="1">
      <alignment horizontal="center" vertical="center"/>
    </xf>
    <xf numFmtId="165" fontId="14" fillId="9" borderId="1" xfId="0" applyNumberFormat="1" applyFont="1" applyFill="1" applyBorder="1" applyAlignment="1">
      <alignment horizontal="center" vertical="center"/>
    </xf>
    <xf numFmtId="165" fontId="6" fillId="10" borderId="1" xfId="0" applyNumberFormat="1" applyFont="1" applyFill="1" applyBorder="1" applyAlignment="1">
      <alignment horizontal="center" vertical="center"/>
    </xf>
    <xf numFmtId="0" fontId="21" fillId="5" borderId="1" xfId="0" applyFont="1" applyFill="1" applyBorder="1" applyAlignment="1">
      <alignment horizontal="center" vertical="center"/>
    </xf>
    <xf numFmtId="165" fontId="18" fillId="9" borderId="1" xfId="0" applyNumberFormat="1" applyFont="1" applyFill="1" applyBorder="1" applyAlignment="1">
      <alignment horizontal="center" vertical="center"/>
    </xf>
    <xf numFmtId="0" fontId="19" fillId="7" borderId="1" xfId="0" applyFont="1" applyFill="1" applyBorder="1" applyAlignment="1">
      <alignment horizontal="left" vertical="center"/>
    </xf>
    <xf numFmtId="164" fontId="7" fillId="5"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0" fontId="18" fillId="9" borderId="1" xfId="0" applyFont="1" applyFill="1" applyBorder="1" applyAlignment="1">
      <alignment horizontal="left" vertical="center"/>
    </xf>
    <xf numFmtId="0" fontId="18" fillId="9" borderId="2" xfId="0" applyFont="1" applyFill="1" applyBorder="1" applyAlignment="1">
      <alignment horizontal="left" vertical="center"/>
    </xf>
    <xf numFmtId="165" fontId="18" fillId="9" borderId="2" xfId="0" applyNumberFormat="1" applyFont="1" applyFill="1" applyBorder="1" applyAlignment="1">
      <alignment horizontal="left" vertical="center"/>
    </xf>
    <xf numFmtId="0" fontId="13" fillId="3" borderId="1" xfId="0" applyFont="1" applyFill="1" applyBorder="1" applyAlignment="1">
      <alignment horizontal="center" vertical="center" wrapText="1"/>
    </xf>
    <xf numFmtId="0" fontId="7" fillId="6" borderId="1" xfId="0" applyFont="1" applyFill="1" applyBorder="1" applyAlignment="1">
      <alignment horizontal="left" vertical="center"/>
    </xf>
    <xf numFmtId="1" fontId="6" fillId="10" borderId="1" xfId="0" applyNumberFormat="1" applyFont="1" applyFill="1" applyBorder="1" applyAlignment="1">
      <alignment horizontal="center" vertical="center"/>
    </xf>
    <xf numFmtId="1" fontId="14" fillId="9" borderId="1" xfId="0" applyNumberFormat="1" applyFont="1" applyFill="1" applyBorder="1" applyAlignment="1">
      <alignment horizontal="center" vertical="center"/>
    </xf>
    <xf numFmtId="166" fontId="14" fillId="9" borderId="1" xfId="0" applyNumberFormat="1" applyFont="1" applyFill="1" applyBorder="1" applyAlignment="1">
      <alignment horizontal="center" vertical="center"/>
    </xf>
    <xf numFmtId="0" fontId="14" fillId="9" borderId="1" xfId="0" applyFont="1" applyFill="1" applyBorder="1" applyAlignment="1">
      <alignment horizontal="left" vertical="center" wrapText="1"/>
    </xf>
    <xf numFmtId="0" fontId="7" fillId="10" borderId="1" xfId="0" applyFont="1" applyFill="1" applyBorder="1" applyAlignment="1">
      <alignment horizontal="center" vertical="center"/>
    </xf>
    <xf numFmtId="164" fontId="14" fillId="9" borderId="1" xfId="0" applyNumberFormat="1" applyFont="1" applyFill="1" applyBorder="1" applyAlignment="1">
      <alignment horizontal="center" vertical="center"/>
    </xf>
    <xf numFmtId="0" fontId="22" fillId="9" borderId="1" xfId="0" applyFont="1" applyFill="1" applyBorder="1" applyAlignment="1">
      <alignment horizontal="left" vertical="top" wrapText="1"/>
    </xf>
    <xf numFmtId="0" fontId="16" fillId="0" borderId="0" xfId="0" applyFont="1" applyAlignment="1">
      <alignment horizontal="left" vertical="center"/>
    </xf>
    <xf numFmtId="0" fontId="18" fillId="9" borderId="1" xfId="0" applyFont="1" applyFill="1" applyBorder="1" applyAlignment="1">
      <alignment horizontal="center" vertical="center"/>
    </xf>
    <xf numFmtId="0" fontId="22" fillId="10" borderId="1" xfId="0" applyFont="1" applyFill="1" applyBorder="1" applyAlignment="1">
      <alignment horizontal="center" vertical="center"/>
    </xf>
    <xf numFmtId="164" fontId="18" fillId="9" borderId="1" xfId="0" applyNumberFormat="1" applyFont="1" applyFill="1" applyBorder="1" applyAlignment="1">
      <alignment horizontal="center" vertical="center"/>
    </xf>
    <xf numFmtId="1" fontId="18" fillId="9" borderId="1" xfId="0" applyNumberFormat="1" applyFont="1" applyFill="1" applyBorder="1" applyAlignment="1">
      <alignment horizontal="center" vertical="center"/>
    </xf>
    <xf numFmtId="166" fontId="18" fillId="9" borderId="1" xfId="0" applyNumberFormat="1" applyFont="1" applyFill="1" applyBorder="1" applyAlignment="1">
      <alignment horizontal="center" vertical="center"/>
    </xf>
    <xf numFmtId="0" fontId="23" fillId="5" borderId="1" xfId="0" applyFont="1" applyFill="1" applyBorder="1" applyAlignment="1">
      <alignment horizontal="center" vertical="center"/>
    </xf>
    <xf numFmtId="0" fontId="23" fillId="5" borderId="1" xfId="0" applyFont="1" applyFill="1" applyBorder="1" applyAlignment="1">
      <alignment horizontal="left" vertical="center"/>
    </xf>
    <xf numFmtId="0" fontId="16" fillId="9" borderId="1" xfId="0" applyFont="1" applyFill="1" applyBorder="1" applyAlignment="1">
      <alignment horizontal="center" vertical="center"/>
    </xf>
    <xf numFmtId="0" fontId="18" fillId="9" borderId="1" xfId="0" applyFont="1" applyFill="1" applyBorder="1" applyAlignment="1">
      <alignment horizontal="center" vertical="top"/>
    </xf>
    <xf numFmtId="0" fontId="8" fillId="12" borderId="3" xfId="0" applyNumberFormat="1" applyFont="1" applyFill="1" applyBorder="1" applyAlignment="1">
      <alignment horizontal="left" vertical="center" wrapText="1"/>
    </xf>
    <xf numFmtId="0" fontId="8" fillId="12" borderId="4" xfId="0" applyNumberFormat="1" applyFont="1" applyFill="1" applyBorder="1" applyAlignment="1">
      <alignment horizontal="left" vertical="center" wrapText="1"/>
    </xf>
    <xf numFmtId="0" fontId="8" fillId="12" borderId="5" xfId="0" applyNumberFormat="1" applyFont="1" applyFill="1" applyBorder="1" applyAlignment="1">
      <alignment horizontal="left" vertical="center" wrapText="1"/>
    </xf>
    <xf numFmtId="0" fontId="17" fillId="14" borderId="3" xfId="0" applyNumberFormat="1" applyFont="1" applyFill="1" applyBorder="1" applyAlignment="1">
      <alignment horizontal="center" vertical="center" wrapText="1"/>
    </xf>
    <xf numFmtId="0" fontId="17" fillId="14" borderId="4" xfId="0" applyNumberFormat="1" applyFont="1" applyFill="1" applyBorder="1" applyAlignment="1">
      <alignment horizontal="center" vertical="center" wrapText="1"/>
    </xf>
    <xf numFmtId="0" fontId="17" fillId="14" borderId="5" xfId="0" applyNumberFormat="1" applyFont="1" applyFill="1" applyBorder="1" applyAlignment="1">
      <alignment horizontal="center" vertical="center" wrapText="1"/>
    </xf>
    <xf numFmtId="0" fontId="18" fillId="15" borderId="6" xfId="0" applyNumberFormat="1" applyFont="1" applyFill="1" applyBorder="1" applyAlignment="1">
      <alignment horizontal="left" vertical="top" wrapText="1"/>
    </xf>
    <xf numFmtId="0" fontId="18" fillId="15" borderId="7" xfId="0" applyNumberFormat="1" applyFont="1" applyFill="1" applyBorder="1" applyAlignment="1">
      <alignment horizontal="left" vertical="top" wrapText="1"/>
    </xf>
    <xf numFmtId="0" fontId="18" fillId="15" borderId="8" xfId="0" applyNumberFormat="1" applyFont="1" applyFill="1" applyBorder="1" applyAlignment="1">
      <alignment horizontal="left" vertical="top" wrapText="1"/>
    </xf>
    <xf numFmtId="0" fontId="18" fillId="15" borderId="9" xfId="0" applyNumberFormat="1" applyFont="1" applyFill="1" applyBorder="1" applyAlignment="1">
      <alignment horizontal="left" vertical="top" wrapText="1"/>
    </xf>
    <xf numFmtId="0" fontId="18" fillId="15" borderId="0" xfId="0" applyNumberFormat="1" applyFont="1" applyFill="1" applyBorder="1" applyAlignment="1">
      <alignment horizontal="left" vertical="top" wrapText="1"/>
    </xf>
    <xf numFmtId="0" fontId="18" fillId="15" borderId="10" xfId="0" applyNumberFormat="1" applyFont="1" applyFill="1" applyBorder="1" applyAlignment="1">
      <alignment horizontal="left" vertical="top" wrapText="1"/>
    </xf>
    <xf numFmtId="0" fontId="18" fillId="15" borderId="11" xfId="0" applyNumberFormat="1" applyFont="1" applyFill="1" applyBorder="1" applyAlignment="1">
      <alignment horizontal="left" vertical="top" wrapText="1"/>
    </xf>
    <xf numFmtId="0" fontId="18" fillId="15" borderId="12" xfId="0" applyNumberFormat="1" applyFont="1" applyFill="1" applyBorder="1" applyAlignment="1">
      <alignment horizontal="left" vertical="top" wrapText="1"/>
    </xf>
    <xf numFmtId="0" fontId="18" fillId="15" borderId="13" xfId="0" applyNumberFormat="1" applyFont="1" applyFill="1" applyBorder="1" applyAlignment="1">
      <alignment horizontal="left" vertical="top" wrapText="1"/>
    </xf>
    <xf numFmtId="0" fontId="11" fillId="16" borderId="16" xfId="0" applyNumberFormat="1" applyFont="1" applyFill="1" applyBorder="1" applyAlignment="1">
      <alignment horizontal="left" vertical="center" wrapText="1"/>
    </xf>
    <xf numFmtId="0" fontId="11" fillId="16" borderId="2" xfId="0" applyNumberFormat="1" applyFont="1" applyFill="1" applyBorder="1" applyAlignment="1">
      <alignment horizontal="left" vertical="center" wrapText="1"/>
    </xf>
    <xf numFmtId="0" fontId="11" fillId="16" borderId="17" xfId="0" applyNumberFormat="1" applyFont="1" applyFill="1" applyBorder="1" applyAlignment="1">
      <alignment horizontal="left" vertical="center" wrapText="1"/>
    </xf>
    <xf numFmtId="0" fontId="18" fillId="17" borderId="0" xfId="0" applyNumberFormat="1" applyFont="1" applyFill="1" applyBorder="1" applyAlignment="1">
      <alignment horizontal="left" vertical="top" wrapText="1"/>
    </xf>
    <xf numFmtId="0" fontId="18" fillId="17" borderId="12" xfId="0" applyNumberFormat="1" applyFont="1" applyFill="1" applyBorder="1" applyAlignment="1">
      <alignment horizontal="left" vertical="top" wrapText="1"/>
    </xf>
    <xf numFmtId="0" fontId="18" fillId="17" borderId="16" xfId="0" applyNumberFormat="1" applyFont="1" applyFill="1" applyBorder="1" applyAlignment="1">
      <alignment horizontal="left" vertical="top" wrapText="1"/>
    </xf>
    <xf numFmtId="0" fontId="18" fillId="17" borderId="2" xfId="0" applyNumberFormat="1" applyFont="1" applyFill="1" applyBorder="1" applyAlignment="1">
      <alignment horizontal="left" vertical="top" wrapText="1"/>
    </xf>
    <xf numFmtId="0" fontId="18" fillId="17" borderId="17" xfId="0" applyNumberFormat="1" applyFont="1" applyFill="1" applyBorder="1" applyAlignment="1">
      <alignment horizontal="left" vertical="top" wrapText="1"/>
    </xf>
    <xf numFmtId="0" fontId="18" fillId="17" borderId="7" xfId="0" applyNumberFormat="1" applyFont="1" applyFill="1" applyBorder="1" applyAlignment="1">
      <alignment horizontal="left" vertical="top" wrapText="1"/>
    </xf>
    <xf numFmtId="0" fontId="26" fillId="18" borderId="1" xfId="0" applyNumberFormat="1" applyFont="1" applyFill="1" applyBorder="1" applyAlignment="1">
      <alignment horizontal="left" vertical="top" wrapText="1"/>
    </xf>
    <xf numFmtId="0" fontId="18" fillId="17" borderId="6" xfId="0" applyNumberFormat="1" applyFont="1" applyFill="1" applyBorder="1" applyAlignment="1">
      <alignment horizontal="left" vertical="top" wrapText="1"/>
    </xf>
    <xf numFmtId="0" fontId="18" fillId="17" borderId="8" xfId="0" applyNumberFormat="1" applyFont="1" applyFill="1" applyBorder="1" applyAlignment="1">
      <alignment horizontal="left" vertical="top" wrapText="1"/>
    </xf>
    <xf numFmtId="0" fontId="18" fillId="17" borderId="9" xfId="0" applyNumberFormat="1" applyFont="1" applyFill="1" applyBorder="1" applyAlignment="1">
      <alignment horizontal="left" vertical="top" wrapText="1"/>
    </xf>
    <xf numFmtId="0" fontId="18" fillId="17" borderId="10" xfId="0" applyNumberFormat="1" applyFont="1" applyFill="1" applyBorder="1" applyAlignment="1">
      <alignment horizontal="left" vertical="top" wrapText="1"/>
    </xf>
    <xf numFmtId="0" fontId="18" fillId="17" borderId="11" xfId="0" applyNumberFormat="1" applyFont="1" applyFill="1" applyBorder="1" applyAlignment="1">
      <alignment horizontal="left" vertical="top" wrapText="1"/>
    </xf>
    <xf numFmtId="0" fontId="18" fillId="17" borderId="13" xfId="0" applyNumberFormat="1" applyFont="1" applyFill="1" applyBorder="1" applyAlignment="1">
      <alignment horizontal="left" vertical="top" wrapText="1"/>
    </xf>
    <xf numFmtId="0" fontId="27" fillId="14" borderId="3" xfId="0" applyNumberFormat="1" applyFont="1" applyFill="1" applyBorder="1" applyAlignment="1">
      <alignment horizontal="center" vertical="center" wrapText="1"/>
    </xf>
    <xf numFmtId="0" fontId="27" fillId="14" borderId="4" xfId="0" applyNumberFormat="1" applyFont="1" applyFill="1" applyBorder="1" applyAlignment="1">
      <alignment horizontal="center" vertical="center" wrapText="1"/>
    </xf>
    <xf numFmtId="0" fontId="27" fillId="14" borderId="5" xfId="0" applyNumberFormat="1" applyFont="1" applyFill="1" applyBorder="1" applyAlignment="1">
      <alignment horizontal="center" vertical="center" wrapText="1"/>
    </xf>
    <xf numFmtId="0" fontId="28" fillId="15" borderId="6" xfId="0" applyNumberFormat="1" applyFont="1" applyFill="1" applyBorder="1" applyAlignment="1">
      <alignment horizontal="left" vertical="top" wrapText="1"/>
    </xf>
    <xf numFmtId="0" fontId="28" fillId="15" borderId="7" xfId="0" applyNumberFormat="1" applyFont="1" applyFill="1" applyBorder="1" applyAlignment="1">
      <alignment horizontal="left" vertical="top" wrapText="1"/>
    </xf>
    <xf numFmtId="0" fontId="28" fillId="15" borderId="9" xfId="0" applyNumberFormat="1" applyFont="1" applyFill="1" applyBorder="1" applyAlignment="1">
      <alignment horizontal="left" vertical="top" wrapText="1"/>
    </xf>
    <xf numFmtId="0" fontId="28" fillId="15" borderId="0" xfId="0" applyNumberFormat="1" applyFont="1" applyFill="1" applyBorder="1" applyAlignment="1">
      <alignment horizontal="left" vertical="top" wrapText="1"/>
    </xf>
    <xf numFmtId="0" fontId="28" fillId="15" borderId="11" xfId="0" applyNumberFormat="1" applyFont="1" applyFill="1" applyBorder="1" applyAlignment="1">
      <alignment horizontal="left" vertical="top" wrapText="1"/>
    </xf>
    <xf numFmtId="0" fontId="28" fillId="15" borderId="12" xfId="0" applyNumberFormat="1" applyFont="1" applyFill="1" applyBorder="1" applyAlignment="1">
      <alignment horizontal="left" vertical="top" wrapText="1"/>
    </xf>
    <xf numFmtId="0" fontId="29" fillId="15" borderId="8" xfId="0" applyNumberFormat="1" applyFont="1" applyFill="1" applyBorder="1" applyAlignment="1">
      <alignment horizontal="left" vertical="top" wrapText="1"/>
    </xf>
    <xf numFmtId="0" fontId="29" fillId="15" borderId="10" xfId="0" applyNumberFormat="1" applyFont="1" applyFill="1" applyBorder="1" applyAlignment="1">
      <alignment horizontal="left" vertical="top" wrapText="1"/>
    </xf>
    <xf numFmtId="0" fontId="29" fillId="15" borderId="13" xfId="0" applyNumberFormat="1" applyFont="1" applyFill="1" applyBorder="1" applyAlignment="1">
      <alignment horizontal="left" vertical="top" wrapText="1"/>
    </xf>
    <xf numFmtId="0" fontId="14" fillId="17" borderId="3" xfId="0" applyNumberFormat="1" applyFont="1" applyFill="1" applyBorder="1" applyAlignment="1">
      <alignment horizontal="left" vertical="top" wrapText="1"/>
    </xf>
    <xf numFmtId="0" fontId="14" fillId="17" borderId="4" xfId="0" applyNumberFormat="1" applyFont="1" applyFill="1" applyBorder="1" applyAlignment="1">
      <alignment horizontal="left" vertical="top" wrapText="1"/>
    </xf>
    <xf numFmtId="0" fontId="14" fillId="17" borderId="5" xfId="0" applyNumberFormat="1" applyFont="1" applyFill="1" applyBorder="1" applyAlignment="1">
      <alignment horizontal="left" vertical="top" wrapText="1"/>
    </xf>
    <xf numFmtId="0" fontId="22" fillId="17" borderId="6" xfId="0" applyNumberFormat="1" applyFont="1" applyFill="1" applyBorder="1" applyAlignment="1">
      <alignment horizontal="left" vertical="top" wrapText="1"/>
    </xf>
    <xf numFmtId="0" fontId="22" fillId="17" borderId="9" xfId="0" applyNumberFormat="1" applyFont="1" applyFill="1" applyBorder="1" applyAlignment="1">
      <alignment horizontal="left" vertical="top" wrapText="1"/>
    </xf>
    <xf numFmtId="0" fontId="22" fillId="17" borderId="11" xfId="0" applyNumberFormat="1" applyFont="1" applyFill="1" applyBorder="1" applyAlignment="1">
      <alignment horizontal="left" vertical="top" wrapText="1"/>
    </xf>
    <xf numFmtId="0" fontId="7" fillId="7" borderId="1" xfId="0" applyFont="1" applyFill="1" applyBorder="1" applyAlignment="1">
      <alignment horizontal="left" vertical="top" wrapText="1"/>
    </xf>
    <xf numFmtId="0" fontId="7" fillId="9" borderId="1" xfId="0" applyFont="1" applyFill="1" applyBorder="1" applyAlignment="1">
      <alignment horizontal="left" vertical="center" wrapText="1"/>
    </xf>
    <xf numFmtId="0" fontId="16" fillId="0" borderId="0" xfId="0" applyFont="1" applyBorder="1" applyAlignment="1">
      <alignment horizontal="left" vertical="center" wrapText="1"/>
    </xf>
    <xf numFmtId="164" fontId="7" fillId="9" borderId="1" xfId="0" applyNumberFormat="1" applyFont="1" applyFill="1" applyBorder="1" applyAlignment="1">
      <alignment horizontal="left" vertical="center" wrapText="1"/>
    </xf>
    <xf numFmtId="0" fontId="15" fillId="7" borderId="1" xfId="0" applyFont="1" applyFill="1" applyBorder="1" applyAlignment="1">
      <alignment horizontal="left" vertical="top" wrapText="1"/>
    </xf>
    <xf numFmtId="0" fontId="6" fillId="6" borderId="1" xfId="0" applyFont="1" applyFill="1" applyBorder="1" applyAlignment="1">
      <alignment horizontal="left" vertical="center" wrapText="1"/>
    </xf>
    <xf numFmtId="0" fontId="12" fillId="7" borderId="1" xfId="0" applyFont="1" applyFill="1" applyBorder="1" applyAlignment="1">
      <alignment horizontal="left" vertical="top" wrapText="1"/>
    </xf>
    <xf numFmtId="0" fontId="11" fillId="16" borderId="1" xfId="0" applyNumberFormat="1" applyFont="1" applyFill="1" applyBorder="1" applyAlignment="1">
      <alignment horizontal="left" vertical="center" wrapText="1"/>
    </xf>
    <xf numFmtId="0" fontId="8" fillId="12" borderId="1" xfId="0" applyNumberFormat="1" applyFont="1" applyFill="1" applyBorder="1" applyAlignment="1">
      <alignment horizontal="left" vertical="center" wrapText="1"/>
    </xf>
    <xf numFmtId="0" fontId="17" fillId="14" borderId="1" xfId="0" applyNumberFormat="1" applyFont="1" applyFill="1" applyBorder="1" applyAlignment="1">
      <alignment horizontal="center" vertical="center" wrapText="1"/>
    </xf>
    <xf numFmtId="0" fontId="6" fillId="19" borderId="3" xfId="0" applyNumberFormat="1" applyFont="1" applyFill="1" applyBorder="1" applyAlignment="1">
      <alignment vertical="center" wrapText="1"/>
    </xf>
    <xf numFmtId="0" fontId="6" fillId="19" borderId="5" xfId="0" applyNumberFormat="1" applyFont="1" applyFill="1" applyBorder="1" applyAlignment="1">
      <alignment vertical="center" wrapText="1"/>
    </xf>
    <xf numFmtId="0" fontId="11" fillId="16" borderId="3" xfId="0" applyNumberFormat="1" applyFont="1" applyFill="1" applyBorder="1" applyAlignment="1">
      <alignment horizontal="left" vertical="center" wrapText="1"/>
    </xf>
    <xf numFmtId="0" fontId="11" fillId="16" borderId="4" xfId="0" applyNumberFormat="1" applyFont="1" applyFill="1" applyBorder="1" applyAlignment="1">
      <alignment horizontal="left" vertical="center" wrapText="1"/>
    </xf>
    <xf numFmtId="0" fontId="11" fillId="16" borderId="5" xfId="0" applyNumberFormat="1" applyFont="1" applyFill="1" applyBorder="1" applyAlignment="1">
      <alignment horizontal="left" vertical="center" wrapText="1"/>
    </xf>
    <xf numFmtId="0" fontId="25" fillId="13" borderId="3" xfId="0" applyNumberFormat="1" applyFont="1" applyFill="1" applyBorder="1" applyAlignment="1">
      <alignment horizontal="left" vertical="top" wrapText="1"/>
    </xf>
    <xf numFmtId="0" fontId="25" fillId="13" borderId="4" xfId="0" applyNumberFormat="1" applyFont="1" applyFill="1" applyBorder="1" applyAlignment="1">
      <alignment horizontal="left" vertical="top" wrapText="1"/>
    </xf>
    <xf numFmtId="0" fontId="25" fillId="13" borderId="5" xfId="0" applyNumberFormat="1" applyFont="1" applyFill="1" applyBorder="1" applyAlignment="1">
      <alignment horizontal="left" vertical="top" wrapText="1"/>
    </xf>
    <xf numFmtId="0" fontId="22" fillId="15" borderId="7" xfId="0" applyNumberFormat="1" applyFont="1" applyFill="1" applyBorder="1" applyAlignment="1">
      <alignment horizontal="left" vertical="top" wrapText="1"/>
    </xf>
    <xf numFmtId="0" fontId="18" fillId="15" borderId="7" xfId="0" applyNumberFormat="1" applyFont="1" applyFill="1" applyBorder="1" applyAlignment="1">
      <alignment horizontal="left" vertical="top" wrapText="1"/>
    </xf>
    <xf numFmtId="0" fontId="18" fillId="15" borderId="8" xfId="0" applyNumberFormat="1" applyFont="1" applyFill="1" applyBorder="1" applyAlignment="1">
      <alignment horizontal="left" vertical="top" wrapText="1"/>
    </xf>
    <xf numFmtId="0" fontId="22" fillId="15" borderId="0" xfId="0" applyNumberFormat="1" applyFont="1" applyFill="1" applyBorder="1" applyAlignment="1">
      <alignment horizontal="left" vertical="top" wrapText="1"/>
    </xf>
    <xf numFmtId="0" fontId="18" fillId="15" borderId="0" xfId="0" applyNumberFormat="1" applyFont="1" applyFill="1" applyBorder="1" applyAlignment="1">
      <alignment horizontal="left" vertical="top" wrapText="1"/>
    </xf>
    <xf numFmtId="0" fontId="18" fillId="15" borderId="10" xfId="0" applyNumberFormat="1" applyFont="1" applyFill="1" applyBorder="1" applyAlignment="1">
      <alignment horizontal="left" vertical="top" wrapText="1"/>
    </xf>
    <xf numFmtId="0" fontId="22" fillId="15" borderId="12" xfId="0" applyNumberFormat="1" applyFont="1" applyFill="1" applyBorder="1" applyAlignment="1">
      <alignment horizontal="left" vertical="top" wrapText="1"/>
    </xf>
    <xf numFmtId="0" fontId="18" fillId="15" borderId="12" xfId="0" applyNumberFormat="1" applyFont="1" applyFill="1" applyBorder="1" applyAlignment="1">
      <alignment horizontal="left" vertical="top" wrapText="1"/>
    </xf>
    <xf numFmtId="0" fontId="18" fillId="15" borderId="13" xfId="0" applyNumberFormat="1" applyFont="1" applyFill="1" applyBorder="1" applyAlignment="1">
      <alignment horizontal="left" vertical="top" wrapText="1"/>
    </xf>
    <xf numFmtId="0" fontId="25" fillId="13" borderId="6" xfId="0" applyNumberFormat="1" applyFont="1" applyFill="1" applyBorder="1" applyAlignment="1">
      <alignment horizontal="left" vertical="top" wrapText="1"/>
    </xf>
    <xf numFmtId="0" fontId="25" fillId="13" borderId="7" xfId="0" applyNumberFormat="1" applyFont="1" applyFill="1" applyBorder="1" applyAlignment="1">
      <alignment horizontal="left" vertical="top" wrapText="1"/>
    </xf>
    <xf numFmtId="0" fontId="25" fillId="13" borderId="8" xfId="0" applyNumberFormat="1" applyFont="1" applyFill="1" applyBorder="1" applyAlignment="1">
      <alignment horizontal="left" vertical="top" wrapText="1"/>
    </xf>
    <xf numFmtId="0" fontId="25" fillId="13" borderId="11" xfId="0" applyNumberFormat="1" applyFont="1" applyFill="1" applyBorder="1" applyAlignment="1">
      <alignment horizontal="left" vertical="top" wrapText="1"/>
    </xf>
    <xf numFmtId="0" fontId="25" fillId="13" borderId="12" xfId="0" applyNumberFormat="1" applyFont="1" applyFill="1" applyBorder="1" applyAlignment="1">
      <alignment horizontal="left" vertical="top" wrapText="1"/>
    </xf>
    <xf numFmtId="0" fontId="25" fillId="13" borderId="13" xfId="0" applyNumberFormat="1" applyFont="1" applyFill="1" applyBorder="1" applyAlignment="1">
      <alignment horizontal="left" vertical="top" wrapText="1"/>
    </xf>
    <xf numFmtId="0" fontId="7" fillId="7" borderId="1" xfId="0" applyFont="1" applyFill="1" applyBorder="1" applyAlignment="1">
      <alignment horizontal="left" vertical="center"/>
    </xf>
    <xf numFmtId="0" fontId="15" fillId="7" borderId="1" xfId="0" applyFont="1" applyFill="1" applyBorder="1" applyAlignment="1">
      <alignment horizontal="left" vertical="center" wrapText="1"/>
    </xf>
    <xf numFmtId="0" fontId="16" fillId="0" borderId="0" xfId="0" applyFont="1" applyBorder="1" applyAlignment="1">
      <alignment horizontal="left" vertical="center"/>
    </xf>
    <xf numFmtId="165" fontId="6" fillId="10" borderId="1" xfId="0" applyNumberFormat="1" applyFont="1" applyFill="1" applyBorder="1" applyAlignment="1">
      <alignment horizontal="left" vertical="center"/>
    </xf>
    <xf numFmtId="164" fontId="7" fillId="5" borderId="1" xfId="0" applyNumberFormat="1" applyFont="1" applyFill="1" applyBorder="1" applyAlignment="1">
      <alignment horizontal="left" vertical="center"/>
    </xf>
    <xf numFmtId="0" fontId="10" fillId="7" borderId="1" xfId="0" applyFont="1" applyFill="1" applyBorder="1" applyAlignment="1">
      <alignment horizontal="left" vertical="top" wrapText="1"/>
    </xf>
    <xf numFmtId="0" fontId="13" fillId="3" borderId="1" xfId="0" applyFont="1" applyFill="1" applyBorder="1" applyAlignment="1">
      <alignment horizontal="center" vertical="center"/>
    </xf>
    <xf numFmtId="0" fontId="18" fillId="9" borderId="1" xfId="0" applyFont="1" applyFill="1" applyBorder="1" applyAlignment="1">
      <alignment horizontal="left" vertical="top" wrapText="1"/>
    </xf>
    <xf numFmtId="0" fontId="8" fillId="12" borderId="3" xfId="0" applyNumberFormat="1" applyFont="1" applyFill="1" applyBorder="1" applyAlignment="1">
      <alignment horizontal="left" vertical="center" wrapText="1"/>
    </xf>
    <xf numFmtId="0" fontId="8" fillId="12" borderId="4" xfId="0" applyNumberFormat="1" applyFont="1" applyFill="1" applyBorder="1" applyAlignment="1">
      <alignment horizontal="left" vertical="center" wrapText="1"/>
    </xf>
    <xf numFmtId="0" fontId="8" fillId="12" borderId="5" xfId="0" applyNumberFormat="1" applyFont="1" applyFill="1" applyBorder="1" applyAlignment="1">
      <alignment horizontal="left" vertical="center" wrapText="1"/>
    </xf>
    <xf numFmtId="0" fontId="14" fillId="9" borderId="1" xfId="0" applyFont="1" applyFill="1" applyBorder="1" applyAlignment="1">
      <alignment horizontal="left" vertical="center"/>
    </xf>
    <xf numFmtId="0" fontId="0" fillId="0" borderId="0" xfId="0" applyBorder="1" applyAlignment="1"/>
    <xf numFmtId="0" fontId="24" fillId="11" borderId="0" xfId="0" applyNumberFormat="1" applyFont="1" applyFill="1" applyBorder="1" applyAlignment="1">
      <alignment horizontal="left" vertical="center" wrapText="1"/>
    </xf>
    <xf numFmtId="0" fontId="8" fillId="12" borderId="0" xfId="0" applyNumberFormat="1" applyFont="1" applyFill="1" applyBorder="1" applyAlignment="1">
      <alignment horizontal="left" vertical="center" wrapText="1"/>
    </xf>
    <xf numFmtId="0" fontId="18" fillId="17" borderId="7" xfId="0" applyNumberFormat="1" applyFont="1" applyFill="1" applyBorder="1" applyAlignment="1">
      <alignment horizontal="left" vertical="top" wrapText="1"/>
    </xf>
    <xf numFmtId="0" fontId="18" fillId="17" borderId="8" xfId="0" applyNumberFormat="1" applyFont="1" applyFill="1" applyBorder="1" applyAlignment="1">
      <alignment horizontal="left" vertical="top" wrapText="1"/>
    </xf>
    <xf numFmtId="0" fontId="18" fillId="17" borderId="0" xfId="0" applyNumberFormat="1" applyFont="1" applyFill="1" applyBorder="1" applyAlignment="1">
      <alignment horizontal="left" vertical="top" wrapText="1"/>
    </xf>
    <xf numFmtId="0" fontId="18" fillId="17" borderId="10" xfId="0" applyNumberFormat="1" applyFont="1" applyFill="1" applyBorder="1" applyAlignment="1">
      <alignment horizontal="left" vertical="top" wrapText="1"/>
    </xf>
    <xf numFmtId="0" fontId="18" fillId="17" borderId="12" xfId="0" applyNumberFormat="1" applyFont="1" applyFill="1" applyBorder="1" applyAlignment="1">
      <alignment horizontal="left" vertical="top" wrapText="1"/>
    </xf>
    <xf numFmtId="0" fontId="18" fillId="17" borderId="13" xfId="0" applyNumberFormat="1" applyFont="1" applyFill="1" applyBorder="1" applyAlignment="1">
      <alignment horizontal="left" vertical="top" wrapText="1"/>
    </xf>
    <xf numFmtId="0" fontId="30" fillId="6" borderId="1" xfId="0" applyFont="1" applyFill="1" applyBorder="1" applyAlignment="1">
      <alignment horizontal="left" vertical="center" wrapText="1"/>
    </xf>
    <xf numFmtId="0" fontId="30" fillId="7" borderId="1" xfId="0" applyFont="1" applyFill="1" applyBorder="1" applyAlignment="1">
      <alignment horizontal="left" vertical="center" wrapText="1"/>
    </xf>
    <xf numFmtId="0" fontId="18" fillId="9" borderId="14" xfId="0" applyFont="1" applyFill="1" applyBorder="1" applyAlignment="1">
      <alignment horizontal="center" vertical="top" wrapText="1"/>
    </xf>
    <xf numFmtId="0" fontId="18" fillId="9" borderId="15" xfId="0" applyFont="1" applyFill="1" applyBorder="1" applyAlignment="1">
      <alignment horizontal="center" vertical="top"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4">
    <dxf>
      <font>
        <b/>
      </font>
      <fill>
        <patternFill patternType="solid">
          <bgColor rgb="FFF4CCCC"/>
        </patternFill>
      </fill>
    </dxf>
    <dxf>
      <font>
        <b/>
      </font>
      <fill>
        <patternFill patternType="solid">
          <bgColor rgb="FFE2F0D9"/>
        </patternFill>
      </fill>
    </dxf>
    <dxf>
      <fill>
        <patternFill patternType="solid">
          <bgColor rgb="FFE2F0D9"/>
        </patternFill>
      </fill>
    </dxf>
    <dxf>
      <font>
        <b/>
      </font>
      <fill>
        <patternFill patternType="solid">
          <bgColor rgb="FFF4CCCC"/>
        </patternFill>
      </fill>
    </dxf>
  </dxfs>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1C6B72"/>
      <rgbColor rgb="FFBFBFBF"/>
      <rgbColor rgb="FF5A6B70"/>
      <rgbColor rgb="FF9999FF"/>
      <rgbColor rgb="FFC0504D"/>
      <rgbColor rgb="FFFCEFCE"/>
      <rgbColor rgb="FFDCEFF1"/>
      <rgbColor rgb="FF660066"/>
      <rgbColor rgb="FFFF8080"/>
      <rgbColor rgb="FF0066CC"/>
      <rgbColor rgb="FFB7C7CB"/>
      <rgbColor rgb="FF000080"/>
      <rgbColor rgb="FFFF00FF"/>
      <rgbColor rgb="FFFFFF00"/>
      <rgbColor rgb="FF00FFFF"/>
      <rgbColor rgb="FF800080"/>
      <rgbColor rgb="FF800000"/>
      <rgbColor rgb="FF155E6C"/>
      <rgbColor rgb="FF0000FF"/>
      <rgbColor rgb="FF00CCFF"/>
      <rgbColor rgb="FFD8E7E2"/>
      <rgbColor rgb="FFDFF0E3"/>
      <rgbColor rgb="FFF2F2F2"/>
      <rgbColor rgb="FFE7E0F5"/>
      <rgbColor rgb="FFF4F6F7"/>
      <rgbColor rgb="FFCC99FF"/>
      <rgbColor rgb="FFFBE4D5"/>
      <rgbColor rgb="FF4F81BD"/>
      <rgbColor rgb="FF4BACC6"/>
      <rgbColor rgb="FF9BBB59"/>
      <rgbColor rgb="FFFFCC00"/>
      <rgbColor rgb="FFF79646"/>
      <rgbColor rgb="FFFF6600"/>
      <rgbColor rgb="FF8064A2"/>
      <rgbColor rgb="FF969696"/>
      <rgbColor rgb="FF17324D"/>
      <rgbColor rgb="FF339966"/>
      <rgbColor rgb="FF0F3B44"/>
      <rgbColor rgb="FF1A1A1A"/>
      <rgbColor rgb="FF772C2A"/>
      <rgbColor rgb="FFB45309"/>
      <rgbColor rgb="FF2C4D75"/>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sz="1800" b="1">
                <a:solidFill>
                  <a:srgbClr val="404040"/>
                </a:solidFill>
                <a:latin typeface="Calibri"/>
                <a:ea typeface="Calibri"/>
                <a:cs typeface="Calibri"/>
              </a:rPr>
              <a:t>Potasio aportado por cada alimento de la selección</a:t>
            </a:r>
          </a:p>
        </c:rich>
      </c:tx>
      <c:overlay val="0"/>
    </c:title>
    <c:autoTitleDeleted val="0"/>
    <c:plotArea>
      <c:layout/>
      <c:barChart>
        <c:barDir val="bar"/>
        <c:grouping val="clustered"/>
        <c:varyColors val="1"/>
        <c:ser>
          <c:idx val="0"/>
          <c:order val="0"/>
          <c:tx>
            <c:strRef>
              <c:f>EXPLORADOR!$B$29</c:f>
              <c:strCache>
                <c:ptCount val="1"/>
                <c:pt idx="0">
                  <c:v>Potasio (mg)</c:v>
                </c:pt>
              </c:strCache>
            </c:strRef>
          </c:tx>
          <c:spPr>
            <a:solidFill>
              <a:srgbClr val="4F81BD"/>
            </a:solidFill>
            <a:ln w="0">
              <a:noFill/>
            </a:ln>
          </c:spPr>
          <c:invertIfNegative val="1"/>
          <c:dPt>
            <c:idx val="0"/>
            <c:invertIfNegative val="1"/>
            <c:bubble3D val="0"/>
            <c:spPr>
              <a:solidFill>
                <a:srgbClr val="4F81BD"/>
              </a:solidFill>
              <a:ln w="9360">
                <a:solidFill>
                  <a:srgbClr val="FFFFFF"/>
                </a:solidFill>
              </a:ln>
            </c:spPr>
            <c:extLst>
              <c:ext xmlns:c16="http://schemas.microsoft.com/office/drawing/2014/chart" uri="{C3380CC4-5D6E-409C-BE32-E72D297353CC}">
                <c16:uniqueId val="{00000001-CAFE-4812-9D7E-FA19FA6A4F65}"/>
              </c:ext>
            </c:extLst>
          </c:dPt>
          <c:dPt>
            <c:idx val="1"/>
            <c:invertIfNegative val="1"/>
            <c:bubble3D val="0"/>
            <c:spPr>
              <a:solidFill>
                <a:srgbClr val="C0504D"/>
              </a:solidFill>
              <a:ln w="9360">
                <a:solidFill>
                  <a:srgbClr val="FFFFFF"/>
                </a:solidFill>
              </a:ln>
            </c:spPr>
            <c:extLst>
              <c:ext xmlns:c16="http://schemas.microsoft.com/office/drawing/2014/chart" uri="{C3380CC4-5D6E-409C-BE32-E72D297353CC}">
                <c16:uniqueId val="{00000003-CAFE-4812-9D7E-FA19FA6A4F65}"/>
              </c:ext>
            </c:extLst>
          </c:dPt>
          <c:dPt>
            <c:idx val="2"/>
            <c:invertIfNegative val="1"/>
            <c:bubble3D val="0"/>
            <c:spPr>
              <a:solidFill>
                <a:srgbClr val="9BBB59"/>
              </a:solidFill>
              <a:ln w="9360">
                <a:solidFill>
                  <a:srgbClr val="FFFFFF"/>
                </a:solidFill>
              </a:ln>
            </c:spPr>
            <c:extLst>
              <c:ext xmlns:c16="http://schemas.microsoft.com/office/drawing/2014/chart" uri="{C3380CC4-5D6E-409C-BE32-E72D297353CC}">
                <c16:uniqueId val="{00000005-CAFE-4812-9D7E-FA19FA6A4F65}"/>
              </c:ext>
            </c:extLst>
          </c:dPt>
          <c:dPt>
            <c:idx val="3"/>
            <c:invertIfNegative val="1"/>
            <c:bubble3D val="0"/>
            <c:spPr>
              <a:solidFill>
                <a:srgbClr val="8064A2"/>
              </a:solidFill>
              <a:ln w="9360">
                <a:solidFill>
                  <a:srgbClr val="FFFFFF"/>
                </a:solidFill>
              </a:ln>
            </c:spPr>
            <c:extLst>
              <c:ext xmlns:c16="http://schemas.microsoft.com/office/drawing/2014/chart" uri="{C3380CC4-5D6E-409C-BE32-E72D297353CC}">
                <c16:uniqueId val="{00000007-CAFE-4812-9D7E-FA19FA6A4F65}"/>
              </c:ext>
            </c:extLst>
          </c:dPt>
          <c:dPt>
            <c:idx val="4"/>
            <c:invertIfNegative val="1"/>
            <c:bubble3D val="0"/>
            <c:spPr>
              <a:solidFill>
                <a:srgbClr val="4BACC6"/>
              </a:solidFill>
              <a:ln w="9360">
                <a:solidFill>
                  <a:srgbClr val="FFFFFF"/>
                </a:solidFill>
              </a:ln>
            </c:spPr>
            <c:extLst>
              <c:ext xmlns:c16="http://schemas.microsoft.com/office/drawing/2014/chart" uri="{C3380CC4-5D6E-409C-BE32-E72D297353CC}">
                <c16:uniqueId val="{00000009-CAFE-4812-9D7E-FA19FA6A4F65}"/>
              </c:ext>
            </c:extLst>
          </c:dPt>
          <c:dPt>
            <c:idx val="5"/>
            <c:invertIfNegative val="1"/>
            <c:bubble3D val="0"/>
            <c:spPr>
              <a:solidFill>
                <a:srgbClr val="F79646"/>
              </a:solidFill>
              <a:ln w="9360">
                <a:solidFill>
                  <a:srgbClr val="FFFFFF"/>
                </a:solidFill>
              </a:ln>
            </c:spPr>
            <c:extLst>
              <c:ext xmlns:c16="http://schemas.microsoft.com/office/drawing/2014/chart" uri="{C3380CC4-5D6E-409C-BE32-E72D297353CC}">
                <c16:uniqueId val="{0000000B-CAFE-4812-9D7E-FA19FA6A4F65}"/>
              </c:ext>
            </c:extLst>
          </c:dPt>
          <c:dPt>
            <c:idx val="6"/>
            <c:invertIfNegative val="1"/>
            <c:bubble3D val="0"/>
            <c:spPr>
              <a:solidFill>
                <a:srgbClr val="2C4D75"/>
              </a:solidFill>
              <a:ln w="9360">
                <a:solidFill>
                  <a:srgbClr val="FFFFFF"/>
                </a:solidFill>
              </a:ln>
            </c:spPr>
            <c:extLst>
              <c:ext xmlns:c16="http://schemas.microsoft.com/office/drawing/2014/chart" uri="{C3380CC4-5D6E-409C-BE32-E72D297353CC}">
                <c16:uniqueId val="{0000000D-CAFE-4812-9D7E-FA19FA6A4F65}"/>
              </c:ext>
            </c:extLst>
          </c:dPt>
          <c:dPt>
            <c:idx val="7"/>
            <c:invertIfNegative val="1"/>
            <c:bubble3D val="0"/>
            <c:spPr>
              <a:solidFill>
                <a:srgbClr val="772C2A"/>
              </a:solidFill>
              <a:ln w="9360">
                <a:solidFill>
                  <a:srgbClr val="FFFFFF"/>
                </a:solidFill>
              </a:ln>
            </c:spPr>
            <c:extLst>
              <c:ext xmlns:c16="http://schemas.microsoft.com/office/drawing/2014/chart" uri="{C3380CC4-5D6E-409C-BE32-E72D297353CC}">
                <c16:uniqueId val="{0000000F-CAFE-4812-9D7E-FA19FA6A4F65}"/>
              </c:ext>
            </c:extLst>
          </c:dPt>
          <c:cat>
            <c:strRef>
              <c:f>EXPLORADOR!$A$30:$A$37</c:f>
              <c:strCache>
                <c:ptCount val="8"/>
                <c:pt idx="0">
                  <c:v>Papa cocida</c:v>
                </c:pt>
                <c:pt idx="1">
                  <c:v>Arroz blanco cocido</c:v>
                </c:pt>
                <c:pt idx="2">
                  <c:v>Clara de huevo</c:v>
                </c:pt>
                <c:pt idx="3">
                  <c:v>Pollo pechuga</c:v>
                </c:pt>
                <c:pt idx="4">
                  <c:v>Manzana</c:v>
                </c:pt>
                <c:pt idx="5">
                  <c:v>Tomate</c:v>
                </c:pt>
                <c:pt idx="6">
                  <c:v>Maicena</c:v>
                </c:pt>
                <c:pt idx="7">
                  <c:v>Leche fluida entera</c:v>
                </c:pt>
              </c:strCache>
            </c:strRef>
          </c:cat>
          <c:val>
            <c:numRef>
              <c:f>EXPLORADOR!$B$30:$B$37</c:f>
              <c:numCache>
                <c:formatCode>0.0</c:formatCode>
                <c:ptCount val="8"/>
                <c:pt idx="0">
                  <c:v>817.5</c:v>
                </c:pt>
                <c:pt idx="1">
                  <c:v>52.5</c:v>
                </c:pt>
                <c:pt idx="2">
                  <c:v>163</c:v>
                </c:pt>
                <c:pt idx="3">
                  <c:v>180</c:v>
                </c:pt>
                <c:pt idx="4">
                  <c:v>128.4</c:v>
                </c:pt>
                <c:pt idx="5">
                  <c:v>237</c:v>
                </c:pt>
                <c:pt idx="6">
                  <c:v>0.9</c:v>
                </c:pt>
                <c:pt idx="7">
                  <c:v>67.95</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10-CAFE-4812-9D7E-FA19FA6A4F65}"/>
            </c:ext>
          </c:extLst>
        </c:ser>
        <c:dLbls>
          <c:showLegendKey val="0"/>
          <c:showVal val="0"/>
          <c:showCatName val="0"/>
          <c:showSerName val="0"/>
          <c:showPercent val="0"/>
          <c:showBubbleSize val="0"/>
        </c:dLbls>
        <c:gapWidth val="65"/>
        <c:axId val="48650112"/>
        <c:axId val="48672768"/>
      </c:barChart>
      <c:catAx>
        <c:axId val="48650112"/>
        <c:scaling>
          <c:orientation val="minMax"/>
        </c:scaling>
        <c:delete val="0"/>
        <c:axPos val="l"/>
        <c:title>
          <c:tx>
            <c:rich>
              <a:bodyPr/>
              <a:lstStyle/>
              <a:p>
                <a:r>
                  <a:rPr sz="1600" b="1">
                    <a:solidFill>
                      <a:srgbClr val="404040"/>
                    </a:solidFill>
                    <a:latin typeface="Calibri"/>
                    <a:ea typeface="Calibri"/>
                    <a:cs typeface="Calibri"/>
                  </a:rPr>
                  <a:t>miligramos</a:t>
                </a:r>
              </a:p>
            </c:rich>
          </c:tx>
          <c:overlay val="0"/>
        </c:title>
        <c:numFmt formatCode="General" sourceLinked="0"/>
        <c:majorTickMark val="none"/>
        <c:minorTickMark val="none"/>
        <c:tickLblPos val="nextTo"/>
        <c:spPr>
          <a:ln w="19080">
            <a:solidFill>
              <a:srgbClr val="404040"/>
            </a:solidFill>
          </a:ln>
        </c:spPr>
        <c:txPr>
          <a:bodyPr anchorCtr="1"/>
          <a:lstStyle/>
          <a:p>
            <a:pPr>
              <a:defRPr sz="900" b="0">
                <a:solidFill>
                  <a:srgbClr val="404040"/>
                </a:solidFill>
                <a:latin typeface="Calibri"/>
                <a:ea typeface="Calibri"/>
                <a:cs typeface="Calibri"/>
              </a:defRPr>
            </a:pPr>
            <a:endParaRPr lang="es-CL"/>
          </a:p>
        </c:txPr>
        <c:crossAx val="48672768"/>
        <c:crosses val="autoZero"/>
        <c:auto val="1"/>
        <c:lblAlgn val="ctr"/>
        <c:lblOffset val="100"/>
        <c:noMultiLvlLbl val="0"/>
      </c:catAx>
      <c:valAx>
        <c:axId val="48672768"/>
        <c:scaling>
          <c:orientation val="minMax"/>
        </c:scaling>
        <c:delete val="0"/>
        <c:axPos val="b"/>
        <c:majorGridlines>
          <c:spPr>
            <a:ln w="9360">
              <a:solidFill>
                <a:srgbClr val="BFBFBF"/>
              </a:solidFill>
            </a:ln>
          </c:spPr>
        </c:majorGridlines>
        <c:numFmt formatCode="0.0" sourceLinked="0"/>
        <c:majorTickMark val="none"/>
        <c:minorTickMark val="none"/>
        <c:tickLblPos val="nextTo"/>
        <c:spPr>
          <a:ln w="9360">
            <a:noFill/>
          </a:ln>
        </c:spPr>
        <c:txPr>
          <a:bodyPr anchorCtr="1"/>
          <a:lstStyle/>
          <a:p>
            <a:pPr>
              <a:defRPr sz="900" b="0">
                <a:solidFill>
                  <a:srgbClr val="404040"/>
                </a:solidFill>
                <a:latin typeface="Calibri"/>
                <a:ea typeface="Calibri"/>
                <a:cs typeface="Calibri"/>
              </a:defRPr>
            </a:pPr>
            <a:endParaRPr lang="es-CL"/>
          </a:p>
        </c:txPr>
        <c:crossAx val="48650112"/>
        <c:crosses val="autoZero"/>
        <c:crossBetween val="between"/>
      </c:valAx>
    </c:plotArea>
    <c:legend>
      <c:legendPos val="b"/>
      <c:overlay val="0"/>
      <c:spPr>
        <a:solidFill>
          <a:srgbClr val="F2F2F2"/>
        </a:solidFill>
      </c:spPr>
      <c:txPr>
        <a:bodyPr anchorCtr="1"/>
        <a:lstStyle/>
        <a:p>
          <a:pPr>
            <a:defRPr sz="900" b="0">
              <a:solidFill>
                <a:srgbClr val="404040"/>
              </a:solidFill>
              <a:latin typeface="Calibri"/>
              <a:ea typeface="Calibri"/>
              <a:cs typeface="Calibri"/>
            </a:defRPr>
          </a:pPr>
          <a:endParaRPr lang="es-CL"/>
        </a:p>
      </c:txPr>
    </c:legend>
    <c:plotVisOnly val="1"/>
    <c:dispBlanksAs val="zero"/>
    <c:showDLblsOverMax val="1"/>
  </c:chart>
  <c:spPr>
    <a:gradFill>
      <a:gsLst>
        <a:gs pos="0">
          <a:srgbClr val="FFFFFF"/>
        </a:gs>
        <a:gs pos="39000">
          <a:srgbClr val="FFFFFF"/>
        </a:gs>
        <a:gs pos="100000">
          <a:srgbClr val="BFBFBF"/>
        </a:gs>
      </a:gsLst>
      <a:path path="circle">
        <a:fillToRect l="50000" r="50000" b="100000"/>
      </a:path>
    </a:gradFill>
    <a:ln w="9360">
      <a:solidFill>
        <a:srgbClr val="BFBFBF"/>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638280</xdr:colOff>
      <xdr:row>27</xdr:row>
      <xdr:rowOff>76320</xdr:rowOff>
    </xdr:from>
    <xdr:to>
      <xdr:col>11</xdr:col>
      <xdr:colOff>660600</xdr:colOff>
      <xdr:row>36</xdr:row>
      <xdr:rowOff>352080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B44"/>
  </sheetPr>
  <dimension ref="A1:Q44"/>
  <sheetViews>
    <sheetView showGridLines="0" workbookViewId="0">
      <selection activeCell="M12" sqref="M12"/>
    </sheetView>
  </sheetViews>
  <sheetFormatPr baseColWidth="10" defaultColWidth="9.140625" defaultRowHeight="15"/>
  <cols>
    <col min="1" max="1" width="18.5703125"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7.75" customHeight="1">
      <c r="A4" s="11" t="s">
        <v>2</v>
      </c>
      <c r="B4" s="11"/>
      <c r="C4" s="11"/>
      <c r="D4" s="11"/>
      <c r="E4" s="11"/>
      <c r="F4" s="11"/>
      <c r="G4" s="11"/>
      <c r="H4" s="11"/>
      <c r="I4" s="11"/>
      <c r="J4" s="11"/>
      <c r="K4" s="11"/>
      <c r="L4" s="11"/>
      <c r="M4" s="11"/>
      <c r="N4" s="11"/>
      <c r="O4" s="11"/>
      <c r="P4" s="11"/>
      <c r="Q4" s="11"/>
    </row>
    <row r="5" spans="1:17" ht="27.75" customHeight="1">
      <c r="A5" s="10" t="str">
        <f>HYPERLINK("#LICENCIA!A1","▶  LICENCIA")</f>
        <v>▶  LICENCIA</v>
      </c>
      <c r="B5" s="10"/>
      <c r="C5" s="10" t="str">
        <f>HYPERLINK("#DATOS!A1","▶  DATOS")</f>
        <v>▶  DATOS</v>
      </c>
      <c r="D5" s="10"/>
      <c r="E5" s="10" t="str">
        <f>HYPERLINK("#ALIMENTOS!A1","▶  ALIMENTOS")</f>
        <v>▶  ALIMENTOS</v>
      </c>
      <c r="F5" s="10"/>
      <c r="G5" s="10" t="str">
        <f>HYPERLINK("#EXPLORADOR!A1","▶  EXPLORADOR")</f>
        <v>▶  EXPLORADOR</v>
      </c>
      <c r="H5" s="10"/>
      <c r="I5" s="10" t="str">
        <f>HYPERLINK("#SUSTITUCION!A1","▶  SUSTITUCION")</f>
        <v>▶  SUSTITUCION</v>
      </c>
      <c r="J5" s="10"/>
      <c r="K5" s="10" t="str">
        <f>HYPERLINK("#EQUIVALENTES!A1","▶  EQUIVALENTES")</f>
        <v>▶  EQUIVALENTES</v>
      </c>
      <c r="L5" s="10"/>
      <c r="M5" s="10" t="str">
        <f>HYPERLINK("#FUENTES!A1","▶  FUENTES")</f>
        <v>▶  FUENTES</v>
      </c>
      <c r="N5" s="10"/>
      <c r="O5" s="10" t="str">
        <f>HYPERLINK("#PRUEBAS!A1","▶  PRUEBAS")</f>
        <v>▶  PRUEBAS</v>
      </c>
      <c r="P5" s="10"/>
      <c r="Q5" s="10"/>
    </row>
    <row r="6" spans="1:17" ht="29.25" customHeight="1">
      <c r="A6" s="9" t="s">
        <v>3</v>
      </c>
      <c r="B6" s="9"/>
      <c r="C6" s="9" t="s">
        <v>4</v>
      </c>
      <c r="D6" s="9"/>
      <c r="E6" s="9" t="s">
        <v>5</v>
      </c>
      <c r="F6" s="9"/>
      <c r="G6" s="9" t="s">
        <v>6</v>
      </c>
      <c r="H6" s="9"/>
      <c r="I6" s="9" t="s">
        <v>7</v>
      </c>
      <c r="J6" s="9"/>
      <c r="K6" s="9" t="s">
        <v>8</v>
      </c>
      <c r="L6" s="9"/>
      <c r="M6" s="9" t="s">
        <v>9</v>
      </c>
      <c r="N6" s="9"/>
      <c r="O6" s="9" t="s">
        <v>10</v>
      </c>
      <c r="P6" s="9"/>
      <c r="Q6" s="9"/>
    </row>
    <row r="7" spans="1:17" ht="27.75" customHeight="1">
      <c r="A7" s="10" t="str">
        <f>HYPERLINK("#CONFIG!A1","▶  CONFIG")</f>
        <v>▶  CONFIG</v>
      </c>
      <c r="B7" s="10"/>
      <c r="C7" s="10" t="str">
        <f>HYPERLINK("#CHANGELOG!A1","▶  CHANGELOG")</f>
        <v>▶  CHANGELOG</v>
      </c>
      <c r="D7" s="10"/>
    </row>
    <row r="8" spans="1:17" ht="29.25" customHeight="1">
      <c r="A8" s="9" t="s">
        <v>11</v>
      </c>
      <c r="B8" s="9"/>
      <c r="C8" s="9" t="s">
        <v>12</v>
      </c>
      <c r="D8" s="9"/>
    </row>
    <row r="10" spans="1:17" ht="15" customHeight="1">
      <c r="A10" s="8" t="s">
        <v>13</v>
      </c>
      <c r="B10" s="8"/>
      <c r="C10" s="7" t="s">
        <v>14</v>
      </c>
      <c r="D10" s="7"/>
      <c r="E10" s="7"/>
      <c r="F10" s="7"/>
      <c r="G10" s="7"/>
      <c r="H10" s="7"/>
      <c r="I10" s="7"/>
      <c r="J10" s="7"/>
      <c r="K10" s="7"/>
    </row>
    <row r="11" spans="1:17" ht="15" customHeight="1">
      <c r="A11" s="8" t="s">
        <v>15</v>
      </c>
      <c r="B11" s="8"/>
      <c r="C11" s="7" t="s">
        <v>16</v>
      </c>
      <c r="D11" s="7"/>
      <c r="E11" s="7"/>
      <c r="F11" s="7"/>
      <c r="G11" s="7"/>
      <c r="H11" s="7"/>
      <c r="I11" s="7"/>
      <c r="J11" s="7"/>
      <c r="K11" s="7"/>
    </row>
    <row r="12" spans="1:17" ht="15" customHeight="1">
      <c r="A12" s="8" t="s">
        <v>17</v>
      </c>
      <c r="B12" s="8"/>
      <c r="C12" s="7" t="s">
        <v>18</v>
      </c>
      <c r="D12" s="7"/>
      <c r="E12" s="7"/>
      <c r="F12" s="7"/>
      <c r="G12" s="7"/>
      <c r="H12" s="7"/>
      <c r="I12" s="7"/>
      <c r="J12" s="7"/>
      <c r="K12" s="7"/>
    </row>
    <row r="13" spans="1:17" ht="15" customHeight="1">
      <c r="A13" s="8" t="s">
        <v>19</v>
      </c>
      <c r="B13" s="8"/>
      <c r="C13" s="163" t="s">
        <v>2114</v>
      </c>
      <c r="D13" s="7"/>
      <c r="E13" s="7"/>
      <c r="F13" s="7"/>
      <c r="G13" s="7"/>
      <c r="H13" s="7"/>
      <c r="I13" s="7"/>
      <c r="J13" s="7"/>
      <c r="K13" s="7"/>
    </row>
    <row r="14" spans="1:17" ht="15" customHeight="1">
      <c r="A14" s="8" t="s">
        <v>20</v>
      </c>
      <c r="B14" s="8"/>
      <c r="C14" s="7" t="s">
        <v>21</v>
      </c>
      <c r="D14" s="7"/>
      <c r="E14" s="7"/>
      <c r="F14" s="7"/>
      <c r="G14" s="7"/>
      <c r="H14" s="7"/>
      <c r="I14" s="7"/>
      <c r="J14" s="7"/>
      <c r="K14" s="7"/>
    </row>
    <row r="15" spans="1:17" ht="15" customHeight="1">
      <c r="A15" s="8" t="s">
        <v>22</v>
      </c>
      <c r="B15" s="8"/>
      <c r="C15" s="7" t="s">
        <v>23</v>
      </c>
      <c r="D15" s="7"/>
      <c r="E15" s="7"/>
      <c r="F15" s="7"/>
      <c r="G15" s="7"/>
      <c r="H15" s="7"/>
      <c r="I15" s="7"/>
      <c r="J15" s="7"/>
      <c r="K15" s="7"/>
    </row>
    <row r="16" spans="1:17" ht="15" customHeight="1">
      <c r="A16" s="8" t="s">
        <v>24</v>
      </c>
      <c r="B16" s="8"/>
      <c r="C16" s="7" t="s">
        <v>25</v>
      </c>
      <c r="D16" s="7"/>
      <c r="E16" s="7"/>
      <c r="F16" s="7"/>
      <c r="G16" s="7"/>
      <c r="H16" s="7"/>
      <c r="I16" s="7"/>
      <c r="J16" s="7"/>
      <c r="K16" s="7"/>
    </row>
    <row r="18" spans="1:17" ht="19.5" customHeight="1">
      <c r="A18" s="6" t="s">
        <v>26</v>
      </c>
      <c r="B18" s="6"/>
      <c r="C18" s="6"/>
      <c r="D18" s="6"/>
      <c r="E18" s="6"/>
      <c r="F18" s="6"/>
      <c r="G18" s="6"/>
      <c r="H18" s="6"/>
      <c r="I18" s="6"/>
      <c r="J18" s="6"/>
      <c r="K18" s="6"/>
      <c r="L18" s="6"/>
      <c r="M18" s="6"/>
      <c r="N18" s="6"/>
      <c r="O18" s="6"/>
      <c r="P18" s="6"/>
      <c r="Q18" s="6"/>
    </row>
    <row r="19" spans="1:17" ht="39.75" customHeight="1">
      <c r="A19" s="164" t="s">
        <v>2115</v>
      </c>
      <c r="B19" s="5"/>
      <c r="C19" s="5"/>
      <c r="D19" s="5"/>
      <c r="E19" s="5"/>
      <c r="F19" s="5"/>
      <c r="G19" s="5"/>
      <c r="H19" s="5"/>
      <c r="I19" s="5"/>
      <c r="J19" s="5"/>
      <c r="K19" s="5"/>
      <c r="L19" s="5"/>
      <c r="M19" s="5"/>
      <c r="N19" s="5"/>
      <c r="O19" s="5"/>
      <c r="P19" s="5"/>
      <c r="Q19" s="5"/>
    </row>
    <row r="20" spans="1:17" ht="39.75" customHeight="1">
      <c r="A20" s="5" t="s">
        <v>27</v>
      </c>
      <c r="B20" s="5"/>
      <c r="C20" s="5"/>
      <c r="D20" s="5"/>
      <c r="E20" s="5"/>
      <c r="F20" s="5"/>
      <c r="G20" s="5"/>
      <c r="H20" s="5"/>
      <c r="I20" s="5"/>
      <c r="J20" s="5"/>
      <c r="K20" s="5"/>
      <c r="L20" s="5"/>
      <c r="M20" s="5"/>
      <c r="N20" s="5"/>
      <c r="O20" s="5"/>
      <c r="P20" s="5"/>
      <c r="Q20" s="5"/>
    </row>
    <row r="22" spans="1:17" ht="19.5" customHeight="1">
      <c r="A22" s="6" t="s">
        <v>28</v>
      </c>
      <c r="B22" s="6"/>
      <c r="C22" s="6"/>
      <c r="D22" s="6"/>
      <c r="E22" s="6"/>
      <c r="F22" s="6"/>
      <c r="G22" s="6"/>
      <c r="H22" s="6"/>
      <c r="I22" s="6"/>
      <c r="J22" s="6"/>
      <c r="K22" s="6"/>
      <c r="L22" s="6"/>
      <c r="M22" s="6"/>
      <c r="N22" s="6"/>
      <c r="O22" s="6"/>
      <c r="P22" s="6"/>
      <c r="Q22" s="6"/>
    </row>
    <row r="23" spans="1:17" ht="31.5" customHeight="1">
      <c r="A23" s="4" t="s">
        <v>29</v>
      </c>
      <c r="B23" s="4"/>
      <c r="C23" s="4"/>
      <c r="D23" s="4"/>
      <c r="E23" s="4"/>
      <c r="F23" s="4"/>
      <c r="G23" s="4"/>
      <c r="H23" s="4"/>
      <c r="I23" s="4"/>
      <c r="J23" s="4"/>
      <c r="K23" s="4"/>
      <c r="L23" s="4"/>
      <c r="M23" s="4"/>
      <c r="N23" s="4"/>
      <c r="O23" s="4"/>
      <c r="P23" s="4"/>
      <c r="Q23" s="4"/>
    </row>
    <row r="24" spans="1:17" ht="31.5" customHeight="1">
      <c r="A24" s="4" t="s">
        <v>30</v>
      </c>
      <c r="B24" s="4"/>
      <c r="C24" s="4"/>
      <c r="D24" s="4"/>
      <c r="E24" s="4"/>
      <c r="F24" s="4"/>
      <c r="G24" s="4"/>
      <c r="H24" s="4"/>
      <c r="I24" s="4"/>
      <c r="J24" s="4"/>
      <c r="K24" s="4"/>
      <c r="L24" s="4"/>
      <c r="M24" s="4"/>
      <c r="N24" s="4"/>
      <c r="O24" s="4"/>
      <c r="P24" s="4"/>
      <c r="Q24" s="4"/>
    </row>
    <row r="25" spans="1:17" ht="31.5" customHeight="1">
      <c r="A25" s="4" t="s">
        <v>31</v>
      </c>
      <c r="B25" s="4"/>
      <c r="C25" s="4"/>
      <c r="D25" s="4"/>
      <c r="E25" s="4"/>
      <c r="F25" s="4"/>
      <c r="G25" s="4"/>
      <c r="H25" s="4"/>
      <c r="I25" s="4"/>
      <c r="J25" s="4"/>
      <c r="K25" s="4"/>
      <c r="L25" s="4"/>
      <c r="M25" s="4"/>
      <c r="N25" s="4"/>
      <c r="O25" s="4"/>
      <c r="P25" s="4"/>
      <c r="Q25" s="4"/>
    </row>
    <row r="26" spans="1:17" ht="31.5" customHeight="1">
      <c r="A26" s="4" t="s">
        <v>32</v>
      </c>
      <c r="B26" s="4"/>
      <c r="C26" s="4"/>
      <c r="D26" s="4"/>
      <c r="E26" s="4"/>
      <c r="F26" s="4"/>
      <c r="G26" s="4"/>
      <c r="H26" s="4"/>
      <c r="I26" s="4"/>
      <c r="J26" s="4"/>
      <c r="K26" s="4"/>
      <c r="L26" s="4"/>
      <c r="M26" s="4"/>
      <c r="N26" s="4"/>
      <c r="O26" s="4"/>
      <c r="P26" s="4"/>
      <c r="Q26" s="4"/>
    </row>
    <row r="28" spans="1:17" ht="19.5" customHeight="1">
      <c r="A28" s="6" t="s">
        <v>33</v>
      </c>
      <c r="B28" s="6"/>
      <c r="C28" s="6"/>
      <c r="D28" s="6"/>
      <c r="E28" s="6"/>
      <c r="F28" s="6"/>
      <c r="G28" s="6"/>
      <c r="H28" s="6"/>
      <c r="I28" s="6"/>
      <c r="J28" s="6"/>
      <c r="K28" s="6"/>
      <c r="L28" s="6"/>
      <c r="M28" s="6"/>
      <c r="N28" s="6"/>
      <c r="O28" s="6"/>
      <c r="P28" s="6"/>
      <c r="Q28" s="6"/>
    </row>
    <row r="29" spans="1:17" ht="27.75" customHeight="1">
      <c r="A29" s="5" t="s">
        <v>34</v>
      </c>
      <c r="B29" s="5"/>
      <c r="C29" s="5"/>
      <c r="D29" s="5"/>
      <c r="E29" s="5"/>
      <c r="F29" s="5"/>
      <c r="G29" s="5"/>
      <c r="H29" s="5"/>
      <c r="I29" s="5"/>
      <c r="J29" s="5"/>
      <c r="K29" s="5"/>
      <c r="L29" s="5"/>
      <c r="M29" s="5"/>
      <c r="N29" s="5"/>
      <c r="O29" s="5"/>
      <c r="P29" s="5"/>
      <c r="Q29" s="5"/>
    </row>
    <row r="30" spans="1:17" ht="27.75" customHeight="1">
      <c r="A30" s="5" t="s">
        <v>35</v>
      </c>
      <c r="B30" s="5"/>
      <c r="C30" s="5"/>
      <c r="D30" s="5"/>
      <c r="E30" s="5"/>
      <c r="F30" s="5"/>
      <c r="G30" s="5"/>
      <c r="H30" s="5"/>
      <c r="I30" s="5"/>
      <c r="J30" s="5"/>
      <c r="K30" s="5"/>
      <c r="L30" s="5"/>
      <c r="M30" s="5"/>
      <c r="N30" s="5"/>
      <c r="O30" s="5"/>
      <c r="P30" s="5"/>
      <c r="Q30" s="5"/>
    </row>
    <row r="31" spans="1:17" ht="27.75" customHeight="1">
      <c r="A31" s="5" t="s">
        <v>36</v>
      </c>
      <c r="B31" s="5"/>
      <c r="C31" s="5"/>
      <c r="D31" s="5"/>
      <c r="E31" s="5"/>
      <c r="F31" s="5"/>
      <c r="G31" s="5"/>
      <c r="H31" s="5"/>
      <c r="I31" s="5"/>
      <c r="J31" s="5"/>
      <c r="K31" s="5"/>
      <c r="L31" s="5"/>
      <c r="M31" s="5"/>
      <c r="N31" s="5"/>
      <c r="O31" s="5"/>
      <c r="P31" s="5"/>
      <c r="Q31" s="5"/>
    </row>
    <row r="32" spans="1:17" ht="27.75" customHeight="1">
      <c r="A32" s="5" t="s">
        <v>37</v>
      </c>
      <c r="B32" s="5"/>
      <c r="C32" s="5"/>
      <c r="D32" s="5"/>
      <c r="E32" s="5"/>
      <c r="F32" s="5"/>
      <c r="G32" s="5"/>
      <c r="H32" s="5"/>
      <c r="I32" s="5"/>
      <c r="J32" s="5"/>
      <c r="K32" s="5"/>
      <c r="L32" s="5"/>
      <c r="M32" s="5"/>
      <c r="N32" s="5"/>
      <c r="O32" s="5"/>
      <c r="P32" s="5"/>
      <c r="Q32" s="5"/>
    </row>
    <row r="33" spans="1:17" ht="27.75" customHeight="1">
      <c r="A33" s="5" t="s">
        <v>38</v>
      </c>
      <c r="B33" s="5"/>
      <c r="C33" s="5"/>
      <c r="D33" s="5"/>
      <c r="E33" s="5"/>
      <c r="F33" s="5"/>
      <c r="G33" s="5"/>
      <c r="H33" s="5"/>
      <c r="I33" s="5"/>
      <c r="J33" s="5"/>
      <c r="K33" s="5"/>
      <c r="L33" s="5"/>
      <c r="M33" s="5"/>
      <c r="N33" s="5"/>
      <c r="O33" s="5"/>
      <c r="P33" s="5"/>
      <c r="Q33" s="5"/>
    </row>
    <row r="34" spans="1:17" ht="27.75" customHeight="1">
      <c r="A34" s="5" t="s">
        <v>39</v>
      </c>
      <c r="B34" s="5"/>
      <c r="C34" s="5"/>
      <c r="D34" s="5"/>
      <c r="E34" s="5"/>
      <c r="F34" s="5"/>
      <c r="G34" s="5"/>
      <c r="H34" s="5"/>
      <c r="I34" s="5"/>
      <c r="J34" s="5"/>
      <c r="K34" s="5"/>
      <c r="L34" s="5"/>
      <c r="M34" s="5"/>
      <c r="N34" s="5"/>
      <c r="O34" s="5"/>
      <c r="P34" s="5"/>
      <c r="Q34" s="5"/>
    </row>
    <row r="35" spans="1:17" ht="27.75" customHeight="1">
      <c r="A35" s="5" t="s">
        <v>40</v>
      </c>
      <c r="B35" s="5"/>
      <c r="C35" s="5"/>
      <c r="D35" s="5"/>
      <c r="E35" s="5"/>
      <c r="F35" s="5"/>
      <c r="G35" s="5"/>
      <c r="H35" s="5"/>
      <c r="I35" s="5"/>
      <c r="J35" s="5"/>
      <c r="K35" s="5"/>
      <c r="L35" s="5"/>
      <c r="M35" s="5"/>
      <c r="N35" s="5"/>
      <c r="O35" s="5"/>
      <c r="P35" s="5"/>
      <c r="Q35" s="5"/>
    </row>
    <row r="37" spans="1:17" ht="19.5" customHeight="1">
      <c r="A37" s="6" t="s">
        <v>41</v>
      </c>
      <c r="B37" s="6"/>
      <c r="C37" s="6"/>
      <c r="D37" s="6"/>
      <c r="E37" s="6"/>
      <c r="F37" s="6"/>
      <c r="G37" s="6"/>
      <c r="H37" s="6"/>
      <c r="I37" s="6"/>
      <c r="J37" s="6"/>
      <c r="K37" s="6"/>
      <c r="L37" s="6"/>
      <c r="M37" s="6"/>
      <c r="N37" s="6"/>
      <c r="O37" s="6"/>
      <c r="P37" s="6"/>
      <c r="Q37" s="6"/>
    </row>
    <row r="38" spans="1:17" ht="25.5" customHeight="1">
      <c r="A38" s="3">
        <v>1</v>
      </c>
      <c r="B38" s="3"/>
      <c r="C38" s="7" t="s">
        <v>42</v>
      </c>
      <c r="D38" s="7"/>
      <c r="E38" s="7"/>
      <c r="F38" s="7"/>
      <c r="G38" s="7"/>
      <c r="H38" s="7"/>
      <c r="I38" s="7"/>
      <c r="J38" s="7"/>
      <c r="K38" s="7"/>
      <c r="L38" s="7"/>
      <c r="M38" s="7"/>
      <c r="N38" s="7"/>
      <c r="O38" s="7"/>
      <c r="P38" s="7"/>
      <c r="Q38" s="7"/>
    </row>
    <row r="39" spans="1:17" ht="25.5" customHeight="1">
      <c r="A39" s="3">
        <v>2</v>
      </c>
      <c r="B39" s="3"/>
      <c r="C39" s="7" t="s">
        <v>43</v>
      </c>
      <c r="D39" s="7"/>
      <c r="E39" s="7"/>
      <c r="F39" s="7"/>
      <c r="G39" s="7"/>
      <c r="H39" s="7"/>
      <c r="I39" s="7"/>
      <c r="J39" s="7"/>
      <c r="K39" s="7"/>
      <c r="L39" s="7"/>
      <c r="M39" s="7"/>
      <c r="N39" s="7"/>
      <c r="O39" s="7"/>
      <c r="P39" s="7"/>
      <c r="Q39" s="7"/>
    </row>
    <row r="40" spans="1:17" ht="25.5" customHeight="1">
      <c r="A40" s="3">
        <v>3</v>
      </c>
      <c r="B40" s="3"/>
      <c r="C40" s="7" t="s">
        <v>44</v>
      </c>
      <c r="D40" s="7"/>
      <c r="E40" s="7"/>
      <c r="F40" s="7"/>
      <c r="G40" s="7"/>
      <c r="H40" s="7"/>
      <c r="I40" s="7"/>
      <c r="J40" s="7"/>
      <c r="K40" s="7"/>
      <c r="L40" s="7"/>
      <c r="M40" s="7"/>
      <c r="N40" s="7"/>
      <c r="O40" s="7"/>
      <c r="P40" s="7"/>
      <c r="Q40" s="7"/>
    </row>
    <row r="41" spans="1:17" ht="25.5" customHeight="1">
      <c r="A41" s="3">
        <v>4</v>
      </c>
      <c r="B41" s="3"/>
      <c r="C41" s="7" t="s">
        <v>45</v>
      </c>
      <c r="D41" s="7"/>
      <c r="E41" s="7"/>
      <c r="F41" s="7"/>
      <c r="G41" s="7"/>
      <c r="H41" s="7"/>
      <c r="I41" s="7"/>
      <c r="J41" s="7"/>
      <c r="K41" s="7"/>
      <c r="L41" s="7"/>
      <c r="M41" s="7"/>
      <c r="N41" s="7"/>
      <c r="O41" s="7"/>
      <c r="P41" s="7"/>
      <c r="Q41" s="7"/>
    </row>
    <row r="42" spans="1:17" ht="25.5" customHeight="1">
      <c r="A42" s="3">
        <v>5</v>
      </c>
      <c r="B42" s="3"/>
      <c r="C42" s="7" t="s">
        <v>46</v>
      </c>
      <c r="D42" s="7"/>
      <c r="E42" s="7"/>
      <c r="F42" s="7"/>
      <c r="G42" s="7"/>
      <c r="H42" s="7"/>
      <c r="I42" s="7"/>
      <c r="J42" s="7"/>
      <c r="K42" s="7"/>
      <c r="L42" s="7"/>
      <c r="M42" s="7"/>
      <c r="N42" s="7"/>
      <c r="O42" s="7"/>
      <c r="P42" s="7"/>
      <c r="Q42" s="7"/>
    </row>
    <row r="43" spans="1:17" ht="25.5" customHeight="1">
      <c r="A43" s="3">
        <v>6</v>
      </c>
      <c r="B43" s="3"/>
      <c r="C43" s="7" t="s">
        <v>47</v>
      </c>
      <c r="D43" s="7"/>
      <c r="E43" s="7"/>
      <c r="F43" s="7"/>
      <c r="G43" s="7"/>
      <c r="H43" s="7"/>
      <c r="I43" s="7"/>
      <c r="J43" s="7"/>
      <c r="K43" s="7"/>
      <c r="L43" s="7"/>
      <c r="M43" s="7"/>
      <c r="N43" s="7"/>
      <c r="O43" s="7"/>
      <c r="P43" s="7"/>
      <c r="Q43" s="7"/>
    </row>
    <row r="44" spans="1:17" ht="25.5" customHeight="1">
      <c r="A44" s="3">
        <v>7</v>
      </c>
      <c r="B44" s="3"/>
      <c r="C44" s="7" t="s">
        <v>48</v>
      </c>
      <c r="D44" s="7"/>
      <c r="E44" s="7"/>
      <c r="F44" s="7"/>
      <c r="G44" s="7"/>
      <c r="H44" s="7"/>
      <c r="I44" s="7"/>
      <c r="J44" s="7"/>
      <c r="K44" s="7"/>
      <c r="L44" s="7"/>
      <c r="M44" s="7"/>
      <c r="N44" s="7"/>
      <c r="O44" s="7"/>
      <c r="P44" s="7"/>
      <c r="Q44" s="7"/>
    </row>
  </sheetData>
  <sheetProtection algorithmName="SHA-512" hashValue="hIkCVAX1w8dNEiNL/d7Mj5t/aUy1v23AVAMSteYdhanuGBWAIDH341/2VIOMR5eikcXWG2RtzPyDtfbAeWI/Sg==" saltValue="JceZFsL6V1MwEYjCTVyMUg==" spinCount="100000" sheet="1" objects="1" scenarios="1"/>
  <mergeCells count="68">
    <mergeCell ref="A43:B43"/>
    <mergeCell ref="C43:Q43"/>
    <mergeCell ref="A44:B44"/>
    <mergeCell ref="C44:Q44"/>
    <mergeCell ref="A40:B40"/>
    <mergeCell ref="C40:Q40"/>
    <mergeCell ref="A41:B41"/>
    <mergeCell ref="C41:Q41"/>
    <mergeCell ref="A42:B42"/>
    <mergeCell ref="C42:Q42"/>
    <mergeCell ref="A37:Q37"/>
    <mergeCell ref="A38:B38"/>
    <mergeCell ref="C38:Q38"/>
    <mergeCell ref="A39:B39"/>
    <mergeCell ref="C39:Q39"/>
    <mergeCell ref="A31:Q31"/>
    <mergeCell ref="A32:Q32"/>
    <mergeCell ref="A33:Q33"/>
    <mergeCell ref="A34:Q34"/>
    <mergeCell ref="A35:Q35"/>
    <mergeCell ref="A25:Q25"/>
    <mergeCell ref="A26:Q26"/>
    <mergeCell ref="A28:Q28"/>
    <mergeCell ref="A29:Q29"/>
    <mergeCell ref="A30:Q30"/>
    <mergeCell ref="A19:Q19"/>
    <mergeCell ref="A20:Q20"/>
    <mergeCell ref="A22:Q22"/>
    <mergeCell ref="A23:Q23"/>
    <mergeCell ref="A24:Q24"/>
    <mergeCell ref="A15:B15"/>
    <mergeCell ref="C15:K15"/>
    <mergeCell ref="A16:B16"/>
    <mergeCell ref="C16:K16"/>
    <mergeCell ref="A18:Q18"/>
    <mergeCell ref="A12:B12"/>
    <mergeCell ref="C12:K12"/>
    <mergeCell ref="A13:B13"/>
    <mergeCell ref="C13:K13"/>
    <mergeCell ref="A14:B14"/>
    <mergeCell ref="C14:K14"/>
    <mergeCell ref="A8:B8"/>
    <mergeCell ref="C8:D8"/>
    <mergeCell ref="A10:B10"/>
    <mergeCell ref="C10:K10"/>
    <mergeCell ref="A11:B11"/>
    <mergeCell ref="C11:K11"/>
    <mergeCell ref="K6:L6"/>
    <mergeCell ref="M6:N6"/>
    <mergeCell ref="O6:Q6"/>
    <mergeCell ref="A7:B7"/>
    <mergeCell ref="C7:D7"/>
    <mergeCell ref="A6:B6"/>
    <mergeCell ref="C6:D6"/>
    <mergeCell ref="E6:F6"/>
    <mergeCell ref="G6:H6"/>
    <mergeCell ref="I6:J6"/>
    <mergeCell ref="A1:Q1"/>
    <mergeCell ref="A2:Q3"/>
    <mergeCell ref="A4:Q4"/>
    <mergeCell ref="A5:B5"/>
    <mergeCell ref="C5:D5"/>
    <mergeCell ref="E5:F5"/>
    <mergeCell ref="G5:H5"/>
    <mergeCell ref="I5:J5"/>
    <mergeCell ref="K5:L5"/>
    <mergeCell ref="M5:N5"/>
    <mergeCell ref="O5:Q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BE4D5"/>
  </sheetPr>
  <dimension ref="A1:Q45"/>
  <sheetViews>
    <sheetView showGridLines="0" topLeftCell="A7" workbookViewId="0">
      <selection activeCell="C14" sqref="C14:K14"/>
    </sheetView>
  </sheetViews>
  <sheetFormatPr baseColWidth="10" defaultColWidth="9.140625" defaultRowHeight="15"/>
  <cols>
    <col min="1" max="1" width="31.28515625" style="14" customWidth="1"/>
    <col min="2" max="2" width="35.42578125" style="14" customWidth="1"/>
    <col min="3" max="3" width="12" style="14" customWidth="1"/>
    <col min="4" max="4" width="11" style="14" customWidth="1"/>
    <col min="5" max="5" width="19.28515625"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49</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50</v>
      </c>
      <c r="B6" s="6"/>
      <c r="C6" s="6"/>
      <c r="D6" s="6"/>
      <c r="E6" s="6"/>
      <c r="F6" s="6"/>
      <c r="G6" s="6"/>
      <c r="H6" s="6"/>
      <c r="I6" s="6"/>
      <c r="J6" s="6"/>
      <c r="K6" s="6"/>
      <c r="L6" s="6"/>
      <c r="M6" s="6"/>
      <c r="N6" s="6"/>
      <c r="O6" s="6"/>
      <c r="P6" s="6"/>
      <c r="Q6" s="6"/>
    </row>
    <row r="7" spans="1:17" ht="30" customHeight="1">
      <c r="A7" s="5" t="s">
        <v>51</v>
      </c>
      <c r="B7" s="5"/>
      <c r="C7" s="5"/>
      <c r="D7" s="5"/>
      <c r="E7" s="5"/>
      <c r="F7" s="5"/>
      <c r="G7" s="5"/>
      <c r="H7" s="5"/>
      <c r="I7" s="5"/>
      <c r="J7" s="5"/>
      <c r="K7" s="5"/>
      <c r="L7" s="5"/>
      <c r="M7" s="5"/>
      <c r="N7" s="5"/>
      <c r="O7" s="5"/>
      <c r="P7" s="5"/>
      <c r="Q7" s="5"/>
    </row>
    <row r="8" spans="1:17" ht="30" customHeight="1">
      <c r="A8" s="5" t="s">
        <v>52</v>
      </c>
      <c r="B8" s="5"/>
      <c r="C8" s="5"/>
      <c r="D8" s="5"/>
      <c r="E8" s="5"/>
      <c r="F8" s="5"/>
      <c r="G8" s="5"/>
      <c r="H8" s="5"/>
      <c r="I8" s="5"/>
      <c r="J8" s="5"/>
      <c r="K8" s="5"/>
      <c r="L8" s="5"/>
      <c r="M8" s="5"/>
      <c r="N8" s="5"/>
      <c r="O8" s="5"/>
      <c r="P8" s="5"/>
      <c r="Q8" s="5"/>
    </row>
    <row r="9" spans="1:17" ht="30" customHeight="1">
      <c r="A9" s="5" t="s">
        <v>53</v>
      </c>
      <c r="B9" s="5"/>
      <c r="C9" s="5"/>
      <c r="D9" s="5"/>
      <c r="E9" s="5"/>
      <c r="F9" s="5"/>
      <c r="G9" s="5"/>
      <c r="H9" s="5"/>
      <c r="I9" s="5"/>
      <c r="J9" s="5"/>
      <c r="K9" s="5"/>
      <c r="L9" s="5"/>
      <c r="M9" s="5"/>
      <c r="N9" s="5"/>
      <c r="O9" s="5"/>
      <c r="P9" s="5"/>
      <c r="Q9" s="5"/>
    </row>
    <row r="10" spans="1:17" ht="30" customHeight="1">
      <c r="A10" s="5" t="s">
        <v>54</v>
      </c>
      <c r="B10" s="5"/>
      <c r="C10" s="5"/>
      <c r="D10" s="5"/>
      <c r="E10" s="5"/>
      <c r="F10" s="5"/>
      <c r="G10" s="5"/>
      <c r="H10" s="5"/>
      <c r="I10" s="5"/>
      <c r="J10" s="5"/>
      <c r="K10" s="5"/>
      <c r="L10" s="5"/>
      <c r="M10" s="5"/>
      <c r="N10" s="5"/>
      <c r="O10" s="5"/>
      <c r="P10" s="5"/>
      <c r="Q10" s="5"/>
    </row>
    <row r="11" spans="1:17" ht="30" customHeight="1">
      <c r="A11" s="5" t="s">
        <v>55</v>
      </c>
      <c r="B11" s="5"/>
      <c r="C11" s="5"/>
      <c r="D11" s="5"/>
      <c r="E11" s="5"/>
      <c r="F11" s="5"/>
      <c r="G11" s="5"/>
      <c r="H11" s="5"/>
      <c r="I11" s="5"/>
      <c r="J11" s="5"/>
      <c r="K11" s="5"/>
      <c r="L11" s="5"/>
      <c r="M11" s="5"/>
      <c r="N11" s="5"/>
      <c r="O11" s="5"/>
      <c r="P11" s="5"/>
      <c r="Q11" s="5"/>
    </row>
    <row r="12" spans="1:17" ht="30" customHeight="1">
      <c r="A12" s="5" t="s">
        <v>56</v>
      </c>
      <c r="B12" s="5"/>
      <c r="C12" s="5"/>
      <c r="D12" s="5"/>
      <c r="E12" s="5"/>
      <c r="F12" s="5"/>
      <c r="G12" s="5"/>
      <c r="H12" s="5"/>
      <c r="I12" s="5"/>
      <c r="J12" s="5"/>
      <c r="K12" s="5"/>
      <c r="L12" s="5"/>
      <c r="M12" s="5"/>
      <c r="N12" s="5"/>
      <c r="O12" s="5"/>
      <c r="P12" s="5"/>
      <c r="Q12" s="5"/>
    </row>
    <row r="14" spans="1:17" ht="18" customHeight="1">
      <c r="A14" s="8" t="s">
        <v>57</v>
      </c>
      <c r="B14" s="8"/>
      <c r="C14" s="2" t="s">
        <v>58</v>
      </c>
      <c r="D14" s="2"/>
      <c r="E14" s="2"/>
      <c r="F14" s="2"/>
      <c r="G14" s="2"/>
      <c r="H14" s="2"/>
      <c r="I14" s="2"/>
      <c r="J14" s="2"/>
      <c r="K14" s="2"/>
    </row>
    <row r="15" spans="1:17" ht="30" customHeight="1">
      <c r="A15" s="8" t="s">
        <v>59</v>
      </c>
      <c r="B15" s="8"/>
      <c r="C15" s="1" t="str">
        <f>IF(C14="Sí","Autorización registrada: documente el respaldo y consérvelo junto a este archivo.","BLOQUEO ACTIVO · uso personal exclusivamente. No redistribuir ni comercializar.")</f>
        <v>BLOQUEO ACTIVO · uso personal exclusivamente. No redistribuir ni comercializar.</v>
      </c>
      <c r="D15" s="1"/>
      <c r="E15" s="1"/>
      <c r="F15" s="1"/>
      <c r="G15" s="1"/>
      <c r="H15" s="1"/>
      <c r="I15" s="1"/>
      <c r="J15" s="1"/>
      <c r="K15" s="1"/>
    </row>
    <row r="17" spans="1:17" ht="19.5" customHeight="1">
      <c r="A17" s="6" t="s">
        <v>60</v>
      </c>
      <c r="B17" s="6"/>
      <c r="C17" s="6"/>
      <c r="D17" s="6"/>
      <c r="E17" s="6"/>
      <c r="F17" s="6"/>
      <c r="G17" s="6"/>
      <c r="H17" s="6"/>
      <c r="I17" s="6"/>
      <c r="J17" s="6"/>
      <c r="K17" s="6"/>
      <c r="L17" s="6"/>
      <c r="M17" s="6"/>
      <c r="N17" s="6"/>
      <c r="O17" s="6"/>
      <c r="P17" s="6"/>
      <c r="Q17" s="6"/>
    </row>
    <row r="18" spans="1:17" ht="15" customHeight="1">
      <c r="A18" s="109" t="s">
        <v>61</v>
      </c>
      <c r="B18" s="109"/>
      <c r="C18" s="109"/>
      <c r="D18" s="109"/>
      <c r="E18" s="109"/>
      <c r="F18" s="109"/>
      <c r="G18" s="109"/>
      <c r="H18" s="109"/>
      <c r="I18" s="109"/>
      <c r="J18" s="109"/>
      <c r="K18" s="109"/>
      <c r="L18" s="109"/>
      <c r="M18" s="109"/>
      <c r="N18" s="109"/>
      <c r="O18" s="109"/>
      <c r="P18" s="109"/>
      <c r="Q18" s="109"/>
    </row>
    <row r="19" spans="1:17" ht="15" customHeight="1">
      <c r="A19" s="109"/>
      <c r="B19" s="109"/>
      <c r="C19" s="109"/>
      <c r="D19" s="109"/>
      <c r="E19" s="109"/>
      <c r="F19" s="109"/>
      <c r="G19" s="109"/>
      <c r="H19" s="109"/>
      <c r="I19" s="109"/>
      <c r="J19" s="109"/>
      <c r="K19" s="109"/>
      <c r="L19" s="109"/>
      <c r="M19" s="109"/>
      <c r="N19" s="109"/>
      <c r="O19" s="109"/>
      <c r="P19" s="109"/>
      <c r="Q19" s="109"/>
    </row>
    <row r="20" spans="1:17" ht="15" customHeight="1">
      <c r="A20" s="109"/>
      <c r="B20" s="109"/>
      <c r="C20" s="109"/>
      <c r="D20" s="109"/>
      <c r="E20" s="109"/>
      <c r="F20" s="109"/>
      <c r="G20" s="109"/>
      <c r="H20" s="109"/>
      <c r="I20" s="109"/>
      <c r="J20" s="109"/>
      <c r="K20" s="109"/>
      <c r="L20" s="109"/>
      <c r="M20" s="109"/>
      <c r="N20" s="109"/>
      <c r="O20" s="109"/>
      <c r="P20" s="109"/>
      <c r="Q20" s="109"/>
    </row>
    <row r="21" spans="1:17" ht="15" customHeight="1">
      <c r="A21" s="109"/>
      <c r="B21" s="109"/>
      <c r="C21" s="109"/>
      <c r="D21" s="109"/>
      <c r="E21" s="109"/>
      <c r="F21" s="109"/>
      <c r="G21" s="109"/>
      <c r="H21" s="109"/>
      <c r="I21" s="109"/>
      <c r="J21" s="109"/>
      <c r="K21" s="109"/>
      <c r="L21" s="109"/>
      <c r="M21" s="109"/>
      <c r="N21" s="109"/>
      <c r="O21" s="109"/>
      <c r="P21" s="109"/>
      <c r="Q21" s="109"/>
    </row>
    <row r="23" spans="1:17" ht="15" customHeight="1">
      <c r="A23" s="15" t="s">
        <v>62</v>
      </c>
      <c r="B23" s="15" t="s">
        <v>63</v>
      </c>
      <c r="C23" s="15" t="s">
        <v>64</v>
      </c>
      <c r="D23" s="15" t="s">
        <v>65</v>
      </c>
      <c r="E23" s="15" t="s">
        <v>66</v>
      </c>
    </row>
    <row r="24" spans="1:17" ht="15" customHeight="1">
      <c r="A24" s="16" t="s">
        <v>67</v>
      </c>
      <c r="B24" s="17">
        <f>COUNT(ALIMENTOS!H$9:H$626)</f>
        <v>403</v>
      </c>
      <c r="C24" s="17">
        <f>COUNTA(ALIMENTOS!$B$9:$B$626)</f>
        <v>618</v>
      </c>
      <c r="D24" s="18">
        <f>IF(C24=0,"ND",B24/C24)</f>
        <v>0.65210355987055013</v>
      </c>
      <c r="E24" s="19">
        <f>C24-B24</f>
        <v>215</v>
      </c>
    </row>
    <row r="25" spans="1:17" ht="15" customHeight="1">
      <c r="A25" s="16" t="s">
        <v>68</v>
      </c>
      <c r="B25" s="17">
        <f>COUNT(ALIMENTOS!I$9:I$626)</f>
        <v>428</v>
      </c>
      <c r="C25" s="17">
        <f>COUNTA(ALIMENTOS!$B$9:$B$626)</f>
        <v>618</v>
      </c>
      <c r="D25" s="18">
        <f>IF(C25=0,"ND",B25/C25)</f>
        <v>0.69255663430420711</v>
      </c>
      <c r="E25" s="19">
        <f>C25-B25</f>
        <v>190</v>
      </c>
    </row>
    <row r="26" spans="1:17" ht="15" customHeight="1">
      <c r="A26" s="16" t="s">
        <v>69</v>
      </c>
      <c r="B26" s="17">
        <f>COUNT(ALIMENTOS!J$9:J$626)</f>
        <v>567</v>
      </c>
      <c r="C26" s="17">
        <f>COUNTA(ALIMENTOS!$B$9:$B$626)</f>
        <v>618</v>
      </c>
      <c r="D26" s="18">
        <f>IF(C26=0,"ND",B26/C26)</f>
        <v>0.91747572815533984</v>
      </c>
      <c r="E26" s="19">
        <f>C26-B26</f>
        <v>51</v>
      </c>
    </row>
    <row r="27" spans="1:17" ht="15" customHeight="1">
      <c r="A27" s="16" t="s">
        <v>70</v>
      </c>
      <c r="B27" s="17">
        <f>COUNT(ALIMENTOS!K$9:K$626)</f>
        <v>604</v>
      </c>
      <c r="C27" s="17">
        <f>COUNTA(ALIMENTOS!$B$9:$B$626)</f>
        <v>618</v>
      </c>
      <c r="D27" s="18">
        <f>IF(C27=0,"ND",B27/C27)</f>
        <v>0.97734627831715215</v>
      </c>
      <c r="E27" s="19">
        <f>C27-B27</f>
        <v>14</v>
      </c>
    </row>
    <row r="28" spans="1:17" ht="15" customHeight="1">
      <c r="A28" s="16" t="s">
        <v>71</v>
      </c>
      <c r="B28" s="17">
        <f>COUNT(ALIMENTOS!L$9:L$626)</f>
        <v>612</v>
      </c>
      <c r="C28" s="17">
        <f>COUNTA(ALIMENTOS!$B$9:$B$626)</f>
        <v>618</v>
      </c>
      <c r="D28" s="18">
        <f>IF(C28=0,"ND",B28/C28)</f>
        <v>0.99029126213592233</v>
      </c>
      <c r="E28" s="19">
        <f>C28-B28</f>
        <v>6</v>
      </c>
    </row>
    <row r="30" spans="1:17" ht="18" customHeight="1">
      <c r="A30" s="8" t="s">
        <v>72</v>
      </c>
      <c r="B30" s="8"/>
      <c r="C30" s="110">
        <f>COUNTIF(ALIMENTOS!$S$9:$S$626,"Utilizable")</f>
        <v>376</v>
      </c>
      <c r="D30" s="110"/>
      <c r="E30" s="110"/>
      <c r="F30" s="110"/>
      <c r="G30" s="110"/>
      <c r="H30" s="110"/>
      <c r="I30" s="110"/>
      <c r="J30" s="110"/>
      <c r="K30" s="110"/>
      <c r="L30" s="111" t="s">
        <v>73</v>
      </c>
      <c r="M30" s="111"/>
      <c r="N30" s="111"/>
      <c r="O30" s="111"/>
      <c r="P30" s="111"/>
      <c r="Q30" s="111"/>
    </row>
    <row r="31" spans="1:17" ht="18" customHeight="1">
      <c r="A31" s="8" t="s">
        <v>74</v>
      </c>
      <c r="B31" s="8"/>
      <c r="C31" s="110">
        <f>COUNTIF(ALIMENTOS!$S$9:$S$626,"No utilizable")</f>
        <v>242</v>
      </c>
      <c r="D31" s="110"/>
      <c r="E31" s="110"/>
      <c r="F31" s="110"/>
      <c r="G31" s="110"/>
      <c r="H31" s="110"/>
      <c r="I31" s="110"/>
      <c r="J31" s="110"/>
      <c r="K31" s="110"/>
    </row>
    <row r="32" spans="1:17" ht="18" customHeight="1">
      <c r="A32" s="8" t="s">
        <v>75</v>
      </c>
      <c r="B32" s="8"/>
      <c r="C32" s="112">
        <f>IF(C30+C31=0,"ND",C30/(C30+C31))</f>
        <v>0.60841423948220064</v>
      </c>
      <c r="D32" s="112"/>
      <c r="E32" s="112"/>
      <c r="F32" s="112"/>
      <c r="G32" s="112"/>
      <c r="H32" s="112"/>
      <c r="I32" s="112"/>
      <c r="J32" s="112"/>
      <c r="K32" s="112"/>
    </row>
    <row r="33" spans="1:17" ht="48" customHeight="1">
      <c r="A33" s="8" t="s">
        <v>76</v>
      </c>
      <c r="B33" s="8"/>
      <c r="C33" s="113"/>
      <c r="D33" s="113"/>
      <c r="E33" s="113"/>
      <c r="F33" s="113"/>
      <c r="G33" s="113"/>
      <c r="H33" s="113"/>
      <c r="I33" s="113"/>
      <c r="J33" s="113"/>
      <c r="K33" s="113"/>
    </row>
    <row r="35" spans="1:17" ht="19.5" customHeight="1">
      <c r="A35" s="6" t="s">
        <v>77</v>
      </c>
      <c r="B35" s="6"/>
      <c r="C35" s="6"/>
      <c r="D35" s="6"/>
      <c r="E35" s="6"/>
      <c r="F35" s="6"/>
      <c r="G35" s="6"/>
      <c r="H35" s="6"/>
      <c r="I35" s="6"/>
      <c r="J35" s="6"/>
      <c r="K35" s="6"/>
      <c r="L35" s="6"/>
      <c r="M35" s="6"/>
      <c r="N35" s="6"/>
      <c r="O35" s="6"/>
      <c r="P35" s="6"/>
      <c r="Q35" s="6"/>
    </row>
    <row r="36" spans="1:17" ht="30" customHeight="1">
      <c r="A36" s="8" t="s">
        <v>78</v>
      </c>
      <c r="B36" s="8"/>
      <c r="C36" s="2" t="s">
        <v>58</v>
      </c>
      <c r="D36" s="2"/>
      <c r="E36" s="2"/>
      <c r="F36" s="2"/>
      <c r="G36" s="2"/>
      <c r="H36" s="2"/>
      <c r="I36" s="2"/>
      <c r="J36" s="2"/>
      <c r="K36" s="2"/>
    </row>
    <row r="37" spans="1:17" ht="27.75" customHeight="1">
      <c r="A37" s="114" t="s">
        <v>79</v>
      </c>
      <c r="B37" s="114"/>
      <c r="C37" s="2" t="s">
        <v>58</v>
      </c>
      <c r="D37" s="2"/>
      <c r="E37" s="2"/>
      <c r="F37" s="2"/>
      <c r="G37" s="2"/>
      <c r="H37" s="2"/>
      <c r="I37" s="2"/>
      <c r="J37" s="2"/>
      <c r="K37" s="2"/>
    </row>
    <row r="38" spans="1:17" ht="18" customHeight="1">
      <c r="A38" s="8" t="s">
        <v>80</v>
      </c>
      <c r="B38" s="8"/>
      <c r="C38" s="2" t="s">
        <v>58</v>
      </c>
      <c r="D38" s="2"/>
      <c r="E38" s="2"/>
      <c r="F38" s="2"/>
      <c r="G38" s="2"/>
      <c r="H38" s="2"/>
      <c r="I38" s="2"/>
      <c r="J38" s="2"/>
      <c r="K38" s="2"/>
    </row>
    <row r="39" spans="1:17" ht="18" customHeight="1">
      <c r="A39" s="8" t="s">
        <v>81</v>
      </c>
      <c r="B39" s="8"/>
      <c r="C39" s="2" t="s">
        <v>58</v>
      </c>
      <c r="D39" s="2"/>
      <c r="E39" s="2"/>
      <c r="F39" s="2"/>
      <c r="G39" s="2"/>
      <c r="H39" s="2"/>
      <c r="I39" s="2"/>
      <c r="J39" s="2"/>
      <c r="K39" s="2"/>
    </row>
    <row r="40" spans="1:17" ht="18" customHeight="1">
      <c r="A40" s="8" t="s">
        <v>82</v>
      </c>
      <c r="B40" s="8"/>
      <c r="C40" s="2" t="s">
        <v>58</v>
      </c>
      <c r="D40" s="2"/>
      <c r="E40" s="2"/>
      <c r="F40" s="2"/>
      <c r="G40" s="2"/>
      <c r="H40" s="2"/>
      <c r="I40" s="2"/>
      <c r="J40" s="2"/>
      <c r="K40" s="2"/>
    </row>
    <row r="41" spans="1:17" ht="43.5" customHeight="1">
      <c r="A41" s="8" t="s">
        <v>83</v>
      </c>
      <c r="B41" s="8"/>
      <c r="C41" s="115" t="str">
        <f>IF(COUNTIF(C36:C40,"Sí")=5,"Revisión clínica completa: el explorador puede usarse como apoyo.","REVISIÓN PENDIENTE · faltan "&amp;(5-COUNTIF(C36:C40,"Sí"))&amp;" punto(s). Este explorador NO debe usarse para orientar a un paciente mientras la revisión no esté completa.")</f>
        <v>REVISIÓN PENDIENTE · faltan 5 punto(s). Este explorador NO debe usarse para orientar a un paciente mientras la revisión no esté completa.</v>
      </c>
      <c r="D41" s="115"/>
      <c r="E41" s="115"/>
      <c r="F41" s="115"/>
      <c r="G41" s="115"/>
      <c r="H41" s="115"/>
      <c r="I41" s="115"/>
      <c r="J41" s="115"/>
      <c r="K41" s="115"/>
    </row>
    <row r="43" spans="1:17" ht="15" customHeight="1">
      <c r="A43" s="109" t="s">
        <v>84</v>
      </c>
      <c r="B43" s="109"/>
      <c r="C43" s="109"/>
      <c r="D43" s="109"/>
      <c r="E43" s="109"/>
      <c r="F43" s="109"/>
      <c r="G43" s="109"/>
      <c r="H43" s="109"/>
      <c r="I43" s="109"/>
      <c r="J43" s="109"/>
      <c r="K43" s="109"/>
      <c r="L43" s="109"/>
      <c r="M43" s="109"/>
      <c r="N43" s="109"/>
      <c r="O43" s="109"/>
      <c r="P43" s="109"/>
      <c r="Q43" s="109"/>
    </row>
    <row r="44" spans="1:17" ht="15" customHeight="1">
      <c r="A44" s="109"/>
      <c r="B44" s="109"/>
      <c r="C44" s="109"/>
      <c r="D44" s="109"/>
      <c r="E44" s="109"/>
      <c r="F44" s="109"/>
      <c r="G44" s="109"/>
      <c r="H44" s="109"/>
      <c r="I44" s="109"/>
      <c r="J44" s="109"/>
      <c r="K44" s="109"/>
      <c r="L44" s="109"/>
      <c r="M44" s="109"/>
      <c r="N44" s="109"/>
      <c r="O44" s="109"/>
      <c r="P44" s="109"/>
      <c r="Q44" s="109"/>
    </row>
    <row r="45" spans="1:17" ht="15" customHeight="1">
      <c r="A45" s="109"/>
      <c r="B45" s="109"/>
      <c r="C45" s="109"/>
      <c r="D45" s="109"/>
      <c r="E45" s="109"/>
      <c r="F45" s="109"/>
      <c r="G45" s="109"/>
      <c r="H45" s="109"/>
      <c r="I45" s="109"/>
      <c r="J45" s="109"/>
      <c r="K45" s="109"/>
      <c r="L45" s="109"/>
      <c r="M45" s="109"/>
      <c r="N45" s="109"/>
      <c r="O45" s="109"/>
      <c r="P45" s="109"/>
      <c r="Q45" s="109"/>
    </row>
  </sheetData>
  <mergeCells count="39">
    <mergeCell ref="A43:Q45"/>
    <mergeCell ref="A39:B39"/>
    <mergeCell ref="C39:K39"/>
    <mergeCell ref="A40:B40"/>
    <mergeCell ref="C40:K40"/>
    <mergeCell ref="A41:B41"/>
    <mergeCell ref="C41:K41"/>
    <mergeCell ref="A36:B36"/>
    <mergeCell ref="C36:K36"/>
    <mergeCell ref="A37:B37"/>
    <mergeCell ref="C37:K37"/>
    <mergeCell ref="A38:B38"/>
    <mergeCell ref="C38:K38"/>
    <mergeCell ref="A32:B32"/>
    <mergeCell ref="C32:K32"/>
    <mergeCell ref="A33:B33"/>
    <mergeCell ref="C33:K33"/>
    <mergeCell ref="A35:Q35"/>
    <mergeCell ref="A18:Q21"/>
    <mergeCell ref="A30:B30"/>
    <mergeCell ref="C30:K30"/>
    <mergeCell ref="L30:Q30"/>
    <mergeCell ref="A31:B31"/>
    <mergeCell ref="C31:K31"/>
    <mergeCell ref="A14:B14"/>
    <mergeCell ref="C14:K14"/>
    <mergeCell ref="A15:B15"/>
    <mergeCell ref="C15:K15"/>
    <mergeCell ref="A17:Q17"/>
    <mergeCell ref="A8:Q8"/>
    <mergeCell ref="A9:Q9"/>
    <mergeCell ref="A10:Q10"/>
    <mergeCell ref="A11:Q11"/>
    <mergeCell ref="A12:Q12"/>
    <mergeCell ref="A1:Q1"/>
    <mergeCell ref="A2:Q3"/>
    <mergeCell ref="A4:B4"/>
    <mergeCell ref="A6:Q6"/>
    <mergeCell ref="A7:Q7"/>
  </mergeCells>
  <dataValidations count="1">
    <dataValidation type="list" allowBlank="1" sqref="C14 C36:C40" xr:uid="{00000000-0002-0000-0100-000000000000}">
      <formula1>lst_si</formula1>
      <formula2>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CEFCE"/>
  </sheetPr>
  <dimension ref="A1:Q36"/>
  <sheetViews>
    <sheetView showGridLines="0" topLeftCell="A16" workbookViewId="0">
      <selection sqref="A1:Q1"/>
    </sheetView>
  </sheetViews>
  <sheetFormatPr baseColWidth="10" defaultColWidth="9.140625" defaultRowHeight="15"/>
  <cols>
    <col min="1" max="1" width="18.5703125"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85</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86</v>
      </c>
      <c r="B6" s="6"/>
      <c r="C6" s="6"/>
      <c r="D6" s="6"/>
      <c r="E6" s="6"/>
      <c r="F6" s="6"/>
      <c r="G6" s="6"/>
      <c r="H6" s="6"/>
      <c r="I6" s="6"/>
      <c r="J6" s="6"/>
      <c r="K6" s="6"/>
      <c r="L6" s="6"/>
      <c r="M6" s="6"/>
      <c r="N6" s="6"/>
      <c r="O6" s="6"/>
      <c r="P6" s="6"/>
      <c r="Q6" s="6"/>
    </row>
    <row r="7" spans="1:17" ht="18" customHeight="1">
      <c r="A7" s="8" t="s">
        <v>87</v>
      </c>
      <c r="B7" s="8"/>
      <c r="C7" s="2" t="s">
        <v>88</v>
      </c>
      <c r="D7" s="2"/>
      <c r="E7" s="2"/>
      <c r="F7" s="2"/>
      <c r="G7" s="2"/>
      <c r="H7" s="2"/>
      <c r="I7" s="2"/>
      <c r="J7" s="2"/>
      <c r="K7" s="2"/>
    </row>
    <row r="8" spans="1:17" ht="18" customHeight="1">
      <c r="A8" s="8" t="s">
        <v>89</v>
      </c>
      <c r="B8" s="8"/>
      <c r="C8" s="2">
        <v>58</v>
      </c>
      <c r="D8" s="2"/>
      <c r="E8" s="2"/>
      <c r="F8" s="2"/>
      <c r="G8" s="2"/>
      <c r="H8" s="2"/>
      <c r="I8" s="2"/>
      <c r="J8" s="2"/>
      <c r="K8" s="2"/>
    </row>
    <row r="9" spans="1:17" ht="18" customHeight="1">
      <c r="A9" s="8" t="s">
        <v>90</v>
      </c>
      <c r="B9" s="8"/>
      <c r="C9" s="2" t="s">
        <v>91</v>
      </c>
      <c r="D9" s="2"/>
      <c r="E9" s="2"/>
      <c r="F9" s="2"/>
      <c r="G9" s="2"/>
      <c r="H9" s="2"/>
      <c r="I9" s="2"/>
      <c r="J9" s="2"/>
      <c r="K9" s="2"/>
    </row>
    <row r="10" spans="1:17" ht="18" customHeight="1">
      <c r="A10" s="8" t="s">
        <v>92</v>
      </c>
      <c r="B10" s="8"/>
      <c r="C10" s="2">
        <v>68</v>
      </c>
      <c r="D10" s="2"/>
      <c r="E10" s="2"/>
      <c r="F10" s="2"/>
      <c r="G10" s="2"/>
      <c r="H10" s="2"/>
      <c r="I10" s="2"/>
      <c r="J10" s="2"/>
      <c r="K10" s="2"/>
    </row>
    <row r="11" spans="1:17" ht="18" customHeight="1">
      <c r="A11" s="8" t="s">
        <v>17</v>
      </c>
      <c r="B11" s="8"/>
      <c r="C11" s="2" t="s">
        <v>18</v>
      </c>
      <c r="D11" s="2"/>
      <c r="E11" s="2"/>
      <c r="F11" s="2"/>
      <c r="G11" s="2"/>
      <c r="H11" s="2"/>
      <c r="I11" s="2"/>
      <c r="J11" s="2"/>
      <c r="K11" s="2"/>
    </row>
    <row r="12" spans="1:17" ht="18" customHeight="1">
      <c r="A12" s="8" t="s">
        <v>93</v>
      </c>
      <c r="B12" s="8"/>
      <c r="C12" s="2" t="s">
        <v>94</v>
      </c>
      <c r="D12" s="2"/>
      <c r="E12" s="2"/>
      <c r="F12" s="2"/>
      <c r="G12" s="2"/>
      <c r="H12" s="2"/>
      <c r="I12" s="2"/>
      <c r="J12" s="2"/>
      <c r="K12" s="2"/>
    </row>
    <row r="13" spans="1:17">
      <c r="A13" s="119" t="s">
        <v>1618</v>
      </c>
      <c r="B13" s="120"/>
      <c r="C13" s="121" t="s">
        <v>1564</v>
      </c>
      <c r="D13" s="122"/>
      <c r="E13" s="122"/>
      <c r="F13" s="122"/>
      <c r="G13" s="122"/>
      <c r="H13" s="122"/>
      <c r="I13" s="122"/>
      <c r="J13" s="122"/>
      <c r="K13" s="122"/>
      <c r="L13" s="123"/>
    </row>
    <row r="14" spans="1:17" ht="19.5" customHeight="1">
      <c r="A14" s="6" t="s">
        <v>95</v>
      </c>
      <c r="B14" s="6"/>
      <c r="C14" s="6"/>
      <c r="D14" s="6"/>
      <c r="E14" s="6"/>
      <c r="F14" s="6"/>
      <c r="G14" s="6"/>
      <c r="H14" s="6"/>
      <c r="I14" s="6"/>
      <c r="J14" s="6"/>
      <c r="K14" s="6"/>
      <c r="L14" s="6"/>
      <c r="M14" s="6"/>
      <c r="N14" s="6"/>
      <c r="O14" s="6"/>
      <c r="P14" s="6"/>
      <c r="Q14" s="6"/>
    </row>
    <row r="15" spans="1:17" ht="18" customHeight="1">
      <c r="A15" s="8" t="s">
        <v>1619</v>
      </c>
      <c r="B15" s="8"/>
      <c r="C15" s="116">
        <v>2500</v>
      </c>
      <c r="D15" s="116"/>
      <c r="E15" s="116"/>
      <c r="F15" s="116"/>
      <c r="G15" s="116"/>
      <c r="H15" s="116"/>
      <c r="I15" s="116"/>
      <c r="J15" s="116"/>
      <c r="K15" s="116"/>
      <c r="L15" s="111" t="s">
        <v>96</v>
      </c>
      <c r="M15" s="111"/>
      <c r="N15" s="111"/>
      <c r="O15" s="111"/>
      <c r="P15" s="111"/>
      <c r="Q15" s="111"/>
    </row>
    <row r="16" spans="1:17" ht="18" customHeight="1">
      <c r="A16" s="8" t="s">
        <v>1620</v>
      </c>
      <c r="B16" s="8"/>
      <c r="C16" s="116">
        <v>900</v>
      </c>
      <c r="D16" s="116"/>
      <c r="E16" s="116"/>
      <c r="F16" s="116"/>
      <c r="G16" s="116"/>
      <c r="H16" s="116"/>
      <c r="I16" s="116"/>
      <c r="J16" s="116"/>
      <c r="K16" s="116"/>
      <c r="L16" s="111" t="s">
        <v>97</v>
      </c>
      <c r="M16" s="111"/>
      <c r="N16" s="111"/>
      <c r="O16" s="111"/>
      <c r="P16" s="111"/>
      <c r="Q16" s="111"/>
    </row>
    <row r="17" spans="1:17" ht="18" customHeight="1">
      <c r="A17" s="8" t="s">
        <v>1621</v>
      </c>
      <c r="B17" s="8"/>
      <c r="C17" s="116">
        <v>2000</v>
      </c>
      <c r="D17" s="116"/>
      <c r="E17" s="116"/>
      <c r="F17" s="116"/>
      <c r="G17" s="116"/>
      <c r="H17" s="116"/>
      <c r="I17" s="116"/>
      <c r="J17" s="116"/>
      <c r="K17" s="116"/>
      <c r="L17" s="111" t="s">
        <v>98</v>
      </c>
      <c r="M17" s="111"/>
      <c r="N17" s="111"/>
      <c r="O17" s="111"/>
      <c r="P17" s="111"/>
      <c r="Q17" s="111"/>
    </row>
    <row r="18" spans="1:17" ht="18" customHeight="1">
      <c r="A18" s="8" t="s">
        <v>1622</v>
      </c>
      <c r="B18" s="8"/>
      <c r="C18" s="116" t="s">
        <v>1564</v>
      </c>
      <c r="D18" s="116"/>
      <c r="E18" s="116"/>
      <c r="F18" s="116"/>
      <c r="G18" s="116"/>
      <c r="H18" s="116"/>
      <c r="I18" s="116"/>
      <c r="J18" s="116"/>
      <c r="K18" s="116"/>
      <c r="L18" s="111" t="s">
        <v>99</v>
      </c>
      <c r="M18" s="111"/>
      <c r="N18" s="111"/>
      <c r="O18" s="111"/>
      <c r="P18" s="111"/>
      <c r="Q18" s="111"/>
    </row>
    <row r="19" spans="1:17" ht="18" customHeight="1">
      <c r="A19" s="8" t="s">
        <v>1623</v>
      </c>
      <c r="B19" s="8"/>
      <c r="C19" s="116">
        <v>2040</v>
      </c>
      <c r="D19" s="116"/>
      <c r="E19" s="116"/>
      <c r="F19" s="116"/>
      <c r="G19" s="116"/>
      <c r="H19" s="116"/>
      <c r="I19" s="116"/>
      <c r="J19" s="116"/>
      <c r="K19" s="116"/>
      <c r="L19" s="111" t="s">
        <v>100</v>
      </c>
      <c r="M19" s="111"/>
      <c r="N19" s="111"/>
      <c r="O19" s="111"/>
      <c r="P19" s="111"/>
      <c r="Q19" s="111"/>
    </row>
    <row r="20" spans="1:17">
      <c r="A20" s="124" t="s">
        <v>1624</v>
      </c>
      <c r="B20" s="125"/>
      <c r="C20" s="125"/>
      <c r="D20" s="125"/>
      <c r="E20" s="125"/>
      <c r="F20" s="125"/>
      <c r="G20" s="125"/>
      <c r="H20" s="125"/>
      <c r="I20" s="125"/>
      <c r="J20" s="125"/>
      <c r="K20" s="125"/>
      <c r="L20" s="126"/>
    </row>
    <row r="21" spans="1:17" ht="19.5" customHeight="1">
      <c r="A21" s="6" t="s">
        <v>101</v>
      </c>
      <c r="B21" s="6"/>
      <c r="C21" s="6"/>
      <c r="D21" s="6"/>
      <c r="E21" s="6"/>
      <c r="F21" s="6"/>
      <c r="G21" s="6"/>
      <c r="H21" s="6"/>
      <c r="I21" s="6"/>
      <c r="J21" s="6"/>
      <c r="K21" s="6"/>
      <c r="L21" s="6"/>
      <c r="M21" s="6"/>
      <c r="N21" s="6"/>
      <c r="O21" s="6"/>
      <c r="P21" s="6"/>
      <c r="Q21" s="6"/>
    </row>
    <row r="22" spans="1:17" ht="18" customHeight="1">
      <c r="A22" s="8" t="s">
        <v>102</v>
      </c>
      <c r="B22" s="8"/>
      <c r="C22" s="2" t="s">
        <v>67</v>
      </c>
      <c r="D22" s="2"/>
      <c r="E22" s="2"/>
      <c r="F22" s="2"/>
      <c r="G22" s="2"/>
      <c r="H22" s="2"/>
      <c r="I22" s="2"/>
      <c r="J22" s="2"/>
      <c r="K22" s="2"/>
      <c r="L22" s="111" t="s">
        <v>103</v>
      </c>
      <c r="M22" s="111"/>
      <c r="N22" s="111"/>
      <c r="O22" s="111"/>
      <c r="P22" s="111"/>
      <c r="Q22" s="111"/>
    </row>
    <row r="23" spans="1:17" ht="18" customHeight="1">
      <c r="A23" s="8" t="s">
        <v>104</v>
      </c>
      <c r="B23" s="8"/>
      <c r="C23" s="2">
        <v>5.8</v>
      </c>
      <c r="D23" s="2"/>
      <c r="E23" s="2"/>
      <c r="F23" s="2"/>
      <c r="G23" s="2"/>
      <c r="H23" s="2"/>
      <c r="I23" s="2"/>
      <c r="J23" s="2"/>
      <c r="K23" s="2"/>
    </row>
    <row r="24" spans="1:17" ht="18" customHeight="1">
      <c r="A24" s="8" t="s">
        <v>105</v>
      </c>
      <c r="B24" s="8"/>
      <c r="C24" s="2">
        <v>5.4</v>
      </c>
      <c r="D24" s="2"/>
      <c r="E24" s="2"/>
      <c r="F24" s="2"/>
      <c r="G24" s="2"/>
      <c r="H24" s="2"/>
      <c r="I24" s="2"/>
      <c r="J24" s="2"/>
      <c r="K24" s="2"/>
    </row>
    <row r="25" spans="1:17" ht="18" customHeight="1">
      <c r="A25" s="8" t="s">
        <v>106</v>
      </c>
      <c r="B25" s="8"/>
      <c r="C25" s="2" t="s">
        <v>107</v>
      </c>
      <c r="D25" s="2"/>
      <c r="E25" s="2"/>
      <c r="F25" s="2"/>
      <c r="G25" s="2"/>
      <c r="H25" s="2"/>
      <c r="I25" s="2"/>
      <c r="J25" s="2"/>
      <c r="K25" s="2"/>
    </row>
    <row r="27" spans="1:17" ht="15" customHeight="1">
      <c r="A27" s="109" t="s">
        <v>108</v>
      </c>
      <c r="B27" s="109"/>
      <c r="C27" s="109"/>
      <c r="D27" s="109"/>
      <c r="E27" s="109"/>
      <c r="F27" s="109"/>
      <c r="G27" s="109"/>
      <c r="H27" s="109"/>
      <c r="I27" s="109"/>
      <c r="J27" s="109"/>
      <c r="K27" s="109"/>
      <c r="L27" s="109"/>
      <c r="M27" s="109"/>
      <c r="N27" s="109"/>
      <c r="O27" s="109"/>
      <c r="P27" s="109"/>
      <c r="Q27" s="109"/>
    </row>
    <row r="28" spans="1:17" ht="15" customHeight="1">
      <c r="A28" s="117" t="s">
        <v>1625</v>
      </c>
      <c r="B28" s="117"/>
      <c r="C28" s="117"/>
      <c r="D28" s="117"/>
      <c r="E28" s="117"/>
      <c r="F28" s="117"/>
      <c r="G28" s="117"/>
      <c r="H28" s="117"/>
      <c r="I28" s="117"/>
      <c r="J28" s="117"/>
      <c r="K28" s="117"/>
      <c r="L28" s="117"/>
      <c r="M28" s="109"/>
      <c r="N28" s="109"/>
      <c r="O28" s="109"/>
      <c r="P28" s="109"/>
      <c r="Q28" s="109"/>
    </row>
    <row r="29" spans="1:17" ht="15" customHeight="1">
      <c r="A29" s="118" t="s">
        <v>1626</v>
      </c>
      <c r="B29" s="118" t="s">
        <v>20</v>
      </c>
      <c r="C29" s="118"/>
      <c r="D29" s="118"/>
      <c r="E29" s="118" t="s">
        <v>1627</v>
      </c>
      <c r="F29" s="118"/>
      <c r="G29" s="118"/>
      <c r="H29" s="118" t="s">
        <v>1628</v>
      </c>
      <c r="I29" s="118"/>
      <c r="J29" s="118"/>
      <c r="K29" s="118"/>
      <c r="L29" s="118"/>
      <c r="M29" s="109"/>
      <c r="N29" s="109"/>
      <c r="O29" s="109"/>
      <c r="P29" s="109"/>
      <c r="Q29" s="109"/>
    </row>
    <row r="30" spans="1:17">
      <c r="A30" s="66" t="s">
        <v>67</v>
      </c>
      <c r="B30" s="127" t="str">
        <f>IF(ISNUMBER(C15),"NUMERICO_INGRESADO",IF(C15="ND","ND","ND"))</f>
        <v>NUMERICO_INGRESADO</v>
      </c>
      <c r="C30" s="127"/>
      <c r="D30" s="127"/>
      <c r="E30" s="128" t="s">
        <v>1629</v>
      </c>
      <c r="F30" s="128"/>
      <c r="G30" s="128"/>
      <c r="H30" s="128" t="s">
        <v>1630</v>
      </c>
      <c r="I30" s="128"/>
      <c r="J30" s="128"/>
      <c r="K30" s="128"/>
      <c r="L30" s="129"/>
    </row>
    <row r="31" spans="1:17">
      <c r="A31" s="69" t="s">
        <v>68</v>
      </c>
      <c r="B31" s="130" t="str">
        <f>IF(ISNUMBER(C16),"NUMERICO_INGRESADO",IF(C16="ND","ND","ND"))</f>
        <v>NUMERICO_INGRESADO</v>
      </c>
      <c r="C31" s="130"/>
      <c r="D31" s="130"/>
      <c r="E31" s="131" t="s">
        <v>1629</v>
      </c>
      <c r="F31" s="131"/>
      <c r="G31" s="131"/>
      <c r="H31" s="131" t="s">
        <v>1631</v>
      </c>
      <c r="I31" s="131"/>
      <c r="J31" s="131"/>
      <c r="K31" s="131"/>
      <c r="L31" s="132"/>
    </row>
    <row r="32" spans="1:17">
      <c r="A32" s="69" t="s">
        <v>69</v>
      </c>
      <c r="B32" s="130" t="str">
        <f>IF(ISNUMBER(C17),"NUMERICO_INGRESADO",IF(C17="ND","ND","ND"))</f>
        <v>NUMERICO_INGRESADO</v>
      </c>
      <c r="C32" s="130"/>
      <c r="D32" s="130"/>
      <c r="E32" s="131" t="s">
        <v>1632</v>
      </c>
      <c r="F32" s="131"/>
      <c r="G32" s="131"/>
      <c r="H32" s="131" t="s">
        <v>1633</v>
      </c>
      <c r="I32" s="131"/>
      <c r="J32" s="131"/>
      <c r="K32" s="131"/>
      <c r="L32" s="132"/>
    </row>
    <row r="33" spans="1:12">
      <c r="A33" s="69" t="s">
        <v>70</v>
      </c>
      <c r="B33" s="130" t="str">
        <f>IF(ISNUMBER(C18),"NUMERICO_INGRESADO",IF(C18="ND","ND","ND"))</f>
        <v>ND</v>
      </c>
      <c r="C33" s="130"/>
      <c r="D33" s="130"/>
      <c r="E33" s="131" t="s">
        <v>1632</v>
      </c>
      <c r="F33" s="131"/>
      <c r="G33" s="131"/>
      <c r="H33" s="131" t="s">
        <v>1634</v>
      </c>
      <c r="I33" s="131"/>
      <c r="J33" s="131"/>
      <c r="K33" s="131"/>
      <c r="L33" s="132"/>
    </row>
    <row r="34" spans="1:12">
      <c r="A34" s="72" t="s">
        <v>71</v>
      </c>
      <c r="B34" s="133" t="str">
        <f>IF(ISNUMBER(C19),"NUMERICO_INGRESADO",IF(C19="ND","ND","ND"))</f>
        <v>NUMERICO_INGRESADO</v>
      </c>
      <c r="C34" s="133"/>
      <c r="D34" s="133"/>
      <c r="E34" s="134" t="s">
        <v>1632</v>
      </c>
      <c r="F34" s="134"/>
      <c r="G34" s="134"/>
      <c r="H34" s="134" t="s">
        <v>1635</v>
      </c>
      <c r="I34" s="134"/>
      <c r="J34" s="134"/>
      <c r="K34" s="134"/>
      <c r="L34" s="135"/>
    </row>
    <row r="35" spans="1:12">
      <c r="A35" s="136" t="s">
        <v>1636</v>
      </c>
      <c r="B35" s="137"/>
      <c r="C35" s="137"/>
      <c r="D35" s="137"/>
      <c r="E35" s="137"/>
      <c r="F35" s="137"/>
      <c r="G35" s="137"/>
      <c r="H35" s="137"/>
      <c r="I35" s="137"/>
      <c r="J35" s="137"/>
      <c r="K35" s="137"/>
      <c r="L35" s="138"/>
    </row>
    <row r="36" spans="1:12">
      <c r="A36" s="139"/>
      <c r="B36" s="140"/>
      <c r="C36" s="140"/>
      <c r="D36" s="140"/>
      <c r="E36" s="140"/>
      <c r="F36" s="140"/>
      <c r="G36" s="140"/>
      <c r="H36" s="140"/>
      <c r="I36" s="140"/>
      <c r="J36" s="140"/>
      <c r="K36" s="140"/>
      <c r="L36" s="141"/>
    </row>
  </sheetData>
  <mergeCells count="62">
    <mergeCell ref="A35:L36"/>
    <mergeCell ref="B33:D33"/>
    <mergeCell ref="E33:G33"/>
    <mergeCell ref="H33:L33"/>
    <mergeCell ref="B34:D34"/>
    <mergeCell ref="E34:G34"/>
    <mergeCell ref="H34:L34"/>
    <mergeCell ref="B31:D31"/>
    <mergeCell ref="E31:G31"/>
    <mergeCell ref="H31:L31"/>
    <mergeCell ref="B32:D32"/>
    <mergeCell ref="E32:G32"/>
    <mergeCell ref="H32:L32"/>
    <mergeCell ref="A27:Q29"/>
    <mergeCell ref="A13:B13"/>
    <mergeCell ref="C13:L13"/>
    <mergeCell ref="A20:L20"/>
    <mergeCell ref="B30:D30"/>
    <mergeCell ref="E30:G30"/>
    <mergeCell ref="H30:L30"/>
    <mergeCell ref="A23:B23"/>
    <mergeCell ref="C23:K23"/>
    <mergeCell ref="A24:B24"/>
    <mergeCell ref="C24:K24"/>
    <mergeCell ref="A25:B25"/>
    <mergeCell ref="C25:K25"/>
    <mergeCell ref="A19:B19"/>
    <mergeCell ref="C19:K19"/>
    <mergeCell ref="L19:Q19"/>
    <mergeCell ref="A21:Q21"/>
    <mergeCell ref="A22:B22"/>
    <mergeCell ref="C22:K22"/>
    <mergeCell ref="L22:Q22"/>
    <mergeCell ref="A17:B17"/>
    <mergeCell ref="C17:K17"/>
    <mergeCell ref="L17:Q17"/>
    <mergeCell ref="A18:B18"/>
    <mergeCell ref="C18:K18"/>
    <mergeCell ref="L18:Q18"/>
    <mergeCell ref="A15:B15"/>
    <mergeCell ref="C15:K15"/>
    <mergeCell ref="L15:Q15"/>
    <mergeCell ref="A16:B16"/>
    <mergeCell ref="C16:K16"/>
    <mergeCell ref="L16:Q16"/>
    <mergeCell ref="A11:B11"/>
    <mergeCell ref="C11:K11"/>
    <mergeCell ref="A12:B12"/>
    <mergeCell ref="C12:K12"/>
    <mergeCell ref="A14:Q14"/>
    <mergeCell ref="A8:B8"/>
    <mergeCell ref="C8:K8"/>
    <mergeCell ref="A9:B9"/>
    <mergeCell ref="C9:K9"/>
    <mergeCell ref="A10:B10"/>
    <mergeCell ref="C10:K10"/>
    <mergeCell ref="A1:Q1"/>
    <mergeCell ref="A2:Q3"/>
    <mergeCell ref="A4:B4"/>
    <mergeCell ref="A6:Q6"/>
    <mergeCell ref="A7:B7"/>
    <mergeCell ref="C7:K7"/>
  </mergeCells>
  <dataValidations count="3">
    <dataValidation type="list" allowBlank="1" sqref="C9" xr:uid="{00000000-0002-0000-0200-000000000000}">
      <formula1>lst_situacion</formula1>
      <formula2>0</formula2>
    </dataValidation>
    <dataValidation type="list" allowBlank="1" sqref="C22" xr:uid="{00000000-0002-0000-0200-000001000000}">
      <formula1>lst_prioridad</formula1>
      <formula2>0</formula2>
    </dataValidation>
    <dataValidation type="list" sqref="C13" xr:uid="{00000000-0002-0000-0200-000002000000}">
      <formula1>"Sí,No,ND"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26"/>
  <sheetViews>
    <sheetView showGridLines="0" workbookViewId="0">
      <selection sqref="A1:V1"/>
    </sheetView>
  </sheetViews>
  <sheetFormatPr baseColWidth="10" defaultColWidth="9.140625" defaultRowHeight="15"/>
  <cols>
    <col min="1" max="1" width="10" style="14" customWidth="1"/>
    <col min="2" max="2" width="40" style="14" customWidth="1"/>
    <col min="3" max="3" width="24" style="14" customWidth="1"/>
    <col min="4" max="4" width="8" style="14" customWidth="1"/>
    <col min="5" max="5" width="26" style="14" customWidth="1"/>
    <col min="6" max="13" width="12" style="14" customWidth="1"/>
    <col min="14" max="15" width="14" style="14" customWidth="1"/>
    <col min="16" max="16" width="13" style="14" customWidth="1"/>
    <col min="17" max="17" width="14" style="14" customWidth="1"/>
    <col min="18" max="18" width="13" style="14" customWidth="1"/>
    <col min="19" max="19" width="15" style="14" customWidth="1"/>
    <col min="20" max="20" width="24" style="14" customWidth="1"/>
    <col min="21" max="21" width="20" style="14" customWidth="1"/>
  </cols>
  <sheetData>
    <row r="1" spans="1:22" ht="25.5" customHeight="1">
      <c r="A1" s="13" t="s">
        <v>0</v>
      </c>
      <c r="B1" s="13"/>
      <c r="C1" s="13"/>
      <c r="D1" s="13"/>
      <c r="E1" s="13"/>
      <c r="F1" s="13"/>
      <c r="G1" s="13"/>
      <c r="H1" s="13"/>
      <c r="I1" s="13"/>
      <c r="J1" s="13"/>
      <c r="K1" s="13"/>
      <c r="L1" s="13"/>
      <c r="M1" s="13"/>
      <c r="N1" s="13"/>
      <c r="O1" s="13"/>
      <c r="P1" s="13"/>
      <c r="Q1" s="13"/>
      <c r="R1" s="13"/>
      <c r="S1" s="13"/>
      <c r="T1" s="13"/>
      <c r="U1" s="13"/>
      <c r="V1" s="13"/>
    </row>
    <row r="2" spans="1:22" ht="15" customHeight="1">
      <c r="A2" s="12" t="s">
        <v>109</v>
      </c>
      <c r="B2" s="12"/>
      <c r="C2" s="12"/>
      <c r="D2" s="12"/>
      <c r="E2" s="12"/>
      <c r="F2" s="12"/>
      <c r="G2" s="12"/>
      <c r="H2" s="12"/>
      <c r="I2" s="12"/>
      <c r="J2" s="12"/>
      <c r="K2" s="12"/>
      <c r="L2" s="12"/>
      <c r="M2" s="12"/>
      <c r="N2" s="12"/>
      <c r="O2" s="12"/>
      <c r="P2" s="12"/>
      <c r="Q2" s="12"/>
      <c r="R2" s="12"/>
      <c r="S2" s="12"/>
      <c r="T2" s="12"/>
      <c r="U2" s="12"/>
      <c r="V2" s="12"/>
    </row>
    <row r="3" spans="1:22" ht="15" customHeight="1">
      <c r="A3" s="12"/>
      <c r="B3" s="12"/>
      <c r="C3" s="12"/>
      <c r="D3" s="12"/>
      <c r="E3" s="12"/>
      <c r="F3" s="12"/>
      <c r="G3" s="12"/>
      <c r="H3" s="12"/>
      <c r="I3" s="12"/>
      <c r="J3" s="12"/>
      <c r="K3" s="12"/>
      <c r="L3" s="12"/>
      <c r="M3" s="12"/>
      <c r="N3" s="12"/>
      <c r="O3" s="12"/>
      <c r="P3" s="12"/>
      <c r="Q3" s="12"/>
      <c r="R3" s="12"/>
      <c r="S3" s="12"/>
      <c r="T3" s="12"/>
      <c r="U3" s="12"/>
      <c r="V3" s="12"/>
    </row>
    <row r="4" spans="1:22" ht="24" customHeight="1">
      <c r="A4" s="10" t="str">
        <f>HYPERLINK("#INICIO!A1","▶  VOLVER A INICIO")</f>
        <v>▶  VOLVER A INICIO</v>
      </c>
      <c r="B4" s="10"/>
    </row>
    <row r="6" spans="1:22" ht="15" customHeight="1">
      <c r="A6" s="142" t="s">
        <v>110</v>
      </c>
      <c r="B6" s="142"/>
      <c r="C6" s="142"/>
      <c r="D6" s="142"/>
      <c r="E6" s="142"/>
      <c r="F6" s="142"/>
      <c r="G6" s="142"/>
      <c r="H6" s="142"/>
      <c r="I6" s="142"/>
      <c r="J6" s="142"/>
      <c r="K6" s="142"/>
      <c r="L6" s="142"/>
      <c r="M6" s="142"/>
      <c r="N6" s="142"/>
      <c r="O6" s="142"/>
      <c r="P6" s="142"/>
      <c r="Q6" s="142"/>
      <c r="R6" s="142"/>
      <c r="S6" s="142"/>
      <c r="T6" s="142"/>
      <c r="U6" s="142"/>
      <c r="V6" s="142"/>
    </row>
    <row r="8" spans="1:22" ht="39.75" customHeight="1">
      <c r="A8" s="20" t="s">
        <v>111</v>
      </c>
      <c r="B8" s="20" t="s">
        <v>112</v>
      </c>
      <c r="C8" s="20" t="s">
        <v>113</v>
      </c>
      <c r="D8" s="20" t="s">
        <v>114</v>
      </c>
      <c r="E8" s="20" t="s">
        <v>115</v>
      </c>
      <c r="F8" s="20" t="s">
        <v>116</v>
      </c>
      <c r="G8" s="20" t="s">
        <v>117</v>
      </c>
      <c r="H8" s="20" t="s">
        <v>118</v>
      </c>
      <c r="I8" s="20" t="s">
        <v>119</v>
      </c>
      <c r="J8" s="20" t="s">
        <v>120</v>
      </c>
      <c r="K8" s="20" t="s">
        <v>71</v>
      </c>
      <c r="L8" s="20" t="s">
        <v>121</v>
      </c>
      <c r="M8" s="20" t="s">
        <v>122</v>
      </c>
      <c r="N8" s="20" t="s">
        <v>123</v>
      </c>
      <c r="O8" s="20" t="s">
        <v>124</v>
      </c>
      <c r="P8" s="20" t="s">
        <v>125</v>
      </c>
      <c r="Q8" s="20" t="s">
        <v>126</v>
      </c>
      <c r="R8" s="20" t="s">
        <v>127</v>
      </c>
      <c r="S8" s="20" t="s">
        <v>128</v>
      </c>
      <c r="T8" s="20" t="s">
        <v>129</v>
      </c>
      <c r="U8" s="20" t="s">
        <v>130</v>
      </c>
    </row>
    <row r="9" spans="1:22" ht="15" customHeight="1">
      <c r="A9" s="21" t="s">
        <v>131</v>
      </c>
      <c r="B9" s="21" t="s">
        <v>132</v>
      </c>
      <c r="C9" s="21" t="s">
        <v>133</v>
      </c>
      <c r="D9" s="21" t="s">
        <v>134</v>
      </c>
      <c r="E9" s="21" t="s">
        <v>135</v>
      </c>
      <c r="F9" s="22">
        <v>70</v>
      </c>
      <c r="G9" s="22">
        <v>1</v>
      </c>
      <c r="H9" s="22">
        <v>51</v>
      </c>
      <c r="I9" s="22">
        <v>14</v>
      </c>
      <c r="J9" s="22">
        <v>17</v>
      </c>
      <c r="K9" s="22">
        <v>70</v>
      </c>
      <c r="L9" s="22">
        <v>1</v>
      </c>
      <c r="M9" s="22">
        <v>32</v>
      </c>
      <c r="N9" s="23" t="str">
        <f t="shared" ref="N9:N72" si="0">IF(NOT(ISNUMBER(H9)),"Sin dato",IF(H9&lt;=INDEX(rng_umbrales,1,2),"Bajo",IF(H9&lt;=INDEX(rng_umbrales,1,3),"Medio",IF(H9&lt;=INDEX(rng_umbrales,1,4),"Alto","Muy alto"))))</f>
        <v>Bajo</v>
      </c>
      <c r="O9" s="23" t="str">
        <f t="shared" ref="O9:O72" si="1">IF(NOT(ISNUMBER(I9)),"Sin dato",IF(I9&lt;=INDEX(rng_umbrales,2,2),"Bajo",IF(I9&lt;=INDEX(rng_umbrales,2,3),"Medio",IF(I9&lt;=INDEX(rng_umbrales,2,4),"Alto","Muy alto"))))</f>
        <v>Bajo</v>
      </c>
      <c r="P9" s="23" t="str">
        <f t="shared" ref="P9:P72" si="2">IF(NOT(ISNUMBER(J9)),"Sin dato",IF(J9&lt;=INDEX(rng_umbrales,3,2),"Bajo",IF(J9&lt;=INDEX(rng_umbrales,3,3),"Medio",IF(J9&lt;=INDEX(rng_umbrales,3,4),"Alto","Muy alto"))))</f>
        <v>Bajo</v>
      </c>
      <c r="Q9" s="24" t="str">
        <f t="shared" ref="Q9:Q72" si="3">IF(OR(NOT(ISNUMBER(G9)),NOT(ISNUMBER(I9))),"N/C",IF(G9&lt;u_protMin,"N/C: no es fuente proteica",I9/G9))</f>
        <v>N/C: no es fuente proteica</v>
      </c>
      <c r="R9" s="23" t="str">
        <f t="shared" ref="R9:R72" si="4">IF(NOT(ISNUMBER(Q9)),"N/C",IF(Q9&lt;=u_ppDes,"Deseable",IF(Q9&lt;=u_ppAcep,"Aceptable","Alta")))</f>
        <v>N/C</v>
      </c>
      <c r="S9" s="25" t="str">
        <f t="shared" ref="S9:S72" si="5">IF(COUNT(F9:J9)=k_cobMin,"Utilizable","No utilizable")</f>
        <v>Utilizable</v>
      </c>
      <c r="T9" s="26" t="str">
        <f t="shared" ref="T9:T72" si="6">IF(S9&lt;&gt;"Utilizable","",C9&amp;"|"&amp;TEXT(IF(v_prioridad="Potasio",H9,IF(v_prioridad="Fósforo",I9,IF(v_prioridad="Sodio",J9,IF(ISNUMBER(Q9),Q9,99999)))),"000000.00"))</f>
        <v>Leche y derivados|00.000.051</v>
      </c>
      <c r="U9" s="26">
        <f>IF(OR($S9&lt;&gt;"Utilizable",$C9&lt;&gt;SUSTITUCION!$C$13),999999,IF(v_prioridad="Potasio",$H9,IF(v_prioridad="Fósforo",$I9,IF(v_prioridad="Sodio",$J9,IF(ISNUMBER($Q9),$Q9,999999)))))</f>
        <v>999999</v>
      </c>
    </row>
    <row r="10" spans="1:22" ht="15" customHeight="1">
      <c r="A10" s="21" t="s">
        <v>136</v>
      </c>
      <c r="B10" s="21" t="s">
        <v>137</v>
      </c>
      <c r="C10" s="21" t="s">
        <v>133</v>
      </c>
      <c r="D10" s="21" t="s">
        <v>134</v>
      </c>
      <c r="E10" s="21" t="s">
        <v>135</v>
      </c>
      <c r="F10" s="22">
        <v>41</v>
      </c>
      <c r="G10" s="22">
        <v>1.6</v>
      </c>
      <c r="H10" s="22" t="s">
        <v>138</v>
      </c>
      <c r="I10" s="22">
        <v>60</v>
      </c>
      <c r="J10" s="22" t="s">
        <v>138</v>
      </c>
      <c r="K10" s="22">
        <v>41</v>
      </c>
      <c r="L10" s="22">
        <v>1.6</v>
      </c>
      <c r="M10" s="22">
        <v>138</v>
      </c>
      <c r="N10" s="23" t="str">
        <f t="shared" si="0"/>
        <v>Sin dato</v>
      </c>
      <c r="O10" s="23" t="str">
        <f t="shared" si="1"/>
        <v>Medio</v>
      </c>
      <c r="P10" s="23" t="str">
        <f t="shared" si="2"/>
        <v>Sin dato</v>
      </c>
      <c r="Q10" s="24" t="str">
        <f t="shared" si="3"/>
        <v>N/C: no es fuente proteica</v>
      </c>
      <c r="R10" s="23" t="str">
        <f t="shared" si="4"/>
        <v>N/C</v>
      </c>
      <c r="S10" s="25" t="str">
        <f t="shared" si="5"/>
        <v>No utilizable</v>
      </c>
      <c r="T10" s="26" t="str">
        <f t="shared" si="6"/>
        <v/>
      </c>
      <c r="U10" s="26">
        <f>IF(OR($S10&lt;&gt;"Utilizable",$C10&lt;&gt;SUSTITUCION!$C$13),999999,IF(v_prioridad="Potasio",$H10,IF(v_prioridad="Fósforo",$I10,IF(v_prioridad="Sodio",$J10,IF(ISNUMBER($Q10),$Q10,999999)))))</f>
        <v>999999</v>
      </c>
    </row>
    <row r="11" spans="1:22" ht="15" customHeight="1">
      <c r="A11" s="21" t="s">
        <v>139</v>
      </c>
      <c r="B11" s="21" t="s">
        <v>140</v>
      </c>
      <c r="C11" s="21" t="s">
        <v>133</v>
      </c>
      <c r="D11" s="21" t="s">
        <v>134</v>
      </c>
      <c r="E11" s="21" t="s">
        <v>135</v>
      </c>
      <c r="F11" s="22">
        <v>69</v>
      </c>
      <c r="G11" s="22">
        <v>3.6</v>
      </c>
      <c r="H11" s="22">
        <v>204</v>
      </c>
      <c r="I11" s="22">
        <v>111</v>
      </c>
      <c r="J11" s="22">
        <v>50</v>
      </c>
      <c r="K11" s="22">
        <v>69</v>
      </c>
      <c r="L11" s="22">
        <v>3.6</v>
      </c>
      <c r="M11" s="22">
        <v>134</v>
      </c>
      <c r="N11" s="23" t="str">
        <f t="shared" si="0"/>
        <v>Alto</v>
      </c>
      <c r="O11" s="23" t="str">
        <f t="shared" si="1"/>
        <v>Alto</v>
      </c>
      <c r="P11" s="23" t="str">
        <f t="shared" si="2"/>
        <v>Medio</v>
      </c>
      <c r="Q11" s="24" t="str">
        <f t="shared" si="3"/>
        <v>N/C: no es fuente proteica</v>
      </c>
      <c r="R11" s="23" t="str">
        <f t="shared" si="4"/>
        <v>N/C</v>
      </c>
      <c r="S11" s="25" t="str">
        <f t="shared" si="5"/>
        <v>Utilizable</v>
      </c>
      <c r="T11" s="26" t="str">
        <f t="shared" si="6"/>
        <v>Leche y derivados|00.000.204</v>
      </c>
      <c r="U11" s="26">
        <f>IF(OR($S11&lt;&gt;"Utilizable",$C11&lt;&gt;SUSTITUCION!$C$13),999999,IF(v_prioridad="Potasio",$H11,IF(v_prioridad="Fósforo",$I11,IF(v_prioridad="Sodio",$J11,IF(ISNUMBER($Q11),$Q11,999999)))))</f>
        <v>999999</v>
      </c>
    </row>
    <row r="12" spans="1:22" ht="15" customHeight="1">
      <c r="A12" s="21" t="s">
        <v>141</v>
      </c>
      <c r="B12" s="21" t="s">
        <v>142</v>
      </c>
      <c r="C12" s="21" t="s">
        <v>133</v>
      </c>
      <c r="D12" s="21" t="s">
        <v>134</v>
      </c>
      <c r="E12" s="21" t="s">
        <v>135</v>
      </c>
      <c r="F12" s="22">
        <v>64</v>
      </c>
      <c r="G12" s="22">
        <v>3.3</v>
      </c>
      <c r="H12" s="22">
        <v>151</v>
      </c>
      <c r="I12" s="22">
        <v>93</v>
      </c>
      <c r="J12" s="22">
        <v>49</v>
      </c>
      <c r="K12" s="22">
        <v>64</v>
      </c>
      <c r="L12" s="22">
        <v>3.3</v>
      </c>
      <c r="M12" s="22">
        <v>119</v>
      </c>
      <c r="N12" s="23" t="str">
        <f t="shared" si="0"/>
        <v>Medio</v>
      </c>
      <c r="O12" s="23" t="str">
        <f t="shared" si="1"/>
        <v>Medio</v>
      </c>
      <c r="P12" s="23" t="str">
        <f t="shared" si="2"/>
        <v>Medio</v>
      </c>
      <c r="Q12" s="24" t="str">
        <f t="shared" si="3"/>
        <v>N/C: no es fuente proteica</v>
      </c>
      <c r="R12" s="23" t="str">
        <f t="shared" si="4"/>
        <v>N/C</v>
      </c>
      <c r="S12" s="25" t="str">
        <f t="shared" si="5"/>
        <v>Utilizable</v>
      </c>
      <c r="T12" s="26" t="str">
        <f t="shared" si="6"/>
        <v>Leche y derivados|00.000.151</v>
      </c>
      <c r="U12" s="26">
        <f>IF(OR($S12&lt;&gt;"Utilizable",$C12&lt;&gt;SUSTITUCION!$C$13),999999,IF(v_prioridad="Potasio",$H12,IF(v_prioridad="Fósforo",$I12,IF(v_prioridad="Sodio",$J12,IF(ISNUMBER($Q12),$Q12,999999)))))</f>
        <v>999999</v>
      </c>
    </row>
    <row r="13" spans="1:22" ht="15" customHeight="1">
      <c r="A13" s="21" t="s">
        <v>143</v>
      </c>
      <c r="B13" s="21" t="s">
        <v>144</v>
      </c>
      <c r="C13" s="21" t="s">
        <v>133</v>
      </c>
      <c r="D13" s="21" t="s">
        <v>134</v>
      </c>
      <c r="E13" s="21" t="s">
        <v>135</v>
      </c>
      <c r="F13" s="22">
        <v>58</v>
      </c>
      <c r="G13" s="22">
        <v>3.2</v>
      </c>
      <c r="H13" s="22">
        <v>141.80000000000001</v>
      </c>
      <c r="I13" s="22">
        <v>95</v>
      </c>
      <c r="J13" s="22">
        <v>59.7</v>
      </c>
      <c r="K13" s="22">
        <v>58</v>
      </c>
      <c r="L13" s="22">
        <v>3.2</v>
      </c>
      <c r="M13" s="22">
        <v>123</v>
      </c>
      <c r="N13" s="23" t="str">
        <f t="shared" si="0"/>
        <v>Medio</v>
      </c>
      <c r="O13" s="23" t="str">
        <f t="shared" si="1"/>
        <v>Medio</v>
      </c>
      <c r="P13" s="23" t="str">
        <f t="shared" si="2"/>
        <v>Medio</v>
      </c>
      <c r="Q13" s="24" t="str">
        <f t="shared" si="3"/>
        <v>N/C: no es fuente proteica</v>
      </c>
      <c r="R13" s="23" t="str">
        <f t="shared" si="4"/>
        <v>N/C</v>
      </c>
      <c r="S13" s="25" t="str">
        <f t="shared" si="5"/>
        <v>Utilizable</v>
      </c>
      <c r="T13" s="26" t="str">
        <f t="shared" si="6"/>
        <v>Leche y derivados|00.000.142</v>
      </c>
      <c r="U13" s="26">
        <f>IF(OR($S13&lt;&gt;"Utilizable",$C13&lt;&gt;SUSTITUCION!$C$13),999999,IF(v_prioridad="Potasio",$H13,IF(v_prioridad="Fósforo",$I13,IF(v_prioridad="Sodio",$J13,IF(ISNUMBER($Q13),$Q13,999999)))))</f>
        <v>999999</v>
      </c>
    </row>
    <row r="14" spans="1:22" ht="15" customHeight="1">
      <c r="A14" s="21" t="s">
        <v>145</v>
      </c>
      <c r="B14" s="21" t="s">
        <v>146</v>
      </c>
      <c r="C14" s="21" t="s">
        <v>133</v>
      </c>
      <c r="D14" s="21" t="s">
        <v>134</v>
      </c>
      <c r="E14" s="21" t="s">
        <v>135</v>
      </c>
      <c r="F14" s="22">
        <v>80</v>
      </c>
      <c r="G14" s="22">
        <v>2.4</v>
      </c>
      <c r="H14" s="22">
        <v>167</v>
      </c>
      <c r="I14" s="22">
        <v>100</v>
      </c>
      <c r="J14" s="22">
        <v>59.6</v>
      </c>
      <c r="K14" s="22">
        <v>80</v>
      </c>
      <c r="L14" s="22">
        <v>2.4</v>
      </c>
      <c r="M14" s="22">
        <v>112</v>
      </c>
      <c r="N14" s="23" t="str">
        <f t="shared" si="0"/>
        <v>Medio</v>
      </c>
      <c r="O14" s="23" t="str">
        <f t="shared" si="1"/>
        <v>Medio</v>
      </c>
      <c r="P14" s="23" t="str">
        <f t="shared" si="2"/>
        <v>Medio</v>
      </c>
      <c r="Q14" s="24" t="str">
        <f t="shared" si="3"/>
        <v>N/C: no es fuente proteica</v>
      </c>
      <c r="R14" s="23" t="str">
        <f t="shared" si="4"/>
        <v>N/C</v>
      </c>
      <c r="S14" s="25" t="str">
        <f t="shared" si="5"/>
        <v>Utilizable</v>
      </c>
      <c r="T14" s="26" t="str">
        <f t="shared" si="6"/>
        <v>Leche y derivados|00.000.167</v>
      </c>
      <c r="U14" s="26">
        <f>IF(OR($S14&lt;&gt;"Utilizable",$C14&lt;&gt;SUSTITUCION!$C$13),999999,IF(v_prioridad="Potasio",$H14,IF(v_prioridad="Fósforo",$I14,IF(v_prioridad="Sodio",$J14,IF(ISNUMBER($Q14),$Q14,999999)))))</f>
        <v>999999</v>
      </c>
    </row>
    <row r="15" spans="1:22" ht="15" customHeight="1">
      <c r="A15" s="21" t="s">
        <v>147</v>
      </c>
      <c r="B15" s="21" t="s">
        <v>148</v>
      </c>
      <c r="C15" s="21" t="s">
        <v>133</v>
      </c>
      <c r="D15" s="21" t="s">
        <v>134</v>
      </c>
      <c r="E15" s="21" t="s">
        <v>135</v>
      </c>
      <c r="F15" s="22">
        <v>42</v>
      </c>
      <c r="G15" s="22">
        <v>2.6</v>
      </c>
      <c r="H15" s="22" t="s">
        <v>138</v>
      </c>
      <c r="I15" s="22" t="s">
        <v>138</v>
      </c>
      <c r="J15" s="22" t="s">
        <v>138</v>
      </c>
      <c r="K15" s="22">
        <v>42</v>
      </c>
      <c r="L15" s="22">
        <v>2.6</v>
      </c>
      <c r="M15" s="22" t="s">
        <v>138</v>
      </c>
      <c r="N15" s="23" t="str">
        <f t="shared" si="0"/>
        <v>Sin dato</v>
      </c>
      <c r="O15" s="23" t="str">
        <f t="shared" si="1"/>
        <v>Sin dato</v>
      </c>
      <c r="P15" s="23" t="str">
        <f t="shared" si="2"/>
        <v>Sin dato</v>
      </c>
      <c r="Q15" s="24" t="str">
        <f t="shared" si="3"/>
        <v>N/C</v>
      </c>
      <c r="R15" s="23" t="str">
        <f t="shared" si="4"/>
        <v>N/C</v>
      </c>
      <c r="S15" s="25" t="str">
        <f t="shared" si="5"/>
        <v>No utilizable</v>
      </c>
      <c r="T15" s="26" t="str">
        <f t="shared" si="6"/>
        <v/>
      </c>
      <c r="U15" s="26">
        <f>IF(OR($S15&lt;&gt;"Utilizable",$C15&lt;&gt;SUSTITUCION!$C$13),999999,IF(v_prioridad="Potasio",$H15,IF(v_prioridad="Fósforo",$I15,IF(v_prioridad="Sodio",$J15,IF(ISNUMBER($Q15),$Q15,999999)))))</f>
        <v>999999</v>
      </c>
    </row>
    <row r="16" spans="1:22" ht="15" customHeight="1">
      <c r="A16" s="21" t="s">
        <v>149</v>
      </c>
      <c r="B16" s="21" t="s">
        <v>150</v>
      </c>
      <c r="C16" s="21" t="s">
        <v>133</v>
      </c>
      <c r="D16" s="21" t="s">
        <v>134</v>
      </c>
      <c r="E16" s="21" t="s">
        <v>135</v>
      </c>
      <c r="F16" s="22">
        <v>76</v>
      </c>
      <c r="G16" s="22">
        <v>3</v>
      </c>
      <c r="H16" s="22">
        <v>169</v>
      </c>
      <c r="I16" s="22">
        <v>102</v>
      </c>
      <c r="J16" s="22">
        <v>66</v>
      </c>
      <c r="K16" s="22">
        <v>76</v>
      </c>
      <c r="L16" s="22">
        <v>3</v>
      </c>
      <c r="M16" s="22">
        <v>109</v>
      </c>
      <c r="N16" s="23" t="str">
        <f t="shared" si="0"/>
        <v>Medio</v>
      </c>
      <c r="O16" s="23" t="str">
        <f t="shared" si="1"/>
        <v>Alto</v>
      </c>
      <c r="P16" s="23" t="str">
        <f t="shared" si="2"/>
        <v>Medio</v>
      </c>
      <c r="Q16" s="24" t="str">
        <f t="shared" si="3"/>
        <v>N/C: no es fuente proteica</v>
      </c>
      <c r="R16" s="23" t="str">
        <f t="shared" si="4"/>
        <v>N/C</v>
      </c>
      <c r="S16" s="25" t="str">
        <f t="shared" si="5"/>
        <v>Utilizable</v>
      </c>
      <c r="T16" s="26" t="str">
        <f t="shared" si="6"/>
        <v>Leche y derivados|00.000.169</v>
      </c>
      <c r="U16" s="26">
        <f>IF(OR($S16&lt;&gt;"Utilizable",$C16&lt;&gt;SUSTITUCION!$C$13),999999,IF(v_prioridad="Potasio",$H16,IF(v_prioridad="Fósforo",$I16,IF(v_prioridad="Sodio",$J16,IF(ISNUMBER($Q16),$Q16,999999)))))</f>
        <v>999999</v>
      </c>
    </row>
    <row r="17" spans="1:21" ht="15" customHeight="1">
      <c r="A17" s="21" t="s">
        <v>151</v>
      </c>
      <c r="B17" s="21" t="s">
        <v>152</v>
      </c>
      <c r="C17" s="21" t="s">
        <v>133</v>
      </c>
      <c r="D17" s="21" t="s">
        <v>134</v>
      </c>
      <c r="E17" s="21" t="s">
        <v>135</v>
      </c>
      <c r="F17" s="22">
        <v>52</v>
      </c>
      <c r="G17" s="22">
        <v>3.2</v>
      </c>
      <c r="H17" s="22" t="s">
        <v>138</v>
      </c>
      <c r="I17" s="22">
        <v>84</v>
      </c>
      <c r="J17" s="22">
        <v>70</v>
      </c>
      <c r="K17" s="22">
        <v>52</v>
      </c>
      <c r="L17" s="22">
        <v>3.2</v>
      </c>
      <c r="M17" s="22">
        <v>93</v>
      </c>
      <c r="N17" s="23" t="str">
        <f t="shared" si="0"/>
        <v>Sin dato</v>
      </c>
      <c r="O17" s="23" t="str">
        <f t="shared" si="1"/>
        <v>Medio</v>
      </c>
      <c r="P17" s="23" t="str">
        <f t="shared" si="2"/>
        <v>Medio</v>
      </c>
      <c r="Q17" s="24" t="str">
        <f t="shared" si="3"/>
        <v>N/C: no es fuente proteica</v>
      </c>
      <c r="R17" s="23" t="str">
        <f t="shared" si="4"/>
        <v>N/C</v>
      </c>
      <c r="S17" s="25" t="str">
        <f t="shared" si="5"/>
        <v>No utilizable</v>
      </c>
      <c r="T17" s="26" t="str">
        <f t="shared" si="6"/>
        <v/>
      </c>
      <c r="U17" s="26">
        <f>IF(OR($S17&lt;&gt;"Utilizable",$C17&lt;&gt;SUSTITUCION!$C$13),999999,IF(v_prioridad="Potasio",$H17,IF(v_prioridad="Fósforo",$I17,IF(v_prioridad="Sodio",$J17,IF(ISNUMBER($Q17),$Q17,999999)))))</f>
        <v>999999</v>
      </c>
    </row>
    <row r="18" spans="1:21" ht="15" customHeight="1">
      <c r="A18" s="21" t="s">
        <v>153</v>
      </c>
      <c r="B18" s="21" t="s">
        <v>154</v>
      </c>
      <c r="C18" s="21" t="s">
        <v>133</v>
      </c>
      <c r="D18" s="21" t="s">
        <v>134</v>
      </c>
      <c r="E18" s="21" t="s">
        <v>135</v>
      </c>
      <c r="F18" s="22">
        <v>54</v>
      </c>
      <c r="G18" s="22">
        <v>3.1</v>
      </c>
      <c r="H18" s="22" t="s">
        <v>138</v>
      </c>
      <c r="I18" s="22">
        <v>84</v>
      </c>
      <c r="J18" s="22">
        <v>60</v>
      </c>
      <c r="K18" s="22">
        <v>54</v>
      </c>
      <c r="L18" s="22">
        <v>3.1</v>
      </c>
      <c r="M18" s="22">
        <v>104</v>
      </c>
      <c r="N18" s="23" t="str">
        <f t="shared" si="0"/>
        <v>Sin dato</v>
      </c>
      <c r="O18" s="23" t="str">
        <f t="shared" si="1"/>
        <v>Medio</v>
      </c>
      <c r="P18" s="23" t="str">
        <f t="shared" si="2"/>
        <v>Medio</v>
      </c>
      <c r="Q18" s="24" t="str">
        <f t="shared" si="3"/>
        <v>N/C: no es fuente proteica</v>
      </c>
      <c r="R18" s="23" t="str">
        <f t="shared" si="4"/>
        <v>N/C</v>
      </c>
      <c r="S18" s="25" t="str">
        <f t="shared" si="5"/>
        <v>No utilizable</v>
      </c>
      <c r="T18" s="26" t="str">
        <f t="shared" si="6"/>
        <v/>
      </c>
      <c r="U18" s="26">
        <f>IF(OR($S18&lt;&gt;"Utilizable",$C18&lt;&gt;SUSTITUCION!$C$13),999999,IF(v_prioridad="Potasio",$H18,IF(v_prioridad="Fósforo",$I18,IF(v_prioridad="Sodio",$J18,IF(ISNUMBER($Q18),$Q18,999999)))))</f>
        <v>999999</v>
      </c>
    </row>
    <row r="19" spans="1:21" ht="15" customHeight="1">
      <c r="A19" s="21" t="s">
        <v>155</v>
      </c>
      <c r="B19" s="21" t="s">
        <v>156</v>
      </c>
      <c r="C19" s="21" t="s">
        <v>133</v>
      </c>
      <c r="D19" s="21" t="s">
        <v>134</v>
      </c>
      <c r="E19" s="21" t="s">
        <v>135</v>
      </c>
      <c r="F19" s="22">
        <v>44</v>
      </c>
      <c r="G19" s="22">
        <v>3.1</v>
      </c>
      <c r="H19" s="22" t="s">
        <v>138</v>
      </c>
      <c r="I19" s="22" t="s">
        <v>138</v>
      </c>
      <c r="J19" s="22">
        <v>60</v>
      </c>
      <c r="K19" s="22">
        <v>44</v>
      </c>
      <c r="L19" s="22">
        <v>3.1</v>
      </c>
      <c r="M19" s="22">
        <v>101</v>
      </c>
      <c r="N19" s="23" t="str">
        <f t="shared" si="0"/>
        <v>Sin dato</v>
      </c>
      <c r="O19" s="23" t="str">
        <f t="shared" si="1"/>
        <v>Sin dato</v>
      </c>
      <c r="P19" s="23" t="str">
        <f t="shared" si="2"/>
        <v>Medio</v>
      </c>
      <c r="Q19" s="24" t="str">
        <f t="shared" si="3"/>
        <v>N/C</v>
      </c>
      <c r="R19" s="23" t="str">
        <f t="shared" si="4"/>
        <v>N/C</v>
      </c>
      <c r="S19" s="25" t="str">
        <f t="shared" si="5"/>
        <v>No utilizable</v>
      </c>
      <c r="T19" s="26" t="str">
        <f t="shared" si="6"/>
        <v/>
      </c>
      <c r="U19" s="26">
        <f>IF(OR($S19&lt;&gt;"Utilizable",$C19&lt;&gt;SUSTITUCION!$C$13),999999,IF(v_prioridad="Potasio",$H19,IF(v_prioridad="Fósforo",$I19,IF(v_prioridad="Sodio",$J19,IF(ISNUMBER($Q19),$Q19,999999)))))</f>
        <v>999999</v>
      </c>
    </row>
    <row r="20" spans="1:21" ht="15" customHeight="1">
      <c r="A20" s="21" t="s">
        <v>157</v>
      </c>
      <c r="B20" s="21" t="s">
        <v>158</v>
      </c>
      <c r="C20" s="21" t="s">
        <v>133</v>
      </c>
      <c r="D20" s="21" t="s">
        <v>134</v>
      </c>
      <c r="E20" s="21" t="s">
        <v>135</v>
      </c>
      <c r="F20" s="22">
        <v>32</v>
      </c>
      <c r="G20" s="22">
        <v>3.3</v>
      </c>
      <c r="H20" s="22" t="s">
        <v>138</v>
      </c>
      <c r="I20" s="22">
        <v>90</v>
      </c>
      <c r="J20" s="22">
        <v>32</v>
      </c>
      <c r="K20" s="22">
        <v>32</v>
      </c>
      <c r="L20" s="22">
        <v>3.3</v>
      </c>
      <c r="M20" s="22">
        <v>115</v>
      </c>
      <c r="N20" s="23" t="str">
        <f t="shared" si="0"/>
        <v>Sin dato</v>
      </c>
      <c r="O20" s="23" t="str">
        <f t="shared" si="1"/>
        <v>Medio</v>
      </c>
      <c r="P20" s="23" t="str">
        <f t="shared" si="2"/>
        <v>Bajo</v>
      </c>
      <c r="Q20" s="24" t="str">
        <f t="shared" si="3"/>
        <v>N/C: no es fuente proteica</v>
      </c>
      <c r="R20" s="23" t="str">
        <f t="shared" si="4"/>
        <v>N/C</v>
      </c>
      <c r="S20" s="25" t="str">
        <f t="shared" si="5"/>
        <v>No utilizable</v>
      </c>
      <c r="T20" s="26" t="str">
        <f t="shared" si="6"/>
        <v/>
      </c>
      <c r="U20" s="26">
        <f>IF(OR($S20&lt;&gt;"Utilizable",$C20&lt;&gt;SUSTITUCION!$C$13),999999,IF(v_prioridad="Potasio",$H20,IF(v_prioridad="Fósforo",$I20,IF(v_prioridad="Sodio",$J20,IF(ISNUMBER($Q20),$Q20,999999)))))</f>
        <v>999999</v>
      </c>
    </row>
    <row r="21" spans="1:21" ht="15" customHeight="1">
      <c r="A21" s="21" t="s">
        <v>159</v>
      </c>
      <c r="B21" s="21" t="s">
        <v>160</v>
      </c>
      <c r="C21" s="21" t="s">
        <v>133</v>
      </c>
      <c r="D21" s="21" t="s">
        <v>134</v>
      </c>
      <c r="E21" s="21" t="s">
        <v>135</v>
      </c>
      <c r="F21" s="22">
        <v>42</v>
      </c>
      <c r="G21" s="22">
        <v>3.4</v>
      </c>
      <c r="H21" s="22">
        <v>150</v>
      </c>
      <c r="I21" s="22">
        <v>95</v>
      </c>
      <c r="J21" s="22">
        <v>44</v>
      </c>
      <c r="K21" s="22">
        <v>42</v>
      </c>
      <c r="L21" s="22">
        <v>3.4</v>
      </c>
      <c r="M21" s="22">
        <v>125</v>
      </c>
      <c r="N21" s="23" t="str">
        <f t="shared" si="0"/>
        <v>Medio</v>
      </c>
      <c r="O21" s="23" t="str">
        <f t="shared" si="1"/>
        <v>Medio</v>
      </c>
      <c r="P21" s="23" t="str">
        <f t="shared" si="2"/>
        <v>Medio</v>
      </c>
      <c r="Q21" s="24" t="str">
        <f t="shared" si="3"/>
        <v>N/C: no es fuente proteica</v>
      </c>
      <c r="R21" s="23" t="str">
        <f t="shared" si="4"/>
        <v>N/C</v>
      </c>
      <c r="S21" s="25" t="str">
        <f t="shared" si="5"/>
        <v>Utilizable</v>
      </c>
      <c r="T21" s="26" t="str">
        <f t="shared" si="6"/>
        <v>Leche y derivados|00.000.150</v>
      </c>
      <c r="U21" s="26">
        <f>IF(OR($S21&lt;&gt;"Utilizable",$C21&lt;&gt;SUSTITUCION!$C$13),999999,IF(v_prioridad="Potasio",$H21,IF(v_prioridad="Fósforo",$I21,IF(v_prioridad="Sodio",$J21,IF(ISNUMBER($Q21),$Q21,999999)))))</f>
        <v>999999</v>
      </c>
    </row>
    <row r="22" spans="1:21" ht="15" customHeight="1">
      <c r="A22" s="21" t="s">
        <v>161</v>
      </c>
      <c r="B22" s="21" t="s">
        <v>162</v>
      </c>
      <c r="C22" s="21" t="s">
        <v>133</v>
      </c>
      <c r="D22" s="21" t="s">
        <v>134</v>
      </c>
      <c r="E22" s="21" t="s">
        <v>135</v>
      </c>
      <c r="F22" s="22">
        <v>489</v>
      </c>
      <c r="G22" s="22">
        <v>28.6</v>
      </c>
      <c r="H22" s="22">
        <v>1307</v>
      </c>
      <c r="I22" s="22">
        <v>775</v>
      </c>
      <c r="J22" s="22">
        <v>394.6</v>
      </c>
      <c r="K22" s="22">
        <v>489</v>
      </c>
      <c r="L22" s="22">
        <v>28.6</v>
      </c>
      <c r="M22" s="22">
        <v>912.5</v>
      </c>
      <c r="N22" s="23" t="str">
        <f t="shared" si="0"/>
        <v>Muy alto</v>
      </c>
      <c r="O22" s="23" t="str">
        <f t="shared" si="1"/>
        <v>Muy alto</v>
      </c>
      <c r="P22" s="23" t="str">
        <f t="shared" si="2"/>
        <v>Alto</v>
      </c>
      <c r="Q22" s="24">
        <f t="shared" si="3"/>
        <v>27.097902097902097</v>
      </c>
      <c r="R22" s="23" t="str">
        <f t="shared" si="4"/>
        <v>Alta</v>
      </c>
      <c r="S22" s="25" t="str">
        <f t="shared" si="5"/>
        <v>Utilizable</v>
      </c>
      <c r="T22" s="26" t="str">
        <f t="shared" si="6"/>
        <v>Leche y derivados|00.001.307</v>
      </c>
      <c r="U22" s="26">
        <f>IF(OR($S22&lt;&gt;"Utilizable",$C22&lt;&gt;SUSTITUCION!$C$13),999999,IF(v_prioridad="Potasio",$H22,IF(v_prioridad="Fósforo",$I22,IF(v_prioridad="Sodio",$J22,IF(ISNUMBER($Q22),$Q22,999999)))))</f>
        <v>999999</v>
      </c>
    </row>
    <row r="23" spans="1:21" ht="15" customHeight="1">
      <c r="A23" s="21" t="s">
        <v>163</v>
      </c>
      <c r="B23" s="21" t="s">
        <v>164</v>
      </c>
      <c r="C23" s="21" t="s">
        <v>133</v>
      </c>
      <c r="D23" s="21" t="s">
        <v>134</v>
      </c>
      <c r="E23" s="21" t="s">
        <v>135</v>
      </c>
      <c r="F23" s="22">
        <v>496</v>
      </c>
      <c r="G23" s="22">
        <v>26.3</v>
      </c>
      <c r="H23" s="22">
        <v>1330</v>
      </c>
      <c r="I23" s="22">
        <v>776</v>
      </c>
      <c r="J23" s="22">
        <v>371</v>
      </c>
      <c r="K23" s="22">
        <v>496</v>
      </c>
      <c r="L23" s="22">
        <v>26.3</v>
      </c>
      <c r="M23" s="22">
        <v>912</v>
      </c>
      <c r="N23" s="23" t="str">
        <f t="shared" si="0"/>
        <v>Muy alto</v>
      </c>
      <c r="O23" s="23" t="str">
        <f t="shared" si="1"/>
        <v>Muy alto</v>
      </c>
      <c r="P23" s="23" t="str">
        <f t="shared" si="2"/>
        <v>Alto</v>
      </c>
      <c r="Q23" s="24">
        <f t="shared" si="3"/>
        <v>29.50570342205323</v>
      </c>
      <c r="R23" s="23" t="str">
        <f t="shared" si="4"/>
        <v>Alta</v>
      </c>
      <c r="S23" s="25" t="str">
        <f t="shared" si="5"/>
        <v>Utilizable</v>
      </c>
      <c r="T23" s="26" t="str">
        <f t="shared" si="6"/>
        <v>Leche y derivados|00.001.330</v>
      </c>
      <c r="U23" s="26">
        <f>IF(OR($S23&lt;&gt;"Utilizable",$C23&lt;&gt;SUSTITUCION!$C$13),999999,IF(v_prioridad="Potasio",$H23,IF(v_prioridad="Fósforo",$I23,IF(v_prioridad="Sodio",$J23,IF(ISNUMBER($Q23),$Q23,999999)))))</f>
        <v>999999</v>
      </c>
    </row>
    <row r="24" spans="1:21" ht="15" customHeight="1">
      <c r="A24" s="21" t="s">
        <v>165</v>
      </c>
      <c r="B24" s="21" t="s">
        <v>166</v>
      </c>
      <c r="C24" s="21" t="s">
        <v>133</v>
      </c>
      <c r="D24" s="21" t="s">
        <v>134</v>
      </c>
      <c r="E24" s="21" t="s">
        <v>135</v>
      </c>
      <c r="F24" s="22">
        <v>454</v>
      </c>
      <c r="G24" s="22">
        <v>29.1</v>
      </c>
      <c r="H24" s="22" t="s">
        <v>138</v>
      </c>
      <c r="I24" s="22">
        <v>865</v>
      </c>
      <c r="J24" s="22" t="s">
        <v>138</v>
      </c>
      <c r="K24" s="22">
        <v>454</v>
      </c>
      <c r="L24" s="22">
        <v>29.1</v>
      </c>
      <c r="M24" s="22">
        <v>1610</v>
      </c>
      <c r="N24" s="23" t="str">
        <f t="shared" si="0"/>
        <v>Sin dato</v>
      </c>
      <c r="O24" s="23" t="str">
        <f t="shared" si="1"/>
        <v>Muy alto</v>
      </c>
      <c r="P24" s="23" t="str">
        <f t="shared" si="2"/>
        <v>Sin dato</v>
      </c>
      <c r="Q24" s="24">
        <f t="shared" si="3"/>
        <v>29.725085910652918</v>
      </c>
      <c r="R24" s="23" t="str">
        <f t="shared" si="4"/>
        <v>Alta</v>
      </c>
      <c r="S24" s="25" t="str">
        <f t="shared" si="5"/>
        <v>No utilizable</v>
      </c>
      <c r="T24" s="26" t="str">
        <f t="shared" si="6"/>
        <v/>
      </c>
      <c r="U24" s="26">
        <f>IF(OR($S24&lt;&gt;"Utilizable",$C24&lt;&gt;SUSTITUCION!$C$13),999999,IF(v_prioridad="Potasio",$H24,IF(v_prioridad="Fósforo",$I24,IF(v_prioridad="Sodio",$J24,IF(ISNUMBER($Q24),$Q24,999999)))))</f>
        <v>999999</v>
      </c>
    </row>
    <row r="25" spans="1:21" ht="15" customHeight="1">
      <c r="A25" s="21" t="s">
        <v>167</v>
      </c>
      <c r="B25" s="21" t="s">
        <v>168</v>
      </c>
      <c r="C25" s="21" t="s">
        <v>133</v>
      </c>
      <c r="D25" s="21" t="s">
        <v>134</v>
      </c>
      <c r="E25" s="21" t="s">
        <v>135</v>
      </c>
      <c r="F25" s="22">
        <v>406</v>
      </c>
      <c r="G25" s="22">
        <v>34.6</v>
      </c>
      <c r="H25" s="22">
        <v>1521.6</v>
      </c>
      <c r="I25" s="22">
        <v>946</v>
      </c>
      <c r="J25" s="22">
        <v>534.9</v>
      </c>
      <c r="K25" s="22">
        <v>406</v>
      </c>
      <c r="L25" s="22">
        <v>34.6</v>
      </c>
      <c r="M25" s="22" t="s">
        <v>138</v>
      </c>
      <c r="N25" s="23" t="str">
        <f t="shared" si="0"/>
        <v>Muy alto</v>
      </c>
      <c r="O25" s="23" t="str">
        <f t="shared" si="1"/>
        <v>Muy alto</v>
      </c>
      <c r="P25" s="23" t="str">
        <f t="shared" si="2"/>
        <v>Muy alto</v>
      </c>
      <c r="Q25" s="24">
        <f t="shared" si="3"/>
        <v>27.341040462427745</v>
      </c>
      <c r="R25" s="23" t="str">
        <f t="shared" si="4"/>
        <v>Alta</v>
      </c>
      <c r="S25" s="25" t="str">
        <f t="shared" si="5"/>
        <v>Utilizable</v>
      </c>
      <c r="T25" s="26" t="str">
        <f t="shared" si="6"/>
        <v>Leche y derivados|00.001.522</v>
      </c>
      <c r="U25" s="26">
        <f>IF(OR($S25&lt;&gt;"Utilizable",$C25&lt;&gt;SUSTITUCION!$C$13),999999,IF(v_prioridad="Potasio",$H25,IF(v_prioridad="Fósforo",$I25,IF(v_prioridad="Sodio",$J25,IF(ISNUMBER($Q25),$Q25,999999)))))</f>
        <v>999999</v>
      </c>
    </row>
    <row r="26" spans="1:21" ht="15" customHeight="1">
      <c r="A26" s="21" t="s">
        <v>169</v>
      </c>
      <c r="B26" s="21" t="s">
        <v>170</v>
      </c>
      <c r="C26" s="21" t="s">
        <v>133</v>
      </c>
      <c r="D26" s="21" t="s">
        <v>134</v>
      </c>
      <c r="E26" s="21" t="s">
        <v>135</v>
      </c>
      <c r="F26" s="22">
        <v>358</v>
      </c>
      <c r="G26" s="22">
        <v>35.1</v>
      </c>
      <c r="H26" s="22">
        <v>1705</v>
      </c>
      <c r="I26" s="22">
        <v>985</v>
      </c>
      <c r="J26" s="22">
        <v>549</v>
      </c>
      <c r="K26" s="22">
        <v>358</v>
      </c>
      <c r="L26" s="22">
        <v>35.1</v>
      </c>
      <c r="M26" s="22">
        <v>1231</v>
      </c>
      <c r="N26" s="23" t="str">
        <f t="shared" si="0"/>
        <v>Muy alto</v>
      </c>
      <c r="O26" s="23" t="str">
        <f t="shared" si="1"/>
        <v>Muy alto</v>
      </c>
      <c r="P26" s="23" t="str">
        <f t="shared" si="2"/>
        <v>Muy alto</v>
      </c>
      <c r="Q26" s="24">
        <f t="shared" si="3"/>
        <v>28.06267806267806</v>
      </c>
      <c r="R26" s="23" t="str">
        <f t="shared" si="4"/>
        <v>Alta</v>
      </c>
      <c r="S26" s="25" t="str">
        <f t="shared" si="5"/>
        <v>Utilizable</v>
      </c>
      <c r="T26" s="26" t="str">
        <f t="shared" si="6"/>
        <v>Leche y derivados|00.001.705</v>
      </c>
      <c r="U26" s="26">
        <f>IF(OR($S26&lt;&gt;"Utilizable",$C26&lt;&gt;SUSTITUCION!$C$13),999999,IF(v_prioridad="Potasio",$H26,IF(v_prioridad="Fósforo",$I26,IF(v_prioridad="Sodio",$J26,IF(ISNUMBER($Q26),$Q26,999999)))))</f>
        <v>999999</v>
      </c>
    </row>
    <row r="27" spans="1:21" ht="15" customHeight="1">
      <c r="A27" s="21" t="s">
        <v>171</v>
      </c>
      <c r="B27" s="21" t="s">
        <v>172</v>
      </c>
      <c r="C27" s="21" t="s">
        <v>133</v>
      </c>
      <c r="D27" s="21" t="s">
        <v>134</v>
      </c>
      <c r="E27" s="21" t="s">
        <v>135</v>
      </c>
      <c r="F27" s="22">
        <v>349</v>
      </c>
      <c r="G27" s="22">
        <v>31</v>
      </c>
      <c r="H27" s="22" t="s">
        <v>138</v>
      </c>
      <c r="I27" s="22">
        <v>900</v>
      </c>
      <c r="J27" s="22">
        <v>450</v>
      </c>
      <c r="K27" s="22">
        <v>349</v>
      </c>
      <c r="L27" s="22">
        <v>31</v>
      </c>
      <c r="M27" s="22">
        <v>2000</v>
      </c>
      <c r="N27" s="23" t="str">
        <f t="shared" si="0"/>
        <v>Sin dato</v>
      </c>
      <c r="O27" s="23" t="str">
        <f t="shared" si="1"/>
        <v>Muy alto</v>
      </c>
      <c r="P27" s="23" t="str">
        <f t="shared" si="2"/>
        <v>Muy alto</v>
      </c>
      <c r="Q27" s="24">
        <f t="shared" si="3"/>
        <v>29.032258064516128</v>
      </c>
      <c r="R27" s="23" t="str">
        <f t="shared" si="4"/>
        <v>Alta</v>
      </c>
      <c r="S27" s="25" t="str">
        <f t="shared" si="5"/>
        <v>No utilizable</v>
      </c>
      <c r="T27" s="26" t="str">
        <f t="shared" si="6"/>
        <v/>
      </c>
      <c r="U27" s="26">
        <f>IF(OR($S27&lt;&gt;"Utilizable",$C27&lt;&gt;SUSTITUCION!$C$13),999999,IF(v_prioridad="Potasio",$H27,IF(v_prioridad="Fósforo",$I27,IF(v_prioridad="Sodio",$J27,IF(ISNUMBER($Q27),$Q27,999999)))))</f>
        <v>999999</v>
      </c>
    </row>
    <row r="28" spans="1:21" ht="15" customHeight="1">
      <c r="A28" s="21" t="s">
        <v>173</v>
      </c>
      <c r="B28" s="21" t="s">
        <v>174</v>
      </c>
      <c r="C28" s="21" t="s">
        <v>133</v>
      </c>
      <c r="D28" s="21" t="s">
        <v>134</v>
      </c>
      <c r="E28" s="21" t="s">
        <v>135</v>
      </c>
      <c r="F28" s="22">
        <v>454</v>
      </c>
      <c r="G28" s="22">
        <v>19.399999999999999</v>
      </c>
      <c r="H28" s="22" t="s">
        <v>138</v>
      </c>
      <c r="I28" s="22">
        <v>644</v>
      </c>
      <c r="J28" s="22">
        <v>207</v>
      </c>
      <c r="K28" s="22">
        <v>454</v>
      </c>
      <c r="L28" s="22">
        <v>19.399999999999999</v>
      </c>
      <c r="M28" s="22">
        <v>1066</v>
      </c>
      <c r="N28" s="23" t="str">
        <f t="shared" si="0"/>
        <v>Sin dato</v>
      </c>
      <c r="O28" s="23" t="str">
        <f t="shared" si="1"/>
        <v>Muy alto</v>
      </c>
      <c r="P28" s="23" t="str">
        <f t="shared" si="2"/>
        <v>Alto</v>
      </c>
      <c r="Q28" s="24">
        <f t="shared" si="3"/>
        <v>33.195876288659797</v>
      </c>
      <c r="R28" s="23" t="str">
        <f t="shared" si="4"/>
        <v>Alta</v>
      </c>
      <c r="S28" s="25" t="str">
        <f t="shared" si="5"/>
        <v>No utilizable</v>
      </c>
      <c r="T28" s="26" t="str">
        <f t="shared" si="6"/>
        <v/>
      </c>
      <c r="U28" s="26">
        <f>IF(OR($S28&lt;&gt;"Utilizable",$C28&lt;&gt;SUSTITUCION!$C$13),999999,IF(v_prioridad="Potasio",$H28,IF(v_prioridad="Fósforo",$I28,IF(v_prioridad="Sodio",$J28,IF(ISNUMBER($Q28),$Q28,999999)))))</f>
        <v>999999</v>
      </c>
    </row>
    <row r="29" spans="1:21" ht="15" customHeight="1">
      <c r="A29" s="21" t="s">
        <v>175</v>
      </c>
      <c r="B29" s="21" t="s">
        <v>176</v>
      </c>
      <c r="C29" s="21" t="s">
        <v>133</v>
      </c>
      <c r="D29" s="21" t="s">
        <v>134</v>
      </c>
      <c r="E29" s="21" t="s">
        <v>135</v>
      </c>
      <c r="F29" s="22">
        <v>321</v>
      </c>
      <c r="G29" s="22">
        <v>7.9</v>
      </c>
      <c r="H29" s="22">
        <v>371</v>
      </c>
      <c r="I29" s="22">
        <v>253</v>
      </c>
      <c r="J29" s="22">
        <v>127</v>
      </c>
      <c r="K29" s="22">
        <v>321</v>
      </c>
      <c r="L29" s="22">
        <v>7.9</v>
      </c>
      <c r="M29" s="22">
        <v>284</v>
      </c>
      <c r="N29" s="23" t="str">
        <f t="shared" si="0"/>
        <v>Muy alto</v>
      </c>
      <c r="O29" s="23" t="str">
        <f t="shared" si="1"/>
        <v>Muy alto</v>
      </c>
      <c r="P29" s="23" t="str">
        <f t="shared" si="2"/>
        <v>Alto</v>
      </c>
      <c r="Q29" s="24" t="str">
        <f t="shared" si="3"/>
        <v>N/C: no es fuente proteica</v>
      </c>
      <c r="R29" s="23" t="str">
        <f t="shared" si="4"/>
        <v>N/C</v>
      </c>
      <c r="S29" s="25" t="str">
        <f t="shared" si="5"/>
        <v>Utilizable</v>
      </c>
      <c r="T29" s="26" t="str">
        <f t="shared" si="6"/>
        <v>Leche y derivados|00.000.371</v>
      </c>
      <c r="U29" s="26">
        <f>IF(OR($S29&lt;&gt;"Utilizable",$C29&lt;&gt;SUSTITUCION!$C$13),999999,IF(v_prioridad="Potasio",$H29,IF(v_prioridad="Fósforo",$I29,IF(v_prioridad="Sodio",$J29,IF(ISNUMBER($Q29),$Q29,999999)))))</f>
        <v>999999</v>
      </c>
    </row>
    <row r="30" spans="1:21" ht="15" customHeight="1">
      <c r="A30" s="21" t="s">
        <v>177</v>
      </c>
      <c r="B30" s="21" t="s">
        <v>178</v>
      </c>
      <c r="C30" s="21" t="s">
        <v>133</v>
      </c>
      <c r="D30" s="21" t="s">
        <v>134</v>
      </c>
      <c r="E30" s="21" t="s">
        <v>135</v>
      </c>
      <c r="F30" s="22">
        <v>134</v>
      </c>
      <c r="G30" s="22">
        <v>6.8</v>
      </c>
      <c r="H30" s="22">
        <v>303</v>
      </c>
      <c r="I30" s="22">
        <v>203</v>
      </c>
      <c r="J30" s="22">
        <v>106</v>
      </c>
      <c r="K30" s="22">
        <v>134</v>
      </c>
      <c r="L30" s="22">
        <v>6.8</v>
      </c>
      <c r="M30" s="22">
        <v>261</v>
      </c>
      <c r="N30" s="23" t="str">
        <f t="shared" si="0"/>
        <v>Muy alto</v>
      </c>
      <c r="O30" s="23" t="str">
        <f t="shared" si="1"/>
        <v>Muy alto</v>
      </c>
      <c r="P30" s="23" t="str">
        <f t="shared" si="2"/>
        <v>Medio</v>
      </c>
      <c r="Q30" s="24" t="str">
        <f t="shared" si="3"/>
        <v>N/C: no es fuente proteica</v>
      </c>
      <c r="R30" s="23" t="str">
        <f t="shared" si="4"/>
        <v>N/C</v>
      </c>
      <c r="S30" s="25" t="str">
        <f t="shared" si="5"/>
        <v>Utilizable</v>
      </c>
      <c r="T30" s="26" t="str">
        <f t="shared" si="6"/>
        <v>Leche y derivados|00.000.303</v>
      </c>
      <c r="U30" s="26">
        <f>IF(OR($S30&lt;&gt;"Utilizable",$C30&lt;&gt;SUSTITUCION!$C$13),999999,IF(v_prioridad="Potasio",$H30,IF(v_prioridad="Fósforo",$I30,IF(v_prioridad="Sodio",$J30,IF(ISNUMBER($Q30),$Q30,999999)))))</f>
        <v>999999</v>
      </c>
    </row>
    <row r="31" spans="1:21" ht="15" customHeight="1">
      <c r="A31" s="21" t="s">
        <v>179</v>
      </c>
      <c r="B31" s="21" t="s">
        <v>180</v>
      </c>
      <c r="C31" s="21" t="s">
        <v>133</v>
      </c>
      <c r="D31" s="21" t="s">
        <v>134</v>
      </c>
      <c r="E31" s="21" t="s">
        <v>135</v>
      </c>
      <c r="F31" s="22">
        <v>103</v>
      </c>
      <c r="G31" s="22">
        <v>12.5</v>
      </c>
      <c r="H31" s="22">
        <v>84.3</v>
      </c>
      <c r="I31" s="22">
        <v>131</v>
      </c>
      <c r="J31" s="22">
        <v>405</v>
      </c>
      <c r="K31" s="22">
        <v>103</v>
      </c>
      <c r="L31" s="22">
        <v>12.5</v>
      </c>
      <c r="M31" s="22">
        <v>60</v>
      </c>
      <c r="N31" s="23" t="str">
        <f t="shared" si="0"/>
        <v>Bajo</v>
      </c>
      <c r="O31" s="23" t="str">
        <f t="shared" si="1"/>
        <v>Alto</v>
      </c>
      <c r="P31" s="23" t="str">
        <f t="shared" si="2"/>
        <v>Muy alto</v>
      </c>
      <c r="Q31" s="24">
        <f t="shared" si="3"/>
        <v>10.48</v>
      </c>
      <c r="R31" s="23" t="str">
        <f t="shared" si="4"/>
        <v>Deseable</v>
      </c>
      <c r="S31" s="25" t="str">
        <f t="shared" si="5"/>
        <v>Utilizable</v>
      </c>
      <c r="T31" s="26" t="str">
        <f t="shared" si="6"/>
        <v>Leche y derivados|00.000.084</v>
      </c>
      <c r="U31" s="26">
        <f>IF(OR($S31&lt;&gt;"Utilizable",$C31&lt;&gt;SUSTITUCION!$C$13),999999,IF(v_prioridad="Potasio",$H31,IF(v_prioridad="Fósforo",$I31,IF(v_prioridad="Sodio",$J31,IF(ISNUMBER($Q31),$Q31,999999)))))</f>
        <v>999999</v>
      </c>
    </row>
    <row r="32" spans="1:21" ht="15" customHeight="1">
      <c r="A32" s="21" t="s">
        <v>181</v>
      </c>
      <c r="B32" s="21" t="s">
        <v>182</v>
      </c>
      <c r="C32" s="21" t="s">
        <v>133</v>
      </c>
      <c r="D32" s="21" t="s">
        <v>134</v>
      </c>
      <c r="E32" s="21" t="s">
        <v>135</v>
      </c>
      <c r="F32" s="22">
        <v>85</v>
      </c>
      <c r="G32" s="22">
        <v>13.9</v>
      </c>
      <c r="H32" s="22" t="s">
        <v>138</v>
      </c>
      <c r="I32" s="22" t="s">
        <v>138</v>
      </c>
      <c r="J32" s="22">
        <v>260</v>
      </c>
      <c r="K32" s="22">
        <v>85</v>
      </c>
      <c r="L32" s="22">
        <v>13.9</v>
      </c>
      <c r="M32" s="22">
        <v>434</v>
      </c>
      <c r="N32" s="23" t="str">
        <f t="shared" si="0"/>
        <v>Sin dato</v>
      </c>
      <c r="O32" s="23" t="str">
        <f t="shared" si="1"/>
        <v>Sin dato</v>
      </c>
      <c r="P32" s="23" t="str">
        <f t="shared" si="2"/>
        <v>Alto</v>
      </c>
      <c r="Q32" s="24" t="str">
        <f t="shared" si="3"/>
        <v>N/C</v>
      </c>
      <c r="R32" s="23" t="str">
        <f t="shared" si="4"/>
        <v>N/C</v>
      </c>
      <c r="S32" s="25" t="str">
        <f t="shared" si="5"/>
        <v>No utilizable</v>
      </c>
      <c r="T32" s="26" t="str">
        <f t="shared" si="6"/>
        <v/>
      </c>
      <c r="U32" s="26">
        <f>IF(OR($S32&lt;&gt;"Utilizable",$C32&lt;&gt;SUSTITUCION!$C$13),999999,IF(v_prioridad="Potasio",$H32,IF(v_prioridad="Fósforo",$I32,IF(v_prioridad="Sodio",$J32,IF(ISNUMBER($Q32),$Q32,999999)))))</f>
        <v>999999</v>
      </c>
    </row>
    <row r="33" spans="1:21" ht="15" customHeight="1">
      <c r="A33" s="21" t="s">
        <v>183</v>
      </c>
      <c r="B33" s="21" t="s">
        <v>184</v>
      </c>
      <c r="C33" s="21" t="s">
        <v>133</v>
      </c>
      <c r="D33" s="21" t="s">
        <v>134</v>
      </c>
      <c r="E33" s="21" t="s">
        <v>135</v>
      </c>
      <c r="F33" s="22">
        <v>151</v>
      </c>
      <c r="G33" s="22">
        <v>13</v>
      </c>
      <c r="H33" s="22" t="s">
        <v>138</v>
      </c>
      <c r="I33" s="22" t="s">
        <v>138</v>
      </c>
      <c r="J33" s="22">
        <v>51</v>
      </c>
      <c r="K33" s="22">
        <v>151</v>
      </c>
      <c r="L33" s="22">
        <v>13</v>
      </c>
      <c r="M33" s="22">
        <v>420</v>
      </c>
      <c r="N33" s="23" t="str">
        <f t="shared" si="0"/>
        <v>Sin dato</v>
      </c>
      <c r="O33" s="23" t="str">
        <f t="shared" si="1"/>
        <v>Sin dato</v>
      </c>
      <c r="P33" s="23" t="str">
        <f t="shared" si="2"/>
        <v>Medio</v>
      </c>
      <c r="Q33" s="24" t="str">
        <f t="shared" si="3"/>
        <v>N/C</v>
      </c>
      <c r="R33" s="23" t="str">
        <f t="shared" si="4"/>
        <v>N/C</v>
      </c>
      <c r="S33" s="25" t="str">
        <f t="shared" si="5"/>
        <v>No utilizable</v>
      </c>
      <c r="T33" s="26" t="str">
        <f t="shared" si="6"/>
        <v/>
      </c>
      <c r="U33" s="26">
        <f>IF(OR($S33&lt;&gt;"Utilizable",$C33&lt;&gt;SUSTITUCION!$C$13),999999,IF(v_prioridad="Potasio",$H33,IF(v_prioridad="Fósforo",$I33,IF(v_prioridad="Sodio",$J33,IF(ISNUMBER($Q33),$Q33,999999)))))</f>
        <v>999999</v>
      </c>
    </row>
    <row r="34" spans="1:21" ht="15" customHeight="1">
      <c r="A34" s="21" t="s">
        <v>185</v>
      </c>
      <c r="B34" s="21" t="s">
        <v>186</v>
      </c>
      <c r="C34" s="21" t="s">
        <v>133</v>
      </c>
      <c r="D34" s="21" t="s">
        <v>134</v>
      </c>
      <c r="E34" s="21" t="s">
        <v>135</v>
      </c>
      <c r="F34" s="22">
        <v>364</v>
      </c>
      <c r="G34" s="22">
        <v>21.6</v>
      </c>
      <c r="H34" s="22">
        <v>158</v>
      </c>
      <c r="I34" s="22">
        <v>375</v>
      </c>
      <c r="J34" s="22">
        <v>415</v>
      </c>
      <c r="K34" s="22">
        <v>364</v>
      </c>
      <c r="L34" s="22">
        <v>21.6</v>
      </c>
      <c r="M34" s="22">
        <v>298</v>
      </c>
      <c r="N34" s="23" t="str">
        <f t="shared" si="0"/>
        <v>Medio</v>
      </c>
      <c r="O34" s="23" t="str">
        <f t="shared" si="1"/>
        <v>Muy alto</v>
      </c>
      <c r="P34" s="23" t="str">
        <f t="shared" si="2"/>
        <v>Muy alto</v>
      </c>
      <c r="Q34" s="24">
        <f t="shared" si="3"/>
        <v>17.361111111111111</v>
      </c>
      <c r="R34" s="23" t="str">
        <f t="shared" si="4"/>
        <v>Alta</v>
      </c>
      <c r="S34" s="25" t="str">
        <f t="shared" si="5"/>
        <v>Utilizable</v>
      </c>
      <c r="T34" s="26" t="str">
        <f t="shared" si="6"/>
        <v>Leche y derivados|00.000.158</v>
      </c>
      <c r="U34" s="26">
        <f>IF(OR($S34&lt;&gt;"Utilizable",$C34&lt;&gt;SUSTITUCION!$C$13),999999,IF(v_prioridad="Potasio",$H34,IF(v_prioridad="Fósforo",$I34,IF(v_prioridad="Sodio",$J34,IF(ISNUMBER($Q34),$Q34,999999)))))</f>
        <v>999999</v>
      </c>
    </row>
    <row r="35" spans="1:21" ht="15" customHeight="1">
      <c r="A35" s="21" t="s">
        <v>187</v>
      </c>
      <c r="B35" s="21" t="s">
        <v>188</v>
      </c>
      <c r="C35" s="21" t="s">
        <v>133</v>
      </c>
      <c r="D35" s="21" t="s">
        <v>134</v>
      </c>
      <c r="E35" s="21" t="s">
        <v>135</v>
      </c>
      <c r="F35" s="22">
        <v>356</v>
      </c>
      <c r="G35" s="22">
        <v>20.8</v>
      </c>
      <c r="H35" s="22" t="s">
        <v>138</v>
      </c>
      <c r="I35" s="22" t="s">
        <v>138</v>
      </c>
      <c r="J35" s="22">
        <v>536</v>
      </c>
      <c r="K35" s="22">
        <v>356</v>
      </c>
      <c r="L35" s="22">
        <v>20.8</v>
      </c>
      <c r="M35" s="22">
        <v>822</v>
      </c>
      <c r="N35" s="23" t="str">
        <f t="shared" si="0"/>
        <v>Sin dato</v>
      </c>
      <c r="O35" s="23" t="str">
        <f t="shared" si="1"/>
        <v>Sin dato</v>
      </c>
      <c r="P35" s="23" t="str">
        <f t="shared" si="2"/>
        <v>Muy alto</v>
      </c>
      <c r="Q35" s="24" t="str">
        <f t="shared" si="3"/>
        <v>N/C</v>
      </c>
      <c r="R35" s="23" t="str">
        <f t="shared" si="4"/>
        <v>N/C</v>
      </c>
      <c r="S35" s="25" t="str">
        <f t="shared" si="5"/>
        <v>No utilizable</v>
      </c>
      <c r="T35" s="26" t="str">
        <f t="shared" si="6"/>
        <v/>
      </c>
      <c r="U35" s="26">
        <f>IF(OR($S35&lt;&gt;"Utilizable",$C35&lt;&gt;SUSTITUCION!$C$13),999999,IF(v_prioridad="Potasio",$H35,IF(v_prioridad="Fósforo",$I35,IF(v_prioridad="Sodio",$J35,IF(ISNUMBER($Q35),$Q35,999999)))))</f>
        <v>999999</v>
      </c>
    </row>
    <row r="36" spans="1:21" ht="15" customHeight="1">
      <c r="A36" s="21" t="s">
        <v>189</v>
      </c>
      <c r="B36" s="21" t="s">
        <v>190</v>
      </c>
      <c r="C36" s="21" t="s">
        <v>133</v>
      </c>
      <c r="D36" s="21" t="s">
        <v>134</v>
      </c>
      <c r="E36" s="21" t="s">
        <v>135</v>
      </c>
      <c r="F36" s="22">
        <v>404</v>
      </c>
      <c r="G36" s="22">
        <v>22.9</v>
      </c>
      <c r="H36" s="22">
        <v>76</v>
      </c>
      <c r="I36" s="22">
        <v>455</v>
      </c>
      <c r="J36" s="22">
        <v>653</v>
      </c>
      <c r="K36" s="22">
        <v>404</v>
      </c>
      <c r="L36" s="22">
        <v>22.9</v>
      </c>
      <c r="M36" s="22">
        <v>710</v>
      </c>
      <c r="N36" s="23" t="str">
        <f t="shared" si="0"/>
        <v>Bajo</v>
      </c>
      <c r="O36" s="23" t="str">
        <f t="shared" si="1"/>
        <v>Muy alto</v>
      </c>
      <c r="P36" s="23" t="str">
        <f t="shared" si="2"/>
        <v>Muy alto</v>
      </c>
      <c r="Q36" s="24">
        <f t="shared" si="3"/>
        <v>19.868995633187772</v>
      </c>
      <c r="R36" s="23" t="str">
        <f t="shared" si="4"/>
        <v>Alta</v>
      </c>
      <c r="S36" s="25" t="str">
        <f t="shared" si="5"/>
        <v>Utilizable</v>
      </c>
      <c r="T36" s="26" t="str">
        <f t="shared" si="6"/>
        <v>Leche y derivados|00.000.076</v>
      </c>
      <c r="U36" s="26">
        <f>IF(OR($S36&lt;&gt;"Utilizable",$C36&lt;&gt;SUSTITUCION!$C$13),999999,IF(v_prioridad="Potasio",$H36,IF(v_prioridad="Fósforo",$I36,IF(v_prioridad="Sodio",$J36,IF(ISNUMBER($Q36),$Q36,999999)))))</f>
        <v>999999</v>
      </c>
    </row>
    <row r="37" spans="1:21" ht="15" customHeight="1">
      <c r="A37" s="21" t="s">
        <v>191</v>
      </c>
      <c r="B37" s="21" t="s">
        <v>192</v>
      </c>
      <c r="C37" s="21" t="s">
        <v>133</v>
      </c>
      <c r="D37" s="21" t="s">
        <v>134</v>
      </c>
      <c r="E37" s="21" t="s">
        <v>135</v>
      </c>
      <c r="F37" s="22">
        <v>350</v>
      </c>
      <c r="G37" s="22">
        <v>6.2</v>
      </c>
      <c r="H37" s="22">
        <v>132</v>
      </c>
      <c r="I37" s="22">
        <v>107</v>
      </c>
      <c r="J37" s="22">
        <v>314</v>
      </c>
      <c r="K37" s="22">
        <v>350</v>
      </c>
      <c r="L37" s="22">
        <v>6.2</v>
      </c>
      <c r="M37" s="22">
        <v>97</v>
      </c>
      <c r="N37" s="23" t="str">
        <f t="shared" si="0"/>
        <v>Medio</v>
      </c>
      <c r="O37" s="23" t="str">
        <f t="shared" si="1"/>
        <v>Alto</v>
      </c>
      <c r="P37" s="23" t="str">
        <f t="shared" si="2"/>
        <v>Alto</v>
      </c>
      <c r="Q37" s="24" t="str">
        <f t="shared" si="3"/>
        <v>N/C: no es fuente proteica</v>
      </c>
      <c r="R37" s="23" t="str">
        <f t="shared" si="4"/>
        <v>N/C</v>
      </c>
      <c r="S37" s="25" t="str">
        <f t="shared" si="5"/>
        <v>Utilizable</v>
      </c>
      <c r="T37" s="26" t="str">
        <f t="shared" si="6"/>
        <v>Leche y derivados|00.000.132</v>
      </c>
      <c r="U37" s="26">
        <f>IF(OR($S37&lt;&gt;"Utilizable",$C37&lt;&gt;SUSTITUCION!$C$13),999999,IF(v_prioridad="Potasio",$H37,IF(v_prioridad="Fósforo",$I37,IF(v_prioridad="Sodio",$J37,IF(ISNUMBER($Q37),$Q37,999999)))))</f>
        <v>999999</v>
      </c>
    </row>
    <row r="38" spans="1:21" ht="15" customHeight="1">
      <c r="A38" s="21" t="s">
        <v>193</v>
      </c>
      <c r="B38" s="21" t="s">
        <v>194</v>
      </c>
      <c r="C38" s="21" t="s">
        <v>133</v>
      </c>
      <c r="D38" s="21" t="s">
        <v>134</v>
      </c>
      <c r="E38" s="21" t="s">
        <v>135</v>
      </c>
      <c r="F38" s="22">
        <v>218</v>
      </c>
      <c r="G38" s="22">
        <v>12</v>
      </c>
      <c r="H38" s="22" t="s">
        <v>138</v>
      </c>
      <c r="I38" s="22" t="s">
        <v>138</v>
      </c>
      <c r="J38" s="22">
        <v>763</v>
      </c>
      <c r="K38" s="22">
        <v>218</v>
      </c>
      <c r="L38" s="22">
        <v>12</v>
      </c>
      <c r="M38" s="22">
        <v>430</v>
      </c>
      <c r="N38" s="23" t="str">
        <f t="shared" si="0"/>
        <v>Sin dato</v>
      </c>
      <c r="O38" s="23" t="str">
        <f t="shared" si="1"/>
        <v>Sin dato</v>
      </c>
      <c r="P38" s="23" t="str">
        <f t="shared" si="2"/>
        <v>Muy alto</v>
      </c>
      <c r="Q38" s="24" t="str">
        <f t="shared" si="3"/>
        <v>N/C</v>
      </c>
      <c r="R38" s="23" t="str">
        <f t="shared" si="4"/>
        <v>N/C</v>
      </c>
      <c r="S38" s="25" t="str">
        <f t="shared" si="5"/>
        <v>No utilizable</v>
      </c>
      <c r="T38" s="26" t="str">
        <f t="shared" si="6"/>
        <v/>
      </c>
      <c r="U38" s="26">
        <f>IF(OR($S38&lt;&gt;"Utilizable",$C38&lt;&gt;SUSTITUCION!$C$13),999999,IF(v_prioridad="Potasio",$H38,IF(v_prioridad="Fósforo",$I38,IF(v_prioridad="Sodio",$J38,IF(ISNUMBER($Q38),$Q38,999999)))))</f>
        <v>999999</v>
      </c>
    </row>
    <row r="39" spans="1:21" ht="15" customHeight="1">
      <c r="A39" s="21" t="s">
        <v>195</v>
      </c>
      <c r="B39" s="21" t="s">
        <v>196</v>
      </c>
      <c r="C39" s="21" t="s">
        <v>133</v>
      </c>
      <c r="D39" s="21" t="s">
        <v>134</v>
      </c>
      <c r="E39" s="21" t="s">
        <v>135</v>
      </c>
      <c r="F39" s="22">
        <v>228</v>
      </c>
      <c r="G39" s="22">
        <v>16.899999999999999</v>
      </c>
      <c r="H39" s="22" t="s">
        <v>138</v>
      </c>
      <c r="I39" s="22" t="s">
        <v>138</v>
      </c>
      <c r="J39" s="22">
        <v>401</v>
      </c>
      <c r="K39" s="22">
        <v>228</v>
      </c>
      <c r="L39" s="22">
        <v>16.899999999999999</v>
      </c>
      <c r="M39" s="22" t="s">
        <v>138</v>
      </c>
      <c r="N39" s="23" t="str">
        <f t="shared" si="0"/>
        <v>Sin dato</v>
      </c>
      <c r="O39" s="23" t="str">
        <f t="shared" si="1"/>
        <v>Sin dato</v>
      </c>
      <c r="P39" s="23" t="str">
        <f t="shared" si="2"/>
        <v>Muy alto</v>
      </c>
      <c r="Q39" s="24" t="str">
        <f t="shared" si="3"/>
        <v>N/C</v>
      </c>
      <c r="R39" s="23" t="str">
        <f t="shared" si="4"/>
        <v>N/C</v>
      </c>
      <c r="S39" s="25" t="str">
        <f t="shared" si="5"/>
        <v>No utilizable</v>
      </c>
      <c r="T39" s="26" t="str">
        <f t="shared" si="6"/>
        <v/>
      </c>
      <c r="U39" s="26">
        <f>IF(OR($S39&lt;&gt;"Utilizable",$C39&lt;&gt;SUSTITUCION!$C$13),999999,IF(v_prioridad="Potasio",$H39,IF(v_prioridad="Fósforo",$I39,IF(v_prioridad="Sodio",$J39,IF(ISNUMBER($Q39),$Q39,999999)))))</f>
        <v>999999</v>
      </c>
    </row>
    <row r="40" spans="1:21" ht="15" customHeight="1">
      <c r="A40" s="21" t="s">
        <v>197</v>
      </c>
      <c r="B40" s="21" t="s">
        <v>198</v>
      </c>
      <c r="C40" s="21" t="s">
        <v>133</v>
      </c>
      <c r="D40" s="21" t="s">
        <v>134</v>
      </c>
      <c r="E40" s="21" t="s">
        <v>135</v>
      </c>
      <c r="F40" s="22">
        <v>177</v>
      </c>
      <c r="G40" s="22">
        <v>12.6</v>
      </c>
      <c r="H40" s="22" t="s">
        <v>138</v>
      </c>
      <c r="I40" s="22" t="s">
        <v>138</v>
      </c>
      <c r="J40" s="22">
        <v>254</v>
      </c>
      <c r="K40" s="22">
        <v>177</v>
      </c>
      <c r="L40" s="22">
        <v>12.6</v>
      </c>
      <c r="M40" s="22">
        <v>383</v>
      </c>
      <c r="N40" s="23" t="str">
        <f t="shared" si="0"/>
        <v>Sin dato</v>
      </c>
      <c r="O40" s="23" t="str">
        <f t="shared" si="1"/>
        <v>Sin dato</v>
      </c>
      <c r="P40" s="23" t="str">
        <f t="shared" si="2"/>
        <v>Alto</v>
      </c>
      <c r="Q40" s="24" t="str">
        <f t="shared" si="3"/>
        <v>N/C</v>
      </c>
      <c r="R40" s="23" t="str">
        <f t="shared" si="4"/>
        <v>N/C</v>
      </c>
      <c r="S40" s="25" t="str">
        <f t="shared" si="5"/>
        <v>No utilizable</v>
      </c>
      <c r="T40" s="26" t="str">
        <f t="shared" si="6"/>
        <v/>
      </c>
      <c r="U40" s="26">
        <f>IF(OR($S40&lt;&gt;"Utilizable",$C40&lt;&gt;SUSTITUCION!$C$13),999999,IF(v_prioridad="Potasio",$H40,IF(v_prioridad="Fósforo",$I40,IF(v_prioridad="Sodio",$J40,IF(ISNUMBER($Q40),$Q40,999999)))))</f>
        <v>999999</v>
      </c>
    </row>
    <row r="41" spans="1:21" ht="15" customHeight="1">
      <c r="A41" s="21" t="s">
        <v>199</v>
      </c>
      <c r="B41" s="21" t="s">
        <v>200</v>
      </c>
      <c r="C41" s="21" t="s">
        <v>133</v>
      </c>
      <c r="D41" s="21" t="s">
        <v>134</v>
      </c>
      <c r="E41" s="21" t="s">
        <v>135</v>
      </c>
      <c r="F41" s="22">
        <v>193</v>
      </c>
      <c r="G41" s="22">
        <v>13.8</v>
      </c>
      <c r="H41" s="22" t="s">
        <v>138</v>
      </c>
      <c r="I41" s="22" t="s">
        <v>138</v>
      </c>
      <c r="J41" s="22">
        <v>363</v>
      </c>
      <c r="K41" s="22">
        <v>193</v>
      </c>
      <c r="L41" s="22">
        <v>13.8</v>
      </c>
      <c r="M41" s="22" t="s">
        <v>138</v>
      </c>
      <c r="N41" s="23" t="str">
        <f t="shared" si="0"/>
        <v>Sin dato</v>
      </c>
      <c r="O41" s="23" t="str">
        <f t="shared" si="1"/>
        <v>Sin dato</v>
      </c>
      <c r="P41" s="23" t="str">
        <f t="shared" si="2"/>
        <v>Alto</v>
      </c>
      <c r="Q41" s="24" t="str">
        <f t="shared" si="3"/>
        <v>N/C</v>
      </c>
      <c r="R41" s="23" t="str">
        <f t="shared" si="4"/>
        <v>N/C</v>
      </c>
      <c r="S41" s="25" t="str">
        <f t="shared" si="5"/>
        <v>No utilizable</v>
      </c>
      <c r="T41" s="26" t="str">
        <f t="shared" si="6"/>
        <v/>
      </c>
      <c r="U41" s="26">
        <f>IF(OR($S41&lt;&gt;"Utilizable",$C41&lt;&gt;SUSTITUCION!$C$13),999999,IF(v_prioridad="Potasio",$H41,IF(v_prioridad="Fósforo",$I41,IF(v_prioridad="Sodio",$J41,IF(ISNUMBER($Q41),$Q41,999999)))))</f>
        <v>999999</v>
      </c>
    </row>
    <row r="42" spans="1:21" ht="15" customHeight="1">
      <c r="A42" s="21" t="s">
        <v>201</v>
      </c>
      <c r="B42" s="21" t="s">
        <v>202</v>
      </c>
      <c r="C42" s="21" t="s">
        <v>133</v>
      </c>
      <c r="D42" s="21" t="s">
        <v>134</v>
      </c>
      <c r="E42" s="21" t="s">
        <v>135</v>
      </c>
      <c r="F42" s="22">
        <v>356</v>
      </c>
      <c r="G42" s="22">
        <v>24.9</v>
      </c>
      <c r="H42" s="22">
        <v>121</v>
      </c>
      <c r="I42" s="22">
        <v>546</v>
      </c>
      <c r="J42" s="22">
        <v>819</v>
      </c>
      <c r="K42" s="22">
        <v>356</v>
      </c>
      <c r="L42" s="22">
        <v>24.9</v>
      </c>
      <c r="M42" s="22">
        <v>700</v>
      </c>
      <c r="N42" s="23" t="str">
        <f t="shared" si="0"/>
        <v>Medio</v>
      </c>
      <c r="O42" s="23" t="str">
        <f t="shared" si="1"/>
        <v>Muy alto</v>
      </c>
      <c r="P42" s="23" t="str">
        <f t="shared" si="2"/>
        <v>Muy alto</v>
      </c>
      <c r="Q42" s="24">
        <f t="shared" si="3"/>
        <v>21.927710843373497</v>
      </c>
      <c r="R42" s="23" t="str">
        <f t="shared" si="4"/>
        <v>Alta</v>
      </c>
      <c r="S42" s="25" t="str">
        <f t="shared" si="5"/>
        <v>Utilizable</v>
      </c>
      <c r="T42" s="26" t="str">
        <f t="shared" si="6"/>
        <v>Leche y derivados|00.000.121</v>
      </c>
      <c r="U42" s="26">
        <f>IF(OR($S42&lt;&gt;"Utilizable",$C42&lt;&gt;SUSTITUCION!$C$13),999999,IF(v_prioridad="Potasio",$H42,IF(v_prioridad="Fósforo",$I42,IF(v_prioridad="Sodio",$J42,IF(ISNUMBER($Q42),$Q42,999999)))))</f>
        <v>999999</v>
      </c>
    </row>
    <row r="43" spans="1:21" ht="15" customHeight="1">
      <c r="A43" s="21" t="s">
        <v>203</v>
      </c>
      <c r="B43" s="21" t="s">
        <v>204</v>
      </c>
      <c r="C43" s="21" t="s">
        <v>133</v>
      </c>
      <c r="D43" s="21" t="s">
        <v>134</v>
      </c>
      <c r="E43" s="21" t="s">
        <v>135</v>
      </c>
      <c r="F43" s="22">
        <v>341</v>
      </c>
      <c r="G43" s="22">
        <v>24.8</v>
      </c>
      <c r="H43" s="22" t="s">
        <v>138</v>
      </c>
      <c r="I43" s="22" t="s">
        <v>138</v>
      </c>
      <c r="J43" s="22">
        <v>259</v>
      </c>
      <c r="K43" s="22">
        <v>341</v>
      </c>
      <c r="L43" s="22">
        <v>24.8</v>
      </c>
      <c r="M43" s="22">
        <v>850</v>
      </c>
      <c r="N43" s="23" t="str">
        <f t="shared" si="0"/>
        <v>Sin dato</v>
      </c>
      <c r="O43" s="23" t="str">
        <f t="shared" si="1"/>
        <v>Sin dato</v>
      </c>
      <c r="P43" s="23" t="str">
        <f t="shared" si="2"/>
        <v>Alto</v>
      </c>
      <c r="Q43" s="24" t="str">
        <f t="shared" si="3"/>
        <v>N/C</v>
      </c>
      <c r="R43" s="23" t="str">
        <f t="shared" si="4"/>
        <v>N/C</v>
      </c>
      <c r="S43" s="25" t="str">
        <f t="shared" si="5"/>
        <v>No utilizable</v>
      </c>
      <c r="T43" s="26" t="str">
        <f t="shared" si="6"/>
        <v/>
      </c>
      <c r="U43" s="26">
        <f>IF(OR($S43&lt;&gt;"Utilizable",$C43&lt;&gt;SUSTITUCION!$C$13),999999,IF(v_prioridad="Potasio",$H43,IF(v_prioridad="Fósforo",$I43,IF(v_prioridad="Sodio",$J43,IF(ISNUMBER($Q43),$Q43,999999)))))</f>
        <v>999999</v>
      </c>
    </row>
    <row r="44" spans="1:21" ht="15" customHeight="1">
      <c r="A44" s="21" t="s">
        <v>205</v>
      </c>
      <c r="B44" s="21" t="s">
        <v>206</v>
      </c>
      <c r="C44" s="21" t="s">
        <v>133</v>
      </c>
      <c r="D44" s="21" t="s">
        <v>134</v>
      </c>
      <c r="E44" s="21" t="s">
        <v>135</v>
      </c>
      <c r="F44" s="22">
        <v>394</v>
      </c>
      <c r="G44" s="22">
        <v>24.7</v>
      </c>
      <c r="H44" s="22" t="s">
        <v>138</v>
      </c>
      <c r="I44" s="22" t="s">
        <v>138</v>
      </c>
      <c r="J44" s="22">
        <v>452</v>
      </c>
      <c r="K44" s="22">
        <v>394</v>
      </c>
      <c r="L44" s="22">
        <v>24.7</v>
      </c>
      <c r="M44" s="22" t="s">
        <v>138</v>
      </c>
      <c r="N44" s="23" t="str">
        <f t="shared" si="0"/>
        <v>Sin dato</v>
      </c>
      <c r="O44" s="23" t="str">
        <f t="shared" si="1"/>
        <v>Sin dato</v>
      </c>
      <c r="P44" s="23" t="str">
        <f t="shared" si="2"/>
        <v>Muy alto</v>
      </c>
      <c r="Q44" s="24" t="str">
        <f t="shared" si="3"/>
        <v>N/C</v>
      </c>
      <c r="R44" s="23" t="str">
        <f t="shared" si="4"/>
        <v>N/C</v>
      </c>
      <c r="S44" s="25" t="str">
        <f t="shared" si="5"/>
        <v>No utilizable</v>
      </c>
      <c r="T44" s="26" t="str">
        <f t="shared" si="6"/>
        <v/>
      </c>
      <c r="U44" s="26">
        <f>IF(OR($S44&lt;&gt;"Utilizable",$C44&lt;&gt;SUSTITUCION!$C$13),999999,IF(v_prioridad="Potasio",$H44,IF(v_prioridad="Fósforo",$I44,IF(v_prioridad="Sodio",$J44,IF(ISNUMBER($Q44),$Q44,999999)))))</f>
        <v>999999</v>
      </c>
    </row>
    <row r="45" spans="1:21" ht="15" customHeight="1">
      <c r="A45" s="21" t="s">
        <v>207</v>
      </c>
      <c r="B45" s="21" t="s">
        <v>208</v>
      </c>
      <c r="C45" s="21" t="s">
        <v>133</v>
      </c>
      <c r="D45" s="21" t="s">
        <v>134</v>
      </c>
      <c r="E45" s="21" t="s">
        <v>135</v>
      </c>
      <c r="F45" s="22">
        <v>199</v>
      </c>
      <c r="G45" s="22">
        <v>13.5</v>
      </c>
      <c r="H45" s="22" t="s">
        <v>138</v>
      </c>
      <c r="I45" s="22" t="s">
        <v>138</v>
      </c>
      <c r="J45" s="22">
        <v>507</v>
      </c>
      <c r="K45" s="22">
        <v>199</v>
      </c>
      <c r="L45" s="22">
        <v>13.5</v>
      </c>
      <c r="M45" s="22" t="s">
        <v>138</v>
      </c>
      <c r="N45" s="23" t="str">
        <f t="shared" si="0"/>
        <v>Sin dato</v>
      </c>
      <c r="O45" s="23" t="str">
        <f t="shared" si="1"/>
        <v>Sin dato</v>
      </c>
      <c r="P45" s="23" t="str">
        <f t="shared" si="2"/>
        <v>Muy alto</v>
      </c>
      <c r="Q45" s="24" t="str">
        <f t="shared" si="3"/>
        <v>N/C</v>
      </c>
      <c r="R45" s="23" t="str">
        <f t="shared" si="4"/>
        <v>N/C</v>
      </c>
      <c r="S45" s="25" t="str">
        <f t="shared" si="5"/>
        <v>No utilizable</v>
      </c>
      <c r="T45" s="26" t="str">
        <f t="shared" si="6"/>
        <v/>
      </c>
      <c r="U45" s="26">
        <f>IF(OR($S45&lt;&gt;"Utilizable",$C45&lt;&gt;SUSTITUCION!$C$13),999999,IF(v_prioridad="Potasio",$H45,IF(v_prioridad="Fósforo",$I45,IF(v_prioridad="Sodio",$J45,IF(ISNUMBER($Q45),$Q45,999999)))))</f>
        <v>999999</v>
      </c>
    </row>
    <row r="46" spans="1:21" ht="15" customHeight="1">
      <c r="A46" s="21" t="s">
        <v>209</v>
      </c>
      <c r="B46" s="21" t="s">
        <v>210</v>
      </c>
      <c r="C46" s="21" t="s">
        <v>133</v>
      </c>
      <c r="D46" s="21" t="s">
        <v>134</v>
      </c>
      <c r="E46" s="21" t="s">
        <v>135</v>
      </c>
      <c r="F46" s="22">
        <v>476</v>
      </c>
      <c r="G46" s="22">
        <v>47.1</v>
      </c>
      <c r="H46" s="22" t="s">
        <v>138</v>
      </c>
      <c r="I46" s="22" t="s">
        <v>138</v>
      </c>
      <c r="J46" s="22">
        <v>1176</v>
      </c>
      <c r="K46" s="22">
        <v>476</v>
      </c>
      <c r="L46" s="22">
        <v>47.1</v>
      </c>
      <c r="M46" s="22">
        <v>1653</v>
      </c>
      <c r="N46" s="23" t="str">
        <f t="shared" si="0"/>
        <v>Sin dato</v>
      </c>
      <c r="O46" s="23" t="str">
        <f t="shared" si="1"/>
        <v>Sin dato</v>
      </c>
      <c r="P46" s="23" t="str">
        <f t="shared" si="2"/>
        <v>Muy alto</v>
      </c>
      <c r="Q46" s="24" t="str">
        <f t="shared" si="3"/>
        <v>N/C</v>
      </c>
      <c r="R46" s="23" t="str">
        <f t="shared" si="4"/>
        <v>N/C</v>
      </c>
      <c r="S46" s="25" t="str">
        <f t="shared" si="5"/>
        <v>No utilizable</v>
      </c>
      <c r="T46" s="26" t="str">
        <f t="shared" si="6"/>
        <v/>
      </c>
      <c r="U46" s="26">
        <f>IF(OR($S46&lt;&gt;"Utilizable",$C46&lt;&gt;SUSTITUCION!$C$13),999999,IF(v_prioridad="Potasio",$H46,IF(v_prioridad="Fósforo",$I46,IF(v_prioridad="Sodio",$J46,IF(ISNUMBER($Q46),$Q46,999999)))))</f>
        <v>999999</v>
      </c>
    </row>
    <row r="47" spans="1:21" ht="15" customHeight="1">
      <c r="A47" s="21" t="s">
        <v>211</v>
      </c>
      <c r="B47" s="21" t="s">
        <v>212</v>
      </c>
      <c r="C47" s="21" t="s">
        <v>133</v>
      </c>
      <c r="D47" s="21" t="s">
        <v>134</v>
      </c>
      <c r="E47" s="21" t="s">
        <v>135</v>
      </c>
      <c r="F47" s="22">
        <v>420</v>
      </c>
      <c r="G47" s="22">
        <v>28.4</v>
      </c>
      <c r="H47" s="22">
        <v>180</v>
      </c>
      <c r="I47" s="22">
        <v>627</v>
      </c>
      <c r="J47" s="22">
        <v>1804</v>
      </c>
      <c r="K47" s="22">
        <v>420</v>
      </c>
      <c r="L47" s="22">
        <v>28.4</v>
      </c>
      <c r="M47" s="22">
        <v>853</v>
      </c>
      <c r="N47" s="23" t="str">
        <f t="shared" si="0"/>
        <v>Medio</v>
      </c>
      <c r="O47" s="23" t="str">
        <f t="shared" si="1"/>
        <v>Muy alto</v>
      </c>
      <c r="P47" s="23" t="str">
        <f t="shared" si="2"/>
        <v>Muy alto</v>
      </c>
      <c r="Q47" s="24">
        <f t="shared" si="3"/>
        <v>22.077464788732396</v>
      </c>
      <c r="R47" s="23" t="str">
        <f t="shared" si="4"/>
        <v>Alta</v>
      </c>
      <c r="S47" s="25" t="str">
        <f t="shared" si="5"/>
        <v>Utilizable</v>
      </c>
      <c r="T47" s="26" t="str">
        <f t="shared" si="6"/>
        <v>Leche y derivados|00.000.180</v>
      </c>
      <c r="U47" s="26">
        <f>IF(OR($S47&lt;&gt;"Utilizable",$C47&lt;&gt;SUSTITUCION!$C$13),999999,IF(v_prioridad="Potasio",$H47,IF(v_prioridad="Fósforo",$I47,IF(v_prioridad="Sodio",$J47,IF(ISNUMBER($Q47),$Q47,999999)))))</f>
        <v>999999</v>
      </c>
    </row>
    <row r="48" spans="1:21" ht="15" customHeight="1">
      <c r="A48" s="21" t="s">
        <v>213</v>
      </c>
      <c r="B48" s="21" t="s">
        <v>214</v>
      </c>
      <c r="C48" s="21" t="s">
        <v>133</v>
      </c>
      <c r="D48" s="21" t="s">
        <v>134</v>
      </c>
      <c r="E48" s="21" t="s">
        <v>135</v>
      </c>
      <c r="F48" s="22">
        <v>394</v>
      </c>
      <c r="G48" s="22">
        <v>25.7</v>
      </c>
      <c r="H48" s="22">
        <v>73</v>
      </c>
      <c r="I48" s="22">
        <v>578</v>
      </c>
      <c r="J48" s="22">
        <v>720</v>
      </c>
      <c r="K48" s="22">
        <v>394</v>
      </c>
      <c r="L48" s="22">
        <v>25.7</v>
      </c>
      <c r="M48" s="22">
        <v>474</v>
      </c>
      <c r="N48" s="23" t="str">
        <f t="shared" si="0"/>
        <v>Bajo</v>
      </c>
      <c r="O48" s="23" t="str">
        <f t="shared" si="1"/>
        <v>Muy alto</v>
      </c>
      <c r="P48" s="23" t="str">
        <f t="shared" si="2"/>
        <v>Muy alto</v>
      </c>
      <c r="Q48" s="24">
        <f t="shared" si="3"/>
        <v>22.490272373540858</v>
      </c>
      <c r="R48" s="23" t="str">
        <f t="shared" si="4"/>
        <v>Alta</v>
      </c>
      <c r="S48" s="25" t="str">
        <f t="shared" si="5"/>
        <v>Utilizable</v>
      </c>
      <c r="T48" s="26" t="str">
        <f t="shared" si="6"/>
        <v>Leche y derivados|00.000.073</v>
      </c>
      <c r="U48" s="26">
        <f>IF(OR($S48&lt;&gt;"Utilizable",$C48&lt;&gt;SUSTITUCION!$C$13),999999,IF(v_prioridad="Potasio",$H48,IF(v_prioridad="Fósforo",$I48,IF(v_prioridad="Sodio",$J48,IF(ISNUMBER($Q48),$Q48,999999)))))</f>
        <v>999999</v>
      </c>
    </row>
    <row r="49" spans="1:21" ht="15" customHeight="1">
      <c r="A49" s="21" t="s">
        <v>215</v>
      </c>
      <c r="B49" s="21" t="s">
        <v>216</v>
      </c>
      <c r="C49" s="21" t="s">
        <v>133</v>
      </c>
      <c r="D49" s="21" t="s">
        <v>134</v>
      </c>
      <c r="E49" s="21" t="s">
        <v>135</v>
      </c>
      <c r="F49" s="22">
        <v>339</v>
      </c>
      <c r="G49" s="22">
        <v>33.1</v>
      </c>
      <c r="H49" s="22" t="s">
        <v>138</v>
      </c>
      <c r="I49" s="22" t="s">
        <v>138</v>
      </c>
      <c r="J49" s="22">
        <v>742</v>
      </c>
      <c r="K49" s="22">
        <v>339</v>
      </c>
      <c r="L49" s="22">
        <v>33.1</v>
      </c>
      <c r="M49" s="22">
        <v>1199</v>
      </c>
      <c r="N49" s="23" t="str">
        <f t="shared" si="0"/>
        <v>Sin dato</v>
      </c>
      <c r="O49" s="23" t="str">
        <f t="shared" si="1"/>
        <v>Sin dato</v>
      </c>
      <c r="P49" s="23" t="str">
        <f t="shared" si="2"/>
        <v>Muy alto</v>
      </c>
      <c r="Q49" s="24" t="str">
        <f t="shared" si="3"/>
        <v>N/C</v>
      </c>
      <c r="R49" s="23" t="str">
        <f t="shared" si="4"/>
        <v>N/C</v>
      </c>
      <c r="S49" s="25" t="str">
        <f t="shared" si="5"/>
        <v>No utilizable</v>
      </c>
      <c r="T49" s="26" t="str">
        <f t="shared" si="6"/>
        <v/>
      </c>
      <c r="U49" s="26">
        <f>IF(OR($S49&lt;&gt;"Utilizable",$C49&lt;&gt;SUSTITUCION!$C$13),999999,IF(v_prioridad="Potasio",$H49,IF(v_prioridad="Fósforo",$I49,IF(v_prioridad="Sodio",$J49,IF(ISNUMBER($Q49),$Q49,999999)))))</f>
        <v>999999</v>
      </c>
    </row>
    <row r="50" spans="1:21" ht="15" customHeight="1">
      <c r="A50" s="21" t="s">
        <v>217</v>
      </c>
      <c r="B50" s="21" t="s">
        <v>218</v>
      </c>
      <c r="C50" s="21" t="s">
        <v>133</v>
      </c>
      <c r="D50" s="21" t="s">
        <v>134</v>
      </c>
      <c r="E50" s="21" t="s">
        <v>135</v>
      </c>
      <c r="F50" s="22">
        <v>393</v>
      </c>
      <c r="G50" s="22">
        <v>27</v>
      </c>
      <c r="H50" s="22">
        <v>72</v>
      </c>
      <c r="I50" s="22">
        <v>574</v>
      </c>
      <c r="J50" s="22">
        <v>187</v>
      </c>
      <c r="K50" s="22">
        <v>393</v>
      </c>
      <c r="L50" s="22">
        <v>27</v>
      </c>
      <c r="M50" s="22">
        <v>890</v>
      </c>
      <c r="N50" s="23" t="str">
        <f t="shared" si="0"/>
        <v>Bajo</v>
      </c>
      <c r="O50" s="23" t="str">
        <f t="shared" si="1"/>
        <v>Muy alto</v>
      </c>
      <c r="P50" s="23" t="str">
        <f t="shared" si="2"/>
        <v>Alto</v>
      </c>
      <c r="Q50" s="24">
        <f t="shared" si="3"/>
        <v>21.25925925925926</v>
      </c>
      <c r="R50" s="23" t="str">
        <f t="shared" si="4"/>
        <v>Alta</v>
      </c>
      <c r="S50" s="25" t="str">
        <f t="shared" si="5"/>
        <v>Utilizable</v>
      </c>
      <c r="T50" s="26" t="str">
        <f t="shared" si="6"/>
        <v>Leche y derivados|00.000.072</v>
      </c>
      <c r="U50" s="26">
        <f>IF(OR($S50&lt;&gt;"Utilizable",$C50&lt;&gt;SUSTITUCION!$C$13),999999,IF(v_prioridad="Potasio",$H50,IF(v_prioridad="Fósforo",$I50,IF(v_prioridad="Sodio",$J50,IF(ISNUMBER($Q50),$Q50,999999)))))</f>
        <v>999999</v>
      </c>
    </row>
    <row r="51" spans="1:21" ht="15" customHeight="1">
      <c r="A51" s="21" t="s">
        <v>219</v>
      </c>
      <c r="B51" s="21" t="s">
        <v>220</v>
      </c>
      <c r="C51" s="21" t="s">
        <v>133</v>
      </c>
      <c r="D51" s="21" t="s">
        <v>134</v>
      </c>
      <c r="E51" s="21" t="s">
        <v>135</v>
      </c>
      <c r="F51" s="22">
        <v>303</v>
      </c>
      <c r="G51" s="22">
        <v>20</v>
      </c>
      <c r="H51" s="22" t="s">
        <v>138</v>
      </c>
      <c r="I51" s="22" t="s">
        <v>138</v>
      </c>
      <c r="J51" s="22" t="s">
        <v>138</v>
      </c>
      <c r="K51" s="22">
        <v>303</v>
      </c>
      <c r="L51" s="22">
        <v>20</v>
      </c>
      <c r="M51" s="22" t="s">
        <v>138</v>
      </c>
      <c r="N51" s="23" t="str">
        <f t="shared" si="0"/>
        <v>Sin dato</v>
      </c>
      <c r="O51" s="23" t="str">
        <f t="shared" si="1"/>
        <v>Sin dato</v>
      </c>
      <c r="P51" s="23" t="str">
        <f t="shared" si="2"/>
        <v>Sin dato</v>
      </c>
      <c r="Q51" s="24" t="str">
        <f t="shared" si="3"/>
        <v>N/C</v>
      </c>
      <c r="R51" s="23" t="str">
        <f t="shared" si="4"/>
        <v>N/C</v>
      </c>
      <c r="S51" s="25" t="str">
        <f t="shared" si="5"/>
        <v>No utilizable</v>
      </c>
      <c r="T51" s="26" t="str">
        <f t="shared" si="6"/>
        <v/>
      </c>
      <c r="U51" s="26">
        <f>IF(OR($S51&lt;&gt;"Utilizable",$C51&lt;&gt;SUSTITUCION!$C$13),999999,IF(v_prioridad="Potasio",$H51,IF(v_prioridad="Fósforo",$I51,IF(v_prioridad="Sodio",$J51,IF(ISNUMBER($Q51),$Q51,999999)))))</f>
        <v>999999</v>
      </c>
    </row>
    <row r="52" spans="1:21" ht="15" customHeight="1">
      <c r="A52" s="21" t="s">
        <v>221</v>
      </c>
      <c r="B52" s="21" t="s">
        <v>222</v>
      </c>
      <c r="C52" s="21" t="s">
        <v>133</v>
      </c>
      <c r="D52" s="21" t="s">
        <v>134</v>
      </c>
      <c r="E52" s="21" t="s">
        <v>135</v>
      </c>
      <c r="F52" s="22">
        <v>174</v>
      </c>
      <c r="G52" s="22">
        <v>11.3</v>
      </c>
      <c r="H52" s="22">
        <v>105</v>
      </c>
      <c r="I52" s="22">
        <v>158</v>
      </c>
      <c r="J52" s="22">
        <v>84</v>
      </c>
      <c r="K52" s="22">
        <v>174</v>
      </c>
      <c r="L52" s="22">
        <v>11.3</v>
      </c>
      <c r="M52" s="22">
        <v>207</v>
      </c>
      <c r="N52" s="23" t="str">
        <f t="shared" si="0"/>
        <v>Medio</v>
      </c>
      <c r="O52" s="23" t="str">
        <f t="shared" si="1"/>
        <v>Alto</v>
      </c>
      <c r="P52" s="23" t="str">
        <f t="shared" si="2"/>
        <v>Medio</v>
      </c>
      <c r="Q52" s="24">
        <f t="shared" si="3"/>
        <v>13.982300884955752</v>
      </c>
      <c r="R52" s="23" t="str">
        <f t="shared" si="4"/>
        <v>Aceptable</v>
      </c>
      <c r="S52" s="25" t="str">
        <f t="shared" si="5"/>
        <v>Utilizable</v>
      </c>
      <c r="T52" s="26" t="str">
        <f t="shared" si="6"/>
        <v>Leche y derivados|00.000.105</v>
      </c>
      <c r="U52" s="26">
        <f>IF(OR($S52&lt;&gt;"Utilizable",$C52&lt;&gt;SUSTITUCION!$C$13),999999,IF(v_prioridad="Potasio",$H52,IF(v_prioridad="Fósforo",$I52,IF(v_prioridad="Sodio",$J52,IF(ISNUMBER($Q52),$Q52,999999)))))</f>
        <v>999999</v>
      </c>
    </row>
    <row r="53" spans="1:21" ht="15" customHeight="1">
      <c r="A53" s="21" t="s">
        <v>223</v>
      </c>
      <c r="B53" s="21" t="s">
        <v>224</v>
      </c>
      <c r="C53" s="21" t="s">
        <v>133</v>
      </c>
      <c r="D53" s="21" t="s">
        <v>134</v>
      </c>
      <c r="E53" s="21" t="s">
        <v>135</v>
      </c>
      <c r="F53" s="22">
        <v>61</v>
      </c>
      <c r="G53" s="22">
        <v>3.5</v>
      </c>
      <c r="H53" s="22">
        <v>155</v>
      </c>
      <c r="I53" s="22">
        <v>95</v>
      </c>
      <c r="J53" s="22">
        <v>46</v>
      </c>
      <c r="K53" s="22">
        <v>61</v>
      </c>
      <c r="L53" s="22">
        <v>3.5</v>
      </c>
      <c r="M53" s="22">
        <v>121</v>
      </c>
      <c r="N53" s="23" t="str">
        <f t="shared" si="0"/>
        <v>Medio</v>
      </c>
      <c r="O53" s="23" t="str">
        <f t="shared" si="1"/>
        <v>Medio</v>
      </c>
      <c r="P53" s="23" t="str">
        <f t="shared" si="2"/>
        <v>Medio</v>
      </c>
      <c r="Q53" s="24" t="str">
        <f t="shared" si="3"/>
        <v>N/C: no es fuente proteica</v>
      </c>
      <c r="R53" s="23" t="str">
        <f t="shared" si="4"/>
        <v>N/C</v>
      </c>
      <c r="S53" s="25" t="str">
        <f t="shared" si="5"/>
        <v>Utilizable</v>
      </c>
      <c r="T53" s="26" t="str">
        <f t="shared" si="6"/>
        <v>Leche y derivados|00.000.155</v>
      </c>
      <c r="U53" s="26">
        <f>IF(OR($S53&lt;&gt;"Utilizable",$C53&lt;&gt;SUSTITUCION!$C$13),999999,IF(v_prioridad="Potasio",$H53,IF(v_prioridad="Fósforo",$I53,IF(v_prioridad="Sodio",$J53,IF(ISNUMBER($Q53),$Q53,999999)))))</f>
        <v>999999</v>
      </c>
    </row>
    <row r="54" spans="1:21" ht="15" customHeight="1">
      <c r="A54" s="21" t="s">
        <v>225</v>
      </c>
      <c r="B54" s="21" t="s">
        <v>226</v>
      </c>
      <c r="C54" s="21" t="s">
        <v>133</v>
      </c>
      <c r="D54" s="21" t="s">
        <v>134</v>
      </c>
      <c r="E54" s="21" t="s">
        <v>135</v>
      </c>
      <c r="F54" s="22">
        <v>56</v>
      </c>
      <c r="G54" s="22">
        <v>4.4000000000000004</v>
      </c>
      <c r="H54" s="22">
        <v>154.6</v>
      </c>
      <c r="I54" s="22">
        <v>113</v>
      </c>
      <c r="J54" s="22">
        <v>77</v>
      </c>
      <c r="K54" s="22">
        <v>56</v>
      </c>
      <c r="L54" s="22">
        <v>4.4000000000000004</v>
      </c>
      <c r="M54" s="22">
        <v>199</v>
      </c>
      <c r="N54" s="23" t="str">
        <f t="shared" si="0"/>
        <v>Medio</v>
      </c>
      <c r="O54" s="23" t="str">
        <f t="shared" si="1"/>
        <v>Alto</v>
      </c>
      <c r="P54" s="23" t="str">
        <f t="shared" si="2"/>
        <v>Medio</v>
      </c>
      <c r="Q54" s="24" t="str">
        <f t="shared" si="3"/>
        <v>N/C: no es fuente proteica</v>
      </c>
      <c r="R54" s="23" t="str">
        <f t="shared" si="4"/>
        <v>N/C</v>
      </c>
      <c r="S54" s="25" t="str">
        <f t="shared" si="5"/>
        <v>Utilizable</v>
      </c>
      <c r="T54" s="26" t="str">
        <f t="shared" si="6"/>
        <v>Leche y derivados|00.000.155</v>
      </c>
      <c r="U54" s="26">
        <f>IF(OR($S54&lt;&gt;"Utilizable",$C54&lt;&gt;SUSTITUCION!$C$13),999999,IF(v_prioridad="Potasio",$H54,IF(v_prioridad="Fósforo",$I54,IF(v_prioridad="Sodio",$J54,IF(ISNUMBER($Q54),$Q54,999999)))))</f>
        <v>999999</v>
      </c>
    </row>
    <row r="55" spans="1:21" ht="15" customHeight="1">
      <c r="A55" s="21" t="s">
        <v>227</v>
      </c>
      <c r="B55" s="21" t="s">
        <v>228</v>
      </c>
      <c r="C55" s="21" t="s">
        <v>133</v>
      </c>
      <c r="D55" s="21" t="s">
        <v>134</v>
      </c>
      <c r="E55" s="21" t="s">
        <v>135</v>
      </c>
      <c r="F55" s="22">
        <v>101</v>
      </c>
      <c r="G55" s="22">
        <v>5.7</v>
      </c>
      <c r="H55" s="22">
        <v>255</v>
      </c>
      <c r="I55" s="22">
        <v>157</v>
      </c>
      <c r="J55" s="22">
        <v>46.3</v>
      </c>
      <c r="K55" s="22">
        <v>101</v>
      </c>
      <c r="L55" s="22">
        <v>5.7</v>
      </c>
      <c r="M55" s="22">
        <v>127</v>
      </c>
      <c r="N55" s="23" t="str">
        <f t="shared" si="0"/>
        <v>Alto</v>
      </c>
      <c r="O55" s="23" t="str">
        <f t="shared" si="1"/>
        <v>Alto</v>
      </c>
      <c r="P55" s="23" t="str">
        <f t="shared" si="2"/>
        <v>Medio</v>
      </c>
      <c r="Q55" s="24" t="str">
        <f t="shared" si="3"/>
        <v>N/C: no es fuente proteica</v>
      </c>
      <c r="R55" s="23" t="str">
        <f t="shared" si="4"/>
        <v>N/C</v>
      </c>
      <c r="S55" s="25" t="str">
        <f t="shared" si="5"/>
        <v>Utilizable</v>
      </c>
      <c r="T55" s="26" t="str">
        <f t="shared" si="6"/>
        <v>Leche y derivados|00.000.255</v>
      </c>
      <c r="U55" s="26">
        <f>IF(OR($S55&lt;&gt;"Utilizable",$C55&lt;&gt;SUSTITUCION!$C$13),999999,IF(v_prioridad="Potasio",$H55,IF(v_prioridad="Fósforo",$I55,IF(v_prioridad="Sodio",$J55,IF(ISNUMBER($Q55),$Q55,999999)))))</f>
        <v>999999</v>
      </c>
    </row>
    <row r="56" spans="1:21" ht="15" customHeight="1">
      <c r="A56" s="21" t="s">
        <v>229</v>
      </c>
      <c r="B56" s="21" t="s">
        <v>230</v>
      </c>
      <c r="C56" s="21" t="s">
        <v>133</v>
      </c>
      <c r="D56" s="21" t="s">
        <v>134</v>
      </c>
      <c r="E56" s="21" t="s">
        <v>135</v>
      </c>
      <c r="F56" s="22">
        <v>53</v>
      </c>
      <c r="G56" s="22">
        <v>3</v>
      </c>
      <c r="H56" s="22" t="s">
        <v>138</v>
      </c>
      <c r="I56" s="22" t="s">
        <v>138</v>
      </c>
      <c r="J56" s="22">
        <v>55</v>
      </c>
      <c r="K56" s="22">
        <v>53</v>
      </c>
      <c r="L56" s="22">
        <v>3</v>
      </c>
      <c r="M56" s="22" t="s">
        <v>138</v>
      </c>
      <c r="N56" s="23" t="str">
        <f t="shared" si="0"/>
        <v>Sin dato</v>
      </c>
      <c r="O56" s="23" t="str">
        <f t="shared" si="1"/>
        <v>Sin dato</v>
      </c>
      <c r="P56" s="23" t="str">
        <f t="shared" si="2"/>
        <v>Medio</v>
      </c>
      <c r="Q56" s="24" t="str">
        <f t="shared" si="3"/>
        <v>N/C</v>
      </c>
      <c r="R56" s="23" t="str">
        <f t="shared" si="4"/>
        <v>N/C</v>
      </c>
      <c r="S56" s="25" t="str">
        <f t="shared" si="5"/>
        <v>No utilizable</v>
      </c>
      <c r="T56" s="26" t="str">
        <f t="shared" si="6"/>
        <v/>
      </c>
      <c r="U56" s="26">
        <f>IF(OR($S56&lt;&gt;"Utilizable",$C56&lt;&gt;SUSTITUCION!$C$13),999999,IF(v_prioridad="Potasio",$H56,IF(v_prioridad="Fósforo",$I56,IF(v_prioridad="Sodio",$J56,IF(ISNUMBER($Q56),$Q56,999999)))))</f>
        <v>999999</v>
      </c>
    </row>
    <row r="57" spans="1:21" ht="15" customHeight="1">
      <c r="A57" s="21" t="s">
        <v>231</v>
      </c>
      <c r="B57" s="21" t="s">
        <v>232</v>
      </c>
      <c r="C57" s="21" t="s">
        <v>133</v>
      </c>
      <c r="D57" s="21" t="s">
        <v>134</v>
      </c>
      <c r="E57" s="21" t="s">
        <v>135</v>
      </c>
      <c r="F57" s="22">
        <v>114</v>
      </c>
      <c r="G57" s="22">
        <v>4.0999999999999996</v>
      </c>
      <c r="H57" s="22">
        <v>154.6</v>
      </c>
      <c r="I57" s="22">
        <v>105</v>
      </c>
      <c r="J57" s="22">
        <v>46.3</v>
      </c>
      <c r="K57" s="22">
        <v>114</v>
      </c>
      <c r="L57" s="22">
        <v>4.0999999999999996</v>
      </c>
      <c r="M57" s="22">
        <v>105</v>
      </c>
      <c r="N57" s="23" t="str">
        <f t="shared" si="0"/>
        <v>Medio</v>
      </c>
      <c r="O57" s="23" t="str">
        <f t="shared" si="1"/>
        <v>Alto</v>
      </c>
      <c r="P57" s="23" t="str">
        <f t="shared" si="2"/>
        <v>Medio</v>
      </c>
      <c r="Q57" s="24" t="str">
        <f t="shared" si="3"/>
        <v>N/C: no es fuente proteica</v>
      </c>
      <c r="R57" s="23" t="str">
        <f t="shared" si="4"/>
        <v>N/C</v>
      </c>
      <c r="S57" s="25" t="str">
        <f t="shared" si="5"/>
        <v>Utilizable</v>
      </c>
      <c r="T57" s="26" t="str">
        <f t="shared" si="6"/>
        <v>Leche y derivados|00.000.155</v>
      </c>
      <c r="U57" s="26">
        <f>IF(OR($S57&lt;&gt;"Utilizable",$C57&lt;&gt;SUSTITUCION!$C$13),999999,IF(v_prioridad="Potasio",$H57,IF(v_prioridad="Fósforo",$I57,IF(v_prioridad="Sodio",$J57,IF(ISNUMBER($Q57),$Q57,999999)))))</f>
        <v>999999</v>
      </c>
    </row>
    <row r="58" spans="1:21" ht="15" customHeight="1">
      <c r="A58" s="21" t="s">
        <v>233</v>
      </c>
      <c r="B58" s="21" t="s">
        <v>234</v>
      </c>
      <c r="C58" s="21" t="s">
        <v>133</v>
      </c>
      <c r="D58" s="21" t="s">
        <v>134</v>
      </c>
      <c r="E58" s="21" t="s">
        <v>135</v>
      </c>
      <c r="F58" s="22">
        <v>105</v>
      </c>
      <c r="G58" s="22">
        <v>4.9000000000000004</v>
      </c>
      <c r="H58" s="22">
        <v>216</v>
      </c>
      <c r="I58" s="22">
        <v>133</v>
      </c>
      <c r="J58" s="22">
        <v>65</v>
      </c>
      <c r="K58" s="22">
        <v>105</v>
      </c>
      <c r="L58" s="22">
        <v>4.9000000000000004</v>
      </c>
      <c r="M58" s="22">
        <v>169</v>
      </c>
      <c r="N58" s="23" t="str">
        <f t="shared" si="0"/>
        <v>Alto</v>
      </c>
      <c r="O58" s="23" t="str">
        <f t="shared" si="1"/>
        <v>Alto</v>
      </c>
      <c r="P58" s="23" t="str">
        <f t="shared" si="2"/>
        <v>Medio</v>
      </c>
      <c r="Q58" s="24" t="str">
        <f t="shared" si="3"/>
        <v>N/C: no es fuente proteica</v>
      </c>
      <c r="R58" s="23" t="str">
        <f t="shared" si="4"/>
        <v>N/C</v>
      </c>
      <c r="S58" s="25" t="str">
        <f t="shared" si="5"/>
        <v>Utilizable</v>
      </c>
      <c r="T58" s="26" t="str">
        <f t="shared" si="6"/>
        <v>Leche y derivados|00.000.216</v>
      </c>
      <c r="U58" s="26">
        <f>IF(OR($S58&lt;&gt;"Utilizable",$C58&lt;&gt;SUSTITUCION!$C$13),999999,IF(v_prioridad="Potasio",$H58,IF(v_prioridad="Fósforo",$I58,IF(v_prioridad="Sodio",$J58,IF(ISNUMBER($Q58),$Q58,999999)))))</f>
        <v>999999</v>
      </c>
    </row>
    <row r="59" spans="1:21" ht="15" customHeight="1">
      <c r="A59" s="21" t="s">
        <v>235</v>
      </c>
      <c r="B59" s="21" t="s">
        <v>236</v>
      </c>
      <c r="C59" s="21" t="s">
        <v>133</v>
      </c>
      <c r="D59" s="21" t="s">
        <v>134</v>
      </c>
      <c r="E59" s="21" t="s">
        <v>135</v>
      </c>
      <c r="F59" s="22">
        <v>56</v>
      </c>
      <c r="G59" s="22">
        <v>3</v>
      </c>
      <c r="H59" s="22" t="s">
        <v>138</v>
      </c>
      <c r="I59" s="22" t="s">
        <v>138</v>
      </c>
      <c r="J59" s="22">
        <v>55</v>
      </c>
      <c r="K59" s="22">
        <v>56</v>
      </c>
      <c r="L59" s="22">
        <v>3</v>
      </c>
      <c r="M59" s="22" t="s">
        <v>138</v>
      </c>
      <c r="N59" s="23" t="str">
        <f t="shared" si="0"/>
        <v>Sin dato</v>
      </c>
      <c r="O59" s="23" t="str">
        <f t="shared" si="1"/>
        <v>Sin dato</v>
      </c>
      <c r="P59" s="23" t="str">
        <f t="shared" si="2"/>
        <v>Medio</v>
      </c>
      <c r="Q59" s="24" t="str">
        <f t="shared" si="3"/>
        <v>N/C</v>
      </c>
      <c r="R59" s="23" t="str">
        <f t="shared" si="4"/>
        <v>N/C</v>
      </c>
      <c r="S59" s="25" t="str">
        <f t="shared" si="5"/>
        <v>No utilizable</v>
      </c>
      <c r="T59" s="26" t="str">
        <f t="shared" si="6"/>
        <v/>
      </c>
      <c r="U59" s="26">
        <f>IF(OR($S59&lt;&gt;"Utilizable",$C59&lt;&gt;SUSTITUCION!$C$13),999999,IF(v_prioridad="Potasio",$H59,IF(v_prioridad="Fósforo",$I59,IF(v_prioridad="Sodio",$J59,IF(ISNUMBER($Q59),$Q59,999999)))))</f>
        <v>999999</v>
      </c>
    </row>
    <row r="60" spans="1:21" ht="15" customHeight="1">
      <c r="A60" s="21" t="s">
        <v>237</v>
      </c>
      <c r="B60" s="21" t="s">
        <v>238</v>
      </c>
      <c r="C60" s="21" t="s">
        <v>133</v>
      </c>
      <c r="D60" s="21" t="s">
        <v>134</v>
      </c>
      <c r="E60" s="21" t="s">
        <v>135</v>
      </c>
      <c r="F60" s="22">
        <v>78</v>
      </c>
      <c r="G60" s="22">
        <v>9</v>
      </c>
      <c r="H60" s="22">
        <v>148</v>
      </c>
      <c r="I60" s="22">
        <v>121</v>
      </c>
      <c r="J60" s="22">
        <v>12</v>
      </c>
      <c r="K60" s="22">
        <v>78</v>
      </c>
      <c r="L60" s="22">
        <v>9</v>
      </c>
      <c r="M60" s="22">
        <v>201</v>
      </c>
      <c r="N60" s="23" t="str">
        <f t="shared" si="0"/>
        <v>Medio</v>
      </c>
      <c r="O60" s="23" t="str">
        <f t="shared" si="1"/>
        <v>Alto</v>
      </c>
      <c r="P60" s="23" t="str">
        <f t="shared" si="2"/>
        <v>Bajo</v>
      </c>
      <c r="Q60" s="24" t="str">
        <f t="shared" si="3"/>
        <v>N/C: no es fuente proteica</v>
      </c>
      <c r="R60" s="23" t="str">
        <f t="shared" si="4"/>
        <v>N/C</v>
      </c>
      <c r="S60" s="25" t="str">
        <f t="shared" si="5"/>
        <v>Utilizable</v>
      </c>
      <c r="T60" s="26" t="str">
        <f t="shared" si="6"/>
        <v>Leche y derivados|00.000.148</v>
      </c>
      <c r="U60" s="26">
        <f>IF(OR($S60&lt;&gt;"Utilizable",$C60&lt;&gt;SUSTITUCION!$C$13),999999,IF(v_prioridad="Potasio",$H60,IF(v_prioridad="Fósforo",$I60,IF(v_prioridad="Sodio",$J60,IF(ISNUMBER($Q60),$Q60,999999)))))</f>
        <v>999999</v>
      </c>
    </row>
    <row r="61" spans="1:21" ht="15" customHeight="1">
      <c r="A61" s="21" t="s">
        <v>239</v>
      </c>
      <c r="B61" s="21" t="s">
        <v>240</v>
      </c>
      <c r="C61" s="21" t="s">
        <v>133</v>
      </c>
      <c r="D61" s="21" t="s">
        <v>134</v>
      </c>
      <c r="E61" s="21" t="s">
        <v>135</v>
      </c>
      <c r="F61" s="22">
        <v>95</v>
      </c>
      <c r="G61" s="22">
        <v>10.4</v>
      </c>
      <c r="H61" s="22" t="s">
        <v>138</v>
      </c>
      <c r="I61" s="22" t="s">
        <v>138</v>
      </c>
      <c r="J61" s="22">
        <v>73</v>
      </c>
      <c r="K61" s="22">
        <v>95</v>
      </c>
      <c r="L61" s="22">
        <v>10.4</v>
      </c>
      <c r="M61" s="22" t="s">
        <v>138</v>
      </c>
      <c r="N61" s="23" t="str">
        <f t="shared" si="0"/>
        <v>Sin dato</v>
      </c>
      <c r="O61" s="23" t="str">
        <f t="shared" si="1"/>
        <v>Sin dato</v>
      </c>
      <c r="P61" s="23" t="str">
        <f t="shared" si="2"/>
        <v>Medio</v>
      </c>
      <c r="Q61" s="24" t="str">
        <f t="shared" si="3"/>
        <v>N/C</v>
      </c>
      <c r="R61" s="23" t="str">
        <f t="shared" si="4"/>
        <v>N/C</v>
      </c>
      <c r="S61" s="25" t="str">
        <f t="shared" si="5"/>
        <v>No utilizable</v>
      </c>
      <c r="T61" s="26" t="str">
        <f t="shared" si="6"/>
        <v/>
      </c>
      <c r="U61" s="26">
        <f>IF(OR($S61&lt;&gt;"Utilizable",$C61&lt;&gt;SUSTITUCION!$C$13),999999,IF(v_prioridad="Potasio",$H61,IF(v_prioridad="Fósforo",$I61,IF(v_prioridad="Sodio",$J61,IF(ISNUMBER($Q61),$Q61,999999)))))</f>
        <v>999999</v>
      </c>
    </row>
    <row r="62" spans="1:21" ht="15" customHeight="1">
      <c r="A62" s="21" t="s">
        <v>241</v>
      </c>
      <c r="B62" s="21" t="s">
        <v>242</v>
      </c>
      <c r="C62" s="21" t="s">
        <v>243</v>
      </c>
      <c r="D62" s="21" t="s">
        <v>244</v>
      </c>
      <c r="E62" s="21" t="s">
        <v>135</v>
      </c>
      <c r="F62" s="22">
        <v>143</v>
      </c>
      <c r="G62" s="22">
        <v>12.6</v>
      </c>
      <c r="H62" s="22">
        <v>138</v>
      </c>
      <c r="I62" s="22">
        <v>198</v>
      </c>
      <c r="J62" s="22">
        <v>142</v>
      </c>
      <c r="K62" s="22">
        <v>143</v>
      </c>
      <c r="L62" s="22">
        <v>12.6</v>
      </c>
      <c r="M62" s="22">
        <v>56</v>
      </c>
      <c r="N62" s="23" t="str">
        <f t="shared" si="0"/>
        <v>Medio</v>
      </c>
      <c r="O62" s="23" t="str">
        <f t="shared" si="1"/>
        <v>Muy alto</v>
      </c>
      <c r="P62" s="23" t="str">
        <f t="shared" si="2"/>
        <v>Alto</v>
      </c>
      <c r="Q62" s="24">
        <f t="shared" si="3"/>
        <v>15.714285714285715</v>
      </c>
      <c r="R62" s="23" t="str">
        <f t="shared" si="4"/>
        <v>Aceptable</v>
      </c>
      <c r="S62" s="25" t="str">
        <f t="shared" si="5"/>
        <v>Utilizable</v>
      </c>
      <c r="T62" s="26" t="str">
        <f t="shared" si="6"/>
        <v>HUEVOS|00.000.138</v>
      </c>
      <c r="U62" s="26">
        <f>IF(OR($S62&lt;&gt;"Utilizable",$C62&lt;&gt;SUSTITUCION!$C$13),999999,IF(v_prioridad="Potasio",$H62,IF(v_prioridad="Fósforo",$I62,IF(v_prioridad="Sodio",$J62,IF(ISNUMBER($Q62),$Q62,999999)))))</f>
        <v>999999</v>
      </c>
    </row>
    <row r="63" spans="1:21" ht="15" customHeight="1">
      <c r="A63" s="21" t="s">
        <v>245</v>
      </c>
      <c r="B63" s="21" t="s">
        <v>246</v>
      </c>
      <c r="C63" s="21" t="s">
        <v>243</v>
      </c>
      <c r="D63" s="21" t="s">
        <v>244</v>
      </c>
      <c r="E63" s="21" t="s">
        <v>135</v>
      </c>
      <c r="F63" s="22">
        <v>149</v>
      </c>
      <c r="G63" s="22">
        <v>12.4</v>
      </c>
      <c r="H63" s="22" t="s">
        <v>138</v>
      </c>
      <c r="I63" s="22" t="s">
        <v>138</v>
      </c>
      <c r="J63" s="22">
        <v>153</v>
      </c>
      <c r="K63" s="22">
        <v>149</v>
      </c>
      <c r="L63" s="22">
        <v>12.4</v>
      </c>
      <c r="M63" s="22" t="s">
        <v>138</v>
      </c>
      <c r="N63" s="23" t="str">
        <f t="shared" si="0"/>
        <v>Sin dato</v>
      </c>
      <c r="O63" s="23" t="str">
        <f t="shared" si="1"/>
        <v>Sin dato</v>
      </c>
      <c r="P63" s="23" t="str">
        <f t="shared" si="2"/>
        <v>Alto</v>
      </c>
      <c r="Q63" s="24" t="str">
        <f t="shared" si="3"/>
        <v>N/C</v>
      </c>
      <c r="R63" s="23" t="str">
        <f t="shared" si="4"/>
        <v>N/C</v>
      </c>
      <c r="S63" s="25" t="str">
        <f t="shared" si="5"/>
        <v>No utilizable</v>
      </c>
      <c r="T63" s="26" t="str">
        <f t="shared" si="6"/>
        <v/>
      </c>
      <c r="U63" s="26">
        <f>IF(OR($S63&lt;&gt;"Utilizable",$C63&lt;&gt;SUSTITUCION!$C$13),999999,IF(v_prioridad="Potasio",$H63,IF(v_prioridad="Fósforo",$I63,IF(v_prioridad="Sodio",$J63,IF(ISNUMBER($Q63),$Q63,999999)))))</f>
        <v>999999</v>
      </c>
    </row>
    <row r="64" spans="1:21" ht="15" customHeight="1">
      <c r="A64" s="21" t="s">
        <v>247</v>
      </c>
      <c r="B64" s="21" t="s">
        <v>248</v>
      </c>
      <c r="C64" s="21" t="s">
        <v>243</v>
      </c>
      <c r="D64" s="21" t="s">
        <v>244</v>
      </c>
      <c r="E64" s="21" t="s">
        <v>135</v>
      </c>
      <c r="F64" s="22">
        <v>52</v>
      </c>
      <c r="G64" s="22">
        <v>10.9</v>
      </c>
      <c r="H64" s="22">
        <v>163</v>
      </c>
      <c r="I64" s="22">
        <v>15</v>
      </c>
      <c r="J64" s="22">
        <v>166</v>
      </c>
      <c r="K64" s="22">
        <v>52</v>
      </c>
      <c r="L64" s="22">
        <v>10.9</v>
      </c>
      <c r="M64" s="22">
        <v>7</v>
      </c>
      <c r="N64" s="23" t="str">
        <f t="shared" si="0"/>
        <v>Medio</v>
      </c>
      <c r="O64" s="23" t="str">
        <f t="shared" si="1"/>
        <v>Bajo</v>
      </c>
      <c r="P64" s="23" t="str">
        <f t="shared" si="2"/>
        <v>Alto</v>
      </c>
      <c r="Q64" s="24">
        <f t="shared" si="3"/>
        <v>1.3761467889908257</v>
      </c>
      <c r="R64" s="23" t="str">
        <f t="shared" si="4"/>
        <v>Deseable</v>
      </c>
      <c r="S64" s="25" t="str">
        <f t="shared" si="5"/>
        <v>Utilizable</v>
      </c>
      <c r="T64" s="26" t="str">
        <f t="shared" si="6"/>
        <v>HUEVOS|00.000.163</v>
      </c>
      <c r="U64" s="26">
        <f>IF(OR($S64&lt;&gt;"Utilizable",$C64&lt;&gt;SUSTITUCION!$C$13),999999,IF(v_prioridad="Potasio",$H64,IF(v_prioridad="Fósforo",$I64,IF(v_prioridad="Sodio",$J64,IF(ISNUMBER($Q64),$Q64,999999)))))</f>
        <v>999999</v>
      </c>
    </row>
    <row r="65" spans="1:21" ht="15" customHeight="1">
      <c r="A65" s="21" t="s">
        <v>249</v>
      </c>
      <c r="B65" s="21" t="s">
        <v>250</v>
      </c>
      <c r="C65" s="21" t="s">
        <v>243</v>
      </c>
      <c r="D65" s="21" t="s">
        <v>244</v>
      </c>
      <c r="E65" s="21" t="s">
        <v>135</v>
      </c>
      <c r="F65" s="22">
        <v>322</v>
      </c>
      <c r="G65" s="22">
        <v>15.9</v>
      </c>
      <c r="H65" s="22">
        <v>109</v>
      </c>
      <c r="I65" s="22">
        <v>390</v>
      </c>
      <c r="J65" s="22">
        <v>48</v>
      </c>
      <c r="K65" s="22">
        <v>322</v>
      </c>
      <c r="L65" s="22">
        <v>15.9</v>
      </c>
      <c r="M65" s="22">
        <v>129</v>
      </c>
      <c r="N65" s="23" t="str">
        <f t="shared" si="0"/>
        <v>Medio</v>
      </c>
      <c r="O65" s="23" t="str">
        <f t="shared" si="1"/>
        <v>Muy alto</v>
      </c>
      <c r="P65" s="23" t="str">
        <f t="shared" si="2"/>
        <v>Medio</v>
      </c>
      <c r="Q65" s="24">
        <f t="shared" si="3"/>
        <v>24.528301886792452</v>
      </c>
      <c r="R65" s="23" t="str">
        <f t="shared" si="4"/>
        <v>Alta</v>
      </c>
      <c r="S65" s="25" t="str">
        <f t="shared" si="5"/>
        <v>Utilizable</v>
      </c>
      <c r="T65" s="26" t="str">
        <f t="shared" si="6"/>
        <v>HUEVOS|00.000.109</v>
      </c>
      <c r="U65" s="26">
        <f>IF(OR($S65&lt;&gt;"Utilizable",$C65&lt;&gt;SUSTITUCION!$C$13),999999,IF(v_prioridad="Potasio",$H65,IF(v_prioridad="Fósforo",$I65,IF(v_prioridad="Sodio",$J65,IF(ISNUMBER($Q65),$Q65,999999)))))</f>
        <v>999999</v>
      </c>
    </row>
    <row r="66" spans="1:21" ht="15" customHeight="1">
      <c r="A66" s="21" t="s">
        <v>251</v>
      </c>
      <c r="B66" s="21" t="s">
        <v>252</v>
      </c>
      <c r="C66" s="21" t="s">
        <v>243</v>
      </c>
      <c r="D66" s="21" t="s">
        <v>244</v>
      </c>
      <c r="E66" s="21" t="s">
        <v>135</v>
      </c>
      <c r="F66" s="22">
        <v>158</v>
      </c>
      <c r="G66" s="22">
        <v>13.1</v>
      </c>
      <c r="H66" s="22">
        <v>132</v>
      </c>
      <c r="I66" s="22">
        <v>226</v>
      </c>
      <c r="J66" s="22">
        <v>141</v>
      </c>
      <c r="K66" s="22">
        <v>158</v>
      </c>
      <c r="L66" s="22">
        <v>13.1</v>
      </c>
      <c r="M66" s="22">
        <v>64</v>
      </c>
      <c r="N66" s="23" t="str">
        <f t="shared" si="0"/>
        <v>Medio</v>
      </c>
      <c r="O66" s="23" t="str">
        <f t="shared" si="1"/>
        <v>Muy alto</v>
      </c>
      <c r="P66" s="23" t="str">
        <f t="shared" si="2"/>
        <v>Alto</v>
      </c>
      <c r="Q66" s="24">
        <f t="shared" si="3"/>
        <v>17.251908396946565</v>
      </c>
      <c r="R66" s="23" t="str">
        <f t="shared" si="4"/>
        <v>Alta</v>
      </c>
      <c r="S66" s="25" t="str">
        <f t="shared" si="5"/>
        <v>Utilizable</v>
      </c>
      <c r="T66" s="26" t="str">
        <f t="shared" si="6"/>
        <v>HUEVOS|00.000.132</v>
      </c>
      <c r="U66" s="26">
        <f>IF(OR($S66&lt;&gt;"Utilizable",$C66&lt;&gt;SUSTITUCION!$C$13),999999,IF(v_prioridad="Potasio",$H66,IF(v_prioridad="Fósforo",$I66,IF(v_prioridad="Sodio",$J66,IF(ISNUMBER($Q66),$Q66,999999)))))</f>
        <v>999999</v>
      </c>
    </row>
    <row r="67" spans="1:21" ht="15" customHeight="1">
      <c r="A67" s="21" t="s">
        <v>253</v>
      </c>
      <c r="B67" s="21" t="s">
        <v>254</v>
      </c>
      <c r="C67" s="21" t="s">
        <v>255</v>
      </c>
      <c r="D67" s="21" t="s">
        <v>256</v>
      </c>
      <c r="E67" s="21" t="s">
        <v>135</v>
      </c>
      <c r="F67" s="22">
        <v>176</v>
      </c>
      <c r="G67" s="22">
        <v>27.3</v>
      </c>
      <c r="H67" s="22">
        <v>180</v>
      </c>
      <c r="I67" s="22">
        <v>150</v>
      </c>
      <c r="J67" s="22">
        <v>70</v>
      </c>
      <c r="K67" s="22">
        <v>176</v>
      </c>
      <c r="L67" s="22">
        <v>27.3</v>
      </c>
      <c r="M67" s="22">
        <v>14</v>
      </c>
      <c r="N67" s="23" t="str">
        <f t="shared" si="0"/>
        <v>Medio</v>
      </c>
      <c r="O67" s="23" t="str">
        <f t="shared" si="1"/>
        <v>Alto</v>
      </c>
      <c r="P67" s="23" t="str">
        <f t="shared" si="2"/>
        <v>Medio</v>
      </c>
      <c r="Q67" s="24">
        <f t="shared" si="3"/>
        <v>5.4945054945054945</v>
      </c>
      <c r="R67" s="23" t="str">
        <f t="shared" si="4"/>
        <v>Deseable</v>
      </c>
      <c r="S67" s="25" t="str">
        <f t="shared" si="5"/>
        <v>Utilizable</v>
      </c>
      <c r="T67" s="26" t="str">
        <f t="shared" si="6"/>
        <v>Carnes y Vísceras|00.000.180</v>
      </c>
      <c r="U67" s="26">
        <f>IF(OR($S67&lt;&gt;"Utilizable",$C67&lt;&gt;SUSTITUCION!$C$13),999999,IF(v_prioridad="Potasio",$H67,IF(v_prioridad="Fósforo",$I67,IF(v_prioridad="Sodio",$J67,IF(ISNUMBER($Q67),$Q67,999999)))))</f>
        <v>999999</v>
      </c>
    </row>
    <row r="68" spans="1:21" ht="15" customHeight="1">
      <c r="A68" s="21" t="s">
        <v>257</v>
      </c>
      <c r="B68" s="21" t="s">
        <v>258</v>
      </c>
      <c r="C68" s="21" t="s">
        <v>255</v>
      </c>
      <c r="D68" s="21" t="s">
        <v>256</v>
      </c>
      <c r="E68" s="21" t="s">
        <v>135</v>
      </c>
      <c r="F68" s="22">
        <v>199</v>
      </c>
      <c r="G68" s="22">
        <v>22.4</v>
      </c>
      <c r="H68" s="22">
        <v>180</v>
      </c>
      <c r="I68" s="22">
        <v>120</v>
      </c>
      <c r="J68" s="22">
        <v>70</v>
      </c>
      <c r="K68" s="22">
        <v>199</v>
      </c>
      <c r="L68" s="22">
        <v>22.4</v>
      </c>
      <c r="M68" s="22">
        <v>21</v>
      </c>
      <c r="N68" s="23" t="str">
        <f t="shared" si="0"/>
        <v>Medio</v>
      </c>
      <c r="O68" s="23" t="str">
        <f t="shared" si="1"/>
        <v>Alto</v>
      </c>
      <c r="P68" s="23" t="str">
        <f t="shared" si="2"/>
        <v>Medio</v>
      </c>
      <c r="Q68" s="24">
        <f t="shared" si="3"/>
        <v>5.3571428571428577</v>
      </c>
      <c r="R68" s="23" t="str">
        <f t="shared" si="4"/>
        <v>Deseable</v>
      </c>
      <c r="S68" s="25" t="str">
        <f t="shared" si="5"/>
        <v>Utilizable</v>
      </c>
      <c r="T68" s="26" t="str">
        <f t="shared" si="6"/>
        <v>Carnes y Vísceras|00.000.180</v>
      </c>
      <c r="U68" s="26">
        <f>IF(OR($S68&lt;&gt;"Utilizable",$C68&lt;&gt;SUSTITUCION!$C$13),999999,IF(v_prioridad="Potasio",$H68,IF(v_prioridad="Fósforo",$I68,IF(v_prioridad="Sodio",$J68,IF(ISNUMBER($Q68),$Q68,999999)))))</f>
        <v>999999</v>
      </c>
    </row>
    <row r="69" spans="1:21" ht="15" customHeight="1">
      <c r="A69" s="21" t="s">
        <v>259</v>
      </c>
      <c r="B69" s="21" t="s">
        <v>260</v>
      </c>
      <c r="C69" s="21" t="s">
        <v>255</v>
      </c>
      <c r="D69" s="21" t="s">
        <v>256</v>
      </c>
      <c r="E69" s="21" t="s">
        <v>135</v>
      </c>
      <c r="F69" s="22">
        <v>130</v>
      </c>
      <c r="G69" s="22">
        <v>22.3</v>
      </c>
      <c r="H69" s="22">
        <v>180</v>
      </c>
      <c r="I69" s="22">
        <v>91</v>
      </c>
      <c r="J69" s="22">
        <v>70</v>
      </c>
      <c r="K69" s="22">
        <v>130</v>
      </c>
      <c r="L69" s="22">
        <v>22.3</v>
      </c>
      <c r="M69" s="22">
        <v>28</v>
      </c>
      <c r="N69" s="23" t="str">
        <f t="shared" si="0"/>
        <v>Medio</v>
      </c>
      <c r="O69" s="23" t="str">
        <f t="shared" si="1"/>
        <v>Medio</v>
      </c>
      <c r="P69" s="23" t="str">
        <f t="shared" si="2"/>
        <v>Medio</v>
      </c>
      <c r="Q69" s="24">
        <f t="shared" si="3"/>
        <v>4.0807174887892375</v>
      </c>
      <c r="R69" s="23" t="str">
        <f t="shared" si="4"/>
        <v>Deseable</v>
      </c>
      <c r="S69" s="25" t="str">
        <f t="shared" si="5"/>
        <v>Utilizable</v>
      </c>
      <c r="T69" s="26" t="str">
        <f t="shared" si="6"/>
        <v>Carnes y Vísceras|00.000.180</v>
      </c>
      <c r="U69" s="26">
        <f>IF(OR($S69&lt;&gt;"Utilizable",$C69&lt;&gt;SUSTITUCION!$C$13),999999,IF(v_prioridad="Potasio",$H69,IF(v_prioridad="Fósforo",$I69,IF(v_prioridad="Sodio",$J69,IF(ISNUMBER($Q69),$Q69,999999)))))</f>
        <v>999999</v>
      </c>
    </row>
    <row r="70" spans="1:21" ht="15" customHeight="1">
      <c r="A70" s="21" t="s">
        <v>261</v>
      </c>
      <c r="B70" s="21" t="s">
        <v>262</v>
      </c>
      <c r="C70" s="21" t="s">
        <v>255</v>
      </c>
      <c r="D70" s="21" t="s">
        <v>256</v>
      </c>
      <c r="E70" s="21" t="s">
        <v>135</v>
      </c>
      <c r="F70" s="22">
        <v>114</v>
      </c>
      <c r="G70" s="22">
        <v>22.2</v>
      </c>
      <c r="H70" s="22" t="s">
        <v>138</v>
      </c>
      <c r="I70" s="22" t="s">
        <v>138</v>
      </c>
      <c r="J70" s="22" t="s">
        <v>138</v>
      </c>
      <c r="K70" s="22">
        <v>114</v>
      </c>
      <c r="L70" s="22">
        <v>22.2</v>
      </c>
      <c r="M70" s="22" t="s">
        <v>138</v>
      </c>
      <c r="N70" s="23" t="str">
        <f t="shared" si="0"/>
        <v>Sin dato</v>
      </c>
      <c r="O70" s="23" t="str">
        <f t="shared" si="1"/>
        <v>Sin dato</v>
      </c>
      <c r="P70" s="23" t="str">
        <f t="shared" si="2"/>
        <v>Sin dato</v>
      </c>
      <c r="Q70" s="24" t="str">
        <f t="shared" si="3"/>
        <v>N/C</v>
      </c>
      <c r="R70" s="23" t="str">
        <f t="shared" si="4"/>
        <v>N/C</v>
      </c>
      <c r="S70" s="25" t="str">
        <f t="shared" si="5"/>
        <v>No utilizable</v>
      </c>
      <c r="T70" s="26" t="str">
        <f t="shared" si="6"/>
        <v/>
      </c>
      <c r="U70" s="26">
        <f>IF(OR($S70&lt;&gt;"Utilizable",$C70&lt;&gt;SUSTITUCION!$C$13),999999,IF(v_prioridad="Potasio",$H70,IF(v_prioridad="Fósforo",$I70,IF(v_prioridad="Sodio",$J70,IF(ISNUMBER($Q70),$Q70,999999)))))</f>
        <v>999999</v>
      </c>
    </row>
    <row r="71" spans="1:21" ht="15" customHeight="1">
      <c r="A71" s="21" t="s">
        <v>263</v>
      </c>
      <c r="B71" s="21" t="s">
        <v>264</v>
      </c>
      <c r="C71" s="21" t="s">
        <v>255</v>
      </c>
      <c r="D71" s="21" t="s">
        <v>256</v>
      </c>
      <c r="E71" s="21" t="s">
        <v>135</v>
      </c>
      <c r="F71" s="22">
        <v>201</v>
      </c>
      <c r="G71" s="22">
        <v>23.5</v>
      </c>
      <c r="H71" s="22">
        <v>252</v>
      </c>
      <c r="I71" s="22">
        <v>203</v>
      </c>
      <c r="J71" s="22">
        <v>65</v>
      </c>
      <c r="K71" s="22">
        <v>201</v>
      </c>
      <c r="L71" s="22">
        <v>23.5</v>
      </c>
      <c r="M71" s="22">
        <v>12</v>
      </c>
      <c r="N71" s="23" t="str">
        <f t="shared" si="0"/>
        <v>Alto</v>
      </c>
      <c r="O71" s="23" t="str">
        <f t="shared" si="1"/>
        <v>Muy alto</v>
      </c>
      <c r="P71" s="23" t="str">
        <f t="shared" si="2"/>
        <v>Medio</v>
      </c>
      <c r="Q71" s="24">
        <f t="shared" si="3"/>
        <v>8.6382978723404253</v>
      </c>
      <c r="R71" s="23" t="str">
        <f t="shared" si="4"/>
        <v>Deseable</v>
      </c>
      <c r="S71" s="25" t="str">
        <f t="shared" si="5"/>
        <v>Utilizable</v>
      </c>
      <c r="T71" s="26" t="str">
        <f t="shared" si="6"/>
        <v>Carnes y Vísceras|00.000.252</v>
      </c>
      <c r="U71" s="26">
        <f>IF(OR($S71&lt;&gt;"Utilizable",$C71&lt;&gt;SUSTITUCION!$C$13),999999,IF(v_prioridad="Potasio",$H71,IF(v_prioridad="Fósforo",$I71,IF(v_prioridad="Sodio",$J71,IF(ISNUMBER($Q71),$Q71,999999)))))</f>
        <v>999999</v>
      </c>
    </row>
    <row r="72" spans="1:21" ht="15" customHeight="1">
      <c r="A72" s="21" t="s">
        <v>265</v>
      </c>
      <c r="B72" s="21" t="s">
        <v>266</v>
      </c>
      <c r="C72" s="21" t="s">
        <v>255</v>
      </c>
      <c r="D72" s="21" t="s">
        <v>256</v>
      </c>
      <c r="E72" s="21" t="s">
        <v>135</v>
      </c>
      <c r="F72" s="22">
        <v>123</v>
      </c>
      <c r="G72" s="22">
        <v>22</v>
      </c>
      <c r="H72" s="22">
        <v>298</v>
      </c>
      <c r="I72" s="22">
        <v>141</v>
      </c>
      <c r="J72" s="22">
        <v>70</v>
      </c>
      <c r="K72" s="22">
        <v>123</v>
      </c>
      <c r="L72" s="22">
        <v>22</v>
      </c>
      <c r="M72" s="22">
        <v>23</v>
      </c>
      <c r="N72" s="23" t="str">
        <f t="shared" si="0"/>
        <v>Alto</v>
      </c>
      <c r="O72" s="23" t="str">
        <f t="shared" si="1"/>
        <v>Alto</v>
      </c>
      <c r="P72" s="23" t="str">
        <f t="shared" si="2"/>
        <v>Medio</v>
      </c>
      <c r="Q72" s="24">
        <f t="shared" si="3"/>
        <v>6.4090909090909092</v>
      </c>
      <c r="R72" s="23" t="str">
        <f t="shared" si="4"/>
        <v>Deseable</v>
      </c>
      <c r="S72" s="25" t="str">
        <f t="shared" si="5"/>
        <v>Utilizable</v>
      </c>
      <c r="T72" s="26" t="str">
        <f t="shared" si="6"/>
        <v>Carnes y Vísceras|00.000.298</v>
      </c>
      <c r="U72" s="26">
        <f>IF(OR($S72&lt;&gt;"Utilizable",$C72&lt;&gt;SUSTITUCION!$C$13),999999,IF(v_prioridad="Potasio",$H72,IF(v_prioridad="Fósforo",$I72,IF(v_prioridad="Sodio",$J72,IF(ISNUMBER($Q72),$Q72,999999)))))</f>
        <v>999999</v>
      </c>
    </row>
    <row r="73" spans="1:21" ht="15" customHeight="1">
      <c r="A73" s="21" t="s">
        <v>267</v>
      </c>
      <c r="B73" s="21" t="s">
        <v>268</v>
      </c>
      <c r="C73" s="21" t="s">
        <v>255</v>
      </c>
      <c r="D73" s="21" t="s">
        <v>256</v>
      </c>
      <c r="E73" s="21" t="s">
        <v>135</v>
      </c>
      <c r="F73" s="22">
        <v>189</v>
      </c>
      <c r="G73" s="22">
        <v>28.6</v>
      </c>
      <c r="H73" s="22">
        <v>239</v>
      </c>
      <c r="I73" s="22">
        <v>223</v>
      </c>
      <c r="J73" s="22">
        <v>103</v>
      </c>
      <c r="K73" s="22">
        <v>189</v>
      </c>
      <c r="L73" s="22">
        <v>28.6</v>
      </c>
      <c r="M73" s="22">
        <v>14</v>
      </c>
      <c r="N73" s="23" t="str">
        <f t="shared" ref="N73:N136" si="7">IF(NOT(ISNUMBER(H73)),"Sin dato",IF(H73&lt;=INDEX(rng_umbrales,1,2),"Bajo",IF(H73&lt;=INDEX(rng_umbrales,1,3),"Medio",IF(H73&lt;=INDEX(rng_umbrales,1,4),"Alto","Muy alto"))))</f>
        <v>Alto</v>
      </c>
      <c r="O73" s="23" t="str">
        <f t="shared" ref="O73:O136" si="8">IF(NOT(ISNUMBER(I73)),"Sin dato",IF(I73&lt;=INDEX(rng_umbrales,2,2),"Bajo",IF(I73&lt;=INDEX(rng_umbrales,2,3),"Medio",IF(I73&lt;=INDEX(rng_umbrales,2,4),"Alto","Muy alto"))))</f>
        <v>Muy alto</v>
      </c>
      <c r="P73" s="23" t="str">
        <f t="shared" ref="P73:P136" si="9">IF(NOT(ISNUMBER(J73)),"Sin dato",IF(J73&lt;=INDEX(rng_umbrales,3,2),"Bajo",IF(J73&lt;=INDEX(rng_umbrales,3,3),"Medio",IF(J73&lt;=INDEX(rng_umbrales,3,4),"Alto","Muy alto"))))</f>
        <v>Medio</v>
      </c>
      <c r="Q73" s="24">
        <f t="shared" ref="Q73:Q136" si="10">IF(OR(NOT(ISNUMBER(G73)),NOT(ISNUMBER(I73))),"N/C",IF(G73&lt;u_protMin,"N/C: no es fuente proteica",I73/G73))</f>
        <v>7.7972027972027966</v>
      </c>
      <c r="R73" s="23" t="str">
        <f t="shared" ref="R73:R136" si="11">IF(NOT(ISNUMBER(Q73)),"N/C",IF(Q73&lt;=u_ppDes,"Deseable",IF(Q73&lt;=u_ppAcep,"Aceptable","Alta")))</f>
        <v>Deseable</v>
      </c>
      <c r="S73" s="25" t="str">
        <f t="shared" ref="S73:S136" si="12">IF(COUNT(F73:J73)=k_cobMin,"Utilizable","No utilizable")</f>
        <v>Utilizable</v>
      </c>
      <c r="T73" s="26" t="str">
        <f t="shared" ref="T73:T136" si="13">IF(S73&lt;&gt;"Utilizable","",C73&amp;"|"&amp;TEXT(IF(v_prioridad="Potasio",H73,IF(v_prioridad="Fósforo",I73,IF(v_prioridad="Sodio",J73,IF(ISNUMBER(Q73),Q73,99999)))),"000000.00"))</f>
        <v>Carnes y Vísceras|00.000.239</v>
      </c>
      <c r="U73" s="26">
        <f>IF(OR($S73&lt;&gt;"Utilizable",$C73&lt;&gt;SUSTITUCION!$C$13),999999,IF(v_prioridad="Potasio",$H73,IF(v_prioridad="Fósforo",$I73,IF(v_prioridad="Sodio",$J73,IF(ISNUMBER($Q73),$Q73,999999)))))</f>
        <v>999999</v>
      </c>
    </row>
    <row r="74" spans="1:21" ht="15" customHeight="1">
      <c r="A74" s="21" t="s">
        <v>269</v>
      </c>
      <c r="B74" s="21" t="s">
        <v>270</v>
      </c>
      <c r="C74" s="21" t="s">
        <v>255</v>
      </c>
      <c r="D74" s="21" t="s">
        <v>256</v>
      </c>
      <c r="E74" s="21" t="s">
        <v>135</v>
      </c>
      <c r="F74" s="22">
        <v>293</v>
      </c>
      <c r="G74" s="22">
        <v>25.1</v>
      </c>
      <c r="H74" s="22">
        <v>328</v>
      </c>
      <c r="I74" s="22">
        <v>246</v>
      </c>
      <c r="J74" s="22">
        <v>59.1</v>
      </c>
      <c r="K74" s="22">
        <v>293</v>
      </c>
      <c r="L74" s="22">
        <v>25.1</v>
      </c>
      <c r="M74" s="22">
        <v>6</v>
      </c>
      <c r="N74" s="23" t="str">
        <f t="shared" si="7"/>
        <v>Muy alto</v>
      </c>
      <c r="O74" s="23" t="str">
        <f t="shared" si="8"/>
        <v>Muy alto</v>
      </c>
      <c r="P74" s="23" t="str">
        <f t="shared" si="9"/>
        <v>Medio</v>
      </c>
      <c r="Q74" s="24">
        <f t="shared" si="10"/>
        <v>9.8007968127490042</v>
      </c>
      <c r="R74" s="23" t="str">
        <f t="shared" si="11"/>
        <v>Deseable</v>
      </c>
      <c r="S74" s="25" t="str">
        <f t="shared" si="12"/>
        <v>Utilizable</v>
      </c>
      <c r="T74" s="26" t="str">
        <f t="shared" si="13"/>
        <v>Carnes y Vísceras|00.000.328</v>
      </c>
      <c r="U74" s="26">
        <f>IF(OR($S74&lt;&gt;"Utilizable",$C74&lt;&gt;SUSTITUCION!$C$13),999999,IF(v_prioridad="Potasio",$H74,IF(v_prioridad="Fósforo",$I74,IF(v_prioridad="Sodio",$J74,IF(ISNUMBER($Q74),$Q74,999999)))))</f>
        <v>999999</v>
      </c>
    </row>
    <row r="75" spans="1:21" ht="15" customHeight="1">
      <c r="A75" s="21" t="s">
        <v>271</v>
      </c>
      <c r="B75" s="21" t="s">
        <v>272</v>
      </c>
      <c r="C75" s="21" t="s">
        <v>255</v>
      </c>
      <c r="D75" s="21" t="s">
        <v>256</v>
      </c>
      <c r="E75" s="21" t="s">
        <v>135</v>
      </c>
      <c r="F75" s="22">
        <v>264</v>
      </c>
      <c r="G75" s="22">
        <v>20.6</v>
      </c>
      <c r="H75" s="22">
        <v>731</v>
      </c>
      <c r="I75" s="22">
        <v>107</v>
      </c>
      <c r="J75" s="22">
        <v>161</v>
      </c>
      <c r="K75" s="22">
        <v>264</v>
      </c>
      <c r="L75" s="22">
        <v>20.6</v>
      </c>
      <c r="M75" s="22">
        <v>21</v>
      </c>
      <c r="N75" s="23" t="str">
        <f t="shared" si="7"/>
        <v>Muy alto</v>
      </c>
      <c r="O75" s="23" t="str">
        <f t="shared" si="8"/>
        <v>Alto</v>
      </c>
      <c r="P75" s="23" t="str">
        <f t="shared" si="9"/>
        <v>Alto</v>
      </c>
      <c r="Q75" s="24">
        <f t="shared" si="10"/>
        <v>5.1941747572815533</v>
      </c>
      <c r="R75" s="23" t="str">
        <f t="shared" si="11"/>
        <v>Deseable</v>
      </c>
      <c r="S75" s="25" t="str">
        <f t="shared" si="12"/>
        <v>Utilizable</v>
      </c>
      <c r="T75" s="26" t="str">
        <f t="shared" si="13"/>
        <v>Carnes y Vísceras|00.000.731</v>
      </c>
      <c r="U75" s="26">
        <f>IF(OR($S75&lt;&gt;"Utilizable",$C75&lt;&gt;SUSTITUCION!$C$13),999999,IF(v_prioridad="Potasio",$H75,IF(v_prioridad="Fósforo",$I75,IF(v_prioridad="Sodio",$J75,IF(ISNUMBER($Q75),$Q75,999999)))))</f>
        <v>999999</v>
      </c>
    </row>
    <row r="76" spans="1:21" ht="15" customHeight="1">
      <c r="A76" s="21" t="s">
        <v>273</v>
      </c>
      <c r="B76" s="21" t="s">
        <v>274</v>
      </c>
      <c r="C76" s="21" t="s">
        <v>255</v>
      </c>
      <c r="D76" s="21" t="s">
        <v>256</v>
      </c>
      <c r="E76" s="21" t="s">
        <v>135</v>
      </c>
      <c r="F76" s="22">
        <v>90</v>
      </c>
      <c r="G76" s="22">
        <v>15.3</v>
      </c>
      <c r="H76" s="22" t="s">
        <v>138</v>
      </c>
      <c r="I76" s="22" t="s">
        <v>138</v>
      </c>
      <c r="J76" s="22">
        <v>339</v>
      </c>
      <c r="K76" s="22">
        <v>90</v>
      </c>
      <c r="L76" s="22">
        <v>15.3</v>
      </c>
      <c r="M76" s="22" t="s">
        <v>138</v>
      </c>
      <c r="N76" s="23" t="str">
        <f t="shared" si="7"/>
        <v>Sin dato</v>
      </c>
      <c r="O76" s="23" t="str">
        <f t="shared" si="8"/>
        <v>Sin dato</v>
      </c>
      <c r="P76" s="23" t="str">
        <f t="shared" si="9"/>
        <v>Alto</v>
      </c>
      <c r="Q76" s="24" t="str">
        <f t="shared" si="10"/>
        <v>N/C</v>
      </c>
      <c r="R76" s="23" t="str">
        <f t="shared" si="11"/>
        <v>N/C</v>
      </c>
      <c r="S76" s="25" t="str">
        <f t="shared" si="12"/>
        <v>No utilizable</v>
      </c>
      <c r="T76" s="26" t="str">
        <f t="shared" si="13"/>
        <v/>
      </c>
      <c r="U76" s="26">
        <f>IF(OR($S76&lt;&gt;"Utilizable",$C76&lt;&gt;SUSTITUCION!$C$13),999999,IF(v_prioridad="Potasio",$H76,IF(v_prioridad="Fósforo",$I76,IF(v_prioridad="Sodio",$J76,IF(ISNUMBER($Q76),$Q76,999999)))))</f>
        <v>999999</v>
      </c>
    </row>
    <row r="77" spans="1:21" ht="15" customHeight="1">
      <c r="A77" s="21" t="s">
        <v>275</v>
      </c>
      <c r="B77" s="21" t="s">
        <v>276</v>
      </c>
      <c r="C77" s="21" t="s">
        <v>255</v>
      </c>
      <c r="D77" s="21" t="s">
        <v>256</v>
      </c>
      <c r="E77" s="21" t="s">
        <v>135</v>
      </c>
      <c r="F77" s="22">
        <v>164</v>
      </c>
      <c r="G77" s="22">
        <v>16.600000000000001</v>
      </c>
      <c r="H77" s="22" t="s">
        <v>138</v>
      </c>
      <c r="I77" s="22" t="s">
        <v>138</v>
      </c>
      <c r="J77" s="22">
        <v>204</v>
      </c>
      <c r="K77" s="22">
        <v>164</v>
      </c>
      <c r="L77" s="22">
        <v>16.600000000000001</v>
      </c>
      <c r="M77" s="22" t="s">
        <v>138</v>
      </c>
      <c r="N77" s="23" t="str">
        <f t="shared" si="7"/>
        <v>Sin dato</v>
      </c>
      <c r="O77" s="23" t="str">
        <f t="shared" si="8"/>
        <v>Sin dato</v>
      </c>
      <c r="P77" s="23" t="str">
        <f t="shared" si="9"/>
        <v>Alto</v>
      </c>
      <c r="Q77" s="24" t="str">
        <f t="shared" si="10"/>
        <v>N/C</v>
      </c>
      <c r="R77" s="23" t="str">
        <f t="shared" si="11"/>
        <v>N/C</v>
      </c>
      <c r="S77" s="25" t="str">
        <f t="shared" si="12"/>
        <v>No utilizable</v>
      </c>
      <c r="T77" s="26" t="str">
        <f t="shared" si="13"/>
        <v/>
      </c>
      <c r="U77" s="26">
        <f>IF(OR($S77&lt;&gt;"Utilizable",$C77&lt;&gt;SUSTITUCION!$C$13),999999,IF(v_prioridad="Potasio",$H77,IF(v_prioridad="Fósforo",$I77,IF(v_prioridad="Sodio",$J77,IF(ISNUMBER($Q77),$Q77,999999)))))</f>
        <v>999999</v>
      </c>
    </row>
    <row r="78" spans="1:21" ht="15" customHeight="1">
      <c r="A78" s="21" t="s">
        <v>277</v>
      </c>
      <c r="B78" s="21" t="s">
        <v>278</v>
      </c>
      <c r="C78" s="21" t="s">
        <v>255</v>
      </c>
      <c r="D78" s="21" t="s">
        <v>256</v>
      </c>
      <c r="E78" s="21" t="s">
        <v>135</v>
      </c>
      <c r="F78" s="22">
        <v>284</v>
      </c>
      <c r="G78" s="22">
        <v>13.7</v>
      </c>
      <c r="H78" s="22" t="s">
        <v>138</v>
      </c>
      <c r="I78" s="22" t="s">
        <v>138</v>
      </c>
      <c r="J78" s="22">
        <v>156</v>
      </c>
      <c r="K78" s="22">
        <v>284</v>
      </c>
      <c r="L78" s="22">
        <v>13.7</v>
      </c>
      <c r="M78" s="22" t="s">
        <v>138</v>
      </c>
      <c r="N78" s="23" t="str">
        <f t="shared" si="7"/>
        <v>Sin dato</v>
      </c>
      <c r="O78" s="23" t="str">
        <f t="shared" si="8"/>
        <v>Sin dato</v>
      </c>
      <c r="P78" s="23" t="str">
        <f t="shared" si="9"/>
        <v>Alto</v>
      </c>
      <c r="Q78" s="24" t="str">
        <f t="shared" si="10"/>
        <v>N/C</v>
      </c>
      <c r="R78" s="23" t="str">
        <f t="shared" si="11"/>
        <v>N/C</v>
      </c>
      <c r="S78" s="25" t="str">
        <f t="shared" si="12"/>
        <v>No utilizable</v>
      </c>
      <c r="T78" s="26" t="str">
        <f t="shared" si="13"/>
        <v/>
      </c>
      <c r="U78" s="26">
        <f>IF(OR($S78&lt;&gt;"Utilizable",$C78&lt;&gt;SUSTITUCION!$C$13),999999,IF(v_prioridad="Potasio",$H78,IF(v_prioridad="Fósforo",$I78,IF(v_prioridad="Sodio",$J78,IF(ISNUMBER($Q78),$Q78,999999)))))</f>
        <v>999999</v>
      </c>
    </row>
    <row r="79" spans="1:21" ht="15" customHeight="1">
      <c r="A79" s="21" t="s">
        <v>279</v>
      </c>
      <c r="B79" s="21" t="s">
        <v>280</v>
      </c>
      <c r="C79" s="21" t="s">
        <v>255</v>
      </c>
      <c r="D79" s="21" t="s">
        <v>256</v>
      </c>
      <c r="E79" s="21" t="s">
        <v>135</v>
      </c>
      <c r="F79" s="22">
        <v>312</v>
      </c>
      <c r="G79" s="22">
        <v>14.7</v>
      </c>
      <c r="H79" s="22" t="s">
        <v>138</v>
      </c>
      <c r="I79" s="22" t="s">
        <v>138</v>
      </c>
      <c r="J79" s="22">
        <v>148</v>
      </c>
      <c r="K79" s="22">
        <v>312</v>
      </c>
      <c r="L79" s="22">
        <v>14.7</v>
      </c>
      <c r="M79" s="22" t="s">
        <v>138</v>
      </c>
      <c r="N79" s="23" t="str">
        <f t="shared" si="7"/>
        <v>Sin dato</v>
      </c>
      <c r="O79" s="23" t="str">
        <f t="shared" si="8"/>
        <v>Sin dato</v>
      </c>
      <c r="P79" s="23" t="str">
        <f t="shared" si="9"/>
        <v>Alto</v>
      </c>
      <c r="Q79" s="24" t="str">
        <f t="shared" si="10"/>
        <v>N/C</v>
      </c>
      <c r="R79" s="23" t="str">
        <f t="shared" si="11"/>
        <v>N/C</v>
      </c>
      <c r="S79" s="25" t="str">
        <f t="shared" si="12"/>
        <v>No utilizable</v>
      </c>
      <c r="T79" s="26" t="str">
        <f t="shared" si="13"/>
        <v/>
      </c>
      <c r="U79" s="26">
        <f>IF(OR($S79&lt;&gt;"Utilizable",$C79&lt;&gt;SUSTITUCION!$C$13),999999,IF(v_prioridad="Potasio",$H79,IF(v_prioridad="Fósforo",$I79,IF(v_prioridad="Sodio",$J79,IF(ISNUMBER($Q79),$Q79,999999)))))</f>
        <v>999999</v>
      </c>
    </row>
    <row r="80" spans="1:21" ht="15" customHeight="1">
      <c r="A80" s="21" t="s">
        <v>281</v>
      </c>
      <c r="B80" s="21" t="s">
        <v>282</v>
      </c>
      <c r="C80" s="21" t="s">
        <v>255</v>
      </c>
      <c r="D80" s="21" t="s">
        <v>256</v>
      </c>
      <c r="E80" s="21" t="s">
        <v>135</v>
      </c>
      <c r="F80" s="22">
        <v>210</v>
      </c>
      <c r="G80" s="22">
        <v>17.5</v>
      </c>
      <c r="H80" s="22" t="s">
        <v>138</v>
      </c>
      <c r="I80" s="22" t="s">
        <v>138</v>
      </c>
      <c r="J80" s="22">
        <v>117</v>
      </c>
      <c r="K80" s="22">
        <v>210</v>
      </c>
      <c r="L80" s="22">
        <v>17.5</v>
      </c>
      <c r="M80" s="22" t="s">
        <v>138</v>
      </c>
      <c r="N80" s="23" t="str">
        <f t="shared" si="7"/>
        <v>Sin dato</v>
      </c>
      <c r="O80" s="23" t="str">
        <f t="shared" si="8"/>
        <v>Sin dato</v>
      </c>
      <c r="P80" s="23" t="str">
        <f t="shared" si="9"/>
        <v>Medio</v>
      </c>
      <c r="Q80" s="24" t="str">
        <f t="shared" si="10"/>
        <v>N/C</v>
      </c>
      <c r="R80" s="23" t="str">
        <f t="shared" si="11"/>
        <v>N/C</v>
      </c>
      <c r="S80" s="25" t="str">
        <f t="shared" si="12"/>
        <v>No utilizable</v>
      </c>
      <c r="T80" s="26" t="str">
        <f t="shared" si="13"/>
        <v/>
      </c>
      <c r="U80" s="26">
        <f>IF(OR($S80&lt;&gt;"Utilizable",$C80&lt;&gt;SUSTITUCION!$C$13),999999,IF(v_prioridad="Potasio",$H80,IF(v_prioridad="Fósforo",$I80,IF(v_prioridad="Sodio",$J80,IF(ISNUMBER($Q80),$Q80,999999)))))</f>
        <v>999999</v>
      </c>
    </row>
    <row r="81" spans="1:21" ht="15" customHeight="1">
      <c r="A81" s="21" t="s">
        <v>283</v>
      </c>
      <c r="B81" s="21" t="s">
        <v>284</v>
      </c>
      <c r="C81" s="21" t="s">
        <v>255</v>
      </c>
      <c r="D81" s="21" t="s">
        <v>256</v>
      </c>
      <c r="E81" s="21" t="s">
        <v>135</v>
      </c>
      <c r="F81" s="22">
        <v>209</v>
      </c>
      <c r="G81" s="22">
        <v>17.2</v>
      </c>
      <c r="H81" s="22" t="s">
        <v>138</v>
      </c>
      <c r="I81" s="22" t="s">
        <v>138</v>
      </c>
      <c r="J81" s="22">
        <v>54</v>
      </c>
      <c r="K81" s="22">
        <v>209</v>
      </c>
      <c r="L81" s="22">
        <v>17.2</v>
      </c>
      <c r="M81" s="22" t="s">
        <v>138</v>
      </c>
      <c r="N81" s="23" t="str">
        <f t="shared" si="7"/>
        <v>Sin dato</v>
      </c>
      <c r="O81" s="23" t="str">
        <f t="shared" si="8"/>
        <v>Sin dato</v>
      </c>
      <c r="P81" s="23" t="str">
        <f t="shared" si="9"/>
        <v>Medio</v>
      </c>
      <c r="Q81" s="24" t="str">
        <f t="shared" si="10"/>
        <v>N/C</v>
      </c>
      <c r="R81" s="23" t="str">
        <f t="shared" si="11"/>
        <v>N/C</v>
      </c>
      <c r="S81" s="25" t="str">
        <f t="shared" si="12"/>
        <v>No utilizable</v>
      </c>
      <c r="T81" s="26" t="str">
        <f t="shared" si="13"/>
        <v/>
      </c>
      <c r="U81" s="26">
        <f>IF(OR($S81&lt;&gt;"Utilizable",$C81&lt;&gt;SUSTITUCION!$C$13),999999,IF(v_prioridad="Potasio",$H81,IF(v_prioridad="Fósforo",$I81,IF(v_prioridad="Sodio",$J81,IF(ISNUMBER($Q81),$Q81,999999)))))</f>
        <v>999999</v>
      </c>
    </row>
    <row r="82" spans="1:21" ht="15" customHeight="1">
      <c r="A82" s="21" t="s">
        <v>285</v>
      </c>
      <c r="B82" s="21" t="s">
        <v>286</v>
      </c>
      <c r="C82" s="21" t="s">
        <v>255</v>
      </c>
      <c r="D82" s="21" t="s">
        <v>256</v>
      </c>
      <c r="E82" s="21" t="s">
        <v>135</v>
      </c>
      <c r="F82" s="22">
        <v>129</v>
      </c>
      <c r="G82" s="22">
        <v>21.4</v>
      </c>
      <c r="H82" s="22">
        <v>328</v>
      </c>
      <c r="I82" s="22">
        <v>94</v>
      </c>
      <c r="J82" s="22">
        <v>59.1</v>
      </c>
      <c r="K82" s="22">
        <v>129</v>
      </c>
      <c r="L82" s="22">
        <v>21.4</v>
      </c>
      <c r="M82" s="22">
        <v>18</v>
      </c>
      <c r="N82" s="23" t="str">
        <f t="shared" si="7"/>
        <v>Muy alto</v>
      </c>
      <c r="O82" s="23" t="str">
        <f t="shared" si="8"/>
        <v>Medio</v>
      </c>
      <c r="P82" s="23" t="str">
        <f t="shared" si="9"/>
        <v>Medio</v>
      </c>
      <c r="Q82" s="24">
        <f t="shared" si="10"/>
        <v>4.3925233644859816</v>
      </c>
      <c r="R82" s="23" t="str">
        <f t="shared" si="11"/>
        <v>Deseable</v>
      </c>
      <c r="S82" s="25" t="str">
        <f t="shared" si="12"/>
        <v>Utilizable</v>
      </c>
      <c r="T82" s="26" t="str">
        <f t="shared" si="13"/>
        <v>Carnes y Vísceras|00.000.328</v>
      </c>
      <c r="U82" s="26">
        <f>IF(OR($S82&lt;&gt;"Utilizable",$C82&lt;&gt;SUSTITUCION!$C$13),999999,IF(v_prioridad="Potasio",$H82,IF(v_prioridad="Fósforo",$I82,IF(v_prioridad="Sodio",$J82,IF(ISNUMBER($Q82),$Q82,999999)))))</f>
        <v>999999</v>
      </c>
    </row>
    <row r="83" spans="1:21" ht="15" customHeight="1">
      <c r="A83" s="21" t="s">
        <v>287</v>
      </c>
      <c r="B83" s="21" t="s">
        <v>288</v>
      </c>
      <c r="C83" s="21" t="s">
        <v>255</v>
      </c>
      <c r="D83" s="21" t="s">
        <v>256</v>
      </c>
      <c r="E83" s="21" t="s">
        <v>135</v>
      </c>
      <c r="F83" s="22">
        <v>132</v>
      </c>
      <c r="G83" s="22">
        <v>21.2</v>
      </c>
      <c r="H83" s="22">
        <v>384</v>
      </c>
      <c r="I83" s="22">
        <v>99</v>
      </c>
      <c r="J83" s="22">
        <v>91</v>
      </c>
      <c r="K83" s="22">
        <v>132</v>
      </c>
      <c r="L83" s="22">
        <v>21.2</v>
      </c>
      <c r="M83" s="22">
        <v>16</v>
      </c>
      <c r="N83" s="23" t="str">
        <f t="shared" si="7"/>
        <v>Muy alto</v>
      </c>
      <c r="O83" s="23" t="str">
        <f t="shared" si="8"/>
        <v>Medio</v>
      </c>
      <c r="P83" s="23" t="str">
        <f t="shared" si="9"/>
        <v>Medio</v>
      </c>
      <c r="Q83" s="24">
        <f t="shared" si="10"/>
        <v>4.6698113207547172</v>
      </c>
      <c r="R83" s="23" t="str">
        <f t="shared" si="11"/>
        <v>Deseable</v>
      </c>
      <c r="S83" s="25" t="str">
        <f t="shared" si="12"/>
        <v>Utilizable</v>
      </c>
      <c r="T83" s="26" t="str">
        <f t="shared" si="13"/>
        <v>Carnes y Vísceras|00.000.384</v>
      </c>
      <c r="U83" s="26">
        <f>IF(OR($S83&lt;&gt;"Utilizable",$C83&lt;&gt;SUSTITUCION!$C$13),999999,IF(v_prioridad="Potasio",$H83,IF(v_prioridad="Fósforo",$I83,IF(v_prioridad="Sodio",$J83,IF(ISNUMBER($Q83),$Q83,999999)))))</f>
        <v>999999</v>
      </c>
    </row>
    <row r="84" spans="1:21" ht="15" customHeight="1">
      <c r="A84" s="21" t="s">
        <v>289</v>
      </c>
      <c r="B84" s="21" t="s">
        <v>290</v>
      </c>
      <c r="C84" s="21" t="s">
        <v>255</v>
      </c>
      <c r="D84" s="21" t="s">
        <v>256</v>
      </c>
      <c r="E84" s="21" t="s">
        <v>135</v>
      </c>
      <c r="F84" s="22">
        <v>152</v>
      </c>
      <c r="G84" s="22">
        <v>20.6</v>
      </c>
      <c r="H84" s="22">
        <v>356</v>
      </c>
      <c r="I84" s="22">
        <v>117</v>
      </c>
      <c r="J84" s="22">
        <v>116</v>
      </c>
      <c r="K84" s="22">
        <v>152</v>
      </c>
      <c r="L84" s="22">
        <v>20.6</v>
      </c>
      <c r="M84" s="22">
        <v>20</v>
      </c>
      <c r="N84" s="23" t="str">
        <f t="shared" si="7"/>
        <v>Muy alto</v>
      </c>
      <c r="O84" s="23" t="str">
        <f t="shared" si="8"/>
        <v>Alto</v>
      </c>
      <c r="P84" s="23" t="str">
        <f t="shared" si="9"/>
        <v>Medio</v>
      </c>
      <c r="Q84" s="24">
        <f t="shared" si="10"/>
        <v>5.6796116504854366</v>
      </c>
      <c r="R84" s="23" t="str">
        <f t="shared" si="11"/>
        <v>Deseable</v>
      </c>
      <c r="S84" s="25" t="str">
        <f t="shared" si="12"/>
        <v>Utilizable</v>
      </c>
      <c r="T84" s="26" t="str">
        <f t="shared" si="13"/>
        <v>Carnes y Vísceras|00.000.356</v>
      </c>
      <c r="U84" s="26">
        <f>IF(OR($S84&lt;&gt;"Utilizable",$C84&lt;&gt;SUSTITUCION!$C$13),999999,IF(v_prioridad="Potasio",$H84,IF(v_prioridad="Fósforo",$I84,IF(v_prioridad="Sodio",$J84,IF(ISNUMBER($Q84),$Q84,999999)))))</f>
        <v>999999</v>
      </c>
    </row>
    <row r="85" spans="1:21" ht="15" customHeight="1">
      <c r="A85" s="21" t="s">
        <v>291</v>
      </c>
      <c r="B85" s="21" t="s">
        <v>292</v>
      </c>
      <c r="C85" s="21" t="s">
        <v>255</v>
      </c>
      <c r="D85" s="21" t="s">
        <v>256</v>
      </c>
      <c r="E85" s="21" t="s">
        <v>135</v>
      </c>
      <c r="F85" s="22">
        <v>201</v>
      </c>
      <c r="G85" s="22">
        <v>18.8</v>
      </c>
      <c r="H85" s="22">
        <v>452</v>
      </c>
      <c r="I85" s="22">
        <v>75</v>
      </c>
      <c r="J85" s="22">
        <v>142</v>
      </c>
      <c r="K85" s="22">
        <v>201</v>
      </c>
      <c r="L85" s="22">
        <v>18.8</v>
      </c>
      <c r="M85" s="22">
        <v>21</v>
      </c>
      <c r="N85" s="23" t="str">
        <f t="shared" si="7"/>
        <v>Muy alto</v>
      </c>
      <c r="O85" s="23" t="str">
        <f t="shared" si="8"/>
        <v>Medio</v>
      </c>
      <c r="P85" s="23" t="str">
        <f t="shared" si="9"/>
        <v>Alto</v>
      </c>
      <c r="Q85" s="24">
        <f t="shared" si="10"/>
        <v>3.9893617021276593</v>
      </c>
      <c r="R85" s="23" t="str">
        <f t="shared" si="11"/>
        <v>Deseable</v>
      </c>
      <c r="S85" s="25" t="str">
        <f t="shared" si="12"/>
        <v>Utilizable</v>
      </c>
      <c r="T85" s="26" t="str">
        <f t="shared" si="13"/>
        <v>Carnes y Vísceras|00.000.452</v>
      </c>
      <c r="U85" s="26">
        <f>IF(OR($S85&lt;&gt;"Utilizable",$C85&lt;&gt;SUSTITUCION!$C$13),999999,IF(v_prioridad="Potasio",$H85,IF(v_prioridad="Fósforo",$I85,IF(v_prioridad="Sodio",$J85,IF(ISNUMBER($Q85),$Q85,999999)))))</f>
        <v>999999</v>
      </c>
    </row>
    <row r="86" spans="1:21" ht="15" customHeight="1">
      <c r="A86" s="21" t="s">
        <v>293</v>
      </c>
      <c r="B86" s="21" t="s">
        <v>294</v>
      </c>
      <c r="C86" s="21" t="s">
        <v>255</v>
      </c>
      <c r="D86" s="21" t="s">
        <v>256</v>
      </c>
      <c r="E86" s="21" t="s">
        <v>135</v>
      </c>
      <c r="F86" s="22">
        <v>144</v>
      </c>
      <c r="G86" s="22">
        <v>20.399999999999999</v>
      </c>
      <c r="H86" s="22">
        <v>424</v>
      </c>
      <c r="I86" s="22">
        <v>125</v>
      </c>
      <c r="J86" s="22">
        <v>101</v>
      </c>
      <c r="K86" s="22">
        <v>144</v>
      </c>
      <c r="L86" s="22">
        <v>20.399999999999999</v>
      </c>
      <c r="M86" s="22">
        <v>25</v>
      </c>
      <c r="N86" s="23" t="str">
        <f t="shared" si="7"/>
        <v>Muy alto</v>
      </c>
      <c r="O86" s="23" t="str">
        <f t="shared" si="8"/>
        <v>Alto</v>
      </c>
      <c r="P86" s="23" t="str">
        <f t="shared" si="9"/>
        <v>Medio</v>
      </c>
      <c r="Q86" s="24">
        <f t="shared" si="10"/>
        <v>6.1274509803921573</v>
      </c>
      <c r="R86" s="23" t="str">
        <f t="shared" si="11"/>
        <v>Deseable</v>
      </c>
      <c r="S86" s="25" t="str">
        <f t="shared" si="12"/>
        <v>Utilizable</v>
      </c>
      <c r="T86" s="26" t="str">
        <f t="shared" si="13"/>
        <v>Carnes y Vísceras|00.000.424</v>
      </c>
      <c r="U86" s="26">
        <f>IF(OR($S86&lt;&gt;"Utilizable",$C86&lt;&gt;SUSTITUCION!$C$13),999999,IF(v_prioridad="Potasio",$H86,IF(v_prioridad="Fósforo",$I86,IF(v_prioridad="Sodio",$J86,IF(ISNUMBER($Q86),$Q86,999999)))))</f>
        <v>999999</v>
      </c>
    </row>
    <row r="87" spans="1:21" ht="15" customHeight="1">
      <c r="A87" s="21" t="s">
        <v>295</v>
      </c>
      <c r="B87" s="21" t="s">
        <v>296</v>
      </c>
      <c r="C87" s="21" t="s">
        <v>255</v>
      </c>
      <c r="D87" s="21" t="s">
        <v>256</v>
      </c>
      <c r="E87" s="21" t="s">
        <v>135</v>
      </c>
      <c r="F87" s="22">
        <v>109</v>
      </c>
      <c r="G87" s="22">
        <v>19.399999999999999</v>
      </c>
      <c r="H87" s="22">
        <v>300</v>
      </c>
      <c r="I87" s="22">
        <v>206</v>
      </c>
      <c r="J87" s="22">
        <v>37</v>
      </c>
      <c r="K87" s="22">
        <v>109</v>
      </c>
      <c r="L87" s="22">
        <v>19.399999999999999</v>
      </c>
      <c r="M87" s="22">
        <v>15</v>
      </c>
      <c r="N87" s="23" t="str">
        <f t="shared" si="7"/>
        <v>Alto</v>
      </c>
      <c r="O87" s="23" t="str">
        <f t="shared" si="8"/>
        <v>Muy alto</v>
      </c>
      <c r="P87" s="23" t="str">
        <f t="shared" si="9"/>
        <v>Bajo</v>
      </c>
      <c r="Q87" s="24">
        <f t="shared" si="10"/>
        <v>10.618556701030929</v>
      </c>
      <c r="R87" s="23" t="str">
        <f t="shared" si="11"/>
        <v>Deseable</v>
      </c>
      <c r="S87" s="25" t="str">
        <f t="shared" si="12"/>
        <v>Utilizable</v>
      </c>
      <c r="T87" s="26" t="str">
        <f t="shared" si="13"/>
        <v>Carnes y Vísceras|00.000.300</v>
      </c>
      <c r="U87" s="26">
        <f>IF(OR($S87&lt;&gt;"Utilizable",$C87&lt;&gt;SUSTITUCION!$C$13),999999,IF(v_prioridad="Potasio",$H87,IF(v_prioridad="Fósforo",$I87,IF(v_prioridad="Sodio",$J87,IF(ISNUMBER($Q87),$Q87,999999)))))</f>
        <v>999999</v>
      </c>
    </row>
    <row r="88" spans="1:21" ht="15" customHeight="1">
      <c r="A88" s="21" t="s">
        <v>297</v>
      </c>
      <c r="B88" s="21" t="s">
        <v>298</v>
      </c>
      <c r="C88" s="21" t="s">
        <v>255</v>
      </c>
      <c r="D88" s="21" t="s">
        <v>256</v>
      </c>
      <c r="E88" s="21" t="s">
        <v>135</v>
      </c>
      <c r="F88" s="22">
        <v>136</v>
      </c>
      <c r="G88" s="22">
        <v>20.100000000000001</v>
      </c>
      <c r="H88" s="22">
        <v>330</v>
      </c>
      <c r="I88" s="22">
        <v>213</v>
      </c>
      <c r="J88" s="22">
        <v>41</v>
      </c>
      <c r="K88" s="22">
        <v>136</v>
      </c>
      <c r="L88" s="22">
        <v>20.100000000000001</v>
      </c>
      <c r="M88" s="22">
        <v>13</v>
      </c>
      <c r="N88" s="23" t="str">
        <f t="shared" si="7"/>
        <v>Muy alto</v>
      </c>
      <c r="O88" s="23" t="str">
        <f t="shared" si="8"/>
        <v>Muy alto</v>
      </c>
      <c r="P88" s="23" t="str">
        <f t="shared" si="9"/>
        <v>Medio</v>
      </c>
      <c r="Q88" s="24">
        <f t="shared" si="10"/>
        <v>10.597014925373134</v>
      </c>
      <c r="R88" s="23" t="str">
        <f t="shared" si="11"/>
        <v>Deseable</v>
      </c>
      <c r="S88" s="25" t="str">
        <f t="shared" si="12"/>
        <v>Utilizable</v>
      </c>
      <c r="T88" s="26" t="str">
        <f t="shared" si="13"/>
        <v>Carnes y Vísceras|00.000.330</v>
      </c>
      <c r="U88" s="26">
        <f>IF(OR($S88&lt;&gt;"Utilizable",$C88&lt;&gt;SUSTITUCION!$C$13),999999,IF(v_prioridad="Potasio",$H88,IF(v_prioridad="Fósforo",$I88,IF(v_prioridad="Sodio",$J88,IF(ISNUMBER($Q88),$Q88,999999)))))</f>
        <v>999999</v>
      </c>
    </row>
    <row r="89" spans="1:21" ht="15" customHeight="1">
      <c r="A89" s="21" t="s">
        <v>299</v>
      </c>
      <c r="B89" s="21" t="s">
        <v>300</v>
      </c>
      <c r="C89" s="21" t="s">
        <v>255</v>
      </c>
      <c r="D89" s="21" t="s">
        <v>256</v>
      </c>
      <c r="E89" s="21" t="s">
        <v>135</v>
      </c>
      <c r="F89" s="22">
        <v>197</v>
      </c>
      <c r="G89" s="22">
        <v>29.1</v>
      </c>
      <c r="H89" s="22">
        <v>383</v>
      </c>
      <c r="I89" s="22">
        <v>263</v>
      </c>
      <c r="J89" s="22">
        <v>47</v>
      </c>
      <c r="K89" s="22">
        <v>197</v>
      </c>
      <c r="L89" s="22">
        <v>29.1</v>
      </c>
      <c r="M89" s="22">
        <v>19</v>
      </c>
      <c r="N89" s="23" t="str">
        <f t="shared" si="7"/>
        <v>Muy alto</v>
      </c>
      <c r="O89" s="23" t="str">
        <f t="shared" si="8"/>
        <v>Muy alto</v>
      </c>
      <c r="P89" s="23" t="str">
        <f t="shared" si="9"/>
        <v>Medio</v>
      </c>
      <c r="Q89" s="24">
        <f t="shared" si="10"/>
        <v>9.0378006872852232</v>
      </c>
      <c r="R89" s="23" t="str">
        <f t="shared" si="11"/>
        <v>Deseable</v>
      </c>
      <c r="S89" s="25" t="str">
        <f t="shared" si="12"/>
        <v>Utilizable</v>
      </c>
      <c r="T89" s="26" t="str">
        <f t="shared" si="13"/>
        <v>Carnes y Vísceras|00.000.383</v>
      </c>
      <c r="U89" s="26">
        <f>IF(OR($S89&lt;&gt;"Utilizable",$C89&lt;&gt;SUSTITUCION!$C$13),999999,IF(v_prioridad="Potasio",$H89,IF(v_prioridad="Fósforo",$I89,IF(v_prioridad="Sodio",$J89,IF(ISNUMBER($Q89),$Q89,999999)))))</f>
        <v>999999</v>
      </c>
    </row>
    <row r="90" spans="1:21" ht="15" customHeight="1">
      <c r="A90" s="21" t="s">
        <v>301</v>
      </c>
      <c r="B90" s="21" t="s">
        <v>302</v>
      </c>
      <c r="C90" s="21" t="s">
        <v>255</v>
      </c>
      <c r="D90" s="21" t="s">
        <v>256</v>
      </c>
      <c r="E90" s="21" t="s">
        <v>135</v>
      </c>
      <c r="F90" s="22">
        <v>124</v>
      </c>
      <c r="G90" s="22">
        <v>21.2</v>
      </c>
      <c r="H90" s="22">
        <v>347</v>
      </c>
      <c r="I90" s="22">
        <v>136</v>
      </c>
      <c r="J90" s="22">
        <v>180</v>
      </c>
      <c r="K90" s="22">
        <v>124</v>
      </c>
      <c r="L90" s="22">
        <v>21.2</v>
      </c>
      <c r="M90" s="22">
        <v>12</v>
      </c>
      <c r="N90" s="23" t="str">
        <f t="shared" si="7"/>
        <v>Muy alto</v>
      </c>
      <c r="O90" s="23" t="str">
        <f t="shared" si="8"/>
        <v>Alto</v>
      </c>
      <c r="P90" s="23" t="str">
        <f t="shared" si="9"/>
        <v>Alto</v>
      </c>
      <c r="Q90" s="24">
        <f t="shared" si="10"/>
        <v>6.4150943396226419</v>
      </c>
      <c r="R90" s="23" t="str">
        <f t="shared" si="11"/>
        <v>Deseable</v>
      </c>
      <c r="S90" s="25" t="str">
        <f t="shared" si="12"/>
        <v>Utilizable</v>
      </c>
      <c r="T90" s="26" t="str">
        <f t="shared" si="13"/>
        <v>Carnes y Vísceras|00.000.347</v>
      </c>
      <c r="U90" s="26">
        <f>IF(OR($S90&lt;&gt;"Utilizable",$C90&lt;&gt;SUSTITUCION!$C$13),999999,IF(v_prioridad="Potasio",$H90,IF(v_prioridad="Fósforo",$I90,IF(v_prioridad="Sodio",$J90,IF(ISNUMBER($Q90),$Q90,999999)))))</f>
        <v>999999</v>
      </c>
    </row>
    <row r="91" spans="1:21" ht="15" customHeight="1">
      <c r="A91" s="21" t="s">
        <v>303</v>
      </c>
      <c r="B91" s="21" t="s">
        <v>304</v>
      </c>
      <c r="C91" s="21" t="s">
        <v>255</v>
      </c>
      <c r="D91" s="21" t="s">
        <v>256</v>
      </c>
      <c r="E91" s="21" t="s">
        <v>135</v>
      </c>
      <c r="F91" s="22">
        <v>128</v>
      </c>
      <c r="G91" s="22">
        <v>23.2</v>
      </c>
      <c r="H91" s="22">
        <v>515</v>
      </c>
      <c r="I91" s="22">
        <v>135</v>
      </c>
      <c r="J91" s="22">
        <v>107</v>
      </c>
      <c r="K91" s="22">
        <v>128</v>
      </c>
      <c r="L91" s="22">
        <v>23.2</v>
      </c>
      <c r="M91" s="22">
        <v>9</v>
      </c>
      <c r="N91" s="23" t="str">
        <f t="shared" si="7"/>
        <v>Muy alto</v>
      </c>
      <c r="O91" s="23" t="str">
        <f t="shared" si="8"/>
        <v>Alto</v>
      </c>
      <c r="P91" s="23" t="str">
        <f t="shared" si="9"/>
        <v>Medio</v>
      </c>
      <c r="Q91" s="24">
        <f t="shared" si="10"/>
        <v>5.8189655172413799</v>
      </c>
      <c r="R91" s="23" t="str">
        <f t="shared" si="11"/>
        <v>Deseable</v>
      </c>
      <c r="S91" s="25" t="str">
        <f t="shared" si="12"/>
        <v>Utilizable</v>
      </c>
      <c r="T91" s="26" t="str">
        <f t="shared" si="13"/>
        <v>Carnes y Vísceras|00.000.515</v>
      </c>
      <c r="U91" s="26">
        <f>IF(OR($S91&lt;&gt;"Utilizable",$C91&lt;&gt;SUSTITUCION!$C$13),999999,IF(v_prioridad="Potasio",$H91,IF(v_prioridad="Fósforo",$I91,IF(v_prioridad="Sodio",$J91,IF(ISNUMBER($Q91),$Q91,999999)))))</f>
        <v>999999</v>
      </c>
    </row>
    <row r="92" spans="1:21" ht="15" customHeight="1">
      <c r="A92" s="21" t="s">
        <v>305</v>
      </c>
      <c r="B92" s="21" t="s">
        <v>306</v>
      </c>
      <c r="C92" s="21" t="s">
        <v>255</v>
      </c>
      <c r="D92" s="21" t="s">
        <v>256</v>
      </c>
      <c r="E92" s="21" t="s">
        <v>135</v>
      </c>
      <c r="F92" s="22">
        <v>116</v>
      </c>
      <c r="G92" s="22">
        <v>20.399999999999999</v>
      </c>
      <c r="H92" s="22" t="s">
        <v>138</v>
      </c>
      <c r="I92" s="22" t="s">
        <v>138</v>
      </c>
      <c r="J92" s="22">
        <v>202</v>
      </c>
      <c r="K92" s="22">
        <v>116</v>
      </c>
      <c r="L92" s="22">
        <v>20.399999999999999</v>
      </c>
      <c r="M92" s="22" t="s">
        <v>138</v>
      </c>
      <c r="N92" s="23" t="str">
        <f t="shared" si="7"/>
        <v>Sin dato</v>
      </c>
      <c r="O92" s="23" t="str">
        <f t="shared" si="8"/>
        <v>Sin dato</v>
      </c>
      <c r="P92" s="23" t="str">
        <f t="shared" si="9"/>
        <v>Alto</v>
      </c>
      <c r="Q92" s="24" t="str">
        <f t="shared" si="10"/>
        <v>N/C</v>
      </c>
      <c r="R92" s="23" t="str">
        <f t="shared" si="11"/>
        <v>N/C</v>
      </c>
      <c r="S92" s="25" t="str">
        <f t="shared" si="12"/>
        <v>No utilizable</v>
      </c>
      <c r="T92" s="26" t="str">
        <f t="shared" si="13"/>
        <v/>
      </c>
      <c r="U92" s="26">
        <f>IF(OR($S92&lt;&gt;"Utilizable",$C92&lt;&gt;SUSTITUCION!$C$13),999999,IF(v_prioridad="Potasio",$H92,IF(v_prioridad="Fósforo",$I92,IF(v_prioridad="Sodio",$J92,IF(ISNUMBER($Q92),$Q92,999999)))))</f>
        <v>999999</v>
      </c>
    </row>
    <row r="93" spans="1:21" ht="15" customHeight="1">
      <c r="A93" s="21" t="s">
        <v>307</v>
      </c>
      <c r="B93" s="21" t="s">
        <v>308</v>
      </c>
      <c r="C93" s="21" t="s">
        <v>255</v>
      </c>
      <c r="D93" s="21" t="s">
        <v>256</v>
      </c>
      <c r="E93" s="21" t="s">
        <v>135</v>
      </c>
      <c r="F93" s="22">
        <v>145</v>
      </c>
      <c r="G93" s="22">
        <v>23</v>
      </c>
      <c r="H93" s="22">
        <v>523</v>
      </c>
      <c r="I93" s="22">
        <v>103</v>
      </c>
      <c r="J93" s="22">
        <v>73</v>
      </c>
      <c r="K93" s="22">
        <v>145</v>
      </c>
      <c r="L93" s="22">
        <v>23</v>
      </c>
      <c r="M93" s="22">
        <v>10</v>
      </c>
      <c r="N93" s="23" t="str">
        <f t="shared" si="7"/>
        <v>Muy alto</v>
      </c>
      <c r="O93" s="23" t="str">
        <f t="shared" si="8"/>
        <v>Alto</v>
      </c>
      <c r="P93" s="23" t="str">
        <f t="shared" si="9"/>
        <v>Medio</v>
      </c>
      <c r="Q93" s="24">
        <f t="shared" si="10"/>
        <v>4.4782608695652177</v>
      </c>
      <c r="R93" s="23" t="str">
        <f t="shared" si="11"/>
        <v>Deseable</v>
      </c>
      <c r="S93" s="25" t="str">
        <f t="shared" si="12"/>
        <v>Utilizable</v>
      </c>
      <c r="T93" s="26" t="str">
        <f t="shared" si="13"/>
        <v>Carnes y Vísceras|00.000.523</v>
      </c>
      <c r="U93" s="26">
        <f>IF(OR($S93&lt;&gt;"Utilizable",$C93&lt;&gt;SUSTITUCION!$C$13),999999,IF(v_prioridad="Potasio",$H93,IF(v_prioridad="Fósforo",$I93,IF(v_prioridad="Sodio",$J93,IF(ISNUMBER($Q93),$Q93,999999)))))</f>
        <v>999999</v>
      </c>
    </row>
    <row r="94" spans="1:21" ht="15" customHeight="1">
      <c r="A94" s="21" t="s">
        <v>309</v>
      </c>
      <c r="B94" s="21" t="s">
        <v>310</v>
      </c>
      <c r="C94" s="21" t="s">
        <v>255</v>
      </c>
      <c r="D94" s="21" t="s">
        <v>256</v>
      </c>
      <c r="E94" s="21" t="s">
        <v>135</v>
      </c>
      <c r="F94" s="22">
        <v>137</v>
      </c>
      <c r="G94" s="22">
        <v>21.8</v>
      </c>
      <c r="H94" s="22">
        <v>501</v>
      </c>
      <c r="I94" s="22">
        <v>95</v>
      </c>
      <c r="J94" s="22">
        <v>75</v>
      </c>
      <c r="K94" s="22">
        <v>137</v>
      </c>
      <c r="L94" s="22">
        <v>21.8</v>
      </c>
      <c r="M94" s="22">
        <v>9</v>
      </c>
      <c r="N94" s="23" t="str">
        <f t="shared" si="7"/>
        <v>Muy alto</v>
      </c>
      <c r="O94" s="23" t="str">
        <f t="shared" si="8"/>
        <v>Medio</v>
      </c>
      <c r="P94" s="23" t="str">
        <f t="shared" si="9"/>
        <v>Medio</v>
      </c>
      <c r="Q94" s="24">
        <f t="shared" si="10"/>
        <v>4.3577981651376145</v>
      </c>
      <c r="R94" s="23" t="str">
        <f t="shared" si="11"/>
        <v>Deseable</v>
      </c>
      <c r="S94" s="25" t="str">
        <f t="shared" si="12"/>
        <v>Utilizable</v>
      </c>
      <c r="T94" s="26" t="str">
        <f t="shared" si="13"/>
        <v>Carnes y Vísceras|00.000.501</v>
      </c>
      <c r="U94" s="26">
        <f>IF(OR($S94&lt;&gt;"Utilizable",$C94&lt;&gt;SUSTITUCION!$C$13),999999,IF(v_prioridad="Potasio",$H94,IF(v_prioridad="Fósforo",$I94,IF(v_prioridad="Sodio",$J94,IF(ISNUMBER($Q94),$Q94,999999)))))</f>
        <v>999999</v>
      </c>
    </row>
    <row r="95" spans="1:21" ht="15" customHeight="1">
      <c r="A95" s="21" t="s">
        <v>311</v>
      </c>
      <c r="B95" s="21" t="s">
        <v>312</v>
      </c>
      <c r="C95" s="21" t="s">
        <v>255</v>
      </c>
      <c r="D95" s="21" t="s">
        <v>256</v>
      </c>
      <c r="E95" s="21" t="s">
        <v>135</v>
      </c>
      <c r="F95" s="22">
        <v>123</v>
      </c>
      <c r="G95" s="22">
        <v>21.4</v>
      </c>
      <c r="H95" s="22">
        <v>548</v>
      </c>
      <c r="I95" s="22">
        <v>135</v>
      </c>
      <c r="J95" s="22">
        <v>73</v>
      </c>
      <c r="K95" s="22">
        <v>123</v>
      </c>
      <c r="L95" s="22">
        <v>21.4</v>
      </c>
      <c r="M95" s="22">
        <v>11</v>
      </c>
      <c r="N95" s="23" t="str">
        <f t="shared" si="7"/>
        <v>Muy alto</v>
      </c>
      <c r="O95" s="23" t="str">
        <f t="shared" si="8"/>
        <v>Alto</v>
      </c>
      <c r="P95" s="23" t="str">
        <f t="shared" si="9"/>
        <v>Medio</v>
      </c>
      <c r="Q95" s="24">
        <f t="shared" si="10"/>
        <v>6.3084112149532716</v>
      </c>
      <c r="R95" s="23" t="str">
        <f t="shared" si="11"/>
        <v>Deseable</v>
      </c>
      <c r="S95" s="25" t="str">
        <f t="shared" si="12"/>
        <v>Utilizable</v>
      </c>
      <c r="T95" s="26" t="str">
        <f t="shared" si="13"/>
        <v>Carnes y Vísceras|00.000.548</v>
      </c>
      <c r="U95" s="26">
        <f>IF(OR($S95&lt;&gt;"Utilizable",$C95&lt;&gt;SUSTITUCION!$C$13),999999,IF(v_prioridad="Potasio",$H95,IF(v_prioridad="Fósforo",$I95,IF(v_prioridad="Sodio",$J95,IF(ISNUMBER($Q95),$Q95,999999)))))</f>
        <v>999999</v>
      </c>
    </row>
    <row r="96" spans="1:21" ht="15" customHeight="1">
      <c r="A96" s="21" t="s">
        <v>313</v>
      </c>
      <c r="B96" s="21" t="s">
        <v>314</v>
      </c>
      <c r="C96" s="21" t="s">
        <v>255</v>
      </c>
      <c r="D96" s="21" t="s">
        <v>256</v>
      </c>
      <c r="E96" s="21" t="s">
        <v>135</v>
      </c>
      <c r="F96" s="22">
        <v>134</v>
      </c>
      <c r="G96" s="22">
        <v>20.3</v>
      </c>
      <c r="H96" s="22">
        <v>537</v>
      </c>
      <c r="I96" s="22">
        <v>77</v>
      </c>
      <c r="J96" s="22">
        <v>76</v>
      </c>
      <c r="K96" s="22">
        <v>134</v>
      </c>
      <c r="L96" s="22">
        <v>20.3</v>
      </c>
      <c r="M96" s="22">
        <v>11</v>
      </c>
      <c r="N96" s="23" t="str">
        <f t="shared" si="7"/>
        <v>Muy alto</v>
      </c>
      <c r="O96" s="23" t="str">
        <f t="shared" si="8"/>
        <v>Medio</v>
      </c>
      <c r="P96" s="23" t="str">
        <f t="shared" si="9"/>
        <v>Medio</v>
      </c>
      <c r="Q96" s="24">
        <f t="shared" si="10"/>
        <v>3.7931034482758621</v>
      </c>
      <c r="R96" s="23" t="str">
        <f t="shared" si="11"/>
        <v>Deseable</v>
      </c>
      <c r="S96" s="25" t="str">
        <f t="shared" si="12"/>
        <v>Utilizable</v>
      </c>
      <c r="T96" s="26" t="str">
        <f t="shared" si="13"/>
        <v>Carnes y Vísceras|00.000.537</v>
      </c>
      <c r="U96" s="26">
        <f>IF(OR($S96&lt;&gt;"Utilizable",$C96&lt;&gt;SUSTITUCION!$C$13),999999,IF(v_prioridad="Potasio",$H96,IF(v_prioridad="Fósforo",$I96,IF(v_prioridad="Sodio",$J96,IF(ISNUMBER($Q96),$Q96,999999)))))</f>
        <v>999999</v>
      </c>
    </row>
    <row r="97" spans="1:21" ht="15" customHeight="1">
      <c r="A97" s="21" t="s">
        <v>315</v>
      </c>
      <c r="B97" s="21" t="s">
        <v>316</v>
      </c>
      <c r="C97" s="21" t="s">
        <v>255</v>
      </c>
      <c r="D97" s="21" t="s">
        <v>256</v>
      </c>
      <c r="E97" s="21" t="s">
        <v>135</v>
      </c>
      <c r="F97" s="22">
        <v>116</v>
      </c>
      <c r="G97" s="22">
        <v>22.2</v>
      </c>
      <c r="H97" s="22">
        <v>537</v>
      </c>
      <c r="I97" s="22">
        <v>108</v>
      </c>
      <c r="J97" s="22">
        <v>76</v>
      </c>
      <c r="K97" s="22">
        <v>116</v>
      </c>
      <c r="L97" s="22">
        <v>22.2</v>
      </c>
      <c r="M97" s="22">
        <v>10</v>
      </c>
      <c r="N97" s="23" t="str">
        <f t="shared" si="7"/>
        <v>Muy alto</v>
      </c>
      <c r="O97" s="23" t="str">
        <f t="shared" si="8"/>
        <v>Alto</v>
      </c>
      <c r="P97" s="23" t="str">
        <f t="shared" si="9"/>
        <v>Medio</v>
      </c>
      <c r="Q97" s="24">
        <f t="shared" si="10"/>
        <v>4.8648648648648649</v>
      </c>
      <c r="R97" s="23" t="str">
        <f t="shared" si="11"/>
        <v>Deseable</v>
      </c>
      <c r="S97" s="25" t="str">
        <f t="shared" si="12"/>
        <v>Utilizable</v>
      </c>
      <c r="T97" s="26" t="str">
        <f t="shared" si="13"/>
        <v>Carnes y Vísceras|00.000.537</v>
      </c>
      <c r="U97" s="26">
        <f>IF(OR($S97&lt;&gt;"Utilizable",$C97&lt;&gt;SUSTITUCION!$C$13),999999,IF(v_prioridad="Potasio",$H97,IF(v_prioridad="Fósforo",$I97,IF(v_prioridad="Sodio",$J97,IF(ISNUMBER($Q97),$Q97,999999)))))</f>
        <v>999999</v>
      </c>
    </row>
    <row r="98" spans="1:21" ht="15" customHeight="1">
      <c r="A98" s="21" t="s">
        <v>317</v>
      </c>
      <c r="B98" s="21" t="s">
        <v>318</v>
      </c>
      <c r="C98" s="21" t="s">
        <v>255</v>
      </c>
      <c r="D98" s="21" t="s">
        <v>256</v>
      </c>
      <c r="E98" s="21" t="s">
        <v>135</v>
      </c>
      <c r="F98" s="22">
        <v>130</v>
      </c>
      <c r="G98" s="22">
        <v>23.6</v>
      </c>
      <c r="H98" s="22">
        <v>523</v>
      </c>
      <c r="I98" s="22">
        <v>105</v>
      </c>
      <c r="J98" s="22">
        <v>86</v>
      </c>
      <c r="K98" s="22">
        <v>130</v>
      </c>
      <c r="L98" s="22">
        <v>23.6</v>
      </c>
      <c r="M98" s="22">
        <v>11</v>
      </c>
      <c r="N98" s="23" t="str">
        <f t="shared" si="7"/>
        <v>Muy alto</v>
      </c>
      <c r="O98" s="23" t="str">
        <f t="shared" si="8"/>
        <v>Alto</v>
      </c>
      <c r="P98" s="23" t="str">
        <f t="shared" si="9"/>
        <v>Medio</v>
      </c>
      <c r="Q98" s="24">
        <f t="shared" si="10"/>
        <v>4.4491525423728815</v>
      </c>
      <c r="R98" s="23" t="str">
        <f t="shared" si="11"/>
        <v>Deseable</v>
      </c>
      <c r="S98" s="25" t="str">
        <f t="shared" si="12"/>
        <v>Utilizable</v>
      </c>
      <c r="T98" s="26" t="str">
        <f t="shared" si="13"/>
        <v>Carnes y Vísceras|00.000.523</v>
      </c>
      <c r="U98" s="26">
        <f>IF(OR($S98&lt;&gt;"Utilizable",$C98&lt;&gt;SUSTITUCION!$C$13),999999,IF(v_prioridad="Potasio",$H98,IF(v_prioridad="Fósforo",$I98,IF(v_prioridad="Sodio",$J98,IF(ISNUMBER($Q98),$Q98,999999)))))</f>
        <v>999999</v>
      </c>
    </row>
    <row r="99" spans="1:21" ht="15" customHeight="1">
      <c r="A99" s="21" t="s">
        <v>319</v>
      </c>
      <c r="B99" s="21" t="s">
        <v>320</v>
      </c>
      <c r="C99" s="21" t="s">
        <v>255</v>
      </c>
      <c r="D99" s="21" t="s">
        <v>256</v>
      </c>
      <c r="E99" s="21" t="s">
        <v>135</v>
      </c>
      <c r="F99" s="22">
        <v>127</v>
      </c>
      <c r="G99" s="22">
        <v>21.2</v>
      </c>
      <c r="H99" s="22">
        <v>496</v>
      </c>
      <c r="I99" s="22">
        <v>115</v>
      </c>
      <c r="J99" s="22">
        <v>92</v>
      </c>
      <c r="K99" s="22">
        <v>127</v>
      </c>
      <c r="L99" s="22">
        <v>21.2</v>
      </c>
      <c r="M99" s="22">
        <v>10</v>
      </c>
      <c r="N99" s="23" t="str">
        <f t="shared" si="7"/>
        <v>Muy alto</v>
      </c>
      <c r="O99" s="23" t="str">
        <f t="shared" si="8"/>
        <v>Alto</v>
      </c>
      <c r="P99" s="23" t="str">
        <f t="shared" si="9"/>
        <v>Medio</v>
      </c>
      <c r="Q99" s="24">
        <f t="shared" si="10"/>
        <v>5.4245283018867925</v>
      </c>
      <c r="R99" s="23" t="str">
        <f t="shared" si="11"/>
        <v>Deseable</v>
      </c>
      <c r="S99" s="25" t="str">
        <f t="shared" si="12"/>
        <v>Utilizable</v>
      </c>
      <c r="T99" s="26" t="str">
        <f t="shared" si="13"/>
        <v>Carnes y Vísceras|00.000.496</v>
      </c>
      <c r="U99" s="26">
        <f>IF(OR($S99&lt;&gt;"Utilizable",$C99&lt;&gt;SUSTITUCION!$C$13),999999,IF(v_prioridad="Potasio",$H99,IF(v_prioridad="Fósforo",$I99,IF(v_prioridad="Sodio",$J99,IF(ISNUMBER($Q99),$Q99,999999)))))</f>
        <v>999999</v>
      </c>
    </row>
    <row r="100" spans="1:21" ht="15" customHeight="1">
      <c r="A100" s="21" t="s">
        <v>321</v>
      </c>
      <c r="B100" s="21" t="s">
        <v>322</v>
      </c>
      <c r="C100" s="21" t="s">
        <v>255</v>
      </c>
      <c r="D100" s="21" t="s">
        <v>256</v>
      </c>
      <c r="E100" s="21" t="s">
        <v>135</v>
      </c>
      <c r="F100" s="22">
        <v>145</v>
      </c>
      <c r="G100" s="22">
        <v>22.3</v>
      </c>
      <c r="H100" s="22">
        <v>546</v>
      </c>
      <c r="I100" s="22">
        <v>144</v>
      </c>
      <c r="J100" s="22">
        <v>129</v>
      </c>
      <c r="K100" s="22">
        <v>145</v>
      </c>
      <c r="L100" s="22">
        <v>22.3</v>
      </c>
      <c r="M100" s="22">
        <v>40</v>
      </c>
      <c r="N100" s="23" t="str">
        <f t="shared" si="7"/>
        <v>Muy alto</v>
      </c>
      <c r="O100" s="23" t="str">
        <f t="shared" si="8"/>
        <v>Alto</v>
      </c>
      <c r="P100" s="23" t="str">
        <f t="shared" si="9"/>
        <v>Alto</v>
      </c>
      <c r="Q100" s="24">
        <f t="shared" si="10"/>
        <v>6.4573991031390134</v>
      </c>
      <c r="R100" s="23" t="str">
        <f t="shared" si="11"/>
        <v>Deseable</v>
      </c>
      <c r="S100" s="25" t="str">
        <f t="shared" si="12"/>
        <v>Utilizable</v>
      </c>
      <c r="T100" s="26" t="str">
        <f t="shared" si="13"/>
        <v>Carnes y Vísceras|00.000.546</v>
      </c>
      <c r="U100" s="26">
        <f>IF(OR($S100&lt;&gt;"Utilizable",$C100&lt;&gt;SUSTITUCION!$C$13),999999,IF(v_prioridad="Potasio",$H100,IF(v_prioridad="Fósforo",$I100,IF(v_prioridad="Sodio",$J100,IF(ISNUMBER($Q100),$Q100,999999)))))</f>
        <v>999999</v>
      </c>
    </row>
    <row r="101" spans="1:21" ht="15" customHeight="1">
      <c r="A101" s="21" t="s">
        <v>323</v>
      </c>
      <c r="B101" s="21" t="s">
        <v>324</v>
      </c>
      <c r="C101" s="21" t="s">
        <v>255</v>
      </c>
      <c r="D101" s="21" t="s">
        <v>256</v>
      </c>
      <c r="E101" s="21" t="s">
        <v>135</v>
      </c>
      <c r="F101" s="22">
        <v>138</v>
      </c>
      <c r="G101" s="22">
        <v>23.6</v>
      </c>
      <c r="H101" s="22">
        <v>523</v>
      </c>
      <c r="I101" s="22">
        <v>105</v>
      </c>
      <c r="J101" s="22">
        <v>86</v>
      </c>
      <c r="K101" s="22">
        <v>138</v>
      </c>
      <c r="L101" s="22">
        <v>23.6</v>
      </c>
      <c r="M101" s="22">
        <v>11</v>
      </c>
      <c r="N101" s="23" t="str">
        <f t="shared" si="7"/>
        <v>Muy alto</v>
      </c>
      <c r="O101" s="23" t="str">
        <f t="shared" si="8"/>
        <v>Alto</v>
      </c>
      <c r="P101" s="23" t="str">
        <f t="shared" si="9"/>
        <v>Medio</v>
      </c>
      <c r="Q101" s="24">
        <f t="shared" si="10"/>
        <v>4.4491525423728815</v>
      </c>
      <c r="R101" s="23" t="str">
        <f t="shared" si="11"/>
        <v>Deseable</v>
      </c>
      <c r="S101" s="25" t="str">
        <f t="shared" si="12"/>
        <v>Utilizable</v>
      </c>
      <c r="T101" s="26" t="str">
        <f t="shared" si="13"/>
        <v>Carnes y Vísceras|00.000.523</v>
      </c>
      <c r="U101" s="26">
        <f>IF(OR($S101&lt;&gt;"Utilizable",$C101&lt;&gt;SUSTITUCION!$C$13),999999,IF(v_prioridad="Potasio",$H101,IF(v_prioridad="Fósforo",$I101,IF(v_prioridad="Sodio",$J101,IF(ISNUMBER($Q101),$Q101,999999)))))</f>
        <v>999999</v>
      </c>
    </row>
    <row r="102" spans="1:21" ht="15" customHeight="1">
      <c r="A102" s="21" t="s">
        <v>325</v>
      </c>
      <c r="B102" s="21" t="s">
        <v>326</v>
      </c>
      <c r="C102" s="21" t="s">
        <v>255</v>
      </c>
      <c r="D102" s="21" t="s">
        <v>256</v>
      </c>
      <c r="E102" s="21" t="s">
        <v>135</v>
      </c>
      <c r="F102" s="22">
        <v>174</v>
      </c>
      <c r="G102" s="22">
        <v>27.3</v>
      </c>
      <c r="H102" s="22">
        <v>315</v>
      </c>
      <c r="I102" s="22">
        <v>199</v>
      </c>
      <c r="J102" s="22">
        <v>58</v>
      </c>
      <c r="K102" s="22">
        <v>174</v>
      </c>
      <c r="L102" s="22">
        <v>27.3</v>
      </c>
      <c r="M102" s="22">
        <v>8</v>
      </c>
      <c r="N102" s="23" t="str">
        <f t="shared" si="7"/>
        <v>Muy alto</v>
      </c>
      <c r="O102" s="23" t="str">
        <f t="shared" si="8"/>
        <v>Muy alto</v>
      </c>
      <c r="P102" s="23" t="str">
        <f t="shared" si="9"/>
        <v>Medio</v>
      </c>
      <c r="Q102" s="24">
        <f t="shared" si="10"/>
        <v>7.2893772893772892</v>
      </c>
      <c r="R102" s="23" t="str">
        <f t="shared" si="11"/>
        <v>Deseable</v>
      </c>
      <c r="S102" s="25" t="str">
        <f t="shared" si="12"/>
        <v>Utilizable</v>
      </c>
      <c r="T102" s="26" t="str">
        <f t="shared" si="13"/>
        <v>Carnes y Vísceras|00.000.315</v>
      </c>
      <c r="U102" s="26">
        <f>IF(OR($S102&lt;&gt;"Utilizable",$C102&lt;&gt;SUSTITUCION!$C$13),999999,IF(v_prioridad="Potasio",$H102,IF(v_prioridad="Fósforo",$I102,IF(v_prioridad="Sodio",$J102,IF(ISNUMBER($Q102),$Q102,999999)))))</f>
        <v>999999</v>
      </c>
    </row>
    <row r="103" spans="1:21" ht="15" customHeight="1">
      <c r="A103" s="21" t="s">
        <v>327</v>
      </c>
      <c r="B103" s="21" t="s">
        <v>328</v>
      </c>
      <c r="C103" s="21" t="s">
        <v>255</v>
      </c>
      <c r="D103" s="21" t="s">
        <v>256</v>
      </c>
      <c r="E103" s="21" t="s">
        <v>135</v>
      </c>
      <c r="F103" s="22">
        <v>176</v>
      </c>
      <c r="G103" s="22">
        <v>20</v>
      </c>
      <c r="H103" s="22">
        <v>321</v>
      </c>
      <c r="I103" s="22">
        <v>184</v>
      </c>
      <c r="J103" s="22">
        <v>66</v>
      </c>
      <c r="K103" s="22">
        <v>176</v>
      </c>
      <c r="L103" s="22">
        <v>20</v>
      </c>
      <c r="M103" s="22">
        <v>12</v>
      </c>
      <c r="N103" s="23" t="str">
        <f t="shared" si="7"/>
        <v>Muy alto</v>
      </c>
      <c r="O103" s="23" t="str">
        <f t="shared" si="8"/>
        <v>Muy alto</v>
      </c>
      <c r="P103" s="23" t="str">
        <f t="shared" si="9"/>
        <v>Medio</v>
      </c>
      <c r="Q103" s="24">
        <f t="shared" si="10"/>
        <v>9.1999999999999993</v>
      </c>
      <c r="R103" s="23" t="str">
        <f t="shared" si="11"/>
        <v>Deseable</v>
      </c>
      <c r="S103" s="25" t="str">
        <f t="shared" si="12"/>
        <v>Utilizable</v>
      </c>
      <c r="T103" s="26" t="str">
        <f t="shared" si="13"/>
        <v>Carnes y Vísceras|00.000.321</v>
      </c>
      <c r="U103" s="26">
        <f>IF(OR($S103&lt;&gt;"Utilizable",$C103&lt;&gt;SUSTITUCION!$C$13),999999,IF(v_prioridad="Potasio",$H103,IF(v_prioridad="Fósforo",$I103,IF(v_prioridad="Sodio",$J103,IF(ISNUMBER($Q103),$Q103,999999)))))</f>
        <v>999999</v>
      </c>
    </row>
    <row r="104" spans="1:21" ht="15" customHeight="1">
      <c r="A104" s="21" t="s">
        <v>329</v>
      </c>
      <c r="B104" s="21" t="s">
        <v>330</v>
      </c>
      <c r="C104" s="21" t="s">
        <v>255</v>
      </c>
      <c r="D104" s="21" t="s">
        <v>256</v>
      </c>
      <c r="E104" s="21" t="s">
        <v>135</v>
      </c>
      <c r="F104" s="22">
        <v>98</v>
      </c>
      <c r="G104" s="22">
        <v>14.5</v>
      </c>
      <c r="H104" s="22">
        <v>270</v>
      </c>
      <c r="I104" s="22">
        <v>79</v>
      </c>
      <c r="J104" s="22">
        <v>46</v>
      </c>
      <c r="K104" s="22">
        <v>98</v>
      </c>
      <c r="L104" s="22">
        <v>14.5</v>
      </c>
      <c r="M104" s="22">
        <v>9</v>
      </c>
      <c r="N104" s="23" t="str">
        <f t="shared" si="7"/>
        <v>Alto</v>
      </c>
      <c r="O104" s="23" t="str">
        <f t="shared" si="8"/>
        <v>Medio</v>
      </c>
      <c r="P104" s="23" t="str">
        <f t="shared" si="9"/>
        <v>Medio</v>
      </c>
      <c r="Q104" s="24">
        <f t="shared" si="10"/>
        <v>5.4482758620689653</v>
      </c>
      <c r="R104" s="23" t="str">
        <f t="shared" si="11"/>
        <v>Deseable</v>
      </c>
      <c r="S104" s="25" t="str">
        <f t="shared" si="12"/>
        <v>Utilizable</v>
      </c>
      <c r="T104" s="26" t="str">
        <f t="shared" si="13"/>
        <v>Carnes y Vísceras|00.000.270</v>
      </c>
      <c r="U104" s="26">
        <f>IF(OR($S104&lt;&gt;"Utilizable",$C104&lt;&gt;SUSTITUCION!$C$13),999999,IF(v_prioridad="Potasio",$H104,IF(v_prioridad="Fósforo",$I104,IF(v_prioridad="Sodio",$J104,IF(ISNUMBER($Q104),$Q104,999999)))))</f>
        <v>999999</v>
      </c>
    </row>
    <row r="105" spans="1:21" ht="15" customHeight="1">
      <c r="A105" s="21" t="s">
        <v>331</v>
      </c>
      <c r="B105" s="21" t="s">
        <v>332</v>
      </c>
      <c r="C105" s="21" t="s">
        <v>255</v>
      </c>
      <c r="D105" s="21" t="s">
        <v>256</v>
      </c>
      <c r="E105" s="21" t="s">
        <v>135</v>
      </c>
      <c r="F105" s="22">
        <v>146</v>
      </c>
      <c r="G105" s="22">
        <v>27.1</v>
      </c>
      <c r="H105" s="22">
        <v>240</v>
      </c>
      <c r="I105" s="22">
        <v>105</v>
      </c>
      <c r="J105" s="22">
        <v>65</v>
      </c>
      <c r="K105" s="22">
        <v>146</v>
      </c>
      <c r="L105" s="22">
        <v>27.1</v>
      </c>
      <c r="M105" s="22">
        <v>10</v>
      </c>
      <c r="N105" s="23" t="str">
        <f t="shared" si="7"/>
        <v>Alto</v>
      </c>
      <c r="O105" s="23" t="str">
        <f t="shared" si="8"/>
        <v>Alto</v>
      </c>
      <c r="P105" s="23" t="str">
        <f t="shared" si="9"/>
        <v>Medio</v>
      </c>
      <c r="Q105" s="24">
        <f t="shared" si="10"/>
        <v>3.8745387453874538</v>
      </c>
      <c r="R105" s="23" t="str">
        <f t="shared" si="11"/>
        <v>Deseable</v>
      </c>
      <c r="S105" s="25" t="str">
        <f t="shared" si="12"/>
        <v>Utilizable</v>
      </c>
      <c r="T105" s="26" t="str">
        <f t="shared" si="13"/>
        <v>Carnes y Vísceras|00.000.240</v>
      </c>
      <c r="U105" s="26">
        <f>IF(OR($S105&lt;&gt;"Utilizable",$C105&lt;&gt;SUSTITUCION!$C$13),999999,IF(v_prioridad="Potasio",$H105,IF(v_prioridad="Fósforo",$I105,IF(v_prioridad="Sodio",$J105,IF(ISNUMBER($Q105),$Q105,999999)))))</f>
        <v>999999</v>
      </c>
    </row>
    <row r="106" spans="1:21" ht="15" customHeight="1">
      <c r="A106" s="21" t="s">
        <v>333</v>
      </c>
      <c r="B106" s="21" t="s">
        <v>334</v>
      </c>
      <c r="C106" s="21" t="s">
        <v>255</v>
      </c>
      <c r="D106" s="21" t="s">
        <v>256</v>
      </c>
      <c r="E106" s="21" t="s">
        <v>135</v>
      </c>
      <c r="F106" s="22">
        <v>185</v>
      </c>
      <c r="G106" s="22">
        <v>26.4</v>
      </c>
      <c r="H106" s="22">
        <v>132</v>
      </c>
      <c r="I106" s="22">
        <v>199</v>
      </c>
      <c r="J106" s="22">
        <v>48</v>
      </c>
      <c r="K106" s="22">
        <v>185</v>
      </c>
      <c r="L106" s="22">
        <v>26.4</v>
      </c>
      <c r="M106" s="22">
        <v>19</v>
      </c>
      <c r="N106" s="23" t="str">
        <f t="shared" si="7"/>
        <v>Medio</v>
      </c>
      <c r="O106" s="23" t="str">
        <f t="shared" si="8"/>
        <v>Muy alto</v>
      </c>
      <c r="P106" s="23" t="str">
        <f t="shared" si="9"/>
        <v>Medio</v>
      </c>
      <c r="Q106" s="24">
        <f t="shared" si="10"/>
        <v>7.5378787878787881</v>
      </c>
      <c r="R106" s="23" t="str">
        <f t="shared" si="11"/>
        <v>Deseable</v>
      </c>
      <c r="S106" s="25" t="str">
        <f t="shared" si="12"/>
        <v>Utilizable</v>
      </c>
      <c r="T106" s="26" t="str">
        <f t="shared" si="13"/>
        <v>Carnes y Vísceras|00.000.132</v>
      </c>
      <c r="U106" s="26">
        <f>IF(OR($S106&lt;&gt;"Utilizable",$C106&lt;&gt;SUSTITUCION!$C$13),999999,IF(v_prioridad="Potasio",$H106,IF(v_prioridad="Fósforo",$I106,IF(v_prioridad="Sodio",$J106,IF(ISNUMBER($Q106),$Q106,999999)))))</f>
        <v>999999</v>
      </c>
    </row>
    <row r="107" spans="1:21" ht="15" customHeight="1">
      <c r="A107" s="21" t="s">
        <v>335</v>
      </c>
      <c r="B107" s="21" t="s">
        <v>336</v>
      </c>
      <c r="C107" s="21" t="s">
        <v>255</v>
      </c>
      <c r="D107" s="21" t="s">
        <v>256</v>
      </c>
      <c r="E107" s="21" t="s">
        <v>135</v>
      </c>
      <c r="F107" s="22">
        <v>144</v>
      </c>
      <c r="G107" s="22">
        <v>25.5</v>
      </c>
      <c r="H107" s="22">
        <v>179</v>
      </c>
      <c r="I107" s="22">
        <v>306</v>
      </c>
      <c r="J107" s="22">
        <v>133</v>
      </c>
      <c r="K107" s="22">
        <v>144</v>
      </c>
      <c r="L107" s="22">
        <v>25.5</v>
      </c>
      <c r="M107" s="22">
        <v>17.100000000000001</v>
      </c>
      <c r="N107" s="23" t="str">
        <f t="shared" si="7"/>
        <v>Medio</v>
      </c>
      <c r="O107" s="23" t="str">
        <f t="shared" si="8"/>
        <v>Muy alto</v>
      </c>
      <c r="P107" s="23" t="str">
        <f t="shared" si="9"/>
        <v>Alto</v>
      </c>
      <c r="Q107" s="24">
        <f t="shared" si="10"/>
        <v>12</v>
      </c>
      <c r="R107" s="23" t="str">
        <f t="shared" si="11"/>
        <v>Deseable</v>
      </c>
      <c r="S107" s="25" t="str">
        <f t="shared" si="12"/>
        <v>Utilizable</v>
      </c>
      <c r="T107" s="26" t="str">
        <f t="shared" si="13"/>
        <v>Carnes y Vísceras|00.000.179</v>
      </c>
      <c r="U107" s="26">
        <f>IF(OR($S107&lt;&gt;"Utilizable",$C107&lt;&gt;SUSTITUCION!$C$13),999999,IF(v_prioridad="Potasio",$H107,IF(v_prioridad="Fósforo",$I107,IF(v_prioridad="Sodio",$J107,IF(ISNUMBER($Q107),$Q107,999999)))))</f>
        <v>999999</v>
      </c>
    </row>
    <row r="108" spans="1:21" ht="15" customHeight="1">
      <c r="A108" s="21" t="s">
        <v>337</v>
      </c>
      <c r="B108" s="21" t="s">
        <v>338</v>
      </c>
      <c r="C108" s="21" t="s">
        <v>255</v>
      </c>
      <c r="D108" s="21" t="s">
        <v>256</v>
      </c>
      <c r="E108" s="21" t="s">
        <v>135</v>
      </c>
      <c r="F108" s="22">
        <v>66</v>
      </c>
      <c r="G108" s="22">
        <v>13.1</v>
      </c>
      <c r="H108" s="22">
        <v>255</v>
      </c>
      <c r="I108" s="22">
        <v>184</v>
      </c>
      <c r="J108" s="22">
        <v>163</v>
      </c>
      <c r="K108" s="22">
        <v>66</v>
      </c>
      <c r="L108" s="22">
        <v>13.1</v>
      </c>
      <c r="M108" s="22">
        <v>7</v>
      </c>
      <c r="N108" s="23" t="str">
        <f t="shared" si="7"/>
        <v>Alto</v>
      </c>
      <c r="O108" s="23" t="str">
        <f t="shared" si="8"/>
        <v>Muy alto</v>
      </c>
      <c r="P108" s="23" t="str">
        <f t="shared" si="9"/>
        <v>Alto</v>
      </c>
      <c r="Q108" s="24">
        <f t="shared" si="10"/>
        <v>14.045801526717558</v>
      </c>
      <c r="R108" s="23" t="str">
        <f t="shared" si="11"/>
        <v>Aceptable</v>
      </c>
      <c r="S108" s="25" t="str">
        <f t="shared" si="12"/>
        <v>Utilizable</v>
      </c>
      <c r="T108" s="26" t="str">
        <f t="shared" si="13"/>
        <v>Carnes y Vísceras|00.000.255</v>
      </c>
      <c r="U108" s="26">
        <f>IF(OR($S108&lt;&gt;"Utilizable",$C108&lt;&gt;SUSTITUCION!$C$13),999999,IF(v_prioridad="Potasio",$H108,IF(v_prioridad="Fósforo",$I108,IF(v_prioridad="Sodio",$J108,IF(ISNUMBER($Q108),$Q108,999999)))))</f>
        <v>999999</v>
      </c>
    </row>
    <row r="109" spans="1:21" ht="15" customHeight="1">
      <c r="A109" s="21" t="s">
        <v>339</v>
      </c>
      <c r="B109" s="21" t="s">
        <v>340</v>
      </c>
      <c r="C109" s="21" t="s">
        <v>255</v>
      </c>
      <c r="D109" s="21" t="s">
        <v>256</v>
      </c>
      <c r="E109" s="21" t="s">
        <v>135</v>
      </c>
      <c r="F109" s="22">
        <v>403</v>
      </c>
      <c r="G109" s="22">
        <v>27.4</v>
      </c>
      <c r="H109" s="22" t="s">
        <v>138</v>
      </c>
      <c r="I109" s="22" t="s">
        <v>138</v>
      </c>
      <c r="J109" s="22">
        <v>417</v>
      </c>
      <c r="K109" s="22">
        <v>403</v>
      </c>
      <c r="L109" s="22">
        <v>27.4</v>
      </c>
      <c r="M109" s="22" t="s">
        <v>138</v>
      </c>
      <c r="N109" s="23" t="str">
        <f t="shared" si="7"/>
        <v>Sin dato</v>
      </c>
      <c r="O109" s="23" t="str">
        <f t="shared" si="8"/>
        <v>Sin dato</v>
      </c>
      <c r="P109" s="23" t="str">
        <f t="shared" si="9"/>
        <v>Muy alto</v>
      </c>
      <c r="Q109" s="24" t="str">
        <f t="shared" si="10"/>
        <v>N/C</v>
      </c>
      <c r="R109" s="23" t="str">
        <f t="shared" si="11"/>
        <v>N/C</v>
      </c>
      <c r="S109" s="25" t="str">
        <f t="shared" si="12"/>
        <v>No utilizable</v>
      </c>
      <c r="T109" s="26" t="str">
        <f t="shared" si="13"/>
        <v/>
      </c>
      <c r="U109" s="26">
        <f>IF(OR($S109&lt;&gt;"Utilizable",$C109&lt;&gt;SUSTITUCION!$C$13),999999,IF(v_prioridad="Potasio",$H109,IF(v_prioridad="Fósforo",$I109,IF(v_prioridad="Sodio",$J109,IF(ISNUMBER($Q109),$Q109,999999)))))</f>
        <v>999999</v>
      </c>
    </row>
    <row r="110" spans="1:21" ht="15" customHeight="1">
      <c r="A110" s="21" t="s">
        <v>341</v>
      </c>
      <c r="B110" s="21" t="s">
        <v>342</v>
      </c>
      <c r="C110" s="21" t="s">
        <v>255</v>
      </c>
      <c r="D110" s="21" t="s">
        <v>256</v>
      </c>
      <c r="E110" s="21" t="s">
        <v>135</v>
      </c>
      <c r="F110" s="22">
        <v>350</v>
      </c>
      <c r="G110" s="22">
        <v>50</v>
      </c>
      <c r="H110" s="22" t="s">
        <v>138</v>
      </c>
      <c r="I110" s="22" t="s">
        <v>138</v>
      </c>
      <c r="J110" s="22">
        <v>15</v>
      </c>
      <c r="K110" s="22">
        <v>350</v>
      </c>
      <c r="L110" s="22">
        <v>50</v>
      </c>
      <c r="M110" s="22" t="s">
        <v>138</v>
      </c>
      <c r="N110" s="23" t="str">
        <f t="shared" si="7"/>
        <v>Sin dato</v>
      </c>
      <c r="O110" s="23" t="str">
        <f t="shared" si="8"/>
        <v>Sin dato</v>
      </c>
      <c r="P110" s="23" t="str">
        <f t="shared" si="9"/>
        <v>Bajo</v>
      </c>
      <c r="Q110" s="24" t="str">
        <f t="shared" si="10"/>
        <v>N/C</v>
      </c>
      <c r="R110" s="23" t="str">
        <f t="shared" si="11"/>
        <v>N/C</v>
      </c>
      <c r="S110" s="25" t="str">
        <f t="shared" si="12"/>
        <v>No utilizable</v>
      </c>
      <c r="T110" s="26" t="str">
        <f t="shared" si="13"/>
        <v/>
      </c>
      <c r="U110" s="26">
        <f>IF(OR($S110&lt;&gt;"Utilizable",$C110&lt;&gt;SUSTITUCION!$C$13),999999,IF(v_prioridad="Potasio",$H110,IF(v_prioridad="Fósforo",$I110,IF(v_prioridad="Sodio",$J110,IF(ISNUMBER($Q110),$Q110,999999)))))</f>
        <v>999999</v>
      </c>
    </row>
    <row r="111" spans="1:21" ht="15" customHeight="1">
      <c r="A111" s="21" t="s">
        <v>343</v>
      </c>
      <c r="B111" s="21" t="s">
        <v>344</v>
      </c>
      <c r="C111" s="21" t="s">
        <v>255</v>
      </c>
      <c r="D111" s="21" t="s">
        <v>256</v>
      </c>
      <c r="E111" s="21" t="s">
        <v>135</v>
      </c>
      <c r="F111" s="22">
        <v>382</v>
      </c>
      <c r="G111" s="22">
        <v>75.599999999999994</v>
      </c>
      <c r="H111" s="22" t="s">
        <v>138</v>
      </c>
      <c r="I111" s="22" t="s">
        <v>138</v>
      </c>
      <c r="J111" s="22">
        <v>1477</v>
      </c>
      <c r="K111" s="22">
        <v>382</v>
      </c>
      <c r="L111" s="22">
        <v>75.599999999999994</v>
      </c>
      <c r="M111" s="22" t="s">
        <v>138</v>
      </c>
      <c r="N111" s="23" t="str">
        <f t="shared" si="7"/>
        <v>Sin dato</v>
      </c>
      <c r="O111" s="23" t="str">
        <f t="shared" si="8"/>
        <v>Sin dato</v>
      </c>
      <c r="P111" s="23" t="str">
        <f t="shared" si="9"/>
        <v>Muy alto</v>
      </c>
      <c r="Q111" s="24" t="str">
        <f t="shared" si="10"/>
        <v>N/C</v>
      </c>
      <c r="R111" s="23" t="str">
        <f t="shared" si="11"/>
        <v>N/C</v>
      </c>
      <c r="S111" s="25" t="str">
        <f t="shared" si="12"/>
        <v>No utilizable</v>
      </c>
      <c r="T111" s="26" t="str">
        <f t="shared" si="13"/>
        <v/>
      </c>
      <c r="U111" s="26">
        <f>IF(OR($S111&lt;&gt;"Utilizable",$C111&lt;&gt;SUSTITUCION!$C$13),999999,IF(v_prioridad="Potasio",$H111,IF(v_prioridad="Fósforo",$I111,IF(v_prioridad="Sodio",$J111,IF(ISNUMBER($Q111),$Q111,999999)))))</f>
        <v>999999</v>
      </c>
    </row>
    <row r="112" spans="1:21" ht="15" customHeight="1">
      <c r="A112" s="21" t="s">
        <v>345</v>
      </c>
      <c r="B112" s="21" t="s">
        <v>346</v>
      </c>
      <c r="C112" s="21" t="s">
        <v>255</v>
      </c>
      <c r="D112" s="21" t="s">
        <v>256</v>
      </c>
      <c r="E112" s="21" t="s">
        <v>135</v>
      </c>
      <c r="F112" s="22">
        <v>212</v>
      </c>
      <c r="G112" s="22">
        <v>15.2</v>
      </c>
      <c r="H112" s="22" t="s">
        <v>138</v>
      </c>
      <c r="I112" s="22" t="s">
        <v>138</v>
      </c>
      <c r="J112" s="22">
        <v>796</v>
      </c>
      <c r="K112" s="22">
        <v>212</v>
      </c>
      <c r="L112" s="22">
        <v>15.2</v>
      </c>
      <c r="M112" s="22" t="s">
        <v>138</v>
      </c>
      <c r="N112" s="23" t="str">
        <f t="shared" si="7"/>
        <v>Sin dato</v>
      </c>
      <c r="O112" s="23" t="str">
        <f t="shared" si="8"/>
        <v>Sin dato</v>
      </c>
      <c r="P112" s="23" t="str">
        <f t="shared" si="9"/>
        <v>Muy alto</v>
      </c>
      <c r="Q112" s="24" t="str">
        <f t="shared" si="10"/>
        <v>N/C</v>
      </c>
      <c r="R112" s="23" t="str">
        <f t="shared" si="11"/>
        <v>N/C</v>
      </c>
      <c r="S112" s="25" t="str">
        <f t="shared" si="12"/>
        <v>No utilizable</v>
      </c>
      <c r="T112" s="26" t="str">
        <f t="shared" si="13"/>
        <v/>
      </c>
      <c r="U112" s="26">
        <f>IF(OR($S112&lt;&gt;"Utilizable",$C112&lt;&gt;SUSTITUCION!$C$13),999999,IF(v_prioridad="Potasio",$H112,IF(v_prioridad="Fósforo",$I112,IF(v_prioridad="Sodio",$J112,IF(ISNUMBER($Q112),$Q112,999999)))))</f>
        <v>999999</v>
      </c>
    </row>
    <row r="113" spans="1:21" ht="15" customHeight="1">
      <c r="A113" s="21" t="s">
        <v>347</v>
      </c>
      <c r="B113" s="21" t="s">
        <v>348</v>
      </c>
      <c r="C113" s="21" t="s">
        <v>255</v>
      </c>
      <c r="D113" s="21" t="s">
        <v>256</v>
      </c>
      <c r="E113" s="21" t="s">
        <v>135</v>
      </c>
      <c r="F113" s="22">
        <v>405</v>
      </c>
      <c r="G113" s="22">
        <v>13.7</v>
      </c>
      <c r="H113" s="22" t="s">
        <v>138</v>
      </c>
      <c r="I113" s="22" t="s">
        <v>138</v>
      </c>
      <c r="J113" s="22">
        <v>609</v>
      </c>
      <c r="K113" s="22">
        <v>405</v>
      </c>
      <c r="L113" s="22">
        <v>13.7</v>
      </c>
      <c r="M113" s="22" t="s">
        <v>138</v>
      </c>
      <c r="N113" s="23" t="str">
        <f t="shared" si="7"/>
        <v>Sin dato</v>
      </c>
      <c r="O113" s="23" t="str">
        <f t="shared" si="8"/>
        <v>Sin dato</v>
      </c>
      <c r="P113" s="23" t="str">
        <f t="shared" si="9"/>
        <v>Muy alto</v>
      </c>
      <c r="Q113" s="24" t="str">
        <f t="shared" si="10"/>
        <v>N/C</v>
      </c>
      <c r="R113" s="23" t="str">
        <f t="shared" si="11"/>
        <v>N/C</v>
      </c>
      <c r="S113" s="25" t="str">
        <f t="shared" si="12"/>
        <v>No utilizable</v>
      </c>
      <c r="T113" s="26" t="str">
        <f t="shared" si="13"/>
        <v/>
      </c>
      <c r="U113" s="26">
        <f>IF(OR($S113&lt;&gt;"Utilizable",$C113&lt;&gt;SUSTITUCION!$C$13),999999,IF(v_prioridad="Potasio",$H113,IF(v_prioridad="Fósforo",$I113,IF(v_prioridad="Sodio",$J113,IF(ISNUMBER($Q113),$Q113,999999)))))</f>
        <v>999999</v>
      </c>
    </row>
    <row r="114" spans="1:21" ht="15" customHeight="1">
      <c r="A114" s="21" t="s">
        <v>349</v>
      </c>
      <c r="B114" s="21" t="s">
        <v>350</v>
      </c>
      <c r="C114" s="21" t="s">
        <v>255</v>
      </c>
      <c r="D114" s="21" t="s">
        <v>256</v>
      </c>
      <c r="E114" s="21" t="s">
        <v>135</v>
      </c>
      <c r="F114" s="22">
        <v>220</v>
      </c>
      <c r="G114" s="22">
        <v>30.6</v>
      </c>
      <c r="H114" s="22">
        <v>221</v>
      </c>
      <c r="I114" s="22">
        <v>420</v>
      </c>
      <c r="J114" s="22">
        <v>56</v>
      </c>
      <c r="K114" s="22">
        <v>220</v>
      </c>
      <c r="L114" s="22">
        <v>30.6</v>
      </c>
      <c r="M114" s="22">
        <v>8</v>
      </c>
      <c r="N114" s="23" t="str">
        <f t="shared" si="7"/>
        <v>Alto</v>
      </c>
      <c r="O114" s="23" t="str">
        <f t="shared" si="8"/>
        <v>Muy alto</v>
      </c>
      <c r="P114" s="23" t="str">
        <f t="shared" si="9"/>
        <v>Medio</v>
      </c>
      <c r="Q114" s="24">
        <f t="shared" si="10"/>
        <v>13.725490196078431</v>
      </c>
      <c r="R114" s="23" t="str">
        <f t="shared" si="11"/>
        <v>Aceptable</v>
      </c>
      <c r="S114" s="25" t="str">
        <f t="shared" si="12"/>
        <v>Utilizable</v>
      </c>
      <c r="T114" s="26" t="str">
        <f t="shared" si="13"/>
        <v>Carnes y Vísceras|00.000.221</v>
      </c>
      <c r="U114" s="26">
        <f>IF(OR($S114&lt;&gt;"Utilizable",$C114&lt;&gt;SUSTITUCION!$C$13),999999,IF(v_prioridad="Potasio",$H114,IF(v_prioridad="Fósforo",$I114,IF(v_prioridad="Sodio",$J114,IF(ISNUMBER($Q114),$Q114,999999)))))</f>
        <v>999999</v>
      </c>
    </row>
    <row r="115" spans="1:21" ht="15" customHeight="1">
      <c r="A115" s="21" t="s">
        <v>351</v>
      </c>
      <c r="B115" s="21" t="s">
        <v>352</v>
      </c>
      <c r="C115" s="21" t="s">
        <v>255</v>
      </c>
      <c r="D115" s="21" t="s">
        <v>256</v>
      </c>
      <c r="E115" s="21" t="s">
        <v>135</v>
      </c>
      <c r="F115" s="22">
        <v>167</v>
      </c>
      <c r="G115" s="22">
        <v>24.5</v>
      </c>
      <c r="H115" s="22">
        <v>263</v>
      </c>
      <c r="I115" s="22">
        <v>405</v>
      </c>
      <c r="J115" s="22">
        <v>76</v>
      </c>
      <c r="K115" s="22">
        <v>167</v>
      </c>
      <c r="L115" s="22">
        <v>24.5</v>
      </c>
      <c r="M115" s="22">
        <v>11</v>
      </c>
      <c r="N115" s="23" t="str">
        <f t="shared" si="7"/>
        <v>Alto</v>
      </c>
      <c r="O115" s="23" t="str">
        <f t="shared" si="8"/>
        <v>Muy alto</v>
      </c>
      <c r="P115" s="23" t="str">
        <f t="shared" si="9"/>
        <v>Medio</v>
      </c>
      <c r="Q115" s="24">
        <f t="shared" si="10"/>
        <v>16.530612244897959</v>
      </c>
      <c r="R115" s="23" t="str">
        <f t="shared" si="11"/>
        <v>Alta</v>
      </c>
      <c r="S115" s="25" t="str">
        <f t="shared" si="12"/>
        <v>Utilizable</v>
      </c>
      <c r="T115" s="26" t="str">
        <f t="shared" si="13"/>
        <v>Carnes y Vísceras|00.000.263</v>
      </c>
      <c r="U115" s="26">
        <f>IF(OR($S115&lt;&gt;"Utilizable",$C115&lt;&gt;SUSTITUCION!$C$13),999999,IF(v_prioridad="Potasio",$H115,IF(v_prioridad="Fósforo",$I115,IF(v_prioridad="Sodio",$J115,IF(ISNUMBER($Q115),$Q115,999999)))))</f>
        <v>999999</v>
      </c>
    </row>
    <row r="116" spans="1:21" ht="15" customHeight="1">
      <c r="A116" s="21" t="s">
        <v>353</v>
      </c>
      <c r="B116" s="21" t="s">
        <v>354</v>
      </c>
      <c r="C116" s="21" t="s">
        <v>255</v>
      </c>
      <c r="D116" s="21" t="s">
        <v>256</v>
      </c>
      <c r="E116" s="21" t="s">
        <v>135</v>
      </c>
      <c r="F116" s="22">
        <v>191</v>
      </c>
      <c r="G116" s="22">
        <v>29.1</v>
      </c>
      <c r="H116" s="22">
        <v>352</v>
      </c>
      <c r="I116" s="22">
        <v>497</v>
      </c>
      <c r="J116" s="22">
        <v>79</v>
      </c>
      <c r="K116" s="22">
        <v>191</v>
      </c>
      <c r="L116" s="22">
        <v>29.1</v>
      </c>
      <c r="M116" s="22">
        <v>6</v>
      </c>
      <c r="N116" s="23" t="str">
        <f t="shared" si="7"/>
        <v>Muy alto</v>
      </c>
      <c r="O116" s="23" t="str">
        <f t="shared" si="8"/>
        <v>Muy alto</v>
      </c>
      <c r="P116" s="23" t="str">
        <f t="shared" si="9"/>
        <v>Medio</v>
      </c>
      <c r="Q116" s="24">
        <f t="shared" si="10"/>
        <v>17.079037800687285</v>
      </c>
      <c r="R116" s="23" t="str">
        <f t="shared" si="11"/>
        <v>Alta</v>
      </c>
      <c r="S116" s="25" t="str">
        <f t="shared" si="12"/>
        <v>Utilizable</v>
      </c>
      <c r="T116" s="26" t="str">
        <f t="shared" si="13"/>
        <v>Carnes y Vísceras|00.000.352</v>
      </c>
      <c r="U116" s="26">
        <f>IF(OR($S116&lt;&gt;"Utilizable",$C116&lt;&gt;SUSTITUCION!$C$13),999999,IF(v_prioridad="Potasio",$H116,IF(v_prioridad="Fósforo",$I116,IF(v_prioridad="Sodio",$J116,IF(ISNUMBER($Q116),$Q116,999999)))))</f>
        <v>999999</v>
      </c>
    </row>
    <row r="117" spans="1:21" ht="15" customHeight="1">
      <c r="A117" s="21" t="s">
        <v>355</v>
      </c>
      <c r="B117" s="21" t="s">
        <v>356</v>
      </c>
      <c r="C117" s="21" t="s">
        <v>255</v>
      </c>
      <c r="D117" s="21" t="s">
        <v>256</v>
      </c>
      <c r="E117" s="21" t="s">
        <v>135</v>
      </c>
      <c r="F117" s="22">
        <v>244</v>
      </c>
      <c r="G117" s="22">
        <v>20.100000000000001</v>
      </c>
      <c r="H117" s="22" t="s">
        <v>138</v>
      </c>
      <c r="I117" s="22" t="s">
        <v>138</v>
      </c>
      <c r="J117" s="22">
        <v>362</v>
      </c>
      <c r="K117" s="22">
        <v>244</v>
      </c>
      <c r="L117" s="22">
        <v>20.100000000000001</v>
      </c>
      <c r="M117" s="22" t="s">
        <v>138</v>
      </c>
      <c r="N117" s="23" t="str">
        <f t="shared" si="7"/>
        <v>Sin dato</v>
      </c>
      <c r="O117" s="23" t="str">
        <f t="shared" si="8"/>
        <v>Sin dato</v>
      </c>
      <c r="P117" s="23" t="str">
        <f t="shared" si="9"/>
        <v>Alto</v>
      </c>
      <c r="Q117" s="24" t="str">
        <f t="shared" si="10"/>
        <v>N/C</v>
      </c>
      <c r="R117" s="23" t="str">
        <f t="shared" si="11"/>
        <v>N/C</v>
      </c>
      <c r="S117" s="25" t="str">
        <f t="shared" si="12"/>
        <v>No utilizable</v>
      </c>
      <c r="T117" s="26" t="str">
        <f t="shared" si="13"/>
        <v/>
      </c>
      <c r="U117" s="26">
        <f>IF(OR($S117&lt;&gt;"Utilizable",$C117&lt;&gt;SUSTITUCION!$C$13),999999,IF(v_prioridad="Potasio",$H117,IF(v_prioridad="Fósforo",$I117,IF(v_prioridad="Sodio",$J117,IF(ISNUMBER($Q117),$Q117,999999)))))</f>
        <v>999999</v>
      </c>
    </row>
    <row r="118" spans="1:21" ht="15" customHeight="1">
      <c r="A118" s="21" t="s">
        <v>357</v>
      </c>
      <c r="B118" s="21" t="s">
        <v>358</v>
      </c>
      <c r="C118" s="21" t="s">
        <v>255</v>
      </c>
      <c r="D118" s="21" t="s">
        <v>256</v>
      </c>
      <c r="E118" s="21" t="s">
        <v>135</v>
      </c>
      <c r="F118" s="22">
        <v>284</v>
      </c>
      <c r="G118" s="22">
        <v>19.3</v>
      </c>
      <c r="H118" s="22">
        <v>184</v>
      </c>
      <c r="I118" s="22">
        <v>145</v>
      </c>
      <c r="J118" s="22">
        <v>65</v>
      </c>
      <c r="K118" s="22">
        <v>284</v>
      </c>
      <c r="L118" s="22">
        <v>19.3</v>
      </c>
      <c r="M118" s="22">
        <v>5</v>
      </c>
      <c r="N118" s="23" t="str">
        <f t="shared" si="7"/>
        <v>Medio</v>
      </c>
      <c r="O118" s="23" t="str">
        <f t="shared" si="8"/>
        <v>Alto</v>
      </c>
      <c r="P118" s="23" t="str">
        <f t="shared" si="9"/>
        <v>Medio</v>
      </c>
      <c r="Q118" s="24">
        <f t="shared" si="10"/>
        <v>7.5129533678756477</v>
      </c>
      <c r="R118" s="23" t="str">
        <f t="shared" si="11"/>
        <v>Deseable</v>
      </c>
      <c r="S118" s="25" t="str">
        <f t="shared" si="12"/>
        <v>Utilizable</v>
      </c>
      <c r="T118" s="26" t="str">
        <f t="shared" si="13"/>
        <v>Carnes y Vísceras|00.000.184</v>
      </c>
      <c r="U118" s="26">
        <f>IF(OR($S118&lt;&gt;"Utilizable",$C118&lt;&gt;SUSTITUCION!$C$13),999999,IF(v_prioridad="Potasio",$H118,IF(v_prioridad="Fósforo",$I118,IF(v_prioridad="Sodio",$J118,IF(ISNUMBER($Q118),$Q118,999999)))))</f>
        <v>999999</v>
      </c>
    </row>
    <row r="119" spans="1:21" ht="15" customHeight="1">
      <c r="A119" s="21" t="s">
        <v>359</v>
      </c>
      <c r="B119" s="21" t="s">
        <v>360</v>
      </c>
      <c r="C119" s="21" t="s">
        <v>255</v>
      </c>
      <c r="D119" s="21" t="s">
        <v>256</v>
      </c>
      <c r="E119" s="21" t="s">
        <v>135</v>
      </c>
      <c r="F119" s="22">
        <v>162</v>
      </c>
      <c r="G119" s="22">
        <v>11.2</v>
      </c>
      <c r="H119" s="22">
        <v>144</v>
      </c>
      <c r="I119" s="22">
        <v>171</v>
      </c>
      <c r="J119" s="22">
        <v>110</v>
      </c>
      <c r="K119" s="22">
        <v>162</v>
      </c>
      <c r="L119" s="22">
        <v>11.2</v>
      </c>
      <c r="M119" s="22">
        <v>17</v>
      </c>
      <c r="N119" s="23" t="str">
        <f t="shared" si="7"/>
        <v>Medio</v>
      </c>
      <c r="O119" s="23" t="str">
        <f t="shared" si="8"/>
        <v>Muy alto</v>
      </c>
      <c r="P119" s="23" t="str">
        <f t="shared" si="9"/>
        <v>Medio</v>
      </c>
      <c r="Q119" s="24">
        <f t="shared" si="10"/>
        <v>15.267857142857144</v>
      </c>
      <c r="R119" s="23" t="str">
        <f t="shared" si="11"/>
        <v>Aceptable</v>
      </c>
      <c r="S119" s="25" t="str">
        <f t="shared" si="12"/>
        <v>Utilizable</v>
      </c>
      <c r="T119" s="26" t="str">
        <f t="shared" si="13"/>
        <v>Carnes y Vísceras|00.000.144</v>
      </c>
      <c r="U119" s="26">
        <f>IF(OR($S119&lt;&gt;"Utilizable",$C119&lt;&gt;SUSTITUCION!$C$13),999999,IF(v_prioridad="Potasio",$H119,IF(v_prioridad="Fósforo",$I119,IF(v_prioridad="Sodio",$J119,IF(ISNUMBER($Q119),$Q119,999999)))))</f>
        <v>999999</v>
      </c>
    </row>
    <row r="120" spans="1:21" ht="15" customHeight="1">
      <c r="A120" s="21" t="s">
        <v>361</v>
      </c>
      <c r="B120" s="21" t="s">
        <v>362</v>
      </c>
      <c r="C120" s="21" t="s">
        <v>255</v>
      </c>
      <c r="D120" s="21" t="s">
        <v>256</v>
      </c>
      <c r="E120" s="21" t="s">
        <v>135</v>
      </c>
      <c r="F120" s="22">
        <v>180</v>
      </c>
      <c r="G120" s="22">
        <v>16.5</v>
      </c>
      <c r="H120" s="22">
        <v>319</v>
      </c>
      <c r="I120" s="22">
        <v>155</v>
      </c>
      <c r="J120" s="22">
        <v>1039</v>
      </c>
      <c r="K120" s="22">
        <v>180</v>
      </c>
      <c r="L120" s="22">
        <v>16.5</v>
      </c>
      <c r="M120" s="22">
        <v>7</v>
      </c>
      <c r="N120" s="23" t="str">
        <f t="shared" si="7"/>
        <v>Muy alto</v>
      </c>
      <c r="O120" s="23" t="str">
        <f t="shared" si="8"/>
        <v>Alto</v>
      </c>
      <c r="P120" s="23" t="str">
        <f t="shared" si="9"/>
        <v>Muy alto</v>
      </c>
      <c r="Q120" s="24">
        <f t="shared" si="10"/>
        <v>9.3939393939393945</v>
      </c>
      <c r="R120" s="23" t="str">
        <f t="shared" si="11"/>
        <v>Deseable</v>
      </c>
      <c r="S120" s="25" t="str">
        <f t="shared" si="12"/>
        <v>Utilizable</v>
      </c>
      <c r="T120" s="26" t="str">
        <f t="shared" si="13"/>
        <v>Carnes y Vísceras|00.000.319</v>
      </c>
      <c r="U120" s="26">
        <f>IF(OR($S120&lt;&gt;"Utilizable",$C120&lt;&gt;SUSTITUCION!$C$13),999999,IF(v_prioridad="Potasio",$H120,IF(v_prioridad="Fósforo",$I120,IF(v_prioridad="Sodio",$J120,IF(ISNUMBER($Q120),$Q120,999999)))))</f>
        <v>999999</v>
      </c>
    </row>
    <row r="121" spans="1:21" ht="15" customHeight="1">
      <c r="A121" s="21" t="s">
        <v>363</v>
      </c>
      <c r="B121" s="21" t="s">
        <v>364</v>
      </c>
      <c r="C121" s="21" t="s">
        <v>255</v>
      </c>
      <c r="D121" s="21" t="s">
        <v>256</v>
      </c>
      <c r="E121" s="21" t="s">
        <v>135</v>
      </c>
      <c r="F121" s="22">
        <v>113</v>
      </c>
      <c r="G121" s="22">
        <v>20.100000000000001</v>
      </c>
      <c r="H121" s="22" t="s">
        <v>138</v>
      </c>
      <c r="I121" s="22" t="s">
        <v>138</v>
      </c>
      <c r="J121" s="22">
        <v>615</v>
      </c>
      <c r="K121" s="22">
        <v>113</v>
      </c>
      <c r="L121" s="22">
        <v>20.100000000000001</v>
      </c>
      <c r="M121" s="22" t="s">
        <v>138</v>
      </c>
      <c r="N121" s="23" t="str">
        <f t="shared" si="7"/>
        <v>Sin dato</v>
      </c>
      <c r="O121" s="23" t="str">
        <f t="shared" si="8"/>
        <v>Sin dato</v>
      </c>
      <c r="P121" s="23" t="str">
        <f t="shared" si="9"/>
        <v>Muy alto</v>
      </c>
      <c r="Q121" s="24" t="str">
        <f t="shared" si="10"/>
        <v>N/C</v>
      </c>
      <c r="R121" s="23" t="str">
        <f t="shared" si="11"/>
        <v>N/C</v>
      </c>
      <c r="S121" s="25" t="str">
        <f t="shared" si="12"/>
        <v>No utilizable</v>
      </c>
      <c r="T121" s="26" t="str">
        <f t="shared" si="13"/>
        <v/>
      </c>
      <c r="U121" s="26">
        <f>IF(OR($S121&lt;&gt;"Utilizable",$C121&lt;&gt;SUSTITUCION!$C$13),999999,IF(v_prioridad="Potasio",$H121,IF(v_prioridad="Fósforo",$I121,IF(v_prioridad="Sodio",$J121,IF(ISNUMBER($Q121),$Q121,999999)))))</f>
        <v>999999</v>
      </c>
    </row>
    <row r="122" spans="1:21" ht="15" customHeight="1">
      <c r="A122" s="21" t="s">
        <v>365</v>
      </c>
      <c r="B122" s="21" t="s">
        <v>366</v>
      </c>
      <c r="C122" s="21" t="s">
        <v>255</v>
      </c>
      <c r="D122" s="21" t="s">
        <v>256</v>
      </c>
      <c r="E122" s="21" t="s">
        <v>135</v>
      </c>
      <c r="F122" s="22">
        <v>312</v>
      </c>
      <c r="G122" s="22">
        <v>20.5</v>
      </c>
      <c r="H122" s="22" t="s">
        <v>138</v>
      </c>
      <c r="I122" s="22" t="s">
        <v>138</v>
      </c>
      <c r="J122" s="22" t="s">
        <v>138</v>
      </c>
      <c r="K122" s="22">
        <v>312</v>
      </c>
      <c r="L122" s="22">
        <v>20.5</v>
      </c>
      <c r="M122" s="22" t="s">
        <v>138</v>
      </c>
      <c r="N122" s="23" t="str">
        <f t="shared" si="7"/>
        <v>Sin dato</v>
      </c>
      <c r="O122" s="23" t="str">
        <f t="shared" si="8"/>
        <v>Sin dato</v>
      </c>
      <c r="P122" s="23" t="str">
        <f t="shared" si="9"/>
        <v>Sin dato</v>
      </c>
      <c r="Q122" s="24" t="str">
        <f t="shared" si="10"/>
        <v>N/C</v>
      </c>
      <c r="R122" s="23" t="str">
        <f t="shared" si="11"/>
        <v>N/C</v>
      </c>
      <c r="S122" s="25" t="str">
        <f t="shared" si="12"/>
        <v>No utilizable</v>
      </c>
      <c r="T122" s="26" t="str">
        <f t="shared" si="13"/>
        <v/>
      </c>
      <c r="U122" s="26">
        <f>IF(OR($S122&lt;&gt;"Utilizable",$C122&lt;&gt;SUSTITUCION!$C$13),999999,IF(v_prioridad="Potasio",$H122,IF(v_prioridad="Fósforo",$I122,IF(v_prioridad="Sodio",$J122,IF(ISNUMBER($Q122),$Q122,999999)))))</f>
        <v>999999</v>
      </c>
    </row>
    <row r="123" spans="1:21" ht="15" customHeight="1">
      <c r="A123" s="21" t="s">
        <v>367</v>
      </c>
      <c r="B123" s="21" t="s">
        <v>368</v>
      </c>
      <c r="C123" s="21" t="s">
        <v>255</v>
      </c>
      <c r="D123" s="21" t="s">
        <v>256</v>
      </c>
      <c r="E123" s="21" t="s">
        <v>135</v>
      </c>
      <c r="F123" s="22">
        <v>124</v>
      </c>
      <c r="G123" s="22">
        <v>19.600000000000001</v>
      </c>
      <c r="H123" s="22">
        <v>299</v>
      </c>
      <c r="I123" s="22">
        <v>304</v>
      </c>
      <c r="J123" s="22">
        <v>1038</v>
      </c>
      <c r="K123" s="22">
        <v>124</v>
      </c>
      <c r="L123" s="22">
        <v>19.600000000000001</v>
      </c>
      <c r="M123" s="22">
        <v>5</v>
      </c>
      <c r="N123" s="23" t="str">
        <f t="shared" si="7"/>
        <v>Alto</v>
      </c>
      <c r="O123" s="23" t="str">
        <f t="shared" si="8"/>
        <v>Muy alto</v>
      </c>
      <c r="P123" s="23" t="str">
        <f t="shared" si="9"/>
        <v>Muy alto</v>
      </c>
      <c r="Q123" s="24">
        <f t="shared" si="10"/>
        <v>15.510204081632653</v>
      </c>
      <c r="R123" s="23" t="str">
        <f t="shared" si="11"/>
        <v>Aceptable</v>
      </c>
      <c r="S123" s="25" t="str">
        <f t="shared" si="12"/>
        <v>Utilizable</v>
      </c>
      <c r="T123" s="26" t="str">
        <f t="shared" si="13"/>
        <v>Carnes y Vísceras|00.000.299</v>
      </c>
      <c r="U123" s="26">
        <f>IF(OR($S123&lt;&gt;"Utilizable",$C123&lt;&gt;SUSTITUCION!$C$13),999999,IF(v_prioridad="Potasio",$H123,IF(v_prioridad="Fósforo",$I123,IF(v_prioridad="Sodio",$J123,IF(ISNUMBER($Q123),$Q123,999999)))))</f>
        <v>999999</v>
      </c>
    </row>
    <row r="124" spans="1:21" ht="15" customHeight="1">
      <c r="A124" s="21" t="s">
        <v>369</v>
      </c>
      <c r="B124" s="21" t="s">
        <v>370</v>
      </c>
      <c r="C124" s="21" t="s">
        <v>255</v>
      </c>
      <c r="D124" s="21" t="s">
        <v>256</v>
      </c>
      <c r="E124" s="21" t="s">
        <v>135</v>
      </c>
      <c r="F124" s="22">
        <v>118</v>
      </c>
      <c r="G124" s="22">
        <v>16.3</v>
      </c>
      <c r="H124" s="22">
        <v>253</v>
      </c>
      <c r="I124" s="22">
        <v>289</v>
      </c>
      <c r="J124" s="22">
        <v>909</v>
      </c>
      <c r="K124" s="22">
        <v>118</v>
      </c>
      <c r="L124" s="22">
        <v>16.3</v>
      </c>
      <c r="M124" s="22">
        <v>7</v>
      </c>
      <c r="N124" s="23" t="str">
        <f t="shared" si="7"/>
        <v>Alto</v>
      </c>
      <c r="O124" s="23" t="str">
        <f t="shared" si="8"/>
        <v>Muy alto</v>
      </c>
      <c r="P124" s="23" t="str">
        <f t="shared" si="9"/>
        <v>Muy alto</v>
      </c>
      <c r="Q124" s="24">
        <f t="shared" si="10"/>
        <v>17.730061349693251</v>
      </c>
      <c r="R124" s="23" t="str">
        <f t="shared" si="11"/>
        <v>Alta</v>
      </c>
      <c r="S124" s="25" t="str">
        <f t="shared" si="12"/>
        <v>Utilizable</v>
      </c>
      <c r="T124" s="26" t="str">
        <f t="shared" si="13"/>
        <v>Carnes y Vísceras|00.000.253</v>
      </c>
      <c r="U124" s="26">
        <f>IF(OR($S124&lt;&gt;"Utilizable",$C124&lt;&gt;SUSTITUCION!$C$13),999999,IF(v_prioridad="Potasio",$H124,IF(v_prioridad="Fósforo",$I124,IF(v_prioridad="Sodio",$J124,IF(ISNUMBER($Q124),$Q124,999999)))))</f>
        <v>999999</v>
      </c>
    </row>
    <row r="125" spans="1:21" ht="15" customHeight="1">
      <c r="A125" s="21" t="s">
        <v>371</v>
      </c>
      <c r="B125" s="21" t="s">
        <v>372</v>
      </c>
      <c r="C125" s="21" t="s">
        <v>255</v>
      </c>
      <c r="D125" s="21" t="s">
        <v>256</v>
      </c>
      <c r="E125" s="21" t="s">
        <v>135</v>
      </c>
      <c r="F125" s="22">
        <v>83</v>
      </c>
      <c r="G125" s="22">
        <v>17.899999999999999</v>
      </c>
      <c r="H125" s="22" t="s">
        <v>138</v>
      </c>
      <c r="I125" s="22" t="s">
        <v>138</v>
      </c>
      <c r="J125" s="22">
        <v>943</v>
      </c>
      <c r="K125" s="22">
        <v>83</v>
      </c>
      <c r="L125" s="22">
        <v>17.899999999999999</v>
      </c>
      <c r="M125" s="22" t="s">
        <v>138</v>
      </c>
      <c r="N125" s="23" t="str">
        <f t="shared" si="7"/>
        <v>Sin dato</v>
      </c>
      <c r="O125" s="23" t="str">
        <f t="shared" si="8"/>
        <v>Sin dato</v>
      </c>
      <c r="P125" s="23" t="str">
        <f t="shared" si="9"/>
        <v>Muy alto</v>
      </c>
      <c r="Q125" s="24" t="str">
        <f t="shared" si="10"/>
        <v>N/C</v>
      </c>
      <c r="R125" s="23" t="str">
        <f t="shared" si="11"/>
        <v>N/C</v>
      </c>
      <c r="S125" s="25" t="str">
        <f t="shared" si="12"/>
        <v>No utilizable</v>
      </c>
      <c r="T125" s="26" t="str">
        <f t="shared" si="13"/>
        <v/>
      </c>
      <c r="U125" s="26">
        <f>IF(OR($S125&lt;&gt;"Utilizable",$C125&lt;&gt;SUSTITUCION!$C$13),999999,IF(v_prioridad="Potasio",$H125,IF(v_prioridad="Fósforo",$I125,IF(v_prioridad="Sodio",$J125,IF(ISNUMBER($Q125),$Q125,999999)))))</f>
        <v>999999</v>
      </c>
    </row>
    <row r="126" spans="1:21" ht="15" customHeight="1">
      <c r="A126" s="21" t="s">
        <v>373</v>
      </c>
      <c r="B126" s="21" t="s">
        <v>374</v>
      </c>
      <c r="C126" s="21" t="s">
        <v>255</v>
      </c>
      <c r="D126" s="21" t="s">
        <v>256</v>
      </c>
      <c r="E126" s="21" t="s">
        <v>135</v>
      </c>
      <c r="F126" s="22">
        <v>263</v>
      </c>
      <c r="G126" s="22">
        <v>16.3</v>
      </c>
      <c r="H126" s="22">
        <v>311</v>
      </c>
      <c r="I126" s="22">
        <v>157</v>
      </c>
      <c r="J126" s="22">
        <v>1245</v>
      </c>
      <c r="K126" s="22">
        <v>263</v>
      </c>
      <c r="L126" s="22">
        <v>16.3</v>
      </c>
      <c r="M126" s="22">
        <v>10</v>
      </c>
      <c r="N126" s="23" t="str">
        <f t="shared" si="7"/>
        <v>Muy alto</v>
      </c>
      <c r="O126" s="23" t="str">
        <f t="shared" si="8"/>
        <v>Alto</v>
      </c>
      <c r="P126" s="23" t="str">
        <f t="shared" si="9"/>
        <v>Muy alto</v>
      </c>
      <c r="Q126" s="24">
        <f t="shared" si="10"/>
        <v>9.6319018404907979</v>
      </c>
      <c r="R126" s="23" t="str">
        <f t="shared" si="11"/>
        <v>Deseable</v>
      </c>
      <c r="S126" s="25" t="str">
        <f t="shared" si="12"/>
        <v>Utilizable</v>
      </c>
      <c r="T126" s="26" t="str">
        <f t="shared" si="13"/>
        <v>Carnes y Vísceras|00.000.311</v>
      </c>
      <c r="U126" s="26">
        <f>IF(OR($S126&lt;&gt;"Utilizable",$C126&lt;&gt;SUSTITUCION!$C$13),999999,IF(v_prioridad="Potasio",$H126,IF(v_prioridad="Fósforo",$I126,IF(v_prioridad="Sodio",$J126,IF(ISNUMBER($Q126),$Q126,999999)))))</f>
        <v>999999</v>
      </c>
    </row>
    <row r="127" spans="1:21" ht="15" customHeight="1">
      <c r="A127" s="21" t="s">
        <v>375</v>
      </c>
      <c r="B127" s="21" t="s">
        <v>376</v>
      </c>
      <c r="C127" s="21" t="s">
        <v>255</v>
      </c>
      <c r="D127" s="21" t="s">
        <v>256</v>
      </c>
      <c r="E127" s="21" t="s">
        <v>135</v>
      </c>
      <c r="F127" s="22">
        <v>397</v>
      </c>
      <c r="G127" s="22">
        <v>14</v>
      </c>
      <c r="H127" s="22" t="s">
        <v>138</v>
      </c>
      <c r="I127" s="22" t="s">
        <v>138</v>
      </c>
      <c r="J127" s="22">
        <v>587</v>
      </c>
      <c r="K127" s="22">
        <v>397</v>
      </c>
      <c r="L127" s="22">
        <v>14</v>
      </c>
      <c r="M127" s="22" t="s">
        <v>138</v>
      </c>
      <c r="N127" s="23" t="str">
        <f t="shared" si="7"/>
        <v>Sin dato</v>
      </c>
      <c r="O127" s="23" t="str">
        <f t="shared" si="8"/>
        <v>Sin dato</v>
      </c>
      <c r="P127" s="23" t="str">
        <f t="shared" si="9"/>
        <v>Muy alto</v>
      </c>
      <c r="Q127" s="24" t="str">
        <f t="shared" si="10"/>
        <v>N/C</v>
      </c>
      <c r="R127" s="23" t="str">
        <f t="shared" si="11"/>
        <v>N/C</v>
      </c>
      <c r="S127" s="25" t="str">
        <f t="shared" si="12"/>
        <v>No utilizable</v>
      </c>
      <c r="T127" s="26" t="str">
        <f t="shared" si="13"/>
        <v/>
      </c>
      <c r="U127" s="26">
        <f>IF(OR($S127&lt;&gt;"Utilizable",$C127&lt;&gt;SUSTITUCION!$C$13),999999,IF(v_prioridad="Potasio",$H127,IF(v_prioridad="Fósforo",$I127,IF(v_prioridad="Sodio",$J127,IF(ISNUMBER($Q127),$Q127,999999)))))</f>
        <v>999999</v>
      </c>
    </row>
    <row r="128" spans="1:21" ht="15" customHeight="1">
      <c r="A128" s="21" t="s">
        <v>377</v>
      </c>
      <c r="B128" s="21" t="s">
        <v>378</v>
      </c>
      <c r="C128" s="21" t="s">
        <v>255</v>
      </c>
      <c r="D128" s="21" t="s">
        <v>256</v>
      </c>
      <c r="E128" s="21" t="s">
        <v>135</v>
      </c>
      <c r="F128" s="22">
        <v>346</v>
      </c>
      <c r="G128" s="22">
        <v>14.3</v>
      </c>
      <c r="H128" s="22">
        <v>253</v>
      </c>
      <c r="I128" s="22">
        <v>142</v>
      </c>
      <c r="J128" s="22">
        <v>731</v>
      </c>
      <c r="K128" s="22">
        <v>346</v>
      </c>
      <c r="L128" s="22">
        <v>14.3</v>
      </c>
      <c r="M128" s="22">
        <v>18</v>
      </c>
      <c r="N128" s="23" t="str">
        <f t="shared" si="7"/>
        <v>Alto</v>
      </c>
      <c r="O128" s="23" t="str">
        <f t="shared" si="8"/>
        <v>Alto</v>
      </c>
      <c r="P128" s="23" t="str">
        <f t="shared" si="9"/>
        <v>Muy alto</v>
      </c>
      <c r="Q128" s="24">
        <f t="shared" si="10"/>
        <v>9.93006993006993</v>
      </c>
      <c r="R128" s="23" t="str">
        <f t="shared" si="11"/>
        <v>Deseable</v>
      </c>
      <c r="S128" s="25" t="str">
        <f t="shared" si="12"/>
        <v>Utilizable</v>
      </c>
      <c r="T128" s="26" t="str">
        <f t="shared" si="13"/>
        <v>Carnes y Vísceras|00.000.253</v>
      </c>
      <c r="U128" s="26">
        <f>IF(OR($S128&lt;&gt;"Utilizable",$C128&lt;&gt;SUSTITUCION!$C$13),999999,IF(v_prioridad="Potasio",$H128,IF(v_prioridad="Fósforo",$I128,IF(v_prioridad="Sodio",$J128,IF(ISNUMBER($Q128),$Q128,999999)))))</f>
        <v>999999</v>
      </c>
    </row>
    <row r="129" spans="1:21" ht="15" customHeight="1">
      <c r="A129" s="21" t="s">
        <v>379</v>
      </c>
      <c r="B129" s="21" t="s">
        <v>380</v>
      </c>
      <c r="C129" s="21" t="s">
        <v>255</v>
      </c>
      <c r="D129" s="21" t="s">
        <v>256</v>
      </c>
      <c r="E129" s="21" t="s">
        <v>135</v>
      </c>
      <c r="F129" s="22">
        <v>311</v>
      </c>
      <c r="G129" s="22">
        <v>16.399999999999999</v>
      </c>
      <c r="H129" s="22">
        <v>163</v>
      </c>
      <c r="I129" s="22">
        <v>97</v>
      </c>
      <c r="J129" s="22">
        <v>1246</v>
      </c>
      <c r="K129" s="22">
        <v>311</v>
      </c>
      <c r="L129" s="22">
        <v>16.399999999999999</v>
      </c>
      <c r="M129" s="22">
        <v>18</v>
      </c>
      <c r="N129" s="23" t="str">
        <f t="shared" si="7"/>
        <v>Medio</v>
      </c>
      <c r="O129" s="23" t="str">
        <f t="shared" si="8"/>
        <v>Medio</v>
      </c>
      <c r="P129" s="23" t="str">
        <f t="shared" si="9"/>
        <v>Muy alto</v>
      </c>
      <c r="Q129" s="24">
        <f t="shared" si="10"/>
        <v>5.9146341463414638</v>
      </c>
      <c r="R129" s="23" t="str">
        <f t="shared" si="11"/>
        <v>Deseable</v>
      </c>
      <c r="S129" s="25" t="str">
        <f t="shared" si="12"/>
        <v>Utilizable</v>
      </c>
      <c r="T129" s="26" t="str">
        <f t="shared" si="13"/>
        <v>Carnes y Vísceras|00.000.163</v>
      </c>
      <c r="U129" s="26">
        <f>IF(OR($S129&lt;&gt;"Utilizable",$C129&lt;&gt;SUSTITUCION!$C$13),999999,IF(v_prioridad="Potasio",$H129,IF(v_prioridad="Fósforo",$I129,IF(v_prioridad="Sodio",$J129,IF(ISNUMBER($Q129),$Q129,999999)))))</f>
        <v>999999</v>
      </c>
    </row>
    <row r="130" spans="1:21" ht="15" customHeight="1">
      <c r="A130" s="21" t="s">
        <v>381</v>
      </c>
      <c r="B130" s="21" t="s">
        <v>382</v>
      </c>
      <c r="C130" s="21" t="s">
        <v>255</v>
      </c>
      <c r="D130" s="21" t="s">
        <v>256</v>
      </c>
      <c r="E130" s="21" t="s">
        <v>135</v>
      </c>
      <c r="F130" s="22">
        <v>248</v>
      </c>
      <c r="G130" s="22">
        <v>10.7</v>
      </c>
      <c r="H130" s="22" t="s">
        <v>138</v>
      </c>
      <c r="I130" s="22" t="s">
        <v>138</v>
      </c>
      <c r="J130" s="22">
        <v>394</v>
      </c>
      <c r="K130" s="22">
        <v>248</v>
      </c>
      <c r="L130" s="22">
        <v>10.7</v>
      </c>
      <c r="M130" s="22" t="s">
        <v>138</v>
      </c>
      <c r="N130" s="23" t="str">
        <f t="shared" si="7"/>
        <v>Sin dato</v>
      </c>
      <c r="O130" s="23" t="str">
        <f t="shared" si="8"/>
        <v>Sin dato</v>
      </c>
      <c r="P130" s="23" t="str">
        <f t="shared" si="9"/>
        <v>Alto</v>
      </c>
      <c r="Q130" s="24" t="str">
        <f t="shared" si="10"/>
        <v>N/C</v>
      </c>
      <c r="R130" s="23" t="str">
        <f t="shared" si="11"/>
        <v>N/C</v>
      </c>
      <c r="S130" s="25" t="str">
        <f t="shared" si="12"/>
        <v>No utilizable</v>
      </c>
      <c r="T130" s="26" t="str">
        <f t="shared" si="13"/>
        <v/>
      </c>
      <c r="U130" s="26">
        <f>IF(OR($S130&lt;&gt;"Utilizable",$C130&lt;&gt;SUSTITUCION!$C$13),999999,IF(v_prioridad="Potasio",$H130,IF(v_prioridad="Fósforo",$I130,IF(v_prioridad="Sodio",$J130,IF(ISNUMBER($Q130),$Q130,999999)))))</f>
        <v>999999</v>
      </c>
    </row>
    <row r="131" spans="1:21" ht="15" customHeight="1">
      <c r="A131" s="21" t="s">
        <v>383</v>
      </c>
      <c r="B131" s="21" t="s">
        <v>384</v>
      </c>
      <c r="C131" s="21" t="s">
        <v>255</v>
      </c>
      <c r="D131" s="21" t="s">
        <v>256</v>
      </c>
      <c r="E131" s="21" t="s">
        <v>135</v>
      </c>
      <c r="F131" s="22">
        <v>429</v>
      </c>
      <c r="G131" s="22">
        <v>11.5</v>
      </c>
      <c r="H131" s="22">
        <v>181</v>
      </c>
      <c r="I131" s="22">
        <v>225</v>
      </c>
      <c r="J131" s="22">
        <v>446</v>
      </c>
      <c r="K131" s="22">
        <v>429</v>
      </c>
      <c r="L131" s="22">
        <v>11.5</v>
      </c>
      <c r="M131" s="22">
        <v>36</v>
      </c>
      <c r="N131" s="23" t="str">
        <f t="shared" si="7"/>
        <v>Medio</v>
      </c>
      <c r="O131" s="23" t="str">
        <f t="shared" si="8"/>
        <v>Muy alto</v>
      </c>
      <c r="P131" s="23" t="str">
        <f t="shared" si="9"/>
        <v>Muy alto</v>
      </c>
      <c r="Q131" s="24">
        <f t="shared" si="10"/>
        <v>19.565217391304348</v>
      </c>
      <c r="R131" s="23" t="str">
        <f t="shared" si="11"/>
        <v>Alta</v>
      </c>
      <c r="S131" s="25" t="str">
        <f t="shared" si="12"/>
        <v>Utilizable</v>
      </c>
      <c r="T131" s="26" t="str">
        <f t="shared" si="13"/>
        <v>Carnes y Vísceras|00.000.181</v>
      </c>
      <c r="U131" s="26">
        <f>IF(OR($S131&lt;&gt;"Utilizable",$C131&lt;&gt;SUSTITUCION!$C$13),999999,IF(v_prioridad="Potasio",$H131,IF(v_prioridad="Fósforo",$I131,IF(v_prioridad="Sodio",$J131,IF(ISNUMBER($Q131),$Q131,999999)))))</f>
        <v>999999</v>
      </c>
    </row>
    <row r="132" spans="1:21" ht="15" customHeight="1">
      <c r="A132" s="21" t="s">
        <v>385</v>
      </c>
      <c r="B132" s="21" t="s">
        <v>386</v>
      </c>
      <c r="C132" s="21" t="s">
        <v>255</v>
      </c>
      <c r="D132" s="21" t="s">
        <v>256</v>
      </c>
      <c r="E132" s="21" t="s">
        <v>135</v>
      </c>
      <c r="F132" s="22">
        <v>462</v>
      </c>
      <c r="G132" s="22">
        <v>11.4</v>
      </c>
      <c r="H132" s="22">
        <v>138</v>
      </c>
      <c r="I132" s="22">
        <v>200</v>
      </c>
      <c r="J132" s="22">
        <v>697</v>
      </c>
      <c r="K132" s="22">
        <v>462</v>
      </c>
      <c r="L132" s="22">
        <v>11.4</v>
      </c>
      <c r="M132" s="22">
        <v>70</v>
      </c>
      <c r="N132" s="23" t="str">
        <f t="shared" si="7"/>
        <v>Medio</v>
      </c>
      <c r="O132" s="23" t="str">
        <f t="shared" si="8"/>
        <v>Muy alto</v>
      </c>
      <c r="P132" s="23" t="str">
        <f t="shared" si="9"/>
        <v>Muy alto</v>
      </c>
      <c r="Q132" s="24">
        <f t="shared" si="10"/>
        <v>17.543859649122805</v>
      </c>
      <c r="R132" s="23" t="str">
        <f t="shared" si="11"/>
        <v>Alta</v>
      </c>
      <c r="S132" s="25" t="str">
        <f t="shared" si="12"/>
        <v>Utilizable</v>
      </c>
      <c r="T132" s="26" t="str">
        <f t="shared" si="13"/>
        <v>Carnes y Vísceras|00.000.138</v>
      </c>
      <c r="U132" s="26">
        <f>IF(OR($S132&lt;&gt;"Utilizable",$C132&lt;&gt;SUSTITUCION!$C$13),999999,IF(v_prioridad="Potasio",$H132,IF(v_prioridad="Fósforo",$I132,IF(v_prioridad="Sodio",$J132,IF(ISNUMBER($Q132),$Q132,999999)))))</f>
        <v>999999</v>
      </c>
    </row>
    <row r="133" spans="1:21" ht="15" customHeight="1">
      <c r="A133" s="21" t="s">
        <v>387</v>
      </c>
      <c r="B133" s="21" t="s">
        <v>388</v>
      </c>
      <c r="C133" s="21" t="s">
        <v>255</v>
      </c>
      <c r="D133" s="21" t="s">
        <v>256</v>
      </c>
      <c r="E133" s="21" t="s">
        <v>135</v>
      </c>
      <c r="F133" s="22">
        <v>89</v>
      </c>
      <c r="G133" s="22">
        <v>16.7</v>
      </c>
      <c r="H133" s="22" t="s">
        <v>138</v>
      </c>
      <c r="I133" s="22" t="s">
        <v>138</v>
      </c>
      <c r="J133" s="22">
        <v>976</v>
      </c>
      <c r="K133" s="22">
        <v>89</v>
      </c>
      <c r="L133" s="22">
        <v>16.7</v>
      </c>
      <c r="M133" s="22" t="s">
        <v>138</v>
      </c>
      <c r="N133" s="23" t="str">
        <f t="shared" si="7"/>
        <v>Sin dato</v>
      </c>
      <c r="O133" s="23" t="str">
        <f t="shared" si="8"/>
        <v>Sin dato</v>
      </c>
      <c r="P133" s="23" t="str">
        <f t="shared" si="9"/>
        <v>Muy alto</v>
      </c>
      <c r="Q133" s="24" t="str">
        <f t="shared" si="10"/>
        <v>N/C</v>
      </c>
      <c r="R133" s="23" t="str">
        <f t="shared" si="11"/>
        <v>N/C</v>
      </c>
      <c r="S133" s="25" t="str">
        <f t="shared" si="12"/>
        <v>No utilizable</v>
      </c>
      <c r="T133" s="26" t="str">
        <f t="shared" si="13"/>
        <v/>
      </c>
      <c r="U133" s="26">
        <f>IF(OR($S133&lt;&gt;"Utilizable",$C133&lt;&gt;SUSTITUCION!$C$13),999999,IF(v_prioridad="Potasio",$H133,IF(v_prioridad="Fósforo",$I133,IF(v_prioridad="Sodio",$J133,IF(ISNUMBER($Q133),$Q133,999999)))))</f>
        <v>999999</v>
      </c>
    </row>
    <row r="134" spans="1:21" ht="15" customHeight="1">
      <c r="A134" s="21" t="s">
        <v>389</v>
      </c>
      <c r="B134" s="21" t="s">
        <v>390</v>
      </c>
      <c r="C134" s="21" t="s">
        <v>255</v>
      </c>
      <c r="D134" s="21" t="s">
        <v>256</v>
      </c>
      <c r="E134" s="21" t="s">
        <v>135</v>
      </c>
      <c r="F134" s="22">
        <v>93</v>
      </c>
      <c r="G134" s="22">
        <v>15.4</v>
      </c>
      <c r="H134" s="22" t="s">
        <v>138</v>
      </c>
      <c r="I134" s="22" t="s">
        <v>138</v>
      </c>
      <c r="J134" s="22">
        <v>821</v>
      </c>
      <c r="K134" s="22">
        <v>93</v>
      </c>
      <c r="L134" s="22">
        <v>15.4</v>
      </c>
      <c r="M134" s="22" t="s">
        <v>138</v>
      </c>
      <c r="N134" s="23" t="str">
        <f t="shared" si="7"/>
        <v>Sin dato</v>
      </c>
      <c r="O134" s="23" t="str">
        <f t="shared" si="8"/>
        <v>Sin dato</v>
      </c>
      <c r="P134" s="23" t="str">
        <f t="shared" si="9"/>
        <v>Muy alto</v>
      </c>
      <c r="Q134" s="24" t="str">
        <f t="shared" si="10"/>
        <v>N/C</v>
      </c>
      <c r="R134" s="23" t="str">
        <f t="shared" si="11"/>
        <v>N/C</v>
      </c>
      <c r="S134" s="25" t="str">
        <f t="shared" si="12"/>
        <v>No utilizable</v>
      </c>
      <c r="T134" s="26" t="str">
        <f t="shared" si="13"/>
        <v/>
      </c>
      <c r="U134" s="26">
        <f>IF(OR($S134&lt;&gt;"Utilizable",$C134&lt;&gt;SUSTITUCION!$C$13),999999,IF(v_prioridad="Potasio",$H134,IF(v_prioridad="Fósforo",$I134,IF(v_prioridad="Sodio",$J134,IF(ISNUMBER($Q134),$Q134,999999)))))</f>
        <v>999999</v>
      </c>
    </row>
    <row r="135" spans="1:21" ht="15" customHeight="1">
      <c r="A135" s="21" t="s">
        <v>391</v>
      </c>
      <c r="B135" s="21" t="s">
        <v>392</v>
      </c>
      <c r="C135" s="21" t="s">
        <v>255</v>
      </c>
      <c r="D135" s="21" t="s">
        <v>256</v>
      </c>
      <c r="E135" s="21" t="s">
        <v>135</v>
      </c>
      <c r="F135" s="22">
        <v>126</v>
      </c>
      <c r="G135" s="22">
        <v>22.2</v>
      </c>
      <c r="H135" s="22">
        <v>248</v>
      </c>
      <c r="I135" s="22">
        <v>214</v>
      </c>
      <c r="J135" s="22">
        <v>397</v>
      </c>
      <c r="K135" s="22">
        <v>126</v>
      </c>
      <c r="L135" s="22">
        <v>22.2</v>
      </c>
      <c r="M135" s="22">
        <v>9</v>
      </c>
      <c r="N135" s="23" t="str">
        <f t="shared" si="7"/>
        <v>Alto</v>
      </c>
      <c r="O135" s="23" t="str">
        <f t="shared" si="8"/>
        <v>Muy alto</v>
      </c>
      <c r="P135" s="23" t="str">
        <f t="shared" si="9"/>
        <v>Alto</v>
      </c>
      <c r="Q135" s="24">
        <f t="shared" si="10"/>
        <v>9.6396396396396398</v>
      </c>
      <c r="R135" s="23" t="str">
        <f t="shared" si="11"/>
        <v>Deseable</v>
      </c>
      <c r="S135" s="25" t="str">
        <f t="shared" si="12"/>
        <v>Utilizable</v>
      </c>
      <c r="T135" s="26" t="str">
        <f t="shared" si="13"/>
        <v>Carnes y Vísceras|00.000.248</v>
      </c>
      <c r="U135" s="26">
        <f>IF(OR($S135&lt;&gt;"Utilizable",$C135&lt;&gt;SUSTITUCION!$C$13),999999,IF(v_prioridad="Potasio",$H135,IF(v_prioridad="Fósforo",$I135,IF(v_prioridad="Sodio",$J135,IF(ISNUMBER($Q135),$Q135,999999)))))</f>
        <v>999999</v>
      </c>
    </row>
    <row r="136" spans="1:21" ht="15" customHeight="1">
      <c r="A136" s="21" t="s">
        <v>393</v>
      </c>
      <c r="B136" s="21" t="s">
        <v>394</v>
      </c>
      <c r="C136" s="21" t="s">
        <v>255</v>
      </c>
      <c r="D136" s="21" t="s">
        <v>256</v>
      </c>
      <c r="E136" s="21" t="s">
        <v>135</v>
      </c>
      <c r="F136" s="22">
        <v>101</v>
      </c>
      <c r="G136" s="22">
        <v>17.8</v>
      </c>
      <c r="H136" s="22" t="s">
        <v>138</v>
      </c>
      <c r="I136" s="22" t="s">
        <v>138</v>
      </c>
      <c r="J136" s="22">
        <v>810</v>
      </c>
      <c r="K136" s="22">
        <v>101</v>
      </c>
      <c r="L136" s="22">
        <v>17.8</v>
      </c>
      <c r="M136" s="22" t="s">
        <v>138</v>
      </c>
      <c r="N136" s="23" t="str">
        <f t="shared" si="7"/>
        <v>Sin dato</v>
      </c>
      <c r="O136" s="23" t="str">
        <f t="shared" si="8"/>
        <v>Sin dato</v>
      </c>
      <c r="P136" s="23" t="str">
        <f t="shared" si="9"/>
        <v>Muy alto</v>
      </c>
      <c r="Q136" s="24" t="str">
        <f t="shared" si="10"/>
        <v>N/C</v>
      </c>
      <c r="R136" s="23" t="str">
        <f t="shared" si="11"/>
        <v>N/C</v>
      </c>
      <c r="S136" s="25" t="str">
        <f t="shared" si="12"/>
        <v>No utilizable</v>
      </c>
      <c r="T136" s="26" t="str">
        <f t="shared" si="13"/>
        <v/>
      </c>
      <c r="U136" s="26">
        <f>IF(OR($S136&lt;&gt;"Utilizable",$C136&lt;&gt;SUSTITUCION!$C$13),999999,IF(v_prioridad="Potasio",$H136,IF(v_prioridad="Fósforo",$I136,IF(v_prioridad="Sodio",$J136,IF(ISNUMBER($Q136),$Q136,999999)))))</f>
        <v>999999</v>
      </c>
    </row>
    <row r="137" spans="1:21" ht="15" customHeight="1">
      <c r="A137" s="21" t="s">
        <v>395</v>
      </c>
      <c r="B137" s="21" t="s">
        <v>396</v>
      </c>
      <c r="C137" s="21" t="s">
        <v>255</v>
      </c>
      <c r="D137" s="21" t="s">
        <v>256</v>
      </c>
      <c r="E137" s="21" t="s">
        <v>135</v>
      </c>
      <c r="F137" s="22">
        <v>504</v>
      </c>
      <c r="G137" s="22">
        <v>19.3</v>
      </c>
      <c r="H137" s="22">
        <v>274</v>
      </c>
      <c r="I137" s="22">
        <v>158</v>
      </c>
      <c r="J137" s="22">
        <v>1582</v>
      </c>
      <c r="K137" s="22">
        <v>504</v>
      </c>
      <c r="L137" s="22">
        <v>19.3</v>
      </c>
      <c r="M137" s="22">
        <v>19</v>
      </c>
      <c r="N137" s="23" t="str">
        <f t="shared" ref="N137:N200" si="14">IF(NOT(ISNUMBER(H137)),"Sin dato",IF(H137&lt;=INDEX(rng_umbrales,1,2),"Bajo",IF(H137&lt;=INDEX(rng_umbrales,1,3),"Medio",IF(H137&lt;=INDEX(rng_umbrales,1,4),"Alto","Muy alto"))))</f>
        <v>Alto</v>
      </c>
      <c r="O137" s="23" t="str">
        <f t="shared" ref="O137:O200" si="15">IF(NOT(ISNUMBER(I137)),"Sin dato",IF(I137&lt;=INDEX(rng_umbrales,2,2),"Bajo",IF(I137&lt;=INDEX(rng_umbrales,2,3),"Medio",IF(I137&lt;=INDEX(rng_umbrales,2,4),"Alto","Muy alto"))))</f>
        <v>Alto</v>
      </c>
      <c r="P137" s="23" t="str">
        <f t="shared" ref="P137:P200" si="16">IF(NOT(ISNUMBER(J137)),"Sin dato",IF(J137&lt;=INDEX(rng_umbrales,3,2),"Bajo",IF(J137&lt;=INDEX(rng_umbrales,3,3),"Medio",IF(J137&lt;=INDEX(rng_umbrales,3,4),"Alto","Muy alto"))))</f>
        <v>Muy alto</v>
      </c>
      <c r="Q137" s="24">
        <f t="shared" ref="Q137:Q200" si="17">IF(OR(NOT(ISNUMBER(G137)),NOT(ISNUMBER(I137))),"N/C",IF(G137&lt;u_protMin,"N/C: no es fuente proteica",I137/G137))</f>
        <v>8.1865284974093253</v>
      </c>
      <c r="R137" s="23" t="str">
        <f t="shared" ref="R137:R200" si="18">IF(NOT(ISNUMBER(Q137)),"N/C",IF(Q137&lt;=u_ppDes,"Deseable",IF(Q137&lt;=u_ppAcep,"Aceptable","Alta")))</f>
        <v>Deseable</v>
      </c>
      <c r="S137" s="25" t="str">
        <f t="shared" ref="S137:S200" si="19">IF(COUNT(F137:J137)=k_cobMin,"Utilizable","No utilizable")</f>
        <v>Utilizable</v>
      </c>
      <c r="T137" s="26" t="str">
        <f t="shared" ref="T137:T200" si="20">IF(S137&lt;&gt;"Utilizable","",C137&amp;"|"&amp;TEXT(IF(v_prioridad="Potasio",H137,IF(v_prioridad="Fósforo",I137,IF(v_prioridad="Sodio",J137,IF(ISNUMBER(Q137),Q137,99999)))),"000000.00"))</f>
        <v>Carnes y Vísceras|00.000.274</v>
      </c>
      <c r="U137" s="26">
        <f>IF(OR($S137&lt;&gt;"Utilizable",$C137&lt;&gt;SUSTITUCION!$C$13),999999,IF(v_prioridad="Potasio",$H137,IF(v_prioridad="Fósforo",$I137,IF(v_prioridad="Sodio",$J137,IF(ISNUMBER($Q137),$Q137,999999)))))</f>
        <v>999999</v>
      </c>
    </row>
    <row r="138" spans="1:21" ht="15" customHeight="1">
      <c r="A138" s="21" t="s">
        <v>397</v>
      </c>
      <c r="B138" s="21" t="s">
        <v>398</v>
      </c>
      <c r="C138" s="21" t="s">
        <v>255</v>
      </c>
      <c r="D138" s="21" t="s">
        <v>256</v>
      </c>
      <c r="E138" s="21" t="s">
        <v>135</v>
      </c>
      <c r="F138" s="22">
        <v>206</v>
      </c>
      <c r="G138" s="22">
        <v>21.3</v>
      </c>
      <c r="H138" s="22" t="s">
        <v>138</v>
      </c>
      <c r="I138" s="22" t="s">
        <v>138</v>
      </c>
      <c r="J138" s="22">
        <v>276</v>
      </c>
      <c r="K138" s="22">
        <v>206</v>
      </c>
      <c r="L138" s="22">
        <v>21.3</v>
      </c>
      <c r="M138" s="22" t="s">
        <v>138</v>
      </c>
      <c r="N138" s="23" t="str">
        <f t="shared" si="14"/>
        <v>Sin dato</v>
      </c>
      <c r="O138" s="23" t="str">
        <f t="shared" si="15"/>
        <v>Sin dato</v>
      </c>
      <c r="P138" s="23" t="str">
        <f t="shared" si="16"/>
        <v>Alto</v>
      </c>
      <c r="Q138" s="24" t="str">
        <f t="shared" si="17"/>
        <v>N/C</v>
      </c>
      <c r="R138" s="23" t="str">
        <f t="shared" si="18"/>
        <v>N/C</v>
      </c>
      <c r="S138" s="25" t="str">
        <f t="shared" si="19"/>
        <v>No utilizable</v>
      </c>
      <c r="T138" s="26" t="str">
        <f t="shared" si="20"/>
        <v/>
      </c>
      <c r="U138" s="26">
        <f>IF(OR($S138&lt;&gt;"Utilizable",$C138&lt;&gt;SUSTITUCION!$C$13),999999,IF(v_prioridad="Potasio",$H138,IF(v_prioridad="Fósforo",$I138,IF(v_prioridad="Sodio",$J138,IF(ISNUMBER($Q138),$Q138,999999)))))</f>
        <v>999999</v>
      </c>
    </row>
    <row r="139" spans="1:21" ht="15" customHeight="1">
      <c r="A139" s="21" t="s">
        <v>399</v>
      </c>
      <c r="B139" s="21" t="s">
        <v>400</v>
      </c>
      <c r="C139" s="21" t="s">
        <v>255</v>
      </c>
      <c r="D139" s="21" t="s">
        <v>256</v>
      </c>
      <c r="E139" s="21" t="s">
        <v>135</v>
      </c>
      <c r="F139" s="22">
        <v>253</v>
      </c>
      <c r="G139" s="22">
        <v>9.1</v>
      </c>
      <c r="H139" s="22" t="s">
        <v>138</v>
      </c>
      <c r="I139" s="22" t="s">
        <v>138</v>
      </c>
      <c r="J139" s="22">
        <v>703</v>
      </c>
      <c r="K139" s="22">
        <v>253</v>
      </c>
      <c r="L139" s="22">
        <v>9.1</v>
      </c>
      <c r="M139" s="22" t="s">
        <v>138</v>
      </c>
      <c r="N139" s="23" t="str">
        <f t="shared" si="14"/>
        <v>Sin dato</v>
      </c>
      <c r="O139" s="23" t="str">
        <f t="shared" si="15"/>
        <v>Sin dato</v>
      </c>
      <c r="P139" s="23" t="str">
        <f t="shared" si="16"/>
        <v>Muy alto</v>
      </c>
      <c r="Q139" s="24" t="str">
        <f t="shared" si="17"/>
        <v>N/C</v>
      </c>
      <c r="R139" s="23" t="str">
        <f t="shared" si="18"/>
        <v>N/C</v>
      </c>
      <c r="S139" s="25" t="str">
        <f t="shared" si="19"/>
        <v>No utilizable</v>
      </c>
      <c r="T139" s="26" t="str">
        <f t="shared" si="20"/>
        <v/>
      </c>
      <c r="U139" s="26">
        <f>IF(OR($S139&lt;&gt;"Utilizable",$C139&lt;&gt;SUSTITUCION!$C$13),999999,IF(v_prioridad="Potasio",$H139,IF(v_prioridad="Fósforo",$I139,IF(v_prioridad="Sodio",$J139,IF(ISNUMBER($Q139),$Q139,999999)))))</f>
        <v>999999</v>
      </c>
    </row>
    <row r="140" spans="1:21" ht="15" customHeight="1">
      <c r="A140" s="21" t="s">
        <v>401</v>
      </c>
      <c r="B140" s="21" t="s">
        <v>402</v>
      </c>
      <c r="C140" s="21" t="s">
        <v>255</v>
      </c>
      <c r="D140" s="21" t="s">
        <v>256</v>
      </c>
      <c r="E140" s="21" t="s">
        <v>135</v>
      </c>
      <c r="F140" s="22">
        <v>379</v>
      </c>
      <c r="G140" s="22">
        <v>14.6</v>
      </c>
      <c r="H140" s="22">
        <v>38</v>
      </c>
      <c r="I140" s="22">
        <v>22</v>
      </c>
      <c r="J140" s="22">
        <v>680</v>
      </c>
      <c r="K140" s="22">
        <v>379</v>
      </c>
      <c r="L140" s="22">
        <v>14.6</v>
      </c>
      <c r="M140" s="22">
        <v>6</v>
      </c>
      <c r="N140" s="23" t="str">
        <f t="shared" si="14"/>
        <v>Bajo</v>
      </c>
      <c r="O140" s="23" t="str">
        <f t="shared" si="15"/>
        <v>Bajo</v>
      </c>
      <c r="P140" s="23" t="str">
        <f t="shared" si="16"/>
        <v>Muy alto</v>
      </c>
      <c r="Q140" s="24">
        <f t="shared" si="17"/>
        <v>1.5068493150684932</v>
      </c>
      <c r="R140" s="23" t="str">
        <f t="shared" si="18"/>
        <v>Deseable</v>
      </c>
      <c r="S140" s="25" t="str">
        <f t="shared" si="19"/>
        <v>Utilizable</v>
      </c>
      <c r="T140" s="26" t="str">
        <f t="shared" si="20"/>
        <v>Carnes y Vísceras|00.000.038</v>
      </c>
      <c r="U140" s="26">
        <f>IF(OR($S140&lt;&gt;"Utilizable",$C140&lt;&gt;SUSTITUCION!$C$13),999999,IF(v_prioridad="Potasio",$H140,IF(v_prioridad="Fósforo",$I140,IF(v_prioridad="Sodio",$J140,IF(ISNUMBER($Q140),$Q140,999999)))))</f>
        <v>999999</v>
      </c>
    </row>
    <row r="141" spans="1:21" ht="15" customHeight="1">
      <c r="A141" s="21" t="s">
        <v>403</v>
      </c>
      <c r="B141" s="21" t="s">
        <v>404</v>
      </c>
      <c r="C141" s="21" t="s">
        <v>255</v>
      </c>
      <c r="D141" s="21" t="s">
        <v>256</v>
      </c>
      <c r="E141" s="21" t="s">
        <v>135</v>
      </c>
      <c r="F141" s="22">
        <v>359</v>
      </c>
      <c r="G141" s="22">
        <v>15.5</v>
      </c>
      <c r="H141" s="22" t="s">
        <v>138</v>
      </c>
      <c r="I141" s="22" t="s">
        <v>138</v>
      </c>
      <c r="J141" s="22">
        <v>748</v>
      </c>
      <c r="K141" s="22">
        <v>359</v>
      </c>
      <c r="L141" s="22">
        <v>15.5</v>
      </c>
      <c r="M141" s="22" t="s">
        <v>138</v>
      </c>
      <c r="N141" s="23" t="str">
        <f t="shared" si="14"/>
        <v>Sin dato</v>
      </c>
      <c r="O141" s="23" t="str">
        <f t="shared" si="15"/>
        <v>Sin dato</v>
      </c>
      <c r="P141" s="23" t="str">
        <f t="shared" si="16"/>
        <v>Muy alto</v>
      </c>
      <c r="Q141" s="24" t="str">
        <f t="shared" si="17"/>
        <v>N/C</v>
      </c>
      <c r="R141" s="23" t="str">
        <f t="shared" si="18"/>
        <v>N/C</v>
      </c>
      <c r="S141" s="25" t="str">
        <f t="shared" si="19"/>
        <v>No utilizable</v>
      </c>
      <c r="T141" s="26" t="str">
        <f t="shared" si="20"/>
        <v/>
      </c>
      <c r="U141" s="26">
        <f>IF(OR($S141&lt;&gt;"Utilizable",$C141&lt;&gt;SUSTITUCION!$C$13),999999,IF(v_prioridad="Potasio",$H141,IF(v_prioridad="Fósforo",$I141,IF(v_prioridad="Sodio",$J141,IF(ISNUMBER($Q141),$Q141,999999)))))</f>
        <v>999999</v>
      </c>
    </row>
    <row r="142" spans="1:21" ht="15" customHeight="1">
      <c r="A142" s="21" t="s">
        <v>405</v>
      </c>
      <c r="B142" s="21" t="s">
        <v>406</v>
      </c>
      <c r="C142" s="21" t="s">
        <v>255</v>
      </c>
      <c r="D142" s="21" t="s">
        <v>256</v>
      </c>
      <c r="E142" s="21" t="s">
        <v>135</v>
      </c>
      <c r="F142" s="22">
        <v>205</v>
      </c>
      <c r="G142" s="22">
        <v>15.8</v>
      </c>
      <c r="H142" s="22" t="s">
        <v>138</v>
      </c>
      <c r="I142" s="22">
        <v>106</v>
      </c>
      <c r="J142" s="22" t="s">
        <v>138</v>
      </c>
      <c r="K142" s="22">
        <v>205</v>
      </c>
      <c r="L142" s="22">
        <v>15.8</v>
      </c>
      <c r="M142" s="22" t="s">
        <v>138</v>
      </c>
      <c r="N142" s="23" t="str">
        <f t="shared" si="14"/>
        <v>Sin dato</v>
      </c>
      <c r="O142" s="23" t="str">
        <f t="shared" si="15"/>
        <v>Alto</v>
      </c>
      <c r="P142" s="23" t="str">
        <f t="shared" si="16"/>
        <v>Sin dato</v>
      </c>
      <c r="Q142" s="24">
        <f t="shared" si="17"/>
        <v>6.7088607594936702</v>
      </c>
      <c r="R142" s="23" t="str">
        <f t="shared" si="18"/>
        <v>Deseable</v>
      </c>
      <c r="S142" s="25" t="str">
        <f t="shared" si="19"/>
        <v>No utilizable</v>
      </c>
      <c r="T142" s="26" t="str">
        <f t="shared" si="20"/>
        <v/>
      </c>
      <c r="U142" s="26">
        <f>IF(OR($S142&lt;&gt;"Utilizable",$C142&lt;&gt;SUSTITUCION!$C$13),999999,IF(v_prioridad="Potasio",$H142,IF(v_prioridad="Fósforo",$I142,IF(v_prioridad="Sodio",$J142,IF(ISNUMBER($Q142),$Q142,999999)))))</f>
        <v>999999</v>
      </c>
    </row>
    <row r="143" spans="1:21" ht="15" customHeight="1">
      <c r="A143" s="21" t="s">
        <v>407</v>
      </c>
      <c r="B143" s="21" t="s">
        <v>408</v>
      </c>
      <c r="C143" s="21" t="s">
        <v>255</v>
      </c>
      <c r="D143" s="21" t="s">
        <v>256</v>
      </c>
      <c r="E143" s="21" t="s">
        <v>135</v>
      </c>
      <c r="F143" s="22">
        <v>426</v>
      </c>
      <c r="G143" s="22">
        <v>14.5</v>
      </c>
      <c r="H143" s="22" t="s">
        <v>138</v>
      </c>
      <c r="I143" s="22" t="s">
        <v>138</v>
      </c>
      <c r="J143" s="22">
        <v>2028</v>
      </c>
      <c r="K143" s="22">
        <v>426</v>
      </c>
      <c r="L143" s="22">
        <v>14.5</v>
      </c>
      <c r="M143" s="22" t="s">
        <v>138</v>
      </c>
      <c r="N143" s="23" t="str">
        <f t="shared" si="14"/>
        <v>Sin dato</v>
      </c>
      <c r="O143" s="23" t="str">
        <f t="shared" si="15"/>
        <v>Sin dato</v>
      </c>
      <c r="P143" s="23" t="str">
        <f t="shared" si="16"/>
        <v>Muy alto</v>
      </c>
      <c r="Q143" s="24" t="str">
        <f t="shared" si="17"/>
        <v>N/C</v>
      </c>
      <c r="R143" s="23" t="str">
        <f t="shared" si="18"/>
        <v>N/C</v>
      </c>
      <c r="S143" s="25" t="str">
        <f t="shared" si="19"/>
        <v>No utilizable</v>
      </c>
      <c r="T143" s="26" t="str">
        <f t="shared" si="20"/>
        <v/>
      </c>
      <c r="U143" s="26">
        <f>IF(OR($S143&lt;&gt;"Utilizable",$C143&lt;&gt;SUSTITUCION!$C$13),999999,IF(v_prioridad="Potasio",$H143,IF(v_prioridad="Fósforo",$I143,IF(v_prioridad="Sodio",$J143,IF(ISNUMBER($Q143),$Q143,999999)))))</f>
        <v>999999</v>
      </c>
    </row>
    <row r="144" spans="1:21" ht="15" customHeight="1">
      <c r="A144" s="21" t="s">
        <v>409</v>
      </c>
      <c r="B144" s="21" t="s">
        <v>410</v>
      </c>
      <c r="C144" s="21" t="s">
        <v>255</v>
      </c>
      <c r="D144" s="21" t="s">
        <v>256</v>
      </c>
      <c r="E144" s="21" t="s">
        <v>135</v>
      </c>
      <c r="F144" s="22">
        <v>261</v>
      </c>
      <c r="G144" s="22">
        <v>12.6</v>
      </c>
      <c r="H144" s="22">
        <v>188</v>
      </c>
      <c r="I144" s="22">
        <v>205</v>
      </c>
      <c r="J144" s="22">
        <v>1140</v>
      </c>
      <c r="K144" s="22">
        <v>261</v>
      </c>
      <c r="L144" s="22">
        <v>12.6</v>
      </c>
      <c r="M144" s="22">
        <v>6</v>
      </c>
      <c r="N144" s="23" t="str">
        <f t="shared" si="14"/>
        <v>Medio</v>
      </c>
      <c r="O144" s="23" t="str">
        <f t="shared" si="15"/>
        <v>Muy alto</v>
      </c>
      <c r="P144" s="23" t="str">
        <f t="shared" si="16"/>
        <v>Muy alto</v>
      </c>
      <c r="Q144" s="24">
        <f t="shared" si="17"/>
        <v>16.269841269841269</v>
      </c>
      <c r="R144" s="23" t="str">
        <f t="shared" si="18"/>
        <v>Alta</v>
      </c>
      <c r="S144" s="25" t="str">
        <f t="shared" si="19"/>
        <v>Utilizable</v>
      </c>
      <c r="T144" s="26" t="str">
        <f t="shared" si="20"/>
        <v>Carnes y Vísceras|00.000.188</v>
      </c>
      <c r="U144" s="26">
        <f>IF(OR($S144&lt;&gt;"Utilizable",$C144&lt;&gt;SUSTITUCION!$C$13),999999,IF(v_prioridad="Potasio",$H144,IF(v_prioridad="Fósforo",$I144,IF(v_prioridad="Sodio",$J144,IF(ISNUMBER($Q144),$Q144,999999)))))</f>
        <v>999999</v>
      </c>
    </row>
    <row r="145" spans="1:21" ht="15" customHeight="1">
      <c r="A145" s="21" t="s">
        <v>411</v>
      </c>
      <c r="B145" s="21" t="s">
        <v>412</v>
      </c>
      <c r="C145" s="21" t="s">
        <v>255</v>
      </c>
      <c r="D145" s="21" t="s">
        <v>256</v>
      </c>
      <c r="E145" s="21" t="s">
        <v>135</v>
      </c>
      <c r="F145" s="22">
        <v>151</v>
      </c>
      <c r="G145" s="22">
        <v>11.7</v>
      </c>
      <c r="H145" s="22">
        <v>244</v>
      </c>
      <c r="I145" s="22">
        <v>335</v>
      </c>
      <c r="J145" s="22">
        <v>108</v>
      </c>
      <c r="K145" s="22">
        <v>151</v>
      </c>
      <c r="L145" s="22">
        <v>11.7</v>
      </c>
      <c r="M145" s="22">
        <v>9</v>
      </c>
      <c r="N145" s="23" t="str">
        <f t="shared" si="14"/>
        <v>Alto</v>
      </c>
      <c r="O145" s="23" t="str">
        <f t="shared" si="15"/>
        <v>Muy alto</v>
      </c>
      <c r="P145" s="23" t="str">
        <f t="shared" si="16"/>
        <v>Medio</v>
      </c>
      <c r="Q145" s="24">
        <f t="shared" si="17"/>
        <v>28.632478632478634</v>
      </c>
      <c r="R145" s="23" t="str">
        <f t="shared" si="18"/>
        <v>Alta</v>
      </c>
      <c r="S145" s="25" t="str">
        <f t="shared" si="19"/>
        <v>Utilizable</v>
      </c>
      <c r="T145" s="26" t="str">
        <f t="shared" si="20"/>
        <v>Carnes y Vísceras|00.000.244</v>
      </c>
      <c r="U145" s="26">
        <f>IF(OR($S145&lt;&gt;"Utilizable",$C145&lt;&gt;SUSTITUCION!$C$13),999999,IF(v_prioridad="Potasio",$H145,IF(v_prioridad="Fósforo",$I145,IF(v_prioridad="Sodio",$J145,IF(ISNUMBER($Q145),$Q145,999999)))))</f>
        <v>999999</v>
      </c>
    </row>
    <row r="146" spans="1:21" ht="15" customHeight="1">
      <c r="A146" s="21" t="s">
        <v>413</v>
      </c>
      <c r="B146" s="21" t="s">
        <v>414</v>
      </c>
      <c r="C146" s="21" t="s">
        <v>255</v>
      </c>
      <c r="D146" s="21" t="s">
        <v>256</v>
      </c>
      <c r="E146" s="21" t="s">
        <v>135</v>
      </c>
      <c r="F146" s="22">
        <v>517</v>
      </c>
      <c r="G146" s="22">
        <v>29.1</v>
      </c>
      <c r="H146" s="22">
        <v>385</v>
      </c>
      <c r="I146" s="22">
        <v>142</v>
      </c>
      <c r="J146" s="22">
        <v>1420</v>
      </c>
      <c r="K146" s="22">
        <v>517</v>
      </c>
      <c r="L146" s="22">
        <v>29.1</v>
      </c>
      <c r="M146" s="22">
        <v>14</v>
      </c>
      <c r="N146" s="23" t="str">
        <f t="shared" si="14"/>
        <v>Muy alto</v>
      </c>
      <c r="O146" s="23" t="str">
        <f t="shared" si="15"/>
        <v>Alto</v>
      </c>
      <c r="P146" s="23" t="str">
        <f t="shared" si="16"/>
        <v>Muy alto</v>
      </c>
      <c r="Q146" s="24">
        <f t="shared" si="17"/>
        <v>4.8797250859106525</v>
      </c>
      <c r="R146" s="23" t="str">
        <f t="shared" si="18"/>
        <v>Deseable</v>
      </c>
      <c r="S146" s="25" t="str">
        <f t="shared" si="19"/>
        <v>Utilizable</v>
      </c>
      <c r="T146" s="26" t="str">
        <f t="shared" si="20"/>
        <v>Carnes y Vísceras|00.000.385</v>
      </c>
      <c r="U146" s="26">
        <f>IF(OR($S146&lt;&gt;"Utilizable",$C146&lt;&gt;SUSTITUCION!$C$13),999999,IF(v_prioridad="Potasio",$H146,IF(v_prioridad="Fósforo",$I146,IF(v_prioridad="Sodio",$J146,IF(ISNUMBER($Q146),$Q146,999999)))))</f>
        <v>999999</v>
      </c>
    </row>
    <row r="147" spans="1:21" ht="15" customHeight="1">
      <c r="A147" s="21" t="s">
        <v>415</v>
      </c>
      <c r="B147" s="21" t="s">
        <v>416</v>
      </c>
      <c r="C147" s="21" t="s">
        <v>255</v>
      </c>
      <c r="D147" s="21" t="s">
        <v>256</v>
      </c>
      <c r="E147" s="21" t="s">
        <v>135</v>
      </c>
      <c r="F147" s="22">
        <v>299</v>
      </c>
      <c r="G147" s="22">
        <v>15.9</v>
      </c>
      <c r="H147" s="22">
        <v>270</v>
      </c>
      <c r="I147" s="22">
        <v>267</v>
      </c>
      <c r="J147" s="22">
        <v>1215</v>
      </c>
      <c r="K147" s="22">
        <v>299</v>
      </c>
      <c r="L147" s="22">
        <v>15.9</v>
      </c>
      <c r="M147" s="22" t="s">
        <v>138</v>
      </c>
      <c r="N147" s="23" t="str">
        <f t="shared" si="14"/>
        <v>Alto</v>
      </c>
      <c r="O147" s="23" t="str">
        <f t="shared" si="15"/>
        <v>Muy alto</v>
      </c>
      <c r="P147" s="23" t="str">
        <f t="shared" si="16"/>
        <v>Muy alto</v>
      </c>
      <c r="Q147" s="24">
        <f t="shared" si="17"/>
        <v>16.79245283018868</v>
      </c>
      <c r="R147" s="23" t="str">
        <f t="shared" si="18"/>
        <v>Alta</v>
      </c>
      <c r="S147" s="25" t="str">
        <f t="shared" si="19"/>
        <v>Utilizable</v>
      </c>
      <c r="T147" s="26" t="str">
        <f t="shared" si="20"/>
        <v>Carnes y Vísceras|00.000.270</v>
      </c>
      <c r="U147" s="26">
        <f>IF(OR($S147&lt;&gt;"Utilizable",$C147&lt;&gt;SUSTITUCION!$C$13),999999,IF(v_prioridad="Potasio",$H147,IF(v_prioridad="Fósforo",$I147,IF(v_prioridad="Sodio",$J147,IF(ISNUMBER($Q147),$Q147,999999)))))</f>
        <v>999999</v>
      </c>
    </row>
    <row r="148" spans="1:21" ht="15" customHeight="1">
      <c r="A148" s="21" t="s">
        <v>417</v>
      </c>
      <c r="B148" s="21" t="s">
        <v>418</v>
      </c>
      <c r="C148" s="21" t="s">
        <v>255</v>
      </c>
      <c r="D148" s="21" t="s">
        <v>256</v>
      </c>
      <c r="E148" s="21" t="s">
        <v>135</v>
      </c>
      <c r="F148" s="22">
        <v>235</v>
      </c>
      <c r="G148" s="22">
        <v>12</v>
      </c>
      <c r="H148" s="22" t="s">
        <v>138</v>
      </c>
      <c r="I148" s="22">
        <v>155</v>
      </c>
      <c r="J148" s="22">
        <v>793</v>
      </c>
      <c r="K148" s="22">
        <v>235</v>
      </c>
      <c r="L148" s="22">
        <v>12</v>
      </c>
      <c r="M148" s="22">
        <v>32</v>
      </c>
      <c r="N148" s="23" t="str">
        <f t="shared" si="14"/>
        <v>Sin dato</v>
      </c>
      <c r="O148" s="23" t="str">
        <f t="shared" si="15"/>
        <v>Alto</v>
      </c>
      <c r="P148" s="23" t="str">
        <f t="shared" si="16"/>
        <v>Muy alto</v>
      </c>
      <c r="Q148" s="24">
        <f t="shared" si="17"/>
        <v>12.916666666666666</v>
      </c>
      <c r="R148" s="23" t="str">
        <f t="shared" si="18"/>
        <v>Aceptable</v>
      </c>
      <c r="S148" s="25" t="str">
        <f t="shared" si="19"/>
        <v>No utilizable</v>
      </c>
      <c r="T148" s="26" t="str">
        <f t="shared" si="20"/>
        <v/>
      </c>
      <c r="U148" s="26">
        <f>IF(OR($S148&lt;&gt;"Utilizable",$C148&lt;&gt;SUSTITUCION!$C$13),999999,IF(v_prioridad="Potasio",$H148,IF(v_prioridad="Fósforo",$I148,IF(v_prioridad="Sodio",$J148,IF(ISNUMBER($Q148),$Q148,999999)))))</f>
        <v>999999</v>
      </c>
    </row>
    <row r="149" spans="1:21" ht="15" customHeight="1">
      <c r="A149" s="21" t="s">
        <v>419</v>
      </c>
      <c r="B149" s="21" t="s">
        <v>420</v>
      </c>
      <c r="C149" s="21" t="s">
        <v>255</v>
      </c>
      <c r="D149" s="21" t="s">
        <v>256</v>
      </c>
      <c r="E149" s="21" t="s">
        <v>135</v>
      </c>
      <c r="F149" s="22">
        <v>250</v>
      </c>
      <c r="G149" s="22">
        <v>15.4</v>
      </c>
      <c r="H149" s="22" t="s">
        <v>138</v>
      </c>
      <c r="I149" s="22" t="s">
        <v>138</v>
      </c>
      <c r="J149" s="22">
        <v>639</v>
      </c>
      <c r="K149" s="22">
        <v>250</v>
      </c>
      <c r="L149" s="22">
        <v>15.4</v>
      </c>
      <c r="M149" s="22">
        <v>229</v>
      </c>
      <c r="N149" s="23" t="str">
        <f t="shared" si="14"/>
        <v>Sin dato</v>
      </c>
      <c r="O149" s="23" t="str">
        <f t="shared" si="15"/>
        <v>Sin dato</v>
      </c>
      <c r="P149" s="23" t="str">
        <f t="shared" si="16"/>
        <v>Muy alto</v>
      </c>
      <c r="Q149" s="24" t="str">
        <f t="shared" si="17"/>
        <v>N/C</v>
      </c>
      <c r="R149" s="23" t="str">
        <f t="shared" si="18"/>
        <v>N/C</v>
      </c>
      <c r="S149" s="25" t="str">
        <f t="shared" si="19"/>
        <v>No utilizable</v>
      </c>
      <c r="T149" s="26" t="str">
        <f t="shared" si="20"/>
        <v/>
      </c>
      <c r="U149" s="26">
        <f>IF(OR($S149&lt;&gt;"Utilizable",$C149&lt;&gt;SUSTITUCION!$C$13),999999,IF(v_prioridad="Potasio",$H149,IF(v_prioridad="Fósforo",$I149,IF(v_prioridad="Sodio",$J149,IF(ISNUMBER($Q149),$Q149,999999)))))</f>
        <v>999999</v>
      </c>
    </row>
    <row r="150" spans="1:21" ht="15" customHeight="1">
      <c r="A150" s="21" t="s">
        <v>421</v>
      </c>
      <c r="B150" s="21" t="s">
        <v>422</v>
      </c>
      <c r="C150" s="21" t="s">
        <v>255</v>
      </c>
      <c r="D150" s="21" t="s">
        <v>256</v>
      </c>
      <c r="E150" s="21" t="s">
        <v>135</v>
      </c>
      <c r="F150" s="22">
        <v>226</v>
      </c>
      <c r="G150" s="22">
        <v>15.3</v>
      </c>
      <c r="H150" s="22" t="s">
        <v>138</v>
      </c>
      <c r="I150" s="22" t="s">
        <v>138</v>
      </c>
      <c r="J150" s="22">
        <v>713</v>
      </c>
      <c r="K150" s="22">
        <v>226</v>
      </c>
      <c r="L150" s="22">
        <v>15.3</v>
      </c>
      <c r="M150" s="22" t="s">
        <v>138</v>
      </c>
      <c r="N150" s="23" t="str">
        <f t="shared" si="14"/>
        <v>Sin dato</v>
      </c>
      <c r="O150" s="23" t="str">
        <f t="shared" si="15"/>
        <v>Sin dato</v>
      </c>
      <c r="P150" s="23" t="str">
        <f t="shared" si="16"/>
        <v>Muy alto</v>
      </c>
      <c r="Q150" s="24" t="str">
        <f t="shared" si="17"/>
        <v>N/C</v>
      </c>
      <c r="R150" s="23" t="str">
        <f t="shared" si="18"/>
        <v>N/C</v>
      </c>
      <c r="S150" s="25" t="str">
        <f t="shared" si="19"/>
        <v>No utilizable</v>
      </c>
      <c r="T150" s="26" t="str">
        <f t="shared" si="20"/>
        <v/>
      </c>
      <c r="U150" s="26">
        <f>IF(OR($S150&lt;&gt;"Utilizable",$C150&lt;&gt;SUSTITUCION!$C$13),999999,IF(v_prioridad="Potasio",$H150,IF(v_prioridad="Fósforo",$I150,IF(v_prioridad="Sodio",$J150,IF(ISNUMBER($Q150),$Q150,999999)))))</f>
        <v>999999</v>
      </c>
    </row>
    <row r="151" spans="1:21" ht="15" customHeight="1">
      <c r="A151" s="21" t="s">
        <v>423</v>
      </c>
      <c r="B151" s="21" t="s">
        <v>424</v>
      </c>
      <c r="C151" s="21" t="s">
        <v>425</v>
      </c>
      <c r="D151" s="21" t="s">
        <v>426</v>
      </c>
      <c r="E151" s="21" t="s">
        <v>135</v>
      </c>
      <c r="F151" s="22">
        <v>74</v>
      </c>
      <c r="G151" s="22">
        <v>12.8</v>
      </c>
      <c r="H151" s="22">
        <v>313</v>
      </c>
      <c r="I151" s="22">
        <v>168</v>
      </c>
      <c r="J151" s="22">
        <v>56</v>
      </c>
      <c r="K151" s="22">
        <v>74</v>
      </c>
      <c r="L151" s="22">
        <v>12.8</v>
      </c>
      <c r="M151" s="22">
        <v>46</v>
      </c>
      <c r="N151" s="23" t="str">
        <f t="shared" si="14"/>
        <v>Muy alto</v>
      </c>
      <c r="O151" s="23" t="str">
        <f t="shared" si="15"/>
        <v>Alto</v>
      </c>
      <c r="P151" s="23" t="str">
        <f t="shared" si="16"/>
        <v>Medio</v>
      </c>
      <c r="Q151" s="24">
        <f t="shared" si="17"/>
        <v>13.125</v>
      </c>
      <c r="R151" s="23" t="str">
        <f t="shared" si="18"/>
        <v>Aceptable</v>
      </c>
      <c r="S151" s="25" t="str">
        <f t="shared" si="19"/>
        <v>Utilizable</v>
      </c>
      <c r="T151" s="26" t="str">
        <f t="shared" si="20"/>
        <v>Pescados y mariscos|00.000.313</v>
      </c>
      <c r="U151" s="26">
        <f>IF(OR($S151&lt;&gt;"Utilizable",$C151&lt;&gt;SUSTITUCION!$C$13),999999,IF(v_prioridad="Potasio",$H151,IF(v_prioridad="Fósforo",$I151,IF(v_prioridad="Sodio",$J151,IF(ISNUMBER($Q151),$Q151,999999)))))</f>
        <v>999999</v>
      </c>
    </row>
    <row r="152" spans="1:21" ht="15" customHeight="1">
      <c r="A152" s="21" t="s">
        <v>427</v>
      </c>
      <c r="B152" s="21" t="s">
        <v>428</v>
      </c>
      <c r="C152" s="21" t="s">
        <v>425</v>
      </c>
      <c r="D152" s="21" t="s">
        <v>426</v>
      </c>
      <c r="E152" s="21" t="s">
        <v>135</v>
      </c>
      <c r="F152" s="22">
        <v>121</v>
      </c>
      <c r="G152" s="22">
        <v>20</v>
      </c>
      <c r="H152" s="22" t="s">
        <v>138</v>
      </c>
      <c r="I152" s="22" t="s">
        <v>138</v>
      </c>
      <c r="J152" s="22">
        <v>395</v>
      </c>
      <c r="K152" s="22">
        <v>121</v>
      </c>
      <c r="L152" s="22">
        <v>20</v>
      </c>
      <c r="M152" s="22">
        <v>62</v>
      </c>
      <c r="N152" s="23" t="str">
        <f t="shared" si="14"/>
        <v>Sin dato</v>
      </c>
      <c r="O152" s="23" t="str">
        <f t="shared" si="15"/>
        <v>Sin dato</v>
      </c>
      <c r="P152" s="23" t="str">
        <f t="shared" si="16"/>
        <v>Alto</v>
      </c>
      <c r="Q152" s="24" t="str">
        <f t="shared" si="17"/>
        <v>N/C</v>
      </c>
      <c r="R152" s="23" t="str">
        <f t="shared" si="18"/>
        <v>N/C</v>
      </c>
      <c r="S152" s="25" t="str">
        <f t="shared" si="19"/>
        <v>No utilizable</v>
      </c>
      <c r="T152" s="26" t="str">
        <f t="shared" si="20"/>
        <v/>
      </c>
      <c r="U152" s="26">
        <f>IF(OR($S152&lt;&gt;"Utilizable",$C152&lt;&gt;SUSTITUCION!$C$13),999999,IF(v_prioridad="Potasio",$H152,IF(v_prioridad="Fósforo",$I152,IF(v_prioridad="Sodio",$J152,IF(ISNUMBER($Q152),$Q152,999999)))))</f>
        <v>999999</v>
      </c>
    </row>
    <row r="153" spans="1:21" ht="15" customHeight="1">
      <c r="A153" s="21" t="s">
        <v>429</v>
      </c>
      <c r="B153" s="21" t="s">
        <v>430</v>
      </c>
      <c r="C153" s="21" t="s">
        <v>425</v>
      </c>
      <c r="D153" s="21" t="s">
        <v>426</v>
      </c>
      <c r="E153" s="21" t="s">
        <v>135</v>
      </c>
      <c r="F153" s="22">
        <v>106</v>
      </c>
      <c r="G153" s="22">
        <v>16</v>
      </c>
      <c r="H153" s="22">
        <v>220</v>
      </c>
      <c r="I153" s="22">
        <v>458</v>
      </c>
      <c r="J153" s="22" t="s">
        <v>138</v>
      </c>
      <c r="K153" s="22">
        <v>106</v>
      </c>
      <c r="L153" s="22">
        <v>16</v>
      </c>
      <c r="M153" s="22" t="s">
        <v>138</v>
      </c>
      <c r="N153" s="23" t="str">
        <f t="shared" si="14"/>
        <v>Alto</v>
      </c>
      <c r="O153" s="23" t="str">
        <f t="shared" si="15"/>
        <v>Muy alto</v>
      </c>
      <c r="P153" s="23" t="str">
        <f t="shared" si="16"/>
        <v>Sin dato</v>
      </c>
      <c r="Q153" s="24">
        <f t="shared" si="17"/>
        <v>28.625</v>
      </c>
      <c r="R153" s="23" t="str">
        <f t="shared" si="18"/>
        <v>Alta</v>
      </c>
      <c r="S153" s="25" t="str">
        <f t="shared" si="19"/>
        <v>No utilizable</v>
      </c>
      <c r="T153" s="26" t="str">
        <f t="shared" si="20"/>
        <v/>
      </c>
      <c r="U153" s="26">
        <f>IF(OR($S153&lt;&gt;"Utilizable",$C153&lt;&gt;SUSTITUCION!$C$13),999999,IF(v_prioridad="Potasio",$H153,IF(v_prioridad="Fósforo",$I153,IF(v_prioridad="Sodio",$J153,IF(ISNUMBER($Q153),$Q153,999999)))))</f>
        <v>999999</v>
      </c>
    </row>
    <row r="154" spans="1:21" ht="15" customHeight="1">
      <c r="A154" s="21" t="s">
        <v>431</v>
      </c>
      <c r="B154" s="21" t="s">
        <v>432</v>
      </c>
      <c r="C154" s="21" t="s">
        <v>425</v>
      </c>
      <c r="D154" s="21" t="s">
        <v>426</v>
      </c>
      <c r="E154" s="21" t="s">
        <v>135</v>
      </c>
      <c r="F154" s="22">
        <v>74</v>
      </c>
      <c r="G154" s="22">
        <v>14.2</v>
      </c>
      <c r="H154" s="22" t="s">
        <v>138</v>
      </c>
      <c r="I154" s="22">
        <v>237</v>
      </c>
      <c r="J154" s="22" t="s">
        <v>138</v>
      </c>
      <c r="K154" s="22">
        <v>74</v>
      </c>
      <c r="L154" s="22">
        <v>14.2</v>
      </c>
      <c r="M154" s="22">
        <v>73</v>
      </c>
      <c r="N154" s="23" t="str">
        <f t="shared" si="14"/>
        <v>Sin dato</v>
      </c>
      <c r="O154" s="23" t="str">
        <f t="shared" si="15"/>
        <v>Muy alto</v>
      </c>
      <c r="P154" s="23" t="str">
        <f t="shared" si="16"/>
        <v>Sin dato</v>
      </c>
      <c r="Q154" s="24">
        <f t="shared" si="17"/>
        <v>16.690140845070424</v>
      </c>
      <c r="R154" s="23" t="str">
        <f t="shared" si="18"/>
        <v>Alta</v>
      </c>
      <c r="S154" s="25" t="str">
        <f t="shared" si="19"/>
        <v>No utilizable</v>
      </c>
      <c r="T154" s="26" t="str">
        <f t="shared" si="20"/>
        <v/>
      </c>
      <c r="U154" s="26">
        <f>IF(OR($S154&lt;&gt;"Utilizable",$C154&lt;&gt;SUSTITUCION!$C$13),999999,IF(v_prioridad="Potasio",$H154,IF(v_prioridad="Fósforo",$I154,IF(v_prioridad="Sodio",$J154,IF(ISNUMBER($Q154),$Q154,999999)))))</f>
        <v>999999</v>
      </c>
    </row>
    <row r="155" spans="1:21" ht="15" customHeight="1">
      <c r="A155" s="21" t="s">
        <v>433</v>
      </c>
      <c r="B155" s="21" t="s">
        <v>434</v>
      </c>
      <c r="C155" s="21" t="s">
        <v>425</v>
      </c>
      <c r="D155" s="21" t="s">
        <v>426</v>
      </c>
      <c r="E155" s="21" t="s">
        <v>135</v>
      </c>
      <c r="F155" s="22">
        <v>132</v>
      </c>
      <c r="G155" s="22">
        <v>21.3</v>
      </c>
      <c r="H155" s="22">
        <v>89</v>
      </c>
      <c r="I155" s="22">
        <v>251</v>
      </c>
      <c r="J155" s="22">
        <v>315</v>
      </c>
      <c r="K155" s="22">
        <v>132</v>
      </c>
      <c r="L155" s="22">
        <v>21.3</v>
      </c>
      <c r="M155" s="22">
        <v>65</v>
      </c>
      <c r="N155" s="23" t="str">
        <f t="shared" si="14"/>
        <v>Bajo</v>
      </c>
      <c r="O155" s="23" t="str">
        <f t="shared" si="15"/>
        <v>Muy alto</v>
      </c>
      <c r="P155" s="23" t="str">
        <f t="shared" si="16"/>
        <v>Alto</v>
      </c>
      <c r="Q155" s="24">
        <f t="shared" si="17"/>
        <v>11.784037558685446</v>
      </c>
      <c r="R155" s="23" t="str">
        <f t="shared" si="18"/>
        <v>Deseable</v>
      </c>
      <c r="S155" s="25" t="str">
        <f t="shared" si="19"/>
        <v>Utilizable</v>
      </c>
      <c r="T155" s="26" t="str">
        <f t="shared" si="20"/>
        <v>Pescados y mariscos|00.000.089</v>
      </c>
      <c r="U155" s="26">
        <f>IF(OR($S155&lt;&gt;"Utilizable",$C155&lt;&gt;SUSTITUCION!$C$13),999999,IF(v_prioridad="Potasio",$H155,IF(v_prioridad="Fósforo",$I155,IF(v_prioridad="Sodio",$J155,IF(ISNUMBER($Q155),$Q155,999999)))))</f>
        <v>999999</v>
      </c>
    </row>
    <row r="156" spans="1:21" ht="15" customHeight="1">
      <c r="A156" s="21" t="s">
        <v>435</v>
      </c>
      <c r="B156" s="21" t="s">
        <v>436</v>
      </c>
      <c r="C156" s="21" t="s">
        <v>425</v>
      </c>
      <c r="D156" s="21" t="s">
        <v>426</v>
      </c>
      <c r="E156" s="21" t="s">
        <v>135</v>
      </c>
      <c r="F156" s="22">
        <v>100</v>
      </c>
      <c r="G156" s="22">
        <v>16</v>
      </c>
      <c r="H156" s="22">
        <v>68</v>
      </c>
      <c r="I156" s="22">
        <v>426</v>
      </c>
      <c r="J156" s="22">
        <v>392</v>
      </c>
      <c r="K156" s="22">
        <v>100</v>
      </c>
      <c r="L156" s="22">
        <v>16</v>
      </c>
      <c r="M156" s="22">
        <v>43</v>
      </c>
      <c r="N156" s="23" t="str">
        <f t="shared" si="14"/>
        <v>Bajo</v>
      </c>
      <c r="O156" s="23" t="str">
        <f t="shared" si="15"/>
        <v>Muy alto</v>
      </c>
      <c r="P156" s="23" t="str">
        <f t="shared" si="16"/>
        <v>Alto</v>
      </c>
      <c r="Q156" s="24">
        <f t="shared" si="17"/>
        <v>26.625</v>
      </c>
      <c r="R156" s="23" t="str">
        <f t="shared" si="18"/>
        <v>Alta</v>
      </c>
      <c r="S156" s="25" t="str">
        <f t="shared" si="19"/>
        <v>Utilizable</v>
      </c>
      <c r="T156" s="26" t="str">
        <f t="shared" si="20"/>
        <v>Pescados y mariscos|00.000.068</v>
      </c>
      <c r="U156" s="26">
        <f>IF(OR($S156&lt;&gt;"Utilizable",$C156&lt;&gt;SUSTITUCION!$C$13),999999,IF(v_prioridad="Potasio",$H156,IF(v_prioridad="Fósforo",$I156,IF(v_prioridad="Sodio",$J156,IF(ISNUMBER($Q156),$Q156,999999)))))</f>
        <v>999999</v>
      </c>
    </row>
    <row r="157" spans="1:21" ht="15" customHeight="1">
      <c r="A157" s="21" t="s">
        <v>437</v>
      </c>
      <c r="B157" s="21" t="s">
        <v>438</v>
      </c>
      <c r="C157" s="21" t="s">
        <v>425</v>
      </c>
      <c r="D157" s="21" t="s">
        <v>426</v>
      </c>
      <c r="E157" s="21" t="s">
        <v>135</v>
      </c>
      <c r="F157" s="22">
        <v>72</v>
      </c>
      <c r="G157" s="22">
        <v>10</v>
      </c>
      <c r="H157" s="22">
        <v>138</v>
      </c>
      <c r="I157" s="22">
        <v>197</v>
      </c>
      <c r="J157" s="22">
        <v>137</v>
      </c>
      <c r="K157" s="22">
        <v>72</v>
      </c>
      <c r="L157" s="22">
        <v>10</v>
      </c>
      <c r="M157" s="22">
        <v>26</v>
      </c>
      <c r="N157" s="23" t="str">
        <f t="shared" si="14"/>
        <v>Medio</v>
      </c>
      <c r="O157" s="23" t="str">
        <f t="shared" si="15"/>
        <v>Muy alto</v>
      </c>
      <c r="P157" s="23" t="str">
        <f t="shared" si="16"/>
        <v>Alto</v>
      </c>
      <c r="Q157" s="24">
        <f t="shared" si="17"/>
        <v>19.7</v>
      </c>
      <c r="R157" s="23" t="str">
        <f t="shared" si="18"/>
        <v>Alta</v>
      </c>
      <c r="S157" s="25" t="str">
        <f t="shared" si="19"/>
        <v>Utilizable</v>
      </c>
      <c r="T157" s="26" t="str">
        <f t="shared" si="20"/>
        <v>Pescados y mariscos|00.000.138</v>
      </c>
      <c r="U157" s="26">
        <f>IF(OR($S157&lt;&gt;"Utilizable",$C157&lt;&gt;SUSTITUCION!$C$13),999999,IF(v_prioridad="Potasio",$H157,IF(v_prioridad="Fósforo",$I157,IF(v_prioridad="Sodio",$J157,IF(ISNUMBER($Q157),$Q157,999999)))))</f>
        <v>999999</v>
      </c>
    </row>
    <row r="158" spans="1:21" ht="15" customHeight="1">
      <c r="A158" s="21" t="s">
        <v>439</v>
      </c>
      <c r="B158" s="21" t="s">
        <v>440</v>
      </c>
      <c r="C158" s="21" t="s">
        <v>425</v>
      </c>
      <c r="D158" s="21" t="s">
        <v>426</v>
      </c>
      <c r="E158" s="21" t="s">
        <v>135</v>
      </c>
      <c r="F158" s="22">
        <v>86</v>
      </c>
      <c r="G158" s="22">
        <v>11.9</v>
      </c>
      <c r="H158" s="22">
        <v>320</v>
      </c>
      <c r="I158" s="22">
        <v>197</v>
      </c>
      <c r="J158" s="22">
        <v>286</v>
      </c>
      <c r="K158" s="22">
        <v>86</v>
      </c>
      <c r="L158" s="22">
        <v>11.9</v>
      </c>
      <c r="M158" s="22">
        <v>26</v>
      </c>
      <c r="N158" s="23" t="str">
        <f t="shared" si="14"/>
        <v>Muy alto</v>
      </c>
      <c r="O158" s="23" t="str">
        <f t="shared" si="15"/>
        <v>Muy alto</v>
      </c>
      <c r="P158" s="23" t="str">
        <f t="shared" si="16"/>
        <v>Alto</v>
      </c>
      <c r="Q158" s="24">
        <f t="shared" si="17"/>
        <v>16.554621848739494</v>
      </c>
      <c r="R158" s="23" t="str">
        <f t="shared" si="18"/>
        <v>Alta</v>
      </c>
      <c r="S158" s="25" t="str">
        <f t="shared" si="19"/>
        <v>Utilizable</v>
      </c>
      <c r="T158" s="26" t="str">
        <f t="shared" si="20"/>
        <v>Pescados y mariscos|00.000.320</v>
      </c>
      <c r="U158" s="26">
        <f>IF(OR($S158&lt;&gt;"Utilizable",$C158&lt;&gt;SUSTITUCION!$C$13),999999,IF(v_prioridad="Potasio",$H158,IF(v_prioridad="Fósforo",$I158,IF(v_prioridad="Sodio",$J158,IF(ISNUMBER($Q158),$Q158,999999)))))</f>
        <v>999999</v>
      </c>
    </row>
    <row r="159" spans="1:21" ht="15" customHeight="1">
      <c r="A159" s="21" t="s">
        <v>441</v>
      </c>
      <c r="B159" s="21" t="s">
        <v>442</v>
      </c>
      <c r="C159" s="21" t="s">
        <v>425</v>
      </c>
      <c r="D159" s="21" t="s">
        <v>426</v>
      </c>
      <c r="E159" s="21" t="s">
        <v>135</v>
      </c>
      <c r="F159" s="22">
        <v>123</v>
      </c>
      <c r="G159" s="22">
        <v>14.4</v>
      </c>
      <c r="H159" s="22" t="s">
        <v>138</v>
      </c>
      <c r="I159" s="22">
        <v>294</v>
      </c>
      <c r="J159" s="22" t="s">
        <v>138</v>
      </c>
      <c r="K159" s="22">
        <v>123</v>
      </c>
      <c r="L159" s="22">
        <v>14.4</v>
      </c>
      <c r="M159" s="22">
        <v>38</v>
      </c>
      <c r="N159" s="23" t="str">
        <f t="shared" si="14"/>
        <v>Sin dato</v>
      </c>
      <c r="O159" s="23" t="str">
        <f t="shared" si="15"/>
        <v>Muy alto</v>
      </c>
      <c r="P159" s="23" t="str">
        <f t="shared" si="16"/>
        <v>Sin dato</v>
      </c>
      <c r="Q159" s="24">
        <f t="shared" si="17"/>
        <v>20.416666666666668</v>
      </c>
      <c r="R159" s="23" t="str">
        <f t="shared" si="18"/>
        <v>Alta</v>
      </c>
      <c r="S159" s="25" t="str">
        <f t="shared" si="19"/>
        <v>No utilizable</v>
      </c>
      <c r="T159" s="26" t="str">
        <f t="shared" si="20"/>
        <v/>
      </c>
      <c r="U159" s="26">
        <f>IF(OR($S159&lt;&gt;"Utilizable",$C159&lt;&gt;SUSTITUCION!$C$13),999999,IF(v_prioridad="Potasio",$H159,IF(v_prioridad="Fósforo",$I159,IF(v_prioridad="Sodio",$J159,IF(ISNUMBER($Q159),$Q159,999999)))))</f>
        <v>999999</v>
      </c>
    </row>
    <row r="160" spans="1:21" ht="15" customHeight="1">
      <c r="A160" s="21" t="s">
        <v>443</v>
      </c>
      <c r="B160" s="21" t="s">
        <v>444</v>
      </c>
      <c r="C160" s="21" t="s">
        <v>425</v>
      </c>
      <c r="D160" s="21" t="s">
        <v>426</v>
      </c>
      <c r="E160" s="21" t="s">
        <v>135</v>
      </c>
      <c r="F160" s="22">
        <v>181</v>
      </c>
      <c r="G160" s="22">
        <v>35</v>
      </c>
      <c r="H160" s="22" t="s">
        <v>138</v>
      </c>
      <c r="I160" s="22">
        <v>13</v>
      </c>
      <c r="J160" s="22">
        <v>34.700000000000003</v>
      </c>
      <c r="K160" s="22">
        <v>181</v>
      </c>
      <c r="L160" s="22">
        <v>35</v>
      </c>
      <c r="M160" s="22">
        <v>27.6</v>
      </c>
      <c r="N160" s="23" t="str">
        <f t="shared" si="14"/>
        <v>Sin dato</v>
      </c>
      <c r="O160" s="23" t="str">
        <f t="shared" si="15"/>
        <v>Bajo</v>
      </c>
      <c r="P160" s="23" t="str">
        <f t="shared" si="16"/>
        <v>Bajo</v>
      </c>
      <c r="Q160" s="24">
        <f t="shared" si="17"/>
        <v>0.37142857142857144</v>
      </c>
      <c r="R160" s="23" t="str">
        <f t="shared" si="18"/>
        <v>Deseable</v>
      </c>
      <c r="S160" s="25" t="str">
        <f t="shared" si="19"/>
        <v>No utilizable</v>
      </c>
      <c r="T160" s="26" t="str">
        <f t="shared" si="20"/>
        <v/>
      </c>
      <c r="U160" s="26">
        <f>IF(OR($S160&lt;&gt;"Utilizable",$C160&lt;&gt;SUSTITUCION!$C$13),999999,IF(v_prioridad="Potasio",$H160,IF(v_prioridad="Fósforo",$I160,IF(v_prioridad="Sodio",$J160,IF(ISNUMBER($Q160),$Q160,999999)))))</f>
        <v>999999</v>
      </c>
    </row>
    <row r="161" spans="1:21" ht="15" customHeight="1">
      <c r="A161" s="21" t="s">
        <v>445</v>
      </c>
      <c r="B161" s="21" t="s">
        <v>446</v>
      </c>
      <c r="C161" s="21" t="s">
        <v>425</v>
      </c>
      <c r="D161" s="21" t="s">
        <v>426</v>
      </c>
      <c r="E161" s="21" t="s">
        <v>135</v>
      </c>
      <c r="F161" s="22">
        <v>113</v>
      </c>
      <c r="G161" s="22">
        <v>21.7</v>
      </c>
      <c r="H161" s="22" t="s">
        <v>138</v>
      </c>
      <c r="I161" s="22">
        <v>147</v>
      </c>
      <c r="J161" s="22" t="s">
        <v>138</v>
      </c>
      <c r="K161" s="22">
        <v>113</v>
      </c>
      <c r="L161" s="22">
        <v>21.7</v>
      </c>
      <c r="M161" s="22">
        <v>55</v>
      </c>
      <c r="N161" s="23" t="str">
        <f t="shared" si="14"/>
        <v>Sin dato</v>
      </c>
      <c r="O161" s="23" t="str">
        <f t="shared" si="15"/>
        <v>Alto</v>
      </c>
      <c r="P161" s="23" t="str">
        <f t="shared" si="16"/>
        <v>Sin dato</v>
      </c>
      <c r="Q161" s="24">
        <f t="shared" si="17"/>
        <v>6.774193548387097</v>
      </c>
      <c r="R161" s="23" t="str">
        <f t="shared" si="18"/>
        <v>Deseable</v>
      </c>
      <c r="S161" s="25" t="str">
        <f t="shared" si="19"/>
        <v>No utilizable</v>
      </c>
      <c r="T161" s="26" t="str">
        <f t="shared" si="20"/>
        <v/>
      </c>
      <c r="U161" s="26">
        <f>IF(OR($S161&lt;&gt;"Utilizable",$C161&lt;&gt;SUSTITUCION!$C$13),999999,IF(v_prioridad="Potasio",$H161,IF(v_prioridad="Fósforo",$I161,IF(v_prioridad="Sodio",$J161,IF(ISNUMBER($Q161),$Q161,999999)))))</f>
        <v>999999</v>
      </c>
    </row>
    <row r="162" spans="1:21" ht="15" customHeight="1">
      <c r="A162" s="21" t="s">
        <v>447</v>
      </c>
      <c r="B162" s="21" t="s">
        <v>448</v>
      </c>
      <c r="C162" s="21" t="s">
        <v>425</v>
      </c>
      <c r="D162" s="21" t="s">
        <v>426</v>
      </c>
      <c r="E162" s="21" t="s">
        <v>135</v>
      </c>
      <c r="F162" s="22">
        <v>118</v>
      </c>
      <c r="G162" s="22">
        <v>21.3</v>
      </c>
      <c r="H162" s="22">
        <v>116</v>
      </c>
      <c r="I162" s="22">
        <v>258</v>
      </c>
      <c r="J162" s="22">
        <v>332</v>
      </c>
      <c r="K162" s="22">
        <v>118</v>
      </c>
      <c r="L162" s="22">
        <v>21.3</v>
      </c>
      <c r="M162" s="22">
        <v>81</v>
      </c>
      <c r="N162" s="23" t="str">
        <f t="shared" si="14"/>
        <v>Medio</v>
      </c>
      <c r="O162" s="23" t="str">
        <f t="shared" si="15"/>
        <v>Muy alto</v>
      </c>
      <c r="P162" s="23" t="str">
        <f t="shared" si="16"/>
        <v>Alto</v>
      </c>
      <c r="Q162" s="24">
        <f t="shared" si="17"/>
        <v>12.112676056338028</v>
      </c>
      <c r="R162" s="23" t="str">
        <f t="shared" si="18"/>
        <v>Aceptable</v>
      </c>
      <c r="S162" s="25" t="str">
        <f t="shared" si="19"/>
        <v>Utilizable</v>
      </c>
      <c r="T162" s="26" t="str">
        <f t="shared" si="20"/>
        <v>Pescados y mariscos|00.000.116</v>
      </c>
      <c r="U162" s="26">
        <f>IF(OR($S162&lt;&gt;"Utilizable",$C162&lt;&gt;SUSTITUCION!$C$13),999999,IF(v_prioridad="Potasio",$H162,IF(v_prioridad="Fósforo",$I162,IF(v_prioridad="Sodio",$J162,IF(ISNUMBER($Q162),$Q162,999999)))))</f>
        <v>999999</v>
      </c>
    </row>
    <row r="163" spans="1:21" ht="15" customHeight="1">
      <c r="A163" s="21" t="s">
        <v>449</v>
      </c>
      <c r="B163" s="21" t="s">
        <v>450</v>
      </c>
      <c r="C163" s="21" t="s">
        <v>425</v>
      </c>
      <c r="D163" s="21" t="s">
        <v>426</v>
      </c>
      <c r="E163" s="21" t="s">
        <v>135</v>
      </c>
      <c r="F163" s="22">
        <v>80</v>
      </c>
      <c r="G163" s="22">
        <v>14.2</v>
      </c>
      <c r="H163" s="22" t="s">
        <v>138</v>
      </c>
      <c r="I163" s="22">
        <v>233</v>
      </c>
      <c r="J163" s="22" t="s">
        <v>138</v>
      </c>
      <c r="K163" s="22">
        <v>80</v>
      </c>
      <c r="L163" s="22">
        <v>14.2</v>
      </c>
      <c r="M163" s="22">
        <v>75</v>
      </c>
      <c r="N163" s="23" t="str">
        <f t="shared" si="14"/>
        <v>Sin dato</v>
      </c>
      <c r="O163" s="23" t="str">
        <f t="shared" si="15"/>
        <v>Muy alto</v>
      </c>
      <c r="P163" s="23" t="str">
        <f t="shared" si="16"/>
        <v>Sin dato</v>
      </c>
      <c r="Q163" s="24">
        <f t="shared" si="17"/>
        <v>16.408450704225352</v>
      </c>
      <c r="R163" s="23" t="str">
        <f t="shared" si="18"/>
        <v>Alta</v>
      </c>
      <c r="S163" s="25" t="str">
        <f t="shared" si="19"/>
        <v>No utilizable</v>
      </c>
      <c r="T163" s="26" t="str">
        <f t="shared" si="20"/>
        <v/>
      </c>
      <c r="U163" s="26">
        <f>IF(OR($S163&lt;&gt;"Utilizable",$C163&lt;&gt;SUSTITUCION!$C$13),999999,IF(v_prioridad="Potasio",$H163,IF(v_prioridad="Fósforo",$I163,IF(v_prioridad="Sodio",$J163,IF(ISNUMBER($Q163),$Q163,999999)))))</f>
        <v>999999</v>
      </c>
    </row>
    <row r="164" spans="1:21" ht="15" customHeight="1">
      <c r="A164" s="21" t="s">
        <v>451</v>
      </c>
      <c r="B164" s="21" t="s">
        <v>452</v>
      </c>
      <c r="C164" s="21" t="s">
        <v>425</v>
      </c>
      <c r="D164" s="21" t="s">
        <v>426</v>
      </c>
      <c r="E164" s="21" t="s">
        <v>135</v>
      </c>
      <c r="F164" s="22">
        <v>81</v>
      </c>
      <c r="G164" s="22">
        <v>9.5</v>
      </c>
      <c r="H164" s="22">
        <v>168</v>
      </c>
      <c r="I164" s="22">
        <v>162</v>
      </c>
      <c r="J164" s="22">
        <v>106</v>
      </c>
      <c r="K164" s="22">
        <v>81</v>
      </c>
      <c r="L164" s="22">
        <v>9.5</v>
      </c>
      <c r="M164" s="22">
        <v>8</v>
      </c>
      <c r="N164" s="23" t="str">
        <f t="shared" si="14"/>
        <v>Medio</v>
      </c>
      <c r="O164" s="23" t="str">
        <f t="shared" si="15"/>
        <v>Alto</v>
      </c>
      <c r="P164" s="23" t="str">
        <f t="shared" si="16"/>
        <v>Medio</v>
      </c>
      <c r="Q164" s="24" t="str">
        <f t="shared" si="17"/>
        <v>N/C: no es fuente proteica</v>
      </c>
      <c r="R164" s="23" t="str">
        <f t="shared" si="18"/>
        <v>N/C</v>
      </c>
      <c r="S164" s="25" t="str">
        <f t="shared" si="19"/>
        <v>Utilizable</v>
      </c>
      <c r="T164" s="26" t="str">
        <f t="shared" si="20"/>
        <v>Pescados y mariscos|00.000.168</v>
      </c>
      <c r="U164" s="26">
        <f>IF(OR($S164&lt;&gt;"Utilizable",$C164&lt;&gt;SUSTITUCION!$C$13),999999,IF(v_prioridad="Potasio",$H164,IF(v_prioridad="Fósforo",$I164,IF(v_prioridad="Sodio",$J164,IF(ISNUMBER($Q164),$Q164,999999)))))</f>
        <v>999999</v>
      </c>
    </row>
    <row r="165" spans="1:21" ht="15" customHeight="1">
      <c r="A165" s="21" t="s">
        <v>453</v>
      </c>
      <c r="B165" s="21" t="s">
        <v>454</v>
      </c>
      <c r="C165" s="21" t="s">
        <v>425</v>
      </c>
      <c r="D165" s="21" t="s">
        <v>426</v>
      </c>
      <c r="E165" s="21" t="s">
        <v>135</v>
      </c>
      <c r="F165" s="22">
        <v>57</v>
      </c>
      <c r="G165" s="22">
        <v>8.8000000000000007</v>
      </c>
      <c r="H165" s="22" t="s">
        <v>138</v>
      </c>
      <c r="I165" s="22">
        <v>108</v>
      </c>
      <c r="J165" s="22" t="s">
        <v>138</v>
      </c>
      <c r="K165" s="22">
        <v>57</v>
      </c>
      <c r="L165" s="22">
        <v>8.8000000000000007</v>
      </c>
      <c r="M165" s="22">
        <v>57</v>
      </c>
      <c r="N165" s="23" t="str">
        <f t="shared" si="14"/>
        <v>Sin dato</v>
      </c>
      <c r="O165" s="23" t="str">
        <f t="shared" si="15"/>
        <v>Alto</v>
      </c>
      <c r="P165" s="23" t="str">
        <f t="shared" si="16"/>
        <v>Sin dato</v>
      </c>
      <c r="Q165" s="24" t="str">
        <f t="shared" si="17"/>
        <v>N/C: no es fuente proteica</v>
      </c>
      <c r="R165" s="23" t="str">
        <f t="shared" si="18"/>
        <v>N/C</v>
      </c>
      <c r="S165" s="25" t="str">
        <f t="shared" si="19"/>
        <v>No utilizable</v>
      </c>
      <c r="T165" s="26" t="str">
        <f t="shared" si="20"/>
        <v/>
      </c>
      <c r="U165" s="26">
        <f>IF(OR($S165&lt;&gt;"Utilizable",$C165&lt;&gt;SUSTITUCION!$C$13),999999,IF(v_prioridad="Potasio",$H165,IF(v_prioridad="Fósforo",$I165,IF(v_prioridad="Sodio",$J165,IF(ISNUMBER($Q165),$Q165,999999)))))</f>
        <v>999999</v>
      </c>
    </row>
    <row r="166" spans="1:21" ht="15" customHeight="1">
      <c r="A166" s="21" t="s">
        <v>455</v>
      </c>
      <c r="B166" s="21" t="s">
        <v>456</v>
      </c>
      <c r="C166" s="21" t="s">
        <v>425</v>
      </c>
      <c r="D166" s="21" t="s">
        <v>426</v>
      </c>
      <c r="E166" s="21" t="s">
        <v>135</v>
      </c>
      <c r="F166" s="22">
        <v>85</v>
      </c>
      <c r="G166" s="22">
        <v>20.100000000000001</v>
      </c>
      <c r="H166" s="22">
        <v>264</v>
      </c>
      <c r="I166" s="22">
        <v>214</v>
      </c>
      <c r="J166" s="22">
        <v>119</v>
      </c>
      <c r="K166" s="22">
        <v>85</v>
      </c>
      <c r="L166" s="22">
        <v>20.100000000000001</v>
      </c>
      <c r="M166" s="22">
        <v>64</v>
      </c>
      <c r="N166" s="23" t="str">
        <f t="shared" si="14"/>
        <v>Alto</v>
      </c>
      <c r="O166" s="23" t="str">
        <f t="shared" si="15"/>
        <v>Muy alto</v>
      </c>
      <c r="P166" s="23" t="str">
        <f t="shared" si="16"/>
        <v>Medio</v>
      </c>
      <c r="Q166" s="24">
        <f t="shared" si="17"/>
        <v>10.646766169154228</v>
      </c>
      <c r="R166" s="23" t="str">
        <f t="shared" si="18"/>
        <v>Deseable</v>
      </c>
      <c r="S166" s="25" t="str">
        <f t="shared" si="19"/>
        <v>Utilizable</v>
      </c>
      <c r="T166" s="26" t="str">
        <f t="shared" si="20"/>
        <v>Pescados y mariscos|00.000.264</v>
      </c>
      <c r="U166" s="26">
        <f>IF(OR($S166&lt;&gt;"Utilizable",$C166&lt;&gt;SUSTITUCION!$C$13),999999,IF(v_prioridad="Potasio",$H166,IF(v_prioridad="Fósforo",$I166,IF(v_prioridad="Sodio",$J166,IF(ISNUMBER($Q166),$Q166,999999)))))</f>
        <v>999999</v>
      </c>
    </row>
    <row r="167" spans="1:21" ht="15" customHeight="1">
      <c r="A167" s="21" t="s">
        <v>457</v>
      </c>
      <c r="B167" s="21" t="s">
        <v>458</v>
      </c>
      <c r="C167" s="21" t="s">
        <v>425</v>
      </c>
      <c r="D167" s="21" t="s">
        <v>426</v>
      </c>
      <c r="E167" s="21" t="s">
        <v>135</v>
      </c>
      <c r="F167" s="22">
        <v>110</v>
      </c>
      <c r="G167" s="22">
        <v>23.7</v>
      </c>
      <c r="H167" s="22">
        <v>121</v>
      </c>
      <c r="I167" s="22">
        <v>229</v>
      </c>
      <c r="J167" s="22">
        <v>240</v>
      </c>
      <c r="K167" s="22">
        <v>110</v>
      </c>
      <c r="L167" s="22">
        <v>23.7</v>
      </c>
      <c r="M167" s="22">
        <v>25</v>
      </c>
      <c r="N167" s="23" t="str">
        <f t="shared" si="14"/>
        <v>Medio</v>
      </c>
      <c r="O167" s="23" t="str">
        <f t="shared" si="15"/>
        <v>Muy alto</v>
      </c>
      <c r="P167" s="23" t="str">
        <f t="shared" si="16"/>
        <v>Alto</v>
      </c>
      <c r="Q167" s="24">
        <f t="shared" si="17"/>
        <v>9.6624472573839668</v>
      </c>
      <c r="R167" s="23" t="str">
        <f t="shared" si="18"/>
        <v>Deseable</v>
      </c>
      <c r="S167" s="25" t="str">
        <f t="shared" si="19"/>
        <v>Utilizable</v>
      </c>
      <c r="T167" s="26" t="str">
        <f t="shared" si="20"/>
        <v>Pescados y mariscos|00.000.121</v>
      </c>
      <c r="U167" s="26">
        <f>IF(OR($S167&lt;&gt;"Utilizable",$C167&lt;&gt;SUSTITUCION!$C$13),999999,IF(v_prioridad="Potasio",$H167,IF(v_prioridad="Fósforo",$I167,IF(v_prioridad="Sodio",$J167,IF(ISNUMBER($Q167),$Q167,999999)))))</f>
        <v>999999</v>
      </c>
    </row>
    <row r="168" spans="1:21" ht="15" customHeight="1">
      <c r="A168" s="21" t="s">
        <v>459</v>
      </c>
      <c r="B168" s="21" t="s">
        <v>460</v>
      </c>
      <c r="C168" s="21" t="s">
        <v>425</v>
      </c>
      <c r="D168" s="21" t="s">
        <v>426</v>
      </c>
      <c r="E168" s="21" t="s">
        <v>135</v>
      </c>
      <c r="F168" s="22">
        <v>87</v>
      </c>
      <c r="G168" s="22">
        <v>14.5</v>
      </c>
      <c r="H168" s="22" t="s">
        <v>138</v>
      </c>
      <c r="I168" s="22" t="s">
        <v>138</v>
      </c>
      <c r="J168" s="22">
        <v>446</v>
      </c>
      <c r="K168" s="22">
        <v>87</v>
      </c>
      <c r="L168" s="22">
        <v>14.5</v>
      </c>
      <c r="M168" s="22" t="s">
        <v>138</v>
      </c>
      <c r="N168" s="23" t="str">
        <f t="shared" si="14"/>
        <v>Sin dato</v>
      </c>
      <c r="O168" s="23" t="str">
        <f t="shared" si="15"/>
        <v>Sin dato</v>
      </c>
      <c r="P168" s="23" t="str">
        <f t="shared" si="16"/>
        <v>Muy alto</v>
      </c>
      <c r="Q168" s="24" t="str">
        <f t="shared" si="17"/>
        <v>N/C</v>
      </c>
      <c r="R168" s="23" t="str">
        <f t="shared" si="18"/>
        <v>N/C</v>
      </c>
      <c r="S168" s="25" t="str">
        <f t="shared" si="19"/>
        <v>No utilizable</v>
      </c>
      <c r="T168" s="26" t="str">
        <f t="shared" si="20"/>
        <v/>
      </c>
      <c r="U168" s="26">
        <f>IF(OR($S168&lt;&gt;"Utilizable",$C168&lt;&gt;SUSTITUCION!$C$13),999999,IF(v_prioridad="Potasio",$H168,IF(v_prioridad="Fósforo",$I168,IF(v_prioridad="Sodio",$J168,IF(ISNUMBER($Q168),$Q168,999999)))))</f>
        <v>999999</v>
      </c>
    </row>
    <row r="169" spans="1:21" ht="15" customHeight="1">
      <c r="A169" s="21" t="s">
        <v>461</v>
      </c>
      <c r="B169" s="21" t="s">
        <v>462</v>
      </c>
      <c r="C169" s="21" t="s">
        <v>425</v>
      </c>
      <c r="D169" s="21" t="s">
        <v>426</v>
      </c>
      <c r="E169" s="21" t="s">
        <v>135</v>
      </c>
      <c r="F169" s="22">
        <v>71</v>
      </c>
      <c r="G169" s="22">
        <v>17.399999999999999</v>
      </c>
      <c r="H169" s="22" t="s">
        <v>138</v>
      </c>
      <c r="I169" s="22" t="s">
        <v>138</v>
      </c>
      <c r="J169" s="22">
        <v>312</v>
      </c>
      <c r="K169" s="22">
        <v>71</v>
      </c>
      <c r="L169" s="22">
        <v>17.399999999999999</v>
      </c>
      <c r="M169" s="22" t="s">
        <v>138</v>
      </c>
      <c r="N169" s="23" t="str">
        <f t="shared" si="14"/>
        <v>Sin dato</v>
      </c>
      <c r="O169" s="23" t="str">
        <f t="shared" si="15"/>
        <v>Sin dato</v>
      </c>
      <c r="P169" s="23" t="str">
        <f t="shared" si="16"/>
        <v>Alto</v>
      </c>
      <c r="Q169" s="24" t="str">
        <f t="shared" si="17"/>
        <v>N/C</v>
      </c>
      <c r="R169" s="23" t="str">
        <f t="shared" si="18"/>
        <v>N/C</v>
      </c>
      <c r="S169" s="25" t="str">
        <f t="shared" si="19"/>
        <v>No utilizable</v>
      </c>
      <c r="T169" s="26" t="str">
        <f t="shared" si="20"/>
        <v/>
      </c>
      <c r="U169" s="26">
        <f>IF(OR($S169&lt;&gt;"Utilizable",$C169&lt;&gt;SUSTITUCION!$C$13),999999,IF(v_prioridad="Potasio",$H169,IF(v_prioridad="Fósforo",$I169,IF(v_prioridad="Sodio",$J169,IF(ISNUMBER($Q169),$Q169,999999)))))</f>
        <v>999999</v>
      </c>
    </row>
    <row r="170" spans="1:21" ht="15" customHeight="1">
      <c r="A170" s="21" t="s">
        <v>463</v>
      </c>
      <c r="B170" s="21" t="s">
        <v>464</v>
      </c>
      <c r="C170" s="21" t="s">
        <v>425</v>
      </c>
      <c r="D170" s="21" t="s">
        <v>426</v>
      </c>
      <c r="E170" s="21" t="s">
        <v>135</v>
      </c>
      <c r="F170" s="22">
        <v>115</v>
      </c>
      <c r="G170" s="22">
        <v>18.3</v>
      </c>
      <c r="H170" s="22">
        <v>254</v>
      </c>
      <c r="I170" s="22">
        <v>394</v>
      </c>
      <c r="J170" s="22">
        <v>542</v>
      </c>
      <c r="K170" s="22">
        <v>115</v>
      </c>
      <c r="L170" s="22">
        <v>18.3</v>
      </c>
      <c r="M170" s="22">
        <v>226</v>
      </c>
      <c r="N170" s="23" t="str">
        <f t="shared" si="14"/>
        <v>Alto</v>
      </c>
      <c r="O170" s="23" t="str">
        <f t="shared" si="15"/>
        <v>Muy alto</v>
      </c>
      <c r="P170" s="23" t="str">
        <f t="shared" si="16"/>
        <v>Muy alto</v>
      </c>
      <c r="Q170" s="24">
        <f t="shared" si="17"/>
        <v>21.530054644808743</v>
      </c>
      <c r="R170" s="23" t="str">
        <f t="shared" si="18"/>
        <v>Alta</v>
      </c>
      <c r="S170" s="25" t="str">
        <f t="shared" si="19"/>
        <v>Utilizable</v>
      </c>
      <c r="T170" s="26" t="str">
        <f t="shared" si="20"/>
        <v>Pescados y mariscos|00.000.254</v>
      </c>
      <c r="U170" s="26">
        <f>IF(OR($S170&lt;&gt;"Utilizable",$C170&lt;&gt;SUSTITUCION!$C$13),999999,IF(v_prioridad="Potasio",$H170,IF(v_prioridad="Fósforo",$I170,IF(v_prioridad="Sodio",$J170,IF(ISNUMBER($Q170),$Q170,999999)))))</f>
        <v>999999</v>
      </c>
    </row>
    <row r="171" spans="1:21" ht="15" customHeight="1">
      <c r="A171" s="21" t="s">
        <v>465</v>
      </c>
      <c r="B171" s="21" t="s">
        <v>466</v>
      </c>
      <c r="C171" s="21" t="s">
        <v>425</v>
      </c>
      <c r="D171" s="21" t="s">
        <v>426</v>
      </c>
      <c r="E171" s="21" t="s">
        <v>135</v>
      </c>
      <c r="F171" s="22">
        <v>120</v>
      </c>
      <c r="G171" s="22">
        <v>28</v>
      </c>
      <c r="H171" s="22" t="s">
        <v>138</v>
      </c>
      <c r="I171" s="22" t="s">
        <v>138</v>
      </c>
      <c r="J171" s="22">
        <v>500</v>
      </c>
      <c r="K171" s="22">
        <v>120</v>
      </c>
      <c r="L171" s="22">
        <v>28</v>
      </c>
      <c r="M171" s="22" t="s">
        <v>138</v>
      </c>
      <c r="N171" s="23" t="str">
        <f t="shared" si="14"/>
        <v>Sin dato</v>
      </c>
      <c r="O171" s="23" t="str">
        <f t="shared" si="15"/>
        <v>Sin dato</v>
      </c>
      <c r="P171" s="23" t="str">
        <f t="shared" si="16"/>
        <v>Muy alto</v>
      </c>
      <c r="Q171" s="24" t="str">
        <f t="shared" si="17"/>
        <v>N/C</v>
      </c>
      <c r="R171" s="23" t="str">
        <f t="shared" si="18"/>
        <v>N/C</v>
      </c>
      <c r="S171" s="25" t="str">
        <f t="shared" si="19"/>
        <v>No utilizable</v>
      </c>
      <c r="T171" s="26" t="str">
        <f t="shared" si="20"/>
        <v/>
      </c>
      <c r="U171" s="26">
        <f>IF(OR($S171&lt;&gt;"Utilizable",$C171&lt;&gt;SUSTITUCION!$C$13),999999,IF(v_prioridad="Potasio",$H171,IF(v_prioridad="Fósforo",$I171,IF(v_prioridad="Sodio",$J171,IF(ISNUMBER($Q171),$Q171,999999)))))</f>
        <v>999999</v>
      </c>
    </row>
    <row r="172" spans="1:21" ht="15" customHeight="1">
      <c r="A172" s="21" t="s">
        <v>467</v>
      </c>
      <c r="B172" s="21" t="s">
        <v>468</v>
      </c>
      <c r="C172" s="21" t="s">
        <v>425</v>
      </c>
      <c r="D172" s="21" t="s">
        <v>426</v>
      </c>
      <c r="E172" s="21" t="s">
        <v>135</v>
      </c>
      <c r="F172" s="22">
        <v>131</v>
      </c>
      <c r="G172" s="22">
        <v>29.6</v>
      </c>
      <c r="H172" s="22">
        <v>314</v>
      </c>
      <c r="I172" s="22">
        <v>185</v>
      </c>
      <c r="J172" s="22">
        <v>356</v>
      </c>
      <c r="K172" s="22">
        <v>131</v>
      </c>
      <c r="L172" s="22">
        <v>29.6</v>
      </c>
      <c r="M172" s="22">
        <v>12</v>
      </c>
      <c r="N172" s="23" t="str">
        <f t="shared" si="14"/>
        <v>Muy alto</v>
      </c>
      <c r="O172" s="23" t="str">
        <f t="shared" si="15"/>
        <v>Muy alto</v>
      </c>
      <c r="P172" s="23" t="str">
        <f t="shared" si="16"/>
        <v>Alto</v>
      </c>
      <c r="Q172" s="24">
        <f t="shared" si="17"/>
        <v>6.25</v>
      </c>
      <c r="R172" s="23" t="str">
        <f t="shared" si="18"/>
        <v>Deseable</v>
      </c>
      <c r="S172" s="25" t="str">
        <f t="shared" si="19"/>
        <v>Utilizable</v>
      </c>
      <c r="T172" s="26" t="str">
        <f t="shared" si="20"/>
        <v>Pescados y mariscos|00.000.314</v>
      </c>
      <c r="U172" s="26">
        <f>IF(OR($S172&lt;&gt;"Utilizable",$C172&lt;&gt;SUSTITUCION!$C$13),999999,IF(v_prioridad="Potasio",$H172,IF(v_prioridad="Fósforo",$I172,IF(v_prioridad="Sodio",$J172,IF(ISNUMBER($Q172),$Q172,999999)))))</f>
        <v>999999</v>
      </c>
    </row>
    <row r="173" spans="1:21" ht="15" customHeight="1">
      <c r="A173" s="21" t="s">
        <v>469</v>
      </c>
      <c r="B173" s="21" t="s">
        <v>470</v>
      </c>
      <c r="C173" s="21" t="s">
        <v>425</v>
      </c>
      <c r="D173" s="21" t="s">
        <v>426</v>
      </c>
      <c r="E173" s="21" t="s">
        <v>135</v>
      </c>
      <c r="F173" s="22">
        <v>198</v>
      </c>
      <c r="G173" s="22">
        <v>29.1</v>
      </c>
      <c r="H173" s="22">
        <v>207</v>
      </c>
      <c r="I173" s="22">
        <v>311</v>
      </c>
      <c r="J173" s="22">
        <v>416</v>
      </c>
      <c r="K173" s="22">
        <v>198</v>
      </c>
      <c r="L173" s="22">
        <v>29.1</v>
      </c>
      <c r="M173" s="22">
        <v>13</v>
      </c>
      <c r="N173" s="23" t="str">
        <f t="shared" si="14"/>
        <v>Alto</v>
      </c>
      <c r="O173" s="23" t="str">
        <f t="shared" si="15"/>
        <v>Muy alto</v>
      </c>
      <c r="P173" s="23" t="str">
        <f t="shared" si="16"/>
        <v>Muy alto</v>
      </c>
      <c r="Q173" s="24">
        <f t="shared" si="17"/>
        <v>10.687285223367697</v>
      </c>
      <c r="R173" s="23" t="str">
        <f t="shared" si="18"/>
        <v>Deseable</v>
      </c>
      <c r="S173" s="25" t="str">
        <f t="shared" si="19"/>
        <v>Utilizable</v>
      </c>
      <c r="T173" s="26" t="str">
        <f t="shared" si="20"/>
        <v>Pescados y mariscos|00.000.207</v>
      </c>
      <c r="U173" s="26">
        <f>IF(OR($S173&lt;&gt;"Utilizable",$C173&lt;&gt;SUSTITUCION!$C$13),999999,IF(v_prioridad="Potasio",$H173,IF(v_prioridad="Fósforo",$I173,IF(v_prioridad="Sodio",$J173,IF(ISNUMBER($Q173),$Q173,999999)))))</f>
        <v>999999</v>
      </c>
    </row>
    <row r="174" spans="1:21" ht="15" customHeight="1">
      <c r="A174" s="21" t="s">
        <v>471</v>
      </c>
      <c r="B174" s="21" t="s">
        <v>472</v>
      </c>
      <c r="C174" s="21" t="s">
        <v>425</v>
      </c>
      <c r="D174" s="21" t="s">
        <v>426</v>
      </c>
      <c r="E174" s="21" t="s">
        <v>135</v>
      </c>
      <c r="F174" s="22">
        <v>187</v>
      </c>
      <c r="G174" s="22">
        <v>17.2</v>
      </c>
      <c r="H174" s="22">
        <v>401</v>
      </c>
      <c r="I174" s="22" t="s">
        <v>138</v>
      </c>
      <c r="J174" s="22">
        <v>61</v>
      </c>
      <c r="K174" s="22">
        <v>187</v>
      </c>
      <c r="L174" s="22">
        <v>17.2</v>
      </c>
      <c r="M174" s="22" t="s">
        <v>138</v>
      </c>
      <c r="N174" s="23" t="str">
        <f t="shared" si="14"/>
        <v>Muy alto</v>
      </c>
      <c r="O174" s="23" t="str">
        <f t="shared" si="15"/>
        <v>Sin dato</v>
      </c>
      <c r="P174" s="23" t="str">
        <f t="shared" si="16"/>
        <v>Medio</v>
      </c>
      <c r="Q174" s="24" t="str">
        <f t="shared" si="17"/>
        <v>N/C</v>
      </c>
      <c r="R174" s="23" t="str">
        <f t="shared" si="18"/>
        <v>N/C</v>
      </c>
      <c r="S174" s="25" t="str">
        <f t="shared" si="19"/>
        <v>No utilizable</v>
      </c>
      <c r="T174" s="26" t="str">
        <f t="shared" si="20"/>
        <v/>
      </c>
      <c r="U174" s="26">
        <f>IF(OR($S174&lt;&gt;"Utilizable",$C174&lt;&gt;SUSTITUCION!$C$13),999999,IF(v_prioridad="Potasio",$H174,IF(v_prioridad="Fósforo",$I174,IF(v_prioridad="Sodio",$J174,IF(ISNUMBER($Q174),$Q174,999999)))))</f>
        <v>999999</v>
      </c>
    </row>
    <row r="175" spans="1:21" ht="15" customHeight="1">
      <c r="A175" s="21" t="s">
        <v>473</v>
      </c>
      <c r="B175" s="21" t="s">
        <v>474</v>
      </c>
      <c r="C175" s="21" t="s">
        <v>425</v>
      </c>
      <c r="D175" s="21" t="s">
        <v>426</v>
      </c>
      <c r="E175" s="21" t="s">
        <v>135</v>
      </c>
      <c r="F175" s="22">
        <v>77</v>
      </c>
      <c r="G175" s="22">
        <v>15.5</v>
      </c>
      <c r="H175" s="22" t="s">
        <v>138</v>
      </c>
      <c r="I175" s="22">
        <v>173</v>
      </c>
      <c r="J175" s="22" t="s">
        <v>138</v>
      </c>
      <c r="K175" s="22">
        <v>77</v>
      </c>
      <c r="L175" s="22">
        <v>15.5</v>
      </c>
      <c r="M175" s="22">
        <v>63</v>
      </c>
      <c r="N175" s="23" t="str">
        <f t="shared" si="14"/>
        <v>Sin dato</v>
      </c>
      <c r="O175" s="23" t="str">
        <f t="shared" si="15"/>
        <v>Muy alto</v>
      </c>
      <c r="P175" s="23" t="str">
        <f t="shared" si="16"/>
        <v>Sin dato</v>
      </c>
      <c r="Q175" s="24">
        <f t="shared" si="17"/>
        <v>11.161290322580646</v>
      </c>
      <c r="R175" s="23" t="str">
        <f t="shared" si="18"/>
        <v>Deseable</v>
      </c>
      <c r="S175" s="25" t="str">
        <f t="shared" si="19"/>
        <v>No utilizable</v>
      </c>
      <c r="T175" s="26" t="str">
        <f t="shared" si="20"/>
        <v/>
      </c>
      <c r="U175" s="26">
        <f>IF(OR($S175&lt;&gt;"Utilizable",$C175&lt;&gt;SUSTITUCION!$C$13),999999,IF(v_prioridad="Potasio",$H175,IF(v_prioridad="Fósforo",$I175,IF(v_prioridad="Sodio",$J175,IF(ISNUMBER($Q175),$Q175,999999)))))</f>
        <v>999999</v>
      </c>
    </row>
    <row r="176" spans="1:21" ht="15" customHeight="1">
      <c r="A176" s="21" t="s">
        <v>475</v>
      </c>
      <c r="B176" s="21" t="s">
        <v>476</v>
      </c>
      <c r="C176" s="21" t="s">
        <v>425</v>
      </c>
      <c r="D176" s="21" t="s">
        <v>426</v>
      </c>
      <c r="E176" s="21" t="s">
        <v>135</v>
      </c>
      <c r="F176" s="22">
        <v>155</v>
      </c>
      <c r="G176" s="22">
        <v>23.8</v>
      </c>
      <c r="H176" s="22">
        <v>293</v>
      </c>
      <c r="I176" s="22">
        <v>246</v>
      </c>
      <c r="J176" s="22">
        <v>444</v>
      </c>
      <c r="K176" s="22">
        <v>155</v>
      </c>
      <c r="L176" s="22">
        <v>23.8</v>
      </c>
      <c r="M176" s="22">
        <v>21</v>
      </c>
      <c r="N176" s="23" t="str">
        <f t="shared" si="14"/>
        <v>Alto</v>
      </c>
      <c r="O176" s="23" t="str">
        <f t="shared" si="15"/>
        <v>Muy alto</v>
      </c>
      <c r="P176" s="23" t="str">
        <f t="shared" si="16"/>
        <v>Muy alto</v>
      </c>
      <c r="Q176" s="24">
        <f t="shared" si="17"/>
        <v>10.336134453781511</v>
      </c>
      <c r="R176" s="23" t="str">
        <f t="shared" si="18"/>
        <v>Deseable</v>
      </c>
      <c r="S176" s="25" t="str">
        <f t="shared" si="19"/>
        <v>Utilizable</v>
      </c>
      <c r="T176" s="26" t="str">
        <f t="shared" si="20"/>
        <v>Pescados y mariscos|00.000.293</v>
      </c>
      <c r="U176" s="26">
        <f>IF(OR($S176&lt;&gt;"Utilizable",$C176&lt;&gt;SUSTITUCION!$C$13),999999,IF(v_prioridad="Potasio",$H176,IF(v_prioridad="Fósforo",$I176,IF(v_prioridad="Sodio",$J176,IF(ISNUMBER($Q176),$Q176,999999)))))</f>
        <v>999999</v>
      </c>
    </row>
    <row r="177" spans="1:21" ht="15" customHeight="1">
      <c r="A177" s="21" t="s">
        <v>477</v>
      </c>
      <c r="B177" s="21" t="s">
        <v>478</v>
      </c>
      <c r="C177" s="21" t="s">
        <v>425</v>
      </c>
      <c r="D177" s="21" t="s">
        <v>426</v>
      </c>
      <c r="E177" s="21" t="s">
        <v>135</v>
      </c>
      <c r="F177" s="22">
        <v>280</v>
      </c>
      <c r="G177" s="22">
        <v>22</v>
      </c>
      <c r="H177" s="22">
        <v>286</v>
      </c>
      <c r="I177" s="22">
        <v>119</v>
      </c>
      <c r="J177" s="22">
        <v>450</v>
      </c>
      <c r="K177" s="22">
        <v>280</v>
      </c>
      <c r="L177" s="22">
        <v>22</v>
      </c>
      <c r="M177" s="22">
        <v>19</v>
      </c>
      <c r="N177" s="23" t="str">
        <f t="shared" si="14"/>
        <v>Alto</v>
      </c>
      <c r="O177" s="23" t="str">
        <f t="shared" si="15"/>
        <v>Alto</v>
      </c>
      <c r="P177" s="23" t="str">
        <f t="shared" si="16"/>
        <v>Muy alto</v>
      </c>
      <c r="Q177" s="24">
        <f t="shared" si="17"/>
        <v>5.4090909090909092</v>
      </c>
      <c r="R177" s="23" t="str">
        <f t="shared" si="18"/>
        <v>Deseable</v>
      </c>
      <c r="S177" s="25" t="str">
        <f t="shared" si="19"/>
        <v>Utilizable</v>
      </c>
      <c r="T177" s="26" t="str">
        <f t="shared" si="20"/>
        <v>Pescados y mariscos|00.000.286</v>
      </c>
      <c r="U177" s="26">
        <f>IF(OR($S177&lt;&gt;"Utilizable",$C177&lt;&gt;SUSTITUCION!$C$13),999999,IF(v_prioridad="Potasio",$H177,IF(v_prioridad="Fósforo",$I177,IF(v_prioridad="Sodio",$J177,IF(ISNUMBER($Q177),$Q177,999999)))))</f>
        <v>999999</v>
      </c>
    </row>
    <row r="178" spans="1:21" ht="15" customHeight="1">
      <c r="A178" s="21" t="s">
        <v>479</v>
      </c>
      <c r="B178" s="21" t="s">
        <v>480</v>
      </c>
      <c r="C178" s="21" t="s">
        <v>425</v>
      </c>
      <c r="D178" s="21" t="s">
        <v>426</v>
      </c>
      <c r="E178" s="21" t="s">
        <v>135</v>
      </c>
      <c r="F178" s="22">
        <v>85</v>
      </c>
      <c r="G178" s="22">
        <v>18.899999999999999</v>
      </c>
      <c r="H178" s="22">
        <v>361</v>
      </c>
      <c r="I178" s="22">
        <v>173</v>
      </c>
      <c r="J178" s="22">
        <v>81.2</v>
      </c>
      <c r="K178" s="22">
        <v>85</v>
      </c>
      <c r="L178" s="22">
        <v>18.899999999999999</v>
      </c>
      <c r="M178" s="22">
        <v>40</v>
      </c>
      <c r="N178" s="23" t="str">
        <f t="shared" si="14"/>
        <v>Muy alto</v>
      </c>
      <c r="O178" s="23" t="str">
        <f t="shared" si="15"/>
        <v>Muy alto</v>
      </c>
      <c r="P178" s="23" t="str">
        <f t="shared" si="16"/>
        <v>Medio</v>
      </c>
      <c r="Q178" s="24">
        <f t="shared" si="17"/>
        <v>9.1534391534391535</v>
      </c>
      <c r="R178" s="23" t="str">
        <f t="shared" si="18"/>
        <v>Deseable</v>
      </c>
      <c r="S178" s="25" t="str">
        <f t="shared" si="19"/>
        <v>Utilizable</v>
      </c>
      <c r="T178" s="26" t="str">
        <f t="shared" si="20"/>
        <v>Pescados y mariscos|00.000.361</v>
      </c>
      <c r="U178" s="26">
        <f>IF(OR($S178&lt;&gt;"Utilizable",$C178&lt;&gt;SUSTITUCION!$C$13),999999,IF(v_prioridad="Potasio",$H178,IF(v_prioridad="Fósforo",$I178,IF(v_prioridad="Sodio",$J178,IF(ISNUMBER($Q178),$Q178,999999)))))</f>
        <v>999999</v>
      </c>
    </row>
    <row r="179" spans="1:21" ht="15" customHeight="1">
      <c r="A179" s="21" t="s">
        <v>481</v>
      </c>
      <c r="B179" s="21" t="s">
        <v>482</v>
      </c>
      <c r="C179" s="21" t="s">
        <v>425</v>
      </c>
      <c r="D179" s="21" t="s">
        <v>426</v>
      </c>
      <c r="E179" s="21" t="s">
        <v>135</v>
      </c>
      <c r="F179" s="22">
        <v>70</v>
      </c>
      <c r="G179" s="22">
        <v>12.4</v>
      </c>
      <c r="H179" s="22">
        <v>160</v>
      </c>
      <c r="I179" s="22">
        <v>252</v>
      </c>
      <c r="J179" s="22">
        <v>296</v>
      </c>
      <c r="K179" s="22">
        <v>70</v>
      </c>
      <c r="L179" s="22">
        <v>12.4</v>
      </c>
      <c r="M179" s="22">
        <v>21</v>
      </c>
      <c r="N179" s="23" t="str">
        <f t="shared" si="14"/>
        <v>Medio</v>
      </c>
      <c r="O179" s="23" t="str">
        <f t="shared" si="15"/>
        <v>Muy alto</v>
      </c>
      <c r="P179" s="23" t="str">
        <f t="shared" si="16"/>
        <v>Alto</v>
      </c>
      <c r="Q179" s="24">
        <f t="shared" si="17"/>
        <v>20.322580645161288</v>
      </c>
      <c r="R179" s="23" t="str">
        <f t="shared" si="18"/>
        <v>Alta</v>
      </c>
      <c r="S179" s="25" t="str">
        <f t="shared" si="19"/>
        <v>Utilizable</v>
      </c>
      <c r="T179" s="26" t="str">
        <f t="shared" si="20"/>
        <v>Pescados y mariscos|00.000.160</v>
      </c>
      <c r="U179" s="26">
        <f>IF(OR($S179&lt;&gt;"Utilizable",$C179&lt;&gt;SUSTITUCION!$C$13),999999,IF(v_prioridad="Potasio",$H179,IF(v_prioridad="Fósforo",$I179,IF(v_prioridad="Sodio",$J179,IF(ISNUMBER($Q179),$Q179,999999)))))</f>
        <v>999999</v>
      </c>
    </row>
    <row r="180" spans="1:21" ht="15" customHeight="1">
      <c r="A180" s="21" t="s">
        <v>483</v>
      </c>
      <c r="B180" s="21" t="s">
        <v>484</v>
      </c>
      <c r="C180" s="21" t="s">
        <v>425</v>
      </c>
      <c r="D180" s="21" t="s">
        <v>426</v>
      </c>
      <c r="E180" s="21" t="s">
        <v>135</v>
      </c>
      <c r="F180" s="22">
        <v>89</v>
      </c>
      <c r="G180" s="22">
        <v>18.600000000000001</v>
      </c>
      <c r="H180" s="22">
        <v>274</v>
      </c>
      <c r="I180" s="22">
        <v>257</v>
      </c>
      <c r="J180" s="22">
        <v>53</v>
      </c>
      <c r="K180" s="22">
        <v>89</v>
      </c>
      <c r="L180" s="22">
        <v>18.600000000000001</v>
      </c>
      <c r="M180" s="22">
        <v>24</v>
      </c>
      <c r="N180" s="23" t="str">
        <f t="shared" si="14"/>
        <v>Alto</v>
      </c>
      <c r="O180" s="23" t="str">
        <f t="shared" si="15"/>
        <v>Muy alto</v>
      </c>
      <c r="P180" s="23" t="str">
        <f t="shared" si="16"/>
        <v>Medio</v>
      </c>
      <c r="Q180" s="24">
        <f t="shared" si="17"/>
        <v>13.817204301075268</v>
      </c>
      <c r="R180" s="23" t="str">
        <f t="shared" si="18"/>
        <v>Aceptable</v>
      </c>
      <c r="S180" s="25" t="str">
        <f t="shared" si="19"/>
        <v>Utilizable</v>
      </c>
      <c r="T180" s="26" t="str">
        <f t="shared" si="20"/>
        <v>Pescados y mariscos|00.000.274</v>
      </c>
      <c r="U180" s="26">
        <f>IF(OR($S180&lt;&gt;"Utilizable",$C180&lt;&gt;SUSTITUCION!$C$13),999999,IF(v_prioridad="Potasio",$H180,IF(v_prioridad="Fósforo",$I180,IF(v_prioridad="Sodio",$J180,IF(ISNUMBER($Q180),$Q180,999999)))))</f>
        <v>999999</v>
      </c>
    </row>
    <row r="181" spans="1:21" ht="15" customHeight="1">
      <c r="A181" s="21" t="s">
        <v>485</v>
      </c>
      <c r="B181" s="21" t="s">
        <v>486</v>
      </c>
      <c r="C181" s="21" t="s">
        <v>425</v>
      </c>
      <c r="D181" s="21" t="s">
        <v>426</v>
      </c>
      <c r="E181" s="21" t="s">
        <v>135</v>
      </c>
      <c r="F181" s="22">
        <v>239</v>
      </c>
      <c r="G181" s="22">
        <v>12.2</v>
      </c>
      <c r="H181" s="22">
        <v>244</v>
      </c>
      <c r="I181" s="22" t="s">
        <v>138</v>
      </c>
      <c r="J181" s="22">
        <v>64</v>
      </c>
      <c r="K181" s="22">
        <v>239</v>
      </c>
      <c r="L181" s="22">
        <v>12.2</v>
      </c>
      <c r="M181" s="22" t="s">
        <v>138</v>
      </c>
      <c r="N181" s="23" t="str">
        <f t="shared" si="14"/>
        <v>Alto</v>
      </c>
      <c r="O181" s="23" t="str">
        <f t="shared" si="15"/>
        <v>Sin dato</v>
      </c>
      <c r="P181" s="23" t="str">
        <f t="shared" si="16"/>
        <v>Medio</v>
      </c>
      <c r="Q181" s="24" t="str">
        <f t="shared" si="17"/>
        <v>N/C</v>
      </c>
      <c r="R181" s="23" t="str">
        <f t="shared" si="18"/>
        <v>N/C</v>
      </c>
      <c r="S181" s="25" t="str">
        <f t="shared" si="19"/>
        <v>No utilizable</v>
      </c>
      <c r="T181" s="26" t="str">
        <f t="shared" si="20"/>
        <v/>
      </c>
      <c r="U181" s="26">
        <f>IF(OR($S181&lt;&gt;"Utilizable",$C181&lt;&gt;SUSTITUCION!$C$13),999999,IF(v_prioridad="Potasio",$H181,IF(v_prioridad="Fósforo",$I181,IF(v_prioridad="Sodio",$J181,IF(ISNUMBER($Q181),$Q181,999999)))))</f>
        <v>999999</v>
      </c>
    </row>
    <row r="182" spans="1:21" ht="15" customHeight="1">
      <c r="A182" s="21" t="s">
        <v>487</v>
      </c>
      <c r="B182" s="21" t="s">
        <v>488</v>
      </c>
      <c r="C182" s="21" t="s">
        <v>425</v>
      </c>
      <c r="D182" s="21" t="s">
        <v>426</v>
      </c>
      <c r="E182" s="21" t="s">
        <v>135</v>
      </c>
      <c r="F182" s="22">
        <v>89</v>
      </c>
      <c r="G182" s="22">
        <v>21.3</v>
      </c>
      <c r="H182" s="22">
        <v>356</v>
      </c>
      <c r="I182" s="22">
        <v>184</v>
      </c>
      <c r="J182" s="22">
        <v>120</v>
      </c>
      <c r="K182" s="22">
        <v>89</v>
      </c>
      <c r="L182" s="22">
        <v>21.3</v>
      </c>
      <c r="M182" s="22">
        <v>19</v>
      </c>
      <c r="N182" s="23" t="str">
        <f t="shared" si="14"/>
        <v>Muy alto</v>
      </c>
      <c r="O182" s="23" t="str">
        <f t="shared" si="15"/>
        <v>Muy alto</v>
      </c>
      <c r="P182" s="23" t="str">
        <f t="shared" si="16"/>
        <v>Medio</v>
      </c>
      <c r="Q182" s="24">
        <f t="shared" si="17"/>
        <v>8.63849765258216</v>
      </c>
      <c r="R182" s="23" t="str">
        <f t="shared" si="18"/>
        <v>Deseable</v>
      </c>
      <c r="S182" s="25" t="str">
        <f t="shared" si="19"/>
        <v>Utilizable</v>
      </c>
      <c r="T182" s="26" t="str">
        <f t="shared" si="20"/>
        <v>Pescados y mariscos|00.000.356</v>
      </c>
      <c r="U182" s="26">
        <f>IF(OR($S182&lt;&gt;"Utilizable",$C182&lt;&gt;SUSTITUCION!$C$13),999999,IF(v_prioridad="Potasio",$H182,IF(v_prioridad="Fósforo",$I182,IF(v_prioridad="Sodio",$J182,IF(ISNUMBER($Q182),$Q182,999999)))))</f>
        <v>999999</v>
      </c>
    </row>
    <row r="183" spans="1:21" ht="15" customHeight="1">
      <c r="A183" s="21" t="s">
        <v>489</v>
      </c>
      <c r="B183" s="21" t="s">
        <v>490</v>
      </c>
      <c r="C183" s="21" t="s">
        <v>425</v>
      </c>
      <c r="D183" s="21" t="s">
        <v>426</v>
      </c>
      <c r="E183" s="21" t="s">
        <v>135</v>
      </c>
      <c r="F183" s="22">
        <v>103</v>
      </c>
      <c r="G183" s="22">
        <v>16.399999999999999</v>
      </c>
      <c r="H183" s="22">
        <v>342</v>
      </c>
      <c r="I183" s="22" t="s">
        <v>138</v>
      </c>
      <c r="J183" s="22">
        <v>112</v>
      </c>
      <c r="K183" s="22">
        <v>103</v>
      </c>
      <c r="L183" s="22">
        <v>16.399999999999999</v>
      </c>
      <c r="M183" s="22" t="s">
        <v>138</v>
      </c>
      <c r="N183" s="23" t="str">
        <f t="shared" si="14"/>
        <v>Muy alto</v>
      </c>
      <c r="O183" s="23" t="str">
        <f t="shared" si="15"/>
        <v>Sin dato</v>
      </c>
      <c r="P183" s="23" t="str">
        <f t="shared" si="16"/>
        <v>Medio</v>
      </c>
      <c r="Q183" s="24" t="str">
        <f t="shared" si="17"/>
        <v>N/C</v>
      </c>
      <c r="R183" s="23" t="str">
        <f t="shared" si="18"/>
        <v>N/C</v>
      </c>
      <c r="S183" s="25" t="str">
        <f t="shared" si="19"/>
        <v>No utilizable</v>
      </c>
      <c r="T183" s="26" t="str">
        <f t="shared" si="20"/>
        <v/>
      </c>
      <c r="U183" s="26">
        <f>IF(OR($S183&lt;&gt;"Utilizable",$C183&lt;&gt;SUSTITUCION!$C$13),999999,IF(v_prioridad="Potasio",$H183,IF(v_prioridad="Fósforo",$I183,IF(v_prioridad="Sodio",$J183,IF(ISNUMBER($Q183),$Q183,999999)))))</f>
        <v>999999</v>
      </c>
    </row>
    <row r="184" spans="1:21" ht="15" customHeight="1">
      <c r="A184" s="21" t="s">
        <v>491</v>
      </c>
      <c r="B184" s="21" t="s">
        <v>492</v>
      </c>
      <c r="C184" s="21" t="s">
        <v>425</v>
      </c>
      <c r="D184" s="21" t="s">
        <v>426</v>
      </c>
      <c r="E184" s="21" t="s">
        <v>135</v>
      </c>
      <c r="F184" s="22">
        <v>105</v>
      </c>
      <c r="G184" s="22">
        <v>19.3</v>
      </c>
      <c r="H184" s="22">
        <v>199</v>
      </c>
      <c r="I184" s="22">
        <v>348</v>
      </c>
      <c r="J184" s="22">
        <v>142</v>
      </c>
      <c r="K184" s="22">
        <v>105</v>
      </c>
      <c r="L184" s="22">
        <v>19.3</v>
      </c>
      <c r="M184" s="22">
        <v>45</v>
      </c>
      <c r="N184" s="23" t="str">
        <f t="shared" si="14"/>
        <v>Medio</v>
      </c>
      <c r="O184" s="23" t="str">
        <f t="shared" si="15"/>
        <v>Muy alto</v>
      </c>
      <c r="P184" s="23" t="str">
        <f t="shared" si="16"/>
        <v>Alto</v>
      </c>
      <c r="Q184" s="24">
        <f t="shared" si="17"/>
        <v>18.031088082901555</v>
      </c>
      <c r="R184" s="23" t="str">
        <f t="shared" si="18"/>
        <v>Alta</v>
      </c>
      <c r="S184" s="25" t="str">
        <f t="shared" si="19"/>
        <v>Utilizable</v>
      </c>
      <c r="T184" s="26" t="str">
        <f t="shared" si="20"/>
        <v>Pescados y mariscos|00.000.199</v>
      </c>
      <c r="U184" s="26">
        <f>IF(OR($S184&lt;&gt;"Utilizable",$C184&lt;&gt;SUSTITUCION!$C$13),999999,IF(v_prioridad="Potasio",$H184,IF(v_prioridad="Fósforo",$I184,IF(v_prioridad="Sodio",$J184,IF(ISNUMBER($Q184),$Q184,999999)))))</f>
        <v>999999</v>
      </c>
    </row>
    <row r="185" spans="1:21" ht="15" customHeight="1">
      <c r="A185" s="21" t="s">
        <v>493</v>
      </c>
      <c r="B185" s="21" t="s">
        <v>494</v>
      </c>
      <c r="C185" s="21" t="s">
        <v>425</v>
      </c>
      <c r="D185" s="21" t="s">
        <v>426</v>
      </c>
      <c r="E185" s="21" t="s">
        <v>135</v>
      </c>
      <c r="F185" s="22">
        <v>88</v>
      </c>
      <c r="G185" s="22">
        <v>18.2</v>
      </c>
      <c r="H185" s="22" t="s">
        <v>138</v>
      </c>
      <c r="I185" s="22">
        <v>172</v>
      </c>
      <c r="J185" s="22" t="s">
        <v>138</v>
      </c>
      <c r="K185" s="22">
        <v>88</v>
      </c>
      <c r="L185" s="22">
        <v>18.2</v>
      </c>
      <c r="M185" s="22">
        <v>31</v>
      </c>
      <c r="N185" s="23" t="str">
        <f t="shared" si="14"/>
        <v>Sin dato</v>
      </c>
      <c r="O185" s="23" t="str">
        <f t="shared" si="15"/>
        <v>Muy alto</v>
      </c>
      <c r="P185" s="23" t="str">
        <f t="shared" si="16"/>
        <v>Sin dato</v>
      </c>
      <c r="Q185" s="24">
        <f t="shared" si="17"/>
        <v>9.4505494505494507</v>
      </c>
      <c r="R185" s="23" t="str">
        <f t="shared" si="18"/>
        <v>Deseable</v>
      </c>
      <c r="S185" s="25" t="str">
        <f t="shared" si="19"/>
        <v>No utilizable</v>
      </c>
      <c r="T185" s="26" t="str">
        <f t="shared" si="20"/>
        <v/>
      </c>
      <c r="U185" s="26">
        <f>IF(OR($S185&lt;&gt;"Utilizable",$C185&lt;&gt;SUSTITUCION!$C$13),999999,IF(v_prioridad="Potasio",$H185,IF(v_prioridad="Fósforo",$I185,IF(v_prioridad="Sodio",$J185,IF(ISNUMBER($Q185),$Q185,999999)))))</f>
        <v>999999</v>
      </c>
    </row>
    <row r="186" spans="1:21" ht="15" customHeight="1">
      <c r="A186" s="21" t="s">
        <v>495</v>
      </c>
      <c r="B186" s="21" t="s">
        <v>496</v>
      </c>
      <c r="C186" s="21" t="s">
        <v>425</v>
      </c>
      <c r="D186" s="21" t="s">
        <v>426</v>
      </c>
      <c r="E186" s="21" t="s">
        <v>135</v>
      </c>
      <c r="F186" s="22">
        <v>290</v>
      </c>
      <c r="G186" s="22">
        <v>19.100000000000001</v>
      </c>
      <c r="H186" s="22" t="s">
        <v>138</v>
      </c>
      <c r="I186" s="22" t="s">
        <v>138</v>
      </c>
      <c r="J186" s="22">
        <v>66</v>
      </c>
      <c r="K186" s="22">
        <v>290</v>
      </c>
      <c r="L186" s="22">
        <v>19.100000000000001</v>
      </c>
      <c r="M186" s="22" t="s">
        <v>138</v>
      </c>
      <c r="N186" s="23" t="str">
        <f t="shared" si="14"/>
        <v>Sin dato</v>
      </c>
      <c r="O186" s="23" t="str">
        <f t="shared" si="15"/>
        <v>Sin dato</v>
      </c>
      <c r="P186" s="23" t="str">
        <f t="shared" si="16"/>
        <v>Medio</v>
      </c>
      <c r="Q186" s="24" t="str">
        <f t="shared" si="17"/>
        <v>N/C</v>
      </c>
      <c r="R186" s="23" t="str">
        <f t="shared" si="18"/>
        <v>N/C</v>
      </c>
      <c r="S186" s="25" t="str">
        <f t="shared" si="19"/>
        <v>No utilizable</v>
      </c>
      <c r="T186" s="26" t="str">
        <f t="shared" si="20"/>
        <v/>
      </c>
      <c r="U186" s="26">
        <f>IF(OR($S186&lt;&gt;"Utilizable",$C186&lt;&gt;SUSTITUCION!$C$13),999999,IF(v_prioridad="Potasio",$H186,IF(v_prioridad="Fósforo",$I186,IF(v_prioridad="Sodio",$J186,IF(ISNUMBER($Q186),$Q186,999999)))))</f>
        <v>999999</v>
      </c>
    </row>
    <row r="187" spans="1:21" ht="15" customHeight="1">
      <c r="A187" s="21" t="s">
        <v>497</v>
      </c>
      <c r="B187" s="21" t="s">
        <v>498</v>
      </c>
      <c r="C187" s="21" t="s">
        <v>425</v>
      </c>
      <c r="D187" s="21" t="s">
        <v>426</v>
      </c>
      <c r="E187" s="21" t="s">
        <v>135</v>
      </c>
      <c r="F187" s="22">
        <v>146</v>
      </c>
      <c r="G187" s="22">
        <v>21.6</v>
      </c>
      <c r="H187" s="22">
        <v>423</v>
      </c>
      <c r="I187" s="22">
        <v>262</v>
      </c>
      <c r="J187" s="22">
        <v>46</v>
      </c>
      <c r="K187" s="22">
        <v>146</v>
      </c>
      <c r="L187" s="22">
        <v>21.6</v>
      </c>
      <c r="M187" s="22">
        <v>36</v>
      </c>
      <c r="N187" s="23" t="str">
        <f t="shared" si="14"/>
        <v>Muy alto</v>
      </c>
      <c r="O187" s="23" t="str">
        <f t="shared" si="15"/>
        <v>Muy alto</v>
      </c>
      <c r="P187" s="23" t="str">
        <f t="shared" si="16"/>
        <v>Medio</v>
      </c>
      <c r="Q187" s="24">
        <f t="shared" si="17"/>
        <v>12.129629629629628</v>
      </c>
      <c r="R187" s="23" t="str">
        <f t="shared" si="18"/>
        <v>Aceptable</v>
      </c>
      <c r="S187" s="25" t="str">
        <f t="shared" si="19"/>
        <v>Utilizable</v>
      </c>
      <c r="T187" s="26" t="str">
        <f t="shared" si="20"/>
        <v>Pescados y mariscos|00.000.423</v>
      </c>
      <c r="U187" s="26">
        <f>IF(OR($S187&lt;&gt;"Utilizable",$C187&lt;&gt;SUSTITUCION!$C$13),999999,IF(v_prioridad="Potasio",$H187,IF(v_prioridad="Fósforo",$I187,IF(v_prioridad="Sodio",$J187,IF(ISNUMBER($Q187),$Q187,999999)))))</f>
        <v>999999</v>
      </c>
    </row>
    <row r="188" spans="1:21" ht="15" customHeight="1">
      <c r="A188" s="21" t="s">
        <v>499</v>
      </c>
      <c r="B188" s="21" t="s">
        <v>500</v>
      </c>
      <c r="C188" s="21" t="s">
        <v>425</v>
      </c>
      <c r="D188" s="21" t="s">
        <v>426</v>
      </c>
      <c r="E188" s="21" t="s">
        <v>135</v>
      </c>
      <c r="F188" s="22">
        <v>165</v>
      </c>
      <c r="G188" s="22">
        <v>20.6</v>
      </c>
      <c r="H188" s="22" t="s">
        <v>138</v>
      </c>
      <c r="I188" s="22" t="s">
        <v>138</v>
      </c>
      <c r="J188" s="22">
        <v>87</v>
      </c>
      <c r="K188" s="22">
        <v>165</v>
      </c>
      <c r="L188" s="22">
        <v>20.6</v>
      </c>
      <c r="M188" s="22" t="s">
        <v>138</v>
      </c>
      <c r="N188" s="23" t="str">
        <f t="shared" si="14"/>
        <v>Sin dato</v>
      </c>
      <c r="O188" s="23" t="str">
        <f t="shared" si="15"/>
        <v>Sin dato</v>
      </c>
      <c r="P188" s="23" t="str">
        <f t="shared" si="16"/>
        <v>Medio</v>
      </c>
      <c r="Q188" s="24" t="str">
        <f t="shared" si="17"/>
        <v>N/C</v>
      </c>
      <c r="R188" s="23" t="str">
        <f t="shared" si="18"/>
        <v>N/C</v>
      </c>
      <c r="S188" s="25" t="str">
        <f t="shared" si="19"/>
        <v>No utilizable</v>
      </c>
      <c r="T188" s="26" t="str">
        <f t="shared" si="20"/>
        <v/>
      </c>
      <c r="U188" s="26">
        <f>IF(OR($S188&lt;&gt;"Utilizable",$C188&lt;&gt;SUSTITUCION!$C$13),999999,IF(v_prioridad="Potasio",$H188,IF(v_prioridad="Fósforo",$I188,IF(v_prioridad="Sodio",$J188,IF(ISNUMBER($Q188),$Q188,999999)))))</f>
        <v>999999</v>
      </c>
    </row>
    <row r="189" spans="1:21" ht="15" customHeight="1">
      <c r="A189" s="21" t="s">
        <v>501</v>
      </c>
      <c r="B189" s="21" t="s">
        <v>502</v>
      </c>
      <c r="C189" s="21" t="s">
        <v>425</v>
      </c>
      <c r="D189" s="21" t="s">
        <v>426</v>
      </c>
      <c r="E189" s="21" t="s">
        <v>135</v>
      </c>
      <c r="F189" s="22">
        <v>309</v>
      </c>
      <c r="G189" s="22">
        <v>21.2</v>
      </c>
      <c r="H189" s="22">
        <v>359</v>
      </c>
      <c r="I189" s="22">
        <v>294</v>
      </c>
      <c r="J189" s="22">
        <v>443</v>
      </c>
      <c r="K189" s="22">
        <v>309</v>
      </c>
      <c r="L189" s="22">
        <v>21.2</v>
      </c>
      <c r="M189" s="22">
        <v>374</v>
      </c>
      <c r="N189" s="23" t="str">
        <f t="shared" si="14"/>
        <v>Muy alto</v>
      </c>
      <c r="O189" s="23" t="str">
        <f t="shared" si="15"/>
        <v>Muy alto</v>
      </c>
      <c r="P189" s="23" t="str">
        <f t="shared" si="16"/>
        <v>Muy alto</v>
      </c>
      <c r="Q189" s="24">
        <f t="shared" si="17"/>
        <v>13.867924528301888</v>
      </c>
      <c r="R189" s="23" t="str">
        <f t="shared" si="18"/>
        <v>Aceptable</v>
      </c>
      <c r="S189" s="25" t="str">
        <f t="shared" si="19"/>
        <v>Utilizable</v>
      </c>
      <c r="T189" s="26" t="str">
        <f t="shared" si="20"/>
        <v>Pescados y mariscos|00.000.359</v>
      </c>
      <c r="U189" s="26">
        <f>IF(OR($S189&lt;&gt;"Utilizable",$C189&lt;&gt;SUSTITUCION!$C$13),999999,IF(v_prioridad="Potasio",$H189,IF(v_prioridad="Fósforo",$I189,IF(v_prioridad="Sodio",$J189,IF(ISNUMBER($Q189),$Q189,999999)))))</f>
        <v>999999</v>
      </c>
    </row>
    <row r="190" spans="1:21" ht="15" customHeight="1">
      <c r="A190" s="21" t="s">
        <v>503</v>
      </c>
      <c r="B190" s="21" t="s">
        <v>504</v>
      </c>
      <c r="C190" s="21" t="s">
        <v>425</v>
      </c>
      <c r="D190" s="21" t="s">
        <v>426</v>
      </c>
      <c r="E190" s="21" t="s">
        <v>135</v>
      </c>
      <c r="F190" s="22">
        <v>169</v>
      </c>
      <c r="G190" s="22">
        <v>17.100000000000001</v>
      </c>
      <c r="H190" s="22">
        <v>312</v>
      </c>
      <c r="I190" s="22" t="s">
        <v>138</v>
      </c>
      <c r="J190" s="22">
        <v>129</v>
      </c>
      <c r="K190" s="22">
        <v>169</v>
      </c>
      <c r="L190" s="22">
        <v>17.100000000000001</v>
      </c>
      <c r="M190" s="22" t="s">
        <v>138</v>
      </c>
      <c r="N190" s="23" t="str">
        <f t="shared" si="14"/>
        <v>Muy alto</v>
      </c>
      <c r="O190" s="23" t="str">
        <f t="shared" si="15"/>
        <v>Sin dato</v>
      </c>
      <c r="P190" s="23" t="str">
        <f t="shared" si="16"/>
        <v>Alto</v>
      </c>
      <c r="Q190" s="24" t="str">
        <f t="shared" si="17"/>
        <v>N/C</v>
      </c>
      <c r="R190" s="23" t="str">
        <f t="shared" si="18"/>
        <v>N/C</v>
      </c>
      <c r="S190" s="25" t="str">
        <f t="shared" si="19"/>
        <v>No utilizable</v>
      </c>
      <c r="T190" s="26" t="str">
        <f t="shared" si="20"/>
        <v/>
      </c>
      <c r="U190" s="26">
        <f>IF(OR($S190&lt;&gt;"Utilizable",$C190&lt;&gt;SUSTITUCION!$C$13),999999,IF(v_prioridad="Potasio",$H190,IF(v_prioridad="Fósforo",$I190,IF(v_prioridad="Sodio",$J190,IF(ISNUMBER($Q190),$Q190,999999)))))</f>
        <v>999999</v>
      </c>
    </row>
    <row r="191" spans="1:21" ht="15" customHeight="1">
      <c r="A191" s="21" t="s">
        <v>505</v>
      </c>
      <c r="B191" s="21" t="s">
        <v>506</v>
      </c>
      <c r="C191" s="21" t="s">
        <v>425</v>
      </c>
      <c r="D191" s="21" t="s">
        <v>426</v>
      </c>
      <c r="E191" s="21" t="s">
        <v>135</v>
      </c>
      <c r="F191" s="22">
        <v>156</v>
      </c>
      <c r="G191" s="22">
        <v>22.1</v>
      </c>
      <c r="H191" s="22" t="s">
        <v>138</v>
      </c>
      <c r="I191" s="22">
        <v>247</v>
      </c>
      <c r="J191" s="22" t="s">
        <v>138</v>
      </c>
      <c r="K191" s="22">
        <v>156</v>
      </c>
      <c r="L191" s="22">
        <v>22.1</v>
      </c>
      <c r="M191" s="22" t="s">
        <v>138</v>
      </c>
      <c r="N191" s="23" t="str">
        <f t="shared" si="14"/>
        <v>Sin dato</v>
      </c>
      <c r="O191" s="23" t="str">
        <f t="shared" si="15"/>
        <v>Muy alto</v>
      </c>
      <c r="P191" s="23" t="str">
        <f t="shared" si="16"/>
        <v>Sin dato</v>
      </c>
      <c r="Q191" s="24">
        <f t="shared" si="17"/>
        <v>11.176470588235293</v>
      </c>
      <c r="R191" s="23" t="str">
        <f t="shared" si="18"/>
        <v>Deseable</v>
      </c>
      <c r="S191" s="25" t="str">
        <f t="shared" si="19"/>
        <v>No utilizable</v>
      </c>
      <c r="T191" s="26" t="str">
        <f t="shared" si="20"/>
        <v/>
      </c>
      <c r="U191" s="26">
        <f>IF(OR($S191&lt;&gt;"Utilizable",$C191&lt;&gt;SUSTITUCION!$C$13),999999,IF(v_prioridad="Potasio",$H191,IF(v_prioridad="Fósforo",$I191,IF(v_prioridad="Sodio",$J191,IF(ISNUMBER($Q191),$Q191,999999)))))</f>
        <v>999999</v>
      </c>
    </row>
    <row r="192" spans="1:21" ht="15" customHeight="1">
      <c r="A192" s="21" t="s">
        <v>507</v>
      </c>
      <c r="B192" s="21" t="s">
        <v>508</v>
      </c>
      <c r="C192" s="21" t="s">
        <v>425</v>
      </c>
      <c r="D192" s="21" t="s">
        <v>426</v>
      </c>
      <c r="E192" s="21" t="s">
        <v>135</v>
      </c>
      <c r="F192" s="22">
        <v>189</v>
      </c>
      <c r="G192" s="22">
        <v>19.5</v>
      </c>
      <c r="H192" s="22">
        <v>59</v>
      </c>
      <c r="I192" s="22" t="s">
        <v>138</v>
      </c>
      <c r="J192" s="22">
        <v>174</v>
      </c>
      <c r="K192" s="22">
        <v>189</v>
      </c>
      <c r="L192" s="22">
        <v>19.5</v>
      </c>
      <c r="M192" s="22">
        <v>14</v>
      </c>
      <c r="N192" s="23" t="str">
        <f t="shared" si="14"/>
        <v>Bajo</v>
      </c>
      <c r="O192" s="23" t="str">
        <f t="shared" si="15"/>
        <v>Sin dato</v>
      </c>
      <c r="P192" s="23" t="str">
        <f t="shared" si="16"/>
        <v>Alto</v>
      </c>
      <c r="Q192" s="24" t="str">
        <f t="shared" si="17"/>
        <v>N/C</v>
      </c>
      <c r="R192" s="23" t="str">
        <f t="shared" si="18"/>
        <v>N/C</v>
      </c>
      <c r="S192" s="25" t="str">
        <f t="shared" si="19"/>
        <v>No utilizable</v>
      </c>
      <c r="T192" s="26" t="str">
        <f t="shared" si="20"/>
        <v/>
      </c>
      <c r="U192" s="26">
        <f>IF(OR($S192&lt;&gt;"Utilizable",$C192&lt;&gt;SUSTITUCION!$C$13),999999,IF(v_prioridad="Potasio",$H192,IF(v_prioridad="Fósforo",$I192,IF(v_prioridad="Sodio",$J192,IF(ISNUMBER($Q192),$Q192,999999)))))</f>
        <v>999999</v>
      </c>
    </row>
    <row r="193" spans="1:21" ht="15" customHeight="1">
      <c r="A193" s="21" t="s">
        <v>509</v>
      </c>
      <c r="B193" s="21" t="s">
        <v>510</v>
      </c>
      <c r="C193" s="21" t="s">
        <v>425</v>
      </c>
      <c r="D193" s="21" t="s">
        <v>426</v>
      </c>
      <c r="E193" s="21" t="s">
        <v>135</v>
      </c>
      <c r="F193" s="22">
        <v>131</v>
      </c>
      <c r="G193" s="22">
        <v>19.600000000000001</v>
      </c>
      <c r="H193" s="22" t="s">
        <v>138</v>
      </c>
      <c r="I193" s="22" t="s">
        <v>138</v>
      </c>
      <c r="J193" s="22">
        <v>41</v>
      </c>
      <c r="K193" s="22">
        <v>131</v>
      </c>
      <c r="L193" s="22">
        <v>19.600000000000001</v>
      </c>
      <c r="M193" s="22" t="s">
        <v>138</v>
      </c>
      <c r="N193" s="23" t="str">
        <f t="shared" si="14"/>
        <v>Sin dato</v>
      </c>
      <c r="O193" s="23" t="str">
        <f t="shared" si="15"/>
        <v>Sin dato</v>
      </c>
      <c r="P193" s="23" t="str">
        <f t="shared" si="16"/>
        <v>Medio</v>
      </c>
      <c r="Q193" s="24" t="str">
        <f t="shared" si="17"/>
        <v>N/C</v>
      </c>
      <c r="R193" s="23" t="str">
        <f t="shared" si="18"/>
        <v>N/C</v>
      </c>
      <c r="S193" s="25" t="str">
        <f t="shared" si="19"/>
        <v>No utilizable</v>
      </c>
      <c r="T193" s="26" t="str">
        <f t="shared" si="20"/>
        <v/>
      </c>
      <c r="U193" s="26">
        <f>IF(OR($S193&lt;&gt;"Utilizable",$C193&lt;&gt;SUSTITUCION!$C$13),999999,IF(v_prioridad="Potasio",$H193,IF(v_prioridad="Fósforo",$I193,IF(v_prioridad="Sodio",$J193,IF(ISNUMBER($Q193),$Q193,999999)))))</f>
        <v>999999</v>
      </c>
    </row>
    <row r="194" spans="1:21" ht="15" customHeight="1">
      <c r="A194" s="21" t="s">
        <v>511</v>
      </c>
      <c r="B194" s="21" t="s">
        <v>512</v>
      </c>
      <c r="C194" s="21" t="s">
        <v>425</v>
      </c>
      <c r="D194" s="21" t="s">
        <v>426</v>
      </c>
      <c r="E194" s="21" t="s">
        <v>135</v>
      </c>
      <c r="F194" s="22">
        <v>198</v>
      </c>
      <c r="G194" s="22">
        <v>17.899999999999999</v>
      </c>
      <c r="H194" s="22" t="s">
        <v>138</v>
      </c>
      <c r="I194" s="22" t="s">
        <v>138</v>
      </c>
      <c r="J194" s="22">
        <v>163</v>
      </c>
      <c r="K194" s="22">
        <v>198</v>
      </c>
      <c r="L194" s="22">
        <v>17.899999999999999</v>
      </c>
      <c r="M194" s="22" t="s">
        <v>138</v>
      </c>
      <c r="N194" s="23" t="str">
        <f t="shared" si="14"/>
        <v>Sin dato</v>
      </c>
      <c r="O194" s="23" t="str">
        <f t="shared" si="15"/>
        <v>Sin dato</v>
      </c>
      <c r="P194" s="23" t="str">
        <f t="shared" si="16"/>
        <v>Alto</v>
      </c>
      <c r="Q194" s="24" t="str">
        <f t="shared" si="17"/>
        <v>N/C</v>
      </c>
      <c r="R194" s="23" t="str">
        <f t="shared" si="18"/>
        <v>N/C</v>
      </c>
      <c r="S194" s="25" t="str">
        <f t="shared" si="19"/>
        <v>No utilizable</v>
      </c>
      <c r="T194" s="26" t="str">
        <f t="shared" si="20"/>
        <v/>
      </c>
      <c r="U194" s="26">
        <f>IF(OR($S194&lt;&gt;"Utilizable",$C194&lt;&gt;SUSTITUCION!$C$13),999999,IF(v_prioridad="Potasio",$H194,IF(v_prioridad="Fósforo",$I194,IF(v_prioridad="Sodio",$J194,IF(ISNUMBER($Q194),$Q194,999999)))))</f>
        <v>999999</v>
      </c>
    </row>
    <row r="195" spans="1:21" ht="15" customHeight="1">
      <c r="A195" s="21" t="s">
        <v>513</v>
      </c>
      <c r="B195" s="21" t="s">
        <v>514</v>
      </c>
      <c r="C195" s="21" t="s">
        <v>425</v>
      </c>
      <c r="D195" s="21" t="s">
        <v>426</v>
      </c>
      <c r="E195" s="21" t="s">
        <v>135</v>
      </c>
      <c r="F195" s="22">
        <v>104</v>
      </c>
      <c r="G195" s="22">
        <v>16.7</v>
      </c>
      <c r="H195" s="22">
        <v>341</v>
      </c>
      <c r="I195" s="22">
        <v>250</v>
      </c>
      <c r="J195" s="22">
        <v>58</v>
      </c>
      <c r="K195" s="22">
        <v>104</v>
      </c>
      <c r="L195" s="22">
        <v>16.7</v>
      </c>
      <c r="M195" s="22">
        <v>17</v>
      </c>
      <c r="N195" s="23" t="str">
        <f t="shared" si="14"/>
        <v>Muy alto</v>
      </c>
      <c r="O195" s="23" t="str">
        <f t="shared" si="15"/>
        <v>Muy alto</v>
      </c>
      <c r="P195" s="23" t="str">
        <f t="shared" si="16"/>
        <v>Medio</v>
      </c>
      <c r="Q195" s="24">
        <f t="shared" si="17"/>
        <v>14.970059880239521</v>
      </c>
      <c r="R195" s="23" t="str">
        <f t="shared" si="18"/>
        <v>Aceptable</v>
      </c>
      <c r="S195" s="25" t="str">
        <f t="shared" si="19"/>
        <v>Utilizable</v>
      </c>
      <c r="T195" s="26" t="str">
        <f t="shared" si="20"/>
        <v>Pescados y mariscos|00.000.341</v>
      </c>
      <c r="U195" s="26">
        <f>IF(OR($S195&lt;&gt;"Utilizable",$C195&lt;&gt;SUSTITUCION!$C$13),999999,IF(v_prioridad="Potasio",$H195,IF(v_prioridad="Fósforo",$I195,IF(v_prioridad="Sodio",$J195,IF(ISNUMBER($Q195),$Q195,999999)))))</f>
        <v>999999</v>
      </c>
    </row>
    <row r="196" spans="1:21" ht="15" customHeight="1">
      <c r="A196" s="21" t="s">
        <v>515</v>
      </c>
      <c r="B196" s="21" t="s">
        <v>516</v>
      </c>
      <c r="C196" s="21" t="s">
        <v>425</v>
      </c>
      <c r="D196" s="21" t="s">
        <v>426</v>
      </c>
      <c r="E196" s="21" t="s">
        <v>135</v>
      </c>
      <c r="F196" s="22">
        <v>118</v>
      </c>
      <c r="G196" s="22">
        <v>7.3</v>
      </c>
      <c r="H196" s="22" t="s">
        <v>138</v>
      </c>
      <c r="I196" s="22" t="s">
        <v>138</v>
      </c>
      <c r="J196" s="22">
        <v>560</v>
      </c>
      <c r="K196" s="22">
        <v>118</v>
      </c>
      <c r="L196" s="22">
        <v>7.3</v>
      </c>
      <c r="M196" s="22" t="s">
        <v>138</v>
      </c>
      <c r="N196" s="23" t="str">
        <f t="shared" si="14"/>
        <v>Sin dato</v>
      </c>
      <c r="O196" s="23" t="str">
        <f t="shared" si="15"/>
        <v>Sin dato</v>
      </c>
      <c r="P196" s="23" t="str">
        <f t="shared" si="16"/>
        <v>Muy alto</v>
      </c>
      <c r="Q196" s="24" t="str">
        <f t="shared" si="17"/>
        <v>N/C</v>
      </c>
      <c r="R196" s="23" t="str">
        <f t="shared" si="18"/>
        <v>N/C</v>
      </c>
      <c r="S196" s="25" t="str">
        <f t="shared" si="19"/>
        <v>No utilizable</v>
      </c>
      <c r="T196" s="26" t="str">
        <f t="shared" si="20"/>
        <v/>
      </c>
      <c r="U196" s="26">
        <f>IF(OR($S196&lt;&gt;"Utilizable",$C196&lt;&gt;SUSTITUCION!$C$13),999999,IF(v_prioridad="Potasio",$H196,IF(v_prioridad="Fósforo",$I196,IF(v_prioridad="Sodio",$J196,IF(ISNUMBER($Q196),$Q196,999999)))))</f>
        <v>999999</v>
      </c>
    </row>
    <row r="197" spans="1:21" ht="15" customHeight="1">
      <c r="A197" s="21" t="s">
        <v>517</v>
      </c>
      <c r="B197" s="21" t="s">
        <v>518</v>
      </c>
      <c r="C197" s="21" t="s">
        <v>425</v>
      </c>
      <c r="D197" s="21" t="s">
        <v>426</v>
      </c>
      <c r="E197" s="21" t="s">
        <v>135</v>
      </c>
      <c r="F197" s="22">
        <v>33</v>
      </c>
      <c r="G197" s="22">
        <v>5.6</v>
      </c>
      <c r="H197" s="22" t="s">
        <v>138</v>
      </c>
      <c r="I197" s="22" t="s">
        <v>138</v>
      </c>
      <c r="J197" s="22">
        <v>36.1</v>
      </c>
      <c r="K197" s="22">
        <v>33</v>
      </c>
      <c r="L197" s="22">
        <v>5.6</v>
      </c>
      <c r="M197" s="22">
        <v>11.2</v>
      </c>
      <c r="N197" s="23" t="str">
        <f t="shared" si="14"/>
        <v>Sin dato</v>
      </c>
      <c r="O197" s="23" t="str">
        <f t="shared" si="15"/>
        <v>Sin dato</v>
      </c>
      <c r="P197" s="23" t="str">
        <f t="shared" si="16"/>
        <v>Bajo</v>
      </c>
      <c r="Q197" s="24" t="str">
        <f t="shared" si="17"/>
        <v>N/C</v>
      </c>
      <c r="R197" s="23" t="str">
        <f t="shared" si="18"/>
        <v>N/C</v>
      </c>
      <c r="S197" s="25" t="str">
        <f t="shared" si="19"/>
        <v>No utilizable</v>
      </c>
      <c r="T197" s="26" t="str">
        <f t="shared" si="20"/>
        <v/>
      </c>
      <c r="U197" s="26">
        <f>IF(OR($S197&lt;&gt;"Utilizable",$C197&lt;&gt;SUSTITUCION!$C$13),999999,IF(v_prioridad="Potasio",$H197,IF(v_prioridad="Fósforo",$I197,IF(v_prioridad="Sodio",$J197,IF(ISNUMBER($Q197),$Q197,999999)))))</f>
        <v>999999</v>
      </c>
    </row>
    <row r="198" spans="1:21" ht="15" customHeight="1">
      <c r="A198" s="21" t="s">
        <v>519</v>
      </c>
      <c r="B198" s="21" t="s">
        <v>520</v>
      </c>
      <c r="C198" s="21" t="s">
        <v>425</v>
      </c>
      <c r="D198" s="21" t="s">
        <v>426</v>
      </c>
      <c r="E198" s="21" t="s">
        <v>135</v>
      </c>
      <c r="F198" s="22">
        <v>288</v>
      </c>
      <c r="G198" s="22">
        <v>3.4</v>
      </c>
      <c r="H198" s="22" t="s">
        <v>138</v>
      </c>
      <c r="I198" s="22" t="s">
        <v>138</v>
      </c>
      <c r="J198" s="22">
        <v>455</v>
      </c>
      <c r="K198" s="22">
        <v>288</v>
      </c>
      <c r="L198" s="22">
        <v>3.4</v>
      </c>
      <c r="M198" s="22" t="s">
        <v>138</v>
      </c>
      <c r="N198" s="23" t="str">
        <f t="shared" si="14"/>
        <v>Sin dato</v>
      </c>
      <c r="O198" s="23" t="str">
        <f t="shared" si="15"/>
        <v>Sin dato</v>
      </c>
      <c r="P198" s="23" t="str">
        <f t="shared" si="16"/>
        <v>Muy alto</v>
      </c>
      <c r="Q198" s="24" t="str">
        <f t="shared" si="17"/>
        <v>N/C</v>
      </c>
      <c r="R198" s="23" t="str">
        <f t="shared" si="18"/>
        <v>N/C</v>
      </c>
      <c r="S198" s="25" t="str">
        <f t="shared" si="19"/>
        <v>No utilizable</v>
      </c>
      <c r="T198" s="26" t="str">
        <f t="shared" si="20"/>
        <v/>
      </c>
      <c r="U198" s="26">
        <f>IF(OR($S198&lt;&gt;"Utilizable",$C198&lt;&gt;SUSTITUCION!$C$13),999999,IF(v_prioridad="Potasio",$H198,IF(v_prioridad="Fósforo",$I198,IF(v_prioridad="Sodio",$J198,IF(ISNUMBER($Q198),$Q198,999999)))))</f>
        <v>999999</v>
      </c>
    </row>
    <row r="199" spans="1:21" ht="15" customHeight="1">
      <c r="A199" s="21" t="s">
        <v>521</v>
      </c>
      <c r="B199" s="21" t="s">
        <v>522</v>
      </c>
      <c r="C199" s="21" t="s">
        <v>523</v>
      </c>
      <c r="D199" s="21" t="s">
        <v>524</v>
      </c>
      <c r="E199" s="21" t="s">
        <v>135</v>
      </c>
      <c r="F199" s="22">
        <v>345</v>
      </c>
      <c r="G199" s="22">
        <v>22.4</v>
      </c>
      <c r="H199" s="22">
        <v>751</v>
      </c>
      <c r="I199" s="22">
        <v>306</v>
      </c>
      <c r="J199" s="22">
        <v>6.4</v>
      </c>
      <c r="K199" s="22">
        <v>345</v>
      </c>
      <c r="L199" s="22">
        <v>22.4</v>
      </c>
      <c r="M199" s="22">
        <v>65</v>
      </c>
      <c r="N199" s="23" t="str">
        <f t="shared" si="14"/>
        <v>Muy alto</v>
      </c>
      <c r="O199" s="23" t="str">
        <f t="shared" si="15"/>
        <v>Muy alto</v>
      </c>
      <c r="P199" s="23" t="str">
        <f t="shared" si="16"/>
        <v>Bajo</v>
      </c>
      <c r="Q199" s="24">
        <f t="shared" si="17"/>
        <v>13.660714285714286</v>
      </c>
      <c r="R199" s="23" t="str">
        <f t="shared" si="18"/>
        <v>Aceptable</v>
      </c>
      <c r="S199" s="25" t="str">
        <f t="shared" si="19"/>
        <v>Utilizable</v>
      </c>
      <c r="T199" s="26" t="str">
        <f t="shared" si="20"/>
        <v>leguminosas y oleaginosas|00.000.751</v>
      </c>
      <c r="U199" s="26">
        <f>IF(OR($S199&lt;&gt;"Utilizable",$C199&lt;&gt;SUSTITUCION!$C$13),999999,IF(v_prioridad="Potasio",$H199,IF(v_prioridad="Fósforo",$I199,IF(v_prioridad="Sodio",$J199,IF(ISNUMBER($Q199),$Q199,999999)))))</f>
        <v>999999</v>
      </c>
    </row>
    <row r="200" spans="1:21" ht="15" customHeight="1">
      <c r="A200" s="21" t="s">
        <v>525</v>
      </c>
      <c r="B200" s="21" t="s">
        <v>526</v>
      </c>
      <c r="C200" s="21" t="s">
        <v>523</v>
      </c>
      <c r="D200" s="21" t="s">
        <v>524</v>
      </c>
      <c r="E200" s="21" t="s">
        <v>135</v>
      </c>
      <c r="F200" s="22">
        <v>333</v>
      </c>
      <c r="G200" s="22">
        <v>23.6</v>
      </c>
      <c r="H200" s="22">
        <v>886</v>
      </c>
      <c r="I200" s="22">
        <v>302</v>
      </c>
      <c r="J200" s="22">
        <v>28</v>
      </c>
      <c r="K200" s="22">
        <v>333</v>
      </c>
      <c r="L200" s="22">
        <v>23.6</v>
      </c>
      <c r="M200" s="22">
        <v>56</v>
      </c>
      <c r="N200" s="23" t="str">
        <f t="shared" si="14"/>
        <v>Muy alto</v>
      </c>
      <c r="O200" s="23" t="str">
        <f t="shared" si="15"/>
        <v>Muy alto</v>
      </c>
      <c r="P200" s="23" t="str">
        <f t="shared" si="16"/>
        <v>Bajo</v>
      </c>
      <c r="Q200" s="24">
        <f t="shared" si="17"/>
        <v>12.796610169491524</v>
      </c>
      <c r="R200" s="23" t="str">
        <f t="shared" si="18"/>
        <v>Aceptable</v>
      </c>
      <c r="S200" s="25" t="str">
        <f t="shared" si="19"/>
        <v>Utilizable</v>
      </c>
      <c r="T200" s="26" t="str">
        <f t="shared" si="20"/>
        <v>leguminosas y oleaginosas|00.000.886</v>
      </c>
      <c r="U200" s="26">
        <f>IF(OR($S200&lt;&gt;"Utilizable",$C200&lt;&gt;SUSTITUCION!$C$13),999999,IF(v_prioridad="Potasio",$H200,IF(v_prioridad="Fósforo",$I200,IF(v_prioridad="Sodio",$J200,IF(ISNUMBER($Q200),$Q200,999999)))))</f>
        <v>999999</v>
      </c>
    </row>
    <row r="201" spans="1:21" ht="15" customHeight="1">
      <c r="A201" s="21" t="s">
        <v>527</v>
      </c>
      <c r="B201" s="21" t="s">
        <v>528</v>
      </c>
      <c r="C201" s="21" t="s">
        <v>523</v>
      </c>
      <c r="D201" s="21" t="s">
        <v>524</v>
      </c>
      <c r="E201" s="21" t="s">
        <v>135</v>
      </c>
      <c r="F201" s="22">
        <v>81</v>
      </c>
      <c r="G201" s="22">
        <v>5.4</v>
      </c>
      <c r="H201" s="22">
        <v>244</v>
      </c>
      <c r="I201" s="22">
        <v>108</v>
      </c>
      <c r="J201" s="22">
        <v>5</v>
      </c>
      <c r="K201" s="22">
        <v>81</v>
      </c>
      <c r="L201" s="22">
        <v>5.4</v>
      </c>
      <c r="M201" s="22">
        <v>25</v>
      </c>
      <c r="N201" s="23" t="str">
        <f t="shared" ref="N201:N264" si="21">IF(NOT(ISNUMBER(H201)),"Sin dato",IF(H201&lt;=INDEX(rng_umbrales,1,2),"Bajo",IF(H201&lt;=INDEX(rng_umbrales,1,3),"Medio",IF(H201&lt;=INDEX(rng_umbrales,1,4),"Alto","Muy alto"))))</f>
        <v>Alto</v>
      </c>
      <c r="O201" s="23" t="str">
        <f t="shared" ref="O201:O264" si="22">IF(NOT(ISNUMBER(I201)),"Sin dato",IF(I201&lt;=INDEX(rng_umbrales,2,2),"Bajo",IF(I201&lt;=INDEX(rng_umbrales,2,3),"Medio",IF(I201&lt;=INDEX(rng_umbrales,2,4),"Alto","Muy alto"))))</f>
        <v>Alto</v>
      </c>
      <c r="P201" s="23" t="str">
        <f t="shared" ref="P201:P264" si="23">IF(NOT(ISNUMBER(J201)),"Sin dato",IF(J201&lt;=INDEX(rng_umbrales,3,2),"Bajo",IF(J201&lt;=INDEX(rng_umbrales,3,3),"Medio",IF(J201&lt;=INDEX(rng_umbrales,3,4),"Alto","Muy alto"))))</f>
        <v>Bajo</v>
      </c>
      <c r="Q201" s="24" t="str">
        <f t="shared" ref="Q201:Q264" si="24">IF(OR(NOT(ISNUMBER(G201)),NOT(ISNUMBER(I201))),"N/C",IF(G201&lt;u_protMin,"N/C: no es fuente proteica",I201/G201))</f>
        <v>N/C: no es fuente proteica</v>
      </c>
      <c r="R201" s="23" t="str">
        <f t="shared" ref="R201:R264" si="25">IF(NOT(ISNUMBER(Q201)),"N/C",IF(Q201&lt;=u_ppDes,"Deseable",IF(Q201&lt;=u_ppAcep,"Aceptable","Alta")))</f>
        <v>N/C</v>
      </c>
      <c r="S201" s="25" t="str">
        <f t="shared" ref="S201:S264" si="26">IF(COUNT(F201:J201)=k_cobMin,"Utilizable","No utilizable")</f>
        <v>Utilizable</v>
      </c>
      <c r="T201" s="26" t="str">
        <f t="shared" ref="T201:T264" si="27">IF(S201&lt;&gt;"Utilizable","",C201&amp;"|"&amp;TEXT(IF(v_prioridad="Potasio",H201,IF(v_prioridad="Fósforo",I201,IF(v_prioridad="Sodio",J201,IF(ISNUMBER(Q201),Q201,99999)))),"000000.00"))</f>
        <v>leguminosas y oleaginosas|00.000.244</v>
      </c>
      <c r="U201" s="26">
        <f>IF(OR($S201&lt;&gt;"Utilizable",$C201&lt;&gt;SUSTITUCION!$C$13),999999,IF(v_prioridad="Potasio",$H201,IF(v_prioridad="Fósforo",$I201,IF(v_prioridad="Sodio",$J201,IF(ISNUMBER($Q201),$Q201,999999)))))</f>
        <v>999999</v>
      </c>
    </row>
    <row r="202" spans="1:21" ht="15" customHeight="1">
      <c r="A202" s="21" t="s">
        <v>529</v>
      </c>
      <c r="B202" s="21" t="s">
        <v>530</v>
      </c>
      <c r="C202" s="21" t="s">
        <v>523</v>
      </c>
      <c r="D202" s="21" t="s">
        <v>524</v>
      </c>
      <c r="E202" s="21" t="s">
        <v>135</v>
      </c>
      <c r="F202" s="22">
        <v>69</v>
      </c>
      <c r="G202" s="22">
        <v>4.4000000000000004</v>
      </c>
      <c r="H202" s="22">
        <v>173</v>
      </c>
      <c r="I202" s="22">
        <v>67.099999999999994</v>
      </c>
      <c r="J202" s="22">
        <v>219</v>
      </c>
      <c r="K202" s="22">
        <v>69</v>
      </c>
      <c r="L202" s="22">
        <v>4.4000000000000004</v>
      </c>
      <c r="M202" s="22">
        <v>20</v>
      </c>
      <c r="N202" s="23" t="str">
        <f t="shared" si="21"/>
        <v>Medio</v>
      </c>
      <c r="O202" s="23" t="str">
        <f t="shared" si="22"/>
        <v>Medio</v>
      </c>
      <c r="P202" s="23" t="str">
        <f t="shared" si="23"/>
        <v>Alto</v>
      </c>
      <c r="Q202" s="24" t="str">
        <f t="shared" si="24"/>
        <v>N/C: no es fuente proteica</v>
      </c>
      <c r="R202" s="23" t="str">
        <f t="shared" si="25"/>
        <v>N/C</v>
      </c>
      <c r="S202" s="25" t="str">
        <f t="shared" si="26"/>
        <v>Utilizable</v>
      </c>
      <c r="T202" s="26" t="str">
        <f t="shared" si="27"/>
        <v>leguminosas y oleaginosas|00.000.173</v>
      </c>
      <c r="U202" s="26">
        <f>IF(OR($S202&lt;&gt;"Utilizable",$C202&lt;&gt;SUSTITUCION!$C$13),999999,IF(v_prioridad="Potasio",$H202,IF(v_prioridad="Fósforo",$I202,IF(v_prioridad="Sodio",$J202,IF(ISNUMBER($Q202),$Q202,999999)))))</f>
        <v>999999</v>
      </c>
    </row>
    <row r="203" spans="1:21" ht="15" customHeight="1">
      <c r="A203" s="21" t="s">
        <v>531</v>
      </c>
      <c r="B203" s="21" t="s">
        <v>532</v>
      </c>
      <c r="C203" s="21" t="s">
        <v>523</v>
      </c>
      <c r="D203" s="21" t="s">
        <v>524</v>
      </c>
      <c r="E203" s="21" t="s">
        <v>135</v>
      </c>
      <c r="F203" s="22">
        <v>163</v>
      </c>
      <c r="G203" s="22">
        <v>8.8000000000000007</v>
      </c>
      <c r="H203" s="22">
        <v>291</v>
      </c>
      <c r="I203" s="22">
        <v>168</v>
      </c>
      <c r="J203" s="22">
        <v>7</v>
      </c>
      <c r="K203" s="22">
        <v>163</v>
      </c>
      <c r="L203" s="22">
        <v>8.8000000000000007</v>
      </c>
      <c r="M203" s="22">
        <v>49</v>
      </c>
      <c r="N203" s="23" t="str">
        <f t="shared" si="21"/>
        <v>Alto</v>
      </c>
      <c r="O203" s="23" t="str">
        <f t="shared" si="22"/>
        <v>Alto</v>
      </c>
      <c r="P203" s="23" t="str">
        <f t="shared" si="23"/>
        <v>Bajo</v>
      </c>
      <c r="Q203" s="24" t="str">
        <f t="shared" si="24"/>
        <v>N/C: no es fuente proteica</v>
      </c>
      <c r="R203" s="23" t="str">
        <f t="shared" si="25"/>
        <v>N/C</v>
      </c>
      <c r="S203" s="25" t="str">
        <f t="shared" si="26"/>
        <v>Utilizable</v>
      </c>
      <c r="T203" s="26" t="str">
        <f t="shared" si="27"/>
        <v>leguminosas y oleaginosas|00.000.291</v>
      </c>
      <c r="U203" s="26">
        <f>IF(OR($S203&lt;&gt;"Utilizable",$C203&lt;&gt;SUSTITUCION!$C$13),999999,IF(v_prioridad="Potasio",$H203,IF(v_prioridad="Fósforo",$I203,IF(v_prioridad="Sodio",$J203,IF(ISNUMBER($Q203),$Q203,999999)))))</f>
        <v>999999</v>
      </c>
    </row>
    <row r="204" spans="1:21" ht="15" customHeight="1">
      <c r="A204" s="21" t="s">
        <v>533</v>
      </c>
      <c r="B204" s="21" t="s">
        <v>534</v>
      </c>
      <c r="C204" s="21" t="s">
        <v>523</v>
      </c>
      <c r="D204" s="21" t="s">
        <v>524</v>
      </c>
      <c r="E204" s="21" t="s">
        <v>135</v>
      </c>
      <c r="F204" s="22">
        <v>378</v>
      </c>
      <c r="G204" s="22">
        <v>20.5</v>
      </c>
      <c r="H204" s="22">
        <v>718</v>
      </c>
      <c r="I204" s="22">
        <v>252</v>
      </c>
      <c r="J204" s="22">
        <v>24</v>
      </c>
      <c r="K204" s="22">
        <v>378</v>
      </c>
      <c r="L204" s="22">
        <v>20.5</v>
      </c>
      <c r="M204" s="22">
        <v>57</v>
      </c>
      <c r="N204" s="23" t="str">
        <f t="shared" si="21"/>
        <v>Muy alto</v>
      </c>
      <c r="O204" s="23" t="str">
        <f t="shared" si="22"/>
        <v>Muy alto</v>
      </c>
      <c r="P204" s="23" t="str">
        <f t="shared" si="23"/>
        <v>Bajo</v>
      </c>
      <c r="Q204" s="24">
        <f t="shared" si="24"/>
        <v>12.292682926829269</v>
      </c>
      <c r="R204" s="23" t="str">
        <f t="shared" si="25"/>
        <v>Aceptable</v>
      </c>
      <c r="S204" s="25" t="str">
        <f t="shared" si="26"/>
        <v>Utilizable</v>
      </c>
      <c r="T204" s="26" t="str">
        <f t="shared" si="27"/>
        <v>leguminosas y oleaginosas|00.000.718</v>
      </c>
      <c r="U204" s="26">
        <f>IF(OR($S204&lt;&gt;"Utilizable",$C204&lt;&gt;SUSTITUCION!$C$13),999999,IF(v_prioridad="Potasio",$H204,IF(v_prioridad="Fósforo",$I204,IF(v_prioridad="Sodio",$J204,IF(ISNUMBER($Q204),$Q204,999999)))))</f>
        <v>999999</v>
      </c>
    </row>
    <row r="205" spans="1:21" ht="15" customHeight="1">
      <c r="A205" s="21" t="s">
        <v>535</v>
      </c>
      <c r="B205" s="21" t="s">
        <v>536</v>
      </c>
      <c r="C205" s="21" t="s">
        <v>523</v>
      </c>
      <c r="D205" s="21" t="s">
        <v>524</v>
      </c>
      <c r="E205" s="21" t="s">
        <v>135</v>
      </c>
      <c r="F205" s="22">
        <v>387</v>
      </c>
      <c r="G205" s="22">
        <v>22.4</v>
      </c>
      <c r="H205" s="22">
        <v>846</v>
      </c>
      <c r="I205" s="22">
        <v>318</v>
      </c>
      <c r="J205" s="22">
        <v>64</v>
      </c>
      <c r="K205" s="22">
        <v>387</v>
      </c>
      <c r="L205" s="22">
        <v>22.4</v>
      </c>
      <c r="M205" s="22">
        <v>45</v>
      </c>
      <c r="N205" s="23" t="str">
        <f t="shared" si="21"/>
        <v>Muy alto</v>
      </c>
      <c r="O205" s="23" t="str">
        <f t="shared" si="22"/>
        <v>Muy alto</v>
      </c>
      <c r="P205" s="23" t="str">
        <f t="shared" si="23"/>
        <v>Medio</v>
      </c>
      <c r="Q205" s="24">
        <f t="shared" si="24"/>
        <v>14.196428571428573</v>
      </c>
      <c r="R205" s="23" t="str">
        <f t="shared" si="25"/>
        <v>Aceptable</v>
      </c>
      <c r="S205" s="25" t="str">
        <f t="shared" si="26"/>
        <v>Utilizable</v>
      </c>
      <c r="T205" s="26" t="str">
        <f t="shared" si="27"/>
        <v>leguminosas y oleaginosas|00.000.846</v>
      </c>
      <c r="U205" s="26">
        <f>IF(OR($S205&lt;&gt;"Utilizable",$C205&lt;&gt;SUSTITUCION!$C$13),999999,IF(v_prioridad="Potasio",$H205,IF(v_prioridad="Fósforo",$I205,IF(v_prioridad="Sodio",$J205,IF(ISNUMBER($Q205),$Q205,999999)))))</f>
        <v>999999</v>
      </c>
    </row>
    <row r="206" spans="1:21" ht="15" customHeight="1">
      <c r="A206" s="21" t="s">
        <v>537</v>
      </c>
      <c r="B206" s="21" t="s">
        <v>538</v>
      </c>
      <c r="C206" s="21" t="s">
        <v>523</v>
      </c>
      <c r="D206" s="21" t="s">
        <v>524</v>
      </c>
      <c r="E206" s="21" t="s">
        <v>135</v>
      </c>
      <c r="F206" s="22">
        <v>72</v>
      </c>
      <c r="G206" s="22">
        <v>5.6</v>
      </c>
      <c r="H206" s="22">
        <v>250</v>
      </c>
      <c r="I206" s="22">
        <v>95</v>
      </c>
      <c r="J206" s="22">
        <v>50</v>
      </c>
      <c r="K206" s="22">
        <v>72</v>
      </c>
      <c r="L206" s="22">
        <v>5.6</v>
      </c>
      <c r="M206" s="22">
        <v>22</v>
      </c>
      <c r="N206" s="23" t="str">
        <f t="shared" si="21"/>
        <v>Alto</v>
      </c>
      <c r="O206" s="23" t="str">
        <f t="shared" si="22"/>
        <v>Medio</v>
      </c>
      <c r="P206" s="23" t="str">
        <f t="shared" si="23"/>
        <v>Medio</v>
      </c>
      <c r="Q206" s="24" t="str">
        <f t="shared" si="24"/>
        <v>N/C: no es fuente proteica</v>
      </c>
      <c r="R206" s="23" t="str">
        <f t="shared" si="25"/>
        <v>N/C</v>
      </c>
      <c r="S206" s="25" t="str">
        <f t="shared" si="26"/>
        <v>Utilizable</v>
      </c>
      <c r="T206" s="26" t="str">
        <f t="shared" si="27"/>
        <v>leguminosas y oleaginosas|00.000.250</v>
      </c>
      <c r="U206" s="26">
        <f>IF(OR($S206&lt;&gt;"Utilizable",$C206&lt;&gt;SUSTITUCION!$C$13),999999,IF(v_prioridad="Potasio",$H206,IF(v_prioridad="Fósforo",$I206,IF(v_prioridad="Sodio",$J206,IF(ISNUMBER($Q206),$Q206,999999)))))</f>
        <v>999999</v>
      </c>
    </row>
    <row r="207" spans="1:21" ht="15" customHeight="1">
      <c r="A207" s="21" t="s">
        <v>539</v>
      </c>
      <c r="B207" s="21" t="s">
        <v>540</v>
      </c>
      <c r="C207" s="21" t="s">
        <v>523</v>
      </c>
      <c r="D207" s="21" t="s">
        <v>524</v>
      </c>
      <c r="E207" s="21" t="s">
        <v>135</v>
      </c>
      <c r="F207" s="22">
        <v>341</v>
      </c>
      <c r="G207" s="22">
        <v>26.1</v>
      </c>
      <c r="H207" s="22">
        <v>1062</v>
      </c>
      <c r="I207" s="22">
        <v>421</v>
      </c>
      <c r="J207" s="22">
        <v>13</v>
      </c>
      <c r="K207" s="22">
        <v>341</v>
      </c>
      <c r="L207" s="22">
        <v>26.1</v>
      </c>
      <c r="M207" s="22">
        <v>103</v>
      </c>
      <c r="N207" s="23" t="str">
        <f t="shared" si="21"/>
        <v>Muy alto</v>
      </c>
      <c r="O207" s="23" t="str">
        <f t="shared" si="22"/>
        <v>Muy alto</v>
      </c>
      <c r="P207" s="23" t="str">
        <f t="shared" si="23"/>
        <v>Bajo</v>
      </c>
      <c r="Q207" s="24">
        <f t="shared" si="24"/>
        <v>16.130268199233715</v>
      </c>
      <c r="R207" s="23" t="str">
        <f t="shared" si="25"/>
        <v>Alta</v>
      </c>
      <c r="S207" s="25" t="str">
        <f t="shared" si="26"/>
        <v>Utilizable</v>
      </c>
      <c r="T207" s="26" t="str">
        <f t="shared" si="27"/>
        <v>leguminosas y oleaginosas|00.001.062</v>
      </c>
      <c r="U207" s="26">
        <f>IF(OR($S207&lt;&gt;"Utilizable",$C207&lt;&gt;SUSTITUCION!$C$13),999999,IF(v_prioridad="Potasio",$H207,IF(v_prioridad="Fósforo",$I207,IF(v_prioridad="Sodio",$J207,IF(ISNUMBER($Q207),$Q207,999999)))))</f>
        <v>999999</v>
      </c>
    </row>
    <row r="208" spans="1:21" ht="15" customHeight="1">
      <c r="A208" s="21" t="s">
        <v>541</v>
      </c>
      <c r="B208" s="21" t="s">
        <v>542</v>
      </c>
      <c r="C208" s="21" t="s">
        <v>523</v>
      </c>
      <c r="D208" s="21" t="s">
        <v>524</v>
      </c>
      <c r="E208" s="21" t="s">
        <v>135</v>
      </c>
      <c r="F208" s="22">
        <v>116</v>
      </c>
      <c r="G208" s="22">
        <v>9</v>
      </c>
      <c r="H208" s="22">
        <v>369</v>
      </c>
      <c r="I208" s="22">
        <v>180</v>
      </c>
      <c r="J208" s="22">
        <v>2</v>
      </c>
      <c r="K208" s="22">
        <v>116</v>
      </c>
      <c r="L208" s="22">
        <v>9</v>
      </c>
      <c r="M208" s="22">
        <v>19</v>
      </c>
      <c r="N208" s="23" t="str">
        <f t="shared" si="21"/>
        <v>Muy alto</v>
      </c>
      <c r="O208" s="23" t="str">
        <f t="shared" si="22"/>
        <v>Muy alto</v>
      </c>
      <c r="P208" s="23" t="str">
        <f t="shared" si="23"/>
        <v>Bajo</v>
      </c>
      <c r="Q208" s="24" t="str">
        <f t="shared" si="24"/>
        <v>N/C: no es fuente proteica</v>
      </c>
      <c r="R208" s="23" t="str">
        <f t="shared" si="25"/>
        <v>N/C</v>
      </c>
      <c r="S208" s="25" t="str">
        <f t="shared" si="26"/>
        <v>Utilizable</v>
      </c>
      <c r="T208" s="26" t="str">
        <f t="shared" si="27"/>
        <v>leguminosas y oleaginosas|00.000.369</v>
      </c>
      <c r="U208" s="26">
        <f>IF(OR($S208&lt;&gt;"Utilizable",$C208&lt;&gt;SUSTITUCION!$C$13),999999,IF(v_prioridad="Potasio",$H208,IF(v_prioridad="Fósforo",$I208,IF(v_prioridad="Sodio",$J208,IF(ISNUMBER($Q208),$Q208,999999)))))</f>
        <v>999999</v>
      </c>
    </row>
    <row r="209" spans="1:21" ht="15" customHeight="1">
      <c r="A209" s="21" t="s">
        <v>543</v>
      </c>
      <c r="B209" s="21" t="s">
        <v>544</v>
      </c>
      <c r="C209" s="21" t="s">
        <v>523</v>
      </c>
      <c r="D209" s="21" t="s">
        <v>524</v>
      </c>
      <c r="E209" s="21" t="s">
        <v>135</v>
      </c>
      <c r="F209" s="22">
        <v>352</v>
      </c>
      <c r="G209" s="22">
        <v>24.6</v>
      </c>
      <c r="H209" s="22">
        <v>677</v>
      </c>
      <c r="I209" s="22">
        <v>281</v>
      </c>
      <c r="J209" s="22">
        <v>6</v>
      </c>
      <c r="K209" s="22">
        <v>352</v>
      </c>
      <c r="L209" s="22">
        <v>24.6</v>
      </c>
      <c r="M209" s="22">
        <v>35</v>
      </c>
      <c r="N209" s="23" t="str">
        <f t="shared" si="21"/>
        <v>Muy alto</v>
      </c>
      <c r="O209" s="23" t="str">
        <f t="shared" si="22"/>
        <v>Muy alto</v>
      </c>
      <c r="P209" s="23" t="str">
        <f t="shared" si="23"/>
        <v>Bajo</v>
      </c>
      <c r="Q209" s="24">
        <f t="shared" si="24"/>
        <v>11.422764227642276</v>
      </c>
      <c r="R209" s="23" t="str">
        <f t="shared" si="25"/>
        <v>Deseable</v>
      </c>
      <c r="S209" s="25" t="str">
        <f t="shared" si="26"/>
        <v>Utilizable</v>
      </c>
      <c r="T209" s="26" t="str">
        <f t="shared" si="27"/>
        <v>leguminosas y oleaginosas|00.000.677</v>
      </c>
      <c r="U209" s="26">
        <f>IF(OR($S209&lt;&gt;"Utilizable",$C209&lt;&gt;SUSTITUCION!$C$13),999999,IF(v_prioridad="Potasio",$H209,IF(v_prioridad="Fósforo",$I209,IF(v_prioridad="Sodio",$J209,IF(ISNUMBER($Q209),$Q209,999999)))))</f>
        <v>999999</v>
      </c>
    </row>
    <row r="210" spans="1:21" ht="15" customHeight="1">
      <c r="A210" s="21" t="s">
        <v>545</v>
      </c>
      <c r="B210" s="21" t="s">
        <v>546</v>
      </c>
      <c r="C210" s="21" t="s">
        <v>523</v>
      </c>
      <c r="D210" s="21" t="s">
        <v>524</v>
      </c>
      <c r="E210" s="21" t="s">
        <v>135</v>
      </c>
      <c r="F210" s="22">
        <v>340</v>
      </c>
      <c r="G210" s="22">
        <v>32.799999999999997</v>
      </c>
      <c r="H210" s="22">
        <v>1031</v>
      </c>
      <c r="I210" s="22">
        <v>464</v>
      </c>
      <c r="J210" s="22">
        <v>21</v>
      </c>
      <c r="K210" s="22">
        <v>340</v>
      </c>
      <c r="L210" s="22">
        <v>32.799999999999997</v>
      </c>
      <c r="M210" s="22">
        <v>49</v>
      </c>
      <c r="N210" s="23" t="str">
        <f t="shared" si="21"/>
        <v>Muy alto</v>
      </c>
      <c r="O210" s="23" t="str">
        <f t="shared" si="22"/>
        <v>Muy alto</v>
      </c>
      <c r="P210" s="23" t="str">
        <f t="shared" si="23"/>
        <v>Bajo</v>
      </c>
      <c r="Q210" s="24">
        <f t="shared" si="24"/>
        <v>14.146341463414636</v>
      </c>
      <c r="R210" s="23" t="str">
        <f t="shared" si="25"/>
        <v>Aceptable</v>
      </c>
      <c r="S210" s="25" t="str">
        <f t="shared" si="26"/>
        <v>Utilizable</v>
      </c>
      <c r="T210" s="26" t="str">
        <f t="shared" si="27"/>
        <v>leguminosas y oleaginosas|00.001.031</v>
      </c>
      <c r="U210" s="26">
        <f>IF(OR($S210&lt;&gt;"Utilizable",$C210&lt;&gt;SUSTITUCION!$C$13),999999,IF(v_prioridad="Potasio",$H210,IF(v_prioridad="Fósforo",$I210,IF(v_prioridad="Sodio",$J210,IF(ISNUMBER($Q210),$Q210,999999)))))</f>
        <v>999999</v>
      </c>
    </row>
    <row r="211" spans="1:21" ht="15" customHeight="1">
      <c r="A211" s="21" t="s">
        <v>547</v>
      </c>
      <c r="B211" s="21" t="s">
        <v>548</v>
      </c>
      <c r="C211" s="21" t="s">
        <v>523</v>
      </c>
      <c r="D211" s="21" t="s">
        <v>524</v>
      </c>
      <c r="E211" s="21" t="s">
        <v>135</v>
      </c>
      <c r="F211" s="22">
        <v>139</v>
      </c>
      <c r="G211" s="22">
        <v>9.6999999999999993</v>
      </c>
      <c r="H211" s="22">
        <v>560.29999999999995</v>
      </c>
      <c r="I211" s="22">
        <v>112.8</v>
      </c>
      <c r="J211" s="22">
        <v>6.1</v>
      </c>
      <c r="K211" s="22">
        <v>139</v>
      </c>
      <c r="L211" s="22">
        <v>9.6999999999999993</v>
      </c>
      <c r="M211" s="22">
        <v>89.9</v>
      </c>
      <c r="N211" s="23" t="str">
        <f t="shared" si="21"/>
        <v>Muy alto</v>
      </c>
      <c r="O211" s="23" t="str">
        <f t="shared" si="22"/>
        <v>Alto</v>
      </c>
      <c r="P211" s="23" t="str">
        <f t="shared" si="23"/>
        <v>Bajo</v>
      </c>
      <c r="Q211" s="24" t="str">
        <f t="shared" si="24"/>
        <v>N/C: no es fuente proteica</v>
      </c>
      <c r="R211" s="23" t="str">
        <f t="shared" si="25"/>
        <v>N/C</v>
      </c>
      <c r="S211" s="25" t="str">
        <f t="shared" si="26"/>
        <v>Utilizable</v>
      </c>
      <c r="T211" s="26" t="str">
        <f t="shared" si="27"/>
        <v>leguminosas y oleaginosas|00.000.560</v>
      </c>
      <c r="U211" s="26">
        <f>IF(OR($S211&lt;&gt;"Utilizable",$C211&lt;&gt;SUSTITUCION!$C$13),999999,IF(v_prioridad="Potasio",$H211,IF(v_prioridad="Fósforo",$I211,IF(v_prioridad="Sodio",$J211,IF(ISNUMBER($Q211),$Q211,999999)))))</f>
        <v>999999</v>
      </c>
    </row>
    <row r="212" spans="1:21" ht="15" customHeight="1">
      <c r="A212" s="21" t="s">
        <v>549</v>
      </c>
      <c r="B212" s="21" t="s">
        <v>550</v>
      </c>
      <c r="C212" s="21" t="s">
        <v>523</v>
      </c>
      <c r="D212" s="21" t="s">
        <v>524</v>
      </c>
      <c r="E212" s="21" t="s">
        <v>135</v>
      </c>
      <c r="F212" s="22">
        <v>333</v>
      </c>
      <c r="G212" s="22">
        <v>23.4</v>
      </c>
      <c r="H212" s="22">
        <v>1795</v>
      </c>
      <c r="I212" s="22">
        <v>301</v>
      </c>
      <c r="J212" s="22">
        <v>16</v>
      </c>
      <c r="K212" s="22">
        <v>333</v>
      </c>
      <c r="L212" s="22">
        <v>23.4</v>
      </c>
      <c r="M212" s="22">
        <v>240</v>
      </c>
      <c r="N212" s="23" t="str">
        <f t="shared" si="21"/>
        <v>Muy alto</v>
      </c>
      <c r="O212" s="23" t="str">
        <f t="shared" si="22"/>
        <v>Muy alto</v>
      </c>
      <c r="P212" s="23" t="str">
        <f t="shared" si="23"/>
        <v>Bajo</v>
      </c>
      <c r="Q212" s="24">
        <f t="shared" si="24"/>
        <v>12.863247863247864</v>
      </c>
      <c r="R212" s="23" t="str">
        <f t="shared" si="25"/>
        <v>Aceptable</v>
      </c>
      <c r="S212" s="25" t="str">
        <f t="shared" si="26"/>
        <v>Utilizable</v>
      </c>
      <c r="T212" s="26" t="str">
        <f t="shared" si="27"/>
        <v>leguminosas y oleaginosas|00.001.795</v>
      </c>
      <c r="U212" s="26">
        <f>IF(OR($S212&lt;&gt;"Utilizable",$C212&lt;&gt;SUSTITUCION!$C$13),999999,IF(v_prioridad="Potasio",$H212,IF(v_prioridad="Fósforo",$I212,IF(v_prioridad="Sodio",$J212,IF(ISNUMBER($Q212),$Q212,999999)))))</f>
        <v>999999</v>
      </c>
    </row>
    <row r="213" spans="1:21" ht="15" customHeight="1">
      <c r="A213" s="21" t="s">
        <v>551</v>
      </c>
      <c r="B213" s="21" t="s">
        <v>552</v>
      </c>
      <c r="C213" s="21" t="s">
        <v>523</v>
      </c>
      <c r="D213" s="21" t="s">
        <v>524</v>
      </c>
      <c r="E213" s="21" t="s">
        <v>135</v>
      </c>
      <c r="F213" s="22">
        <v>141</v>
      </c>
      <c r="G213" s="22">
        <v>12.4</v>
      </c>
      <c r="H213" s="22">
        <v>539</v>
      </c>
      <c r="I213" s="22">
        <v>158</v>
      </c>
      <c r="J213" s="22">
        <v>14</v>
      </c>
      <c r="K213" s="22">
        <v>141</v>
      </c>
      <c r="L213" s="22">
        <v>12.4</v>
      </c>
      <c r="M213" s="22">
        <v>145</v>
      </c>
      <c r="N213" s="23" t="str">
        <f t="shared" si="21"/>
        <v>Muy alto</v>
      </c>
      <c r="O213" s="23" t="str">
        <f t="shared" si="22"/>
        <v>Alto</v>
      </c>
      <c r="P213" s="23" t="str">
        <f t="shared" si="23"/>
        <v>Bajo</v>
      </c>
      <c r="Q213" s="24">
        <f t="shared" si="24"/>
        <v>12.741935483870968</v>
      </c>
      <c r="R213" s="23" t="str">
        <f t="shared" si="25"/>
        <v>Aceptable</v>
      </c>
      <c r="S213" s="25" t="str">
        <f t="shared" si="26"/>
        <v>Utilizable</v>
      </c>
      <c r="T213" s="26" t="str">
        <f t="shared" si="27"/>
        <v>leguminosas y oleaginosas|00.000.539</v>
      </c>
      <c r="U213" s="26">
        <f>IF(OR($S213&lt;&gt;"Utilizable",$C213&lt;&gt;SUSTITUCION!$C$13),999999,IF(v_prioridad="Potasio",$H213,IF(v_prioridad="Fósforo",$I213,IF(v_prioridad="Sodio",$J213,IF(ISNUMBER($Q213),$Q213,999999)))))</f>
        <v>999999</v>
      </c>
    </row>
    <row r="214" spans="1:21" ht="15" customHeight="1">
      <c r="A214" s="21" t="s">
        <v>553</v>
      </c>
      <c r="B214" s="21" t="s">
        <v>554</v>
      </c>
      <c r="C214" s="21" t="s">
        <v>523</v>
      </c>
      <c r="D214" s="21" t="s">
        <v>524</v>
      </c>
      <c r="E214" s="21" t="s">
        <v>135</v>
      </c>
      <c r="F214" s="22">
        <v>147</v>
      </c>
      <c r="G214" s="22">
        <v>13</v>
      </c>
      <c r="H214" s="22">
        <v>620</v>
      </c>
      <c r="I214" s="22">
        <v>194</v>
      </c>
      <c r="J214" s="22">
        <v>15</v>
      </c>
      <c r="K214" s="22">
        <v>147</v>
      </c>
      <c r="L214" s="22">
        <v>13</v>
      </c>
      <c r="M214" s="22">
        <v>197</v>
      </c>
      <c r="N214" s="23" t="str">
        <f t="shared" si="21"/>
        <v>Muy alto</v>
      </c>
      <c r="O214" s="23" t="str">
        <f t="shared" si="22"/>
        <v>Muy alto</v>
      </c>
      <c r="P214" s="23" t="str">
        <f t="shared" si="23"/>
        <v>Bajo</v>
      </c>
      <c r="Q214" s="24">
        <f t="shared" si="24"/>
        <v>14.923076923076923</v>
      </c>
      <c r="R214" s="23" t="str">
        <f t="shared" si="25"/>
        <v>Aceptable</v>
      </c>
      <c r="S214" s="25" t="str">
        <f t="shared" si="26"/>
        <v>Utilizable</v>
      </c>
      <c r="T214" s="26" t="str">
        <f t="shared" si="27"/>
        <v>leguminosas y oleaginosas|00.000.620</v>
      </c>
      <c r="U214" s="26">
        <f>IF(OR($S214&lt;&gt;"Utilizable",$C214&lt;&gt;SUSTITUCION!$C$13),999999,IF(v_prioridad="Potasio",$H214,IF(v_prioridad="Fósforo",$I214,IF(v_prioridad="Sodio",$J214,IF(ISNUMBER($Q214),$Q214,999999)))))</f>
        <v>999999</v>
      </c>
    </row>
    <row r="215" spans="1:21" ht="15" customHeight="1">
      <c r="A215" s="21" t="s">
        <v>555</v>
      </c>
      <c r="B215" s="21" t="s">
        <v>556</v>
      </c>
      <c r="C215" s="21" t="s">
        <v>523</v>
      </c>
      <c r="D215" s="21" t="s">
        <v>524</v>
      </c>
      <c r="E215" s="21" t="s">
        <v>135</v>
      </c>
      <c r="F215" s="22">
        <v>115</v>
      </c>
      <c r="G215" s="22">
        <v>7.8</v>
      </c>
      <c r="H215" s="22">
        <v>508</v>
      </c>
      <c r="I215" s="22">
        <v>111</v>
      </c>
      <c r="J215" s="22">
        <v>2</v>
      </c>
      <c r="K215" s="22">
        <v>115</v>
      </c>
      <c r="L215" s="22">
        <v>7.8</v>
      </c>
      <c r="M215" s="22">
        <v>17</v>
      </c>
      <c r="N215" s="23" t="str">
        <f t="shared" si="21"/>
        <v>Muy alto</v>
      </c>
      <c r="O215" s="23" t="str">
        <f t="shared" si="22"/>
        <v>Alto</v>
      </c>
      <c r="P215" s="23" t="str">
        <f t="shared" si="23"/>
        <v>Bajo</v>
      </c>
      <c r="Q215" s="24" t="str">
        <f t="shared" si="24"/>
        <v>N/C: no es fuente proteica</v>
      </c>
      <c r="R215" s="23" t="str">
        <f t="shared" si="25"/>
        <v>N/C</v>
      </c>
      <c r="S215" s="25" t="str">
        <f t="shared" si="26"/>
        <v>Utilizable</v>
      </c>
      <c r="T215" s="26" t="str">
        <f t="shared" si="27"/>
        <v>leguminosas y oleaginosas|00.000.508</v>
      </c>
      <c r="U215" s="26">
        <f>IF(OR($S215&lt;&gt;"Utilizable",$C215&lt;&gt;SUSTITUCION!$C$13),999999,IF(v_prioridad="Potasio",$H215,IF(v_prioridad="Fósforo",$I215,IF(v_prioridad="Sodio",$J215,IF(ISNUMBER($Q215),$Q215,999999)))))</f>
        <v>999999</v>
      </c>
    </row>
    <row r="216" spans="1:21" ht="15" customHeight="1">
      <c r="A216" s="21" t="s">
        <v>557</v>
      </c>
      <c r="B216" s="21" t="s">
        <v>558</v>
      </c>
      <c r="C216" s="21" t="s">
        <v>523</v>
      </c>
      <c r="D216" s="21" t="s">
        <v>524</v>
      </c>
      <c r="E216" s="21" t="s">
        <v>135</v>
      </c>
      <c r="F216" s="22">
        <v>341</v>
      </c>
      <c r="G216" s="22">
        <v>21.6</v>
      </c>
      <c r="H216" s="22">
        <v>1483</v>
      </c>
      <c r="I216" s="22">
        <v>352</v>
      </c>
      <c r="J216" s="22">
        <v>5</v>
      </c>
      <c r="K216" s="22">
        <v>341</v>
      </c>
      <c r="L216" s="22">
        <v>21.6</v>
      </c>
      <c r="M216" s="22">
        <v>123</v>
      </c>
      <c r="N216" s="23" t="str">
        <f t="shared" si="21"/>
        <v>Muy alto</v>
      </c>
      <c r="O216" s="23" t="str">
        <f t="shared" si="22"/>
        <v>Muy alto</v>
      </c>
      <c r="P216" s="23" t="str">
        <f t="shared" si="23"/>
        <v>Bajo</v>
      </c>
      <c r="Q216" s="24">
        <f t="shared" si="24"/>
        <v>16.296296296296294</v>
      </c>
      <c r="R216" s="23" t="str">
        <f t="shared" si="25"/>
        <v>Alta</v>
      </c>
      <c r="S216" s="25" t="str">
        <f t="shared" si="26"/>
        <v>Utilizable</v>
      </c>
      <c r="T216" s="26" t="str">
        <f t="shared" si="27"/>
        <v>leguminosas y oleaginosas|00.001.483</v>
      </c>
      <c r="U216" s="26">
        <f>IF(OR($S216&lt;&gt;"Utilizable",$C216&lt;&gt;SUSTITUCION!$C$13),999999,IF(v_prioridad="Potasio",$H216,IF(v_prioridad="Fósforo",$I216,IF(v_prioridad="Sodio",$J216,IF(ISNUMBER($Q216),$Q216,999999)))))</f>
        <v>999999</v>
      </c>
    </row>
    <row r="217" spans="1:21" ht="15" customHeight="1">
      <c r="A217" s="21" t="s">
        <v>559</v>
      </c>
      <c r="B217" s="21" t="s">
        <v>560</v>
      </c>
      <c r="C217" s="21" t="s">
        <v>561</v>
      </c>
      <c r="D217" s="21" t="s">
        <v>562</v>
      </c>
      <c r="E217" s="21" t="s">
        <v>135</v>
      </c>
      <c r="F217" s="22">
        <v>579</v>
      </c>
      <c r="G217" s="22">
        <v>21.2</v>
      </c>
      <c r="H217" s="22">
        <v>733</v>
      </c>
      <c r="I217" s="22">
        <v>481</v>
      </c>
      <c r="J217" s="22">
        <v>1</v>
      </c>
      <c r="K217" s="22">
        <v>579</v>
      </c>
      <c r="L217" s="22">
        <v>21.2</v>
      </c>
      <c r="M217" s="22">
        <v>269</v>
      </c>
      <c r="N217" s="23" t="str">
        <f t="shared" si="21"/>
        <v>Muy alto</v>
      </c>
      <c r="O217" s="23" t="str">
        <f t="shared" si="22"/>
        <v>Muy alto</v>
      </c>
      <c r="P217" s="23" t="str">
        <f t="shared" si="23"/>
        <v>Bajo</v>
      </c>
      <c r="Q217" s="24">
        <f t="shared" si="24"/>
        <v>22.688679245283019</v>
      </c>
      <c r="R217" s="23" t="str">
        <f t="shared" si="25"/>
        <v>Alta</v>
      </c>
      <c r="S217" s="25" t="str">
        <f t="shared" si="26"/>
        <v>Utilizable</v>
      </c>
      <c r="T217" s="26" t="str">
        <f t="shared" si="27"/>
        <v>semillas, almendras y nueces|00.000.733</v>
      </c>
      <c r="U217" s="26">
        <f>IF(OR($S217&lt;&gt;"Utilizable",$C217&lt;&gt;SUSTITUCION!$C$13),999999,IF(v_prioridad="Potasio",$H217,IF(v_prioridad="Fósforo",$I217,IF(v_prioridad="Sodio",$J217,IF(ISNUMBER($Q217),$Q217,999999)))))</f>
        <v>999999</v>
      </c>
    </row>
    <row r="218" spans="1:21" ht="15" customHeight="1">
      <c r="A218" s="21" t="s">
        <v>563</v>
      </c>
      <c r="B218" s="21" t="s">
        <v>564</v>
      </c>
      <c r="C218" s="21" t="s">
        <v>561</v>
      </c>
      <c r="D218" s="21" t="s">
        <v>562</v>
      </c>
      <c r="E218" s="21" t="s">
        <v>135</v>
      </c>
      <c r="F218" s="22">
        <v>578</v>
      </c>
      <c r="G218" s="22">
        <v>24</v>
      </c>
      <c r="H218" s="22" t="s">
        <v>138</v>
      </c>
      <c r="I218" s="22" t="s">
        <v>138</v>
      </c>
      <c r="J218" s="22">
        <v>49</v>
      </c>
      <c r="K218" s="22">
        <v>578</v>
      </c>
      <c r="L218" s="22">
        <v>24</v>
      </c>
      <c r="M218" s="22" t="s">
        <v>138</v>
      </c>
      <c r="N218" s="23" t="str">
        <f t="shared" si="21"/>
        <v>Sin dato</v>
      </c>
      <c r="O218" s="23" t="str">
        <f t="shared" si="22"/>
        <v>Sin dato</v>
      </c>
      <c r="P218" s="23" t="str">
        <f t="shared" si="23"/>
        <v>Medio</v>
      </c>
      <c r="Q218" s="24" t="str">
        <f t="shared" si="24"/>
        <v>N/C</v>
      </c>
      <c r="R218" s="23" t="str">
        <f t="shared" si="25"/>
        <v>N/C</v>
      </c>
      <c r="S218" s="25" t="str">
        <f t="shared" si="26"/>
        <v>No utilizable</v>
      </c>
      <c r="T218" s="26" t="str">
        <f t="shared" si="27"/>
        <v/>
      </c>
      <c r="U218" s="26">
        <f>IF(OR($S218&lt;&gt;"Utilizable",$C218&lt;&gt;SUSTITUCION!$C$13),999999,IF(v_prioridad="Potasio",$H218,IF(v_prioridad="Fósforo",$I218,IF(v_prioridad="Sodio",$J218,IF(ISNUMBER($Q218),$Q218,999999)))))</f>
        <v>999999</v>
      </c>
    </row>
    <row r="219" spans="1:21" ht="15" customHeight="1">
      <c r="A219" s="21" t="s">
        <v>565</v>
      </c>
      <c r="B219" s="21" t="s">
        <v>566</v>
      </c>
      <c r="C219" s="21" t="s">
        <v>561</v>
      </c>
      <c r="D219" s="21" t="s">
        <v>562</v>
      </c>
      <c r="E219" s="21" t="s">
        <v>135</v>
      </c>
      <c r="F219" s="22">
        <v>628</v>
      </c>
      <c r="G219" s="22">
        <v>15</v>
      </c>
      <c r="H219" s="22">
        <v>680</v>
      </c>
      <c r="I219" s="22">
        <v>290</v>
      </c>
      <c r="J219" s="22">
        <v>0</v>
      </c>
      <c r="K219" s="22">
        <v>628</v>
      </c>
      <c r="L219" s="22">
        <v>15</v>
      </c>
      <c r="M219" s="22">
        <v>114</v>
      </c>
      <c r="N219" s="23" t="str">
        <f t="shared" si="21"/>
        <v>Muy alto</v>
      </c>
      <c r="O219" s="23" t="str">
        <f t="shared" si="22"/>
        <v>Muy alto</v>
      </c>
      <c r="P219" s="23" t="str">
        <f t="shared" si="23"/>
        <v>Bajo</v>
      </c>
      <c r="Q219" s="24">
        <f t="shared" si="24"/>
        <v>19.333333333333332</v>
      </c>
      <c r="R219" s="23" t="str">
        <f t="shared" si="25"/>
        <v>Alta</v>
      </c>
      <c r="S219" s="25" t="str">
        <f t="shared" si="26"/>
        <v>Utilizable</v>
      </c>
      <c r="T219" s="26" t="str">
        <f t="shared" si="27"/>
        <v>semillas, almendras y nueces|00.000.680</v>
      </c>
      <c r="U219" s="26">
        <f>IF(OR($S219&lt;&gt;"Utilizable",$C219&lt;&gt;SUSTITUCION!$C$13),999999,IF(v_prioridad="Potasio",$H219,IF(v_prioridad="Fósforo",$I219,IF(v_prioridad="Sodio",$J219,IF(ISNUMBER($Q219),$Q219,999999)))))</f>
        <v>999999</v>
      </c>
    </row>
    <row r="220" spans="1:21" ht="15" customHeight="1">
      <c r="A220" s="21" t="s">
        <v>567</v>
      </c>
      <c r="B220" s="21" t="s">
        <v>568</v>
      </c>
      <c r="C220" s="21" t="s">
        <v>561</v>
      </c>
      <c r="D220" s="21" t="s">
        <v>562</v>
      </c>
      <c r="E220" s="21" t="s">
        <v>135</v>
      </c>
      <c r="F220" s="22">
        <v>574</v>
      </c>
      <c r="G220" s="22">
        <v>15.3</v>
      </c>
      <c r="H220" s="22">
        <v>565</v>
      </c>
      <c r="I220" s="22">
        <v>490</v>
      </c>
      <c r="J220" s="22">
        <v>16</v>
      </c>
      <c r="K220" s="22">
        <v>574</v>
      </c>
      <c r="L220" s="22">
        <v>15.3</v>
      </c>
      <c r="M220" s="22">
        <v>45</v>
      </c>
      <c r="N220" s="23" t="str">
        <f t="shared" si="21"/>
        <v>Muy alto</v>
      </c>
      <c r="O220" s="23" t="str">
        <f t="shared" si="22"/>
        <v>Muy alto</v>
      </c>
      <c r="P220" s="23" t="str">
        <f t="shared" si="23"/>
        <v>Bajo</v>
      </c>
      <c r="Q220" s="24">
        <f t="shared" si="24"/>
        <v>32.026143790849673</v>
      </c>
      <c r="R220" s="23" t="str">
        <f t="shared" si="25"/>
        <v>Alta</v>
      </c>
      <c r="S220" s="25" t="str">
        <f t="shared" si="26"/>
        <v>Utilizable</v>
      </c>
      <c r="T220" s="26" t="str">
        <f t="shared" si="27"/>
        <v>semillas, almendras y nueces|00.000.565</v>
      </c>
      <c r="U220" s="26">
        <f>IF(OR($S220&lt;&gt;"Utilizable",$C220&lt;&gt;SUSTITUCION!$C$13),999999,IF(v_prioridad="Potasio",$H220,IF(v_prioridad="Fósforo",$I220,IF(v_prioridad="Sodio",$J220,IF(ISNUMBER($Q220),$Q220,999999)))))</f>
        <v>999999</v>
      </c>
    </row>
    <row r="221" spans="1:21" ht="15" customHeight="1">
      <c r="A221" s="21" t="s">
        <v>569</v>
      </c>
      <c r="B221" s="21" t="s">
        <v>570</v>
      </c>
      <c r="C221" s="21" t="s">
        <v>561</v>
      </c>
      <c r="D221" s="21" t="s">
        <v>562</v>
      </c>
      <c r="E221" s="21" t="s">
        <v>135</v>
      </c>
      <c r="F221" s="22">
        <v>718</v>
      </c>
      <c r="G221" s="22">
        <v>7.9</v>
      </c>
      <c r="H221" s="22">
        <v>368</v>
      </c>
      <c r="I221" s="22">
        <v>188</v>
      </c>
      <c r="J221" s="22">
        <v>5</v>
      </c>
      <c r="K221" s="22">
        <v>718</v>
      </c>
      <c r="L221" s="22">
        <v>7.9</v>
      </c>
      <c r="M221" s="22">
        <v>85</v>
      </c>
      <c r="N221" s="23" t="str">
        <f t="shared" si="21"/>
        <v>Muy alto</v>
      </c>
      <c r="O221" s="23" t="str">
        <f t="shared" si="22"/>
        <v>Muy alto</v>
      </c>
      <c r="P221" s="23" t="str">
        <f t="shared" si="23"/>
        <v>Bajo</v>
      </c>
      <c r="Q221" s="24" t="str">
        <f t="shared" si="24"/>
        <v>N/C: no es fuente proteica</v>
      </c>
      <c r="R221" s="23" t="str">
        <f t="shared" si="25"/>
        <v>N/C</v>
      </c>
      <c r="S221" s="25" t="str">
        <f t="shared" si="26"/>
        <v>Utilizable</v>
      </c>
      <c r="T221" s="26" t="str">
        <f t="shared" si="27"/>
        <v>semillas, almendras y nueces|00.000.368</v>
      </c>
      <c r="U221" s="26">
        <f>IF(OR($S221&lt;&gt;"Utilizable",$C221&lt;&gt;SUSTITUCION!$C$13),999999,IF(v_prioridad="Potasio",$H221,IF(v_prioridad="Fósforo",$I221,IF(v_prioridad="Sodio",$J221,IF(ISNUMBER($Q221),$Q221,999999)))))</f>
        <v>999999</v>
      </c>
    </row>
    <row r="222" spans="1:21" ht="15" customHeight="1">
      <c r="A222" s="21" t="s">
        <v>571</v>
      </c>
      <c r="B222" s="21" t="s">
        <v>572</v>
      </c>
      <c r="C222" s="21" t="s">
        <v>561</v>
      </c>
      <c r="D222" s="21" t="s">
        <v>562</v>
      </c>
      <c r="E222" s="21" t="s">
        <v>135</v>
      </c>
      <c r="F222" s="22">
        <v>567</v>
      </c>
      <c r="G222" s="22">
        <v>25.8</v>
      </c>
      <c r="H222" s="22">
        <v>705</v>
      </c>
      <c r="I222" s="22">
        <v>376</v>
      </c>
      <c r="J222" s="22">
        <v>18</v>
      </c>
      <c r="K222" s="22">
        <v>567</v>
      </c>
      <c r="L222" s="22">
        <v>25.8</v>
      </c>
      <c r="M222" s="22">
        <v>92</v>
      </c>
      <c r="N222" s="23" t="str">
        <f t="shared" si="21"/>
        <v>Muy alto</v>
      </c>
      <c r="O222" s="23" t="str">
        <f t="shared" si="22"/>
        <v>Muy alto</v>
      </c>
      <c r="P222" s="23" t="str">
        <f t="shared" si="23"/>
        <v>Bajo</v>
      </c>
      <c r="Q222" s="24">
        <f t="shared" si="24"/>
        <v>14.573643410852712</v>
      </c>
      <c r="R222" s="23" t="str">
        <f t="shared" si="25"/>
        <v>Aceptable</v>
      </c>
      <c r="S222" s="25" t="str">
        <f t="shared" si="26"/>
        <v>Utilizable</v>
      </c>
      <c r="T222" s="26" t="str">
        <f t="shared" si="27"/>
        <v>semillas, almendras y nueces|00.000.705</v>
      </c>
      <c r="U222" s="26">
        <f>IF(OR($S222&lt;&gt;"Utilizable",$C222&lt;&gt;SUSTITUCION!$C$13),999999,IF(v_prioridad="Potasio",$H222,IF(v_prioridad="Fósforo",$I222,IF(v_prioridad="Sodio",$J222,IF(ISNUMBER($Q222),$Q222,999999)))))</f>
        <v>999999</v>
      </c>
    </row>
    <row r="223" spans="1:21" ht="15" customHeight="1">
      <c r="A223" s="21" t="s">
        <v>573</v>
      </c>
      <c r="B223" s="21" t="s">
        <v>574</v>
      </c>
      <c r="C223" s="21" t="s">
        <v>561</v>
      </c>
      <c r="D223" s="21" t="s">
        <v>562</v>
      </c>
      <c r="E223" s="21" t="s">
        <v>135</v>
      </c>
      <c r="F223" s="22">
        <v>437</v>
      </c>
      <c r="G223" s="22">
        <v>17.7</v>
      </c>
      <c r="H223" s="22" t="s">
        <v>138</v>
      </c>
      <c r="I223" s="22" t="s">
        <v>138</v>
      </c>
      <c r="J223" s="22">
        <v>438</v>
      </c>
      <c r="K223" s="22">
        <v>437</v>
      </c>
      <c r="L223" s="22">
        <v>17.7</v>
      </c>
      <c r="M223" s="22" t="s">
        <v>138</v>
      </c>
      <c r="N223" s="23" t="str">
        <f t="shared" si="21"/>
        <v>Sin dato</v>
      </c>
      <c r="O223" s="23" t="str">
        <f t="shared" si="22"/>
        <v>Sin dato</v>
      </c>
      <c r="P223" s="23" t="str">
        <f t="shared" si="23"/>
        <v>Muy alto</v>
      </c>
      <c r="Q223" s="24" t="str">
        <f t="shared" si="24"/>
        <v>N/C</v>
      </c>
      <c r="R223" s="23" t="str">
        <f t="shared" si="25"/>
        <v>N/C</v>
      </c>
      <c r="S223" s="25" t="str">
        <f t="shared" si="26"/>
        <v>No utilizable</v>
      </c>
      <c r="T223" s="26" t="str">
        <f t="shared" si="27"/>
        <v/>
      </c>
      <c r="U223" s="26">
        <f>IF(OR($S223&lt;&gt;"Utilizable",$C223&lt;&gt;SUSTITUCION!$C$13),999999,IF(v_prioridad="Potasio",$H223,IF(v_prioridad="Fósforo",$I223,IF(v_prioridad="Sodio",$J223,IF(ISNUMBER($Q223),$Q223,999999)))))</f>
        <v>999999</v>
      </c>
    </row>
    <row r="224" spans="1:21" ht="15" customHeight="1">
      <c r="A224" s="21" t="s">
        <v>575</v>
      </c>
      <c r="B224" s="21" t="s">
        <v>576</v>
      </c>
      <c r="C224" s="21" t="s">
        <v>561</v>
      </c>
      <c r="D224" s="21" t="s">
        <v>562</v>
      </c>
      <c r="E224" s="21" t="s">
        <v>135</v>
      </c>
      <c r="F224" s="22">
        <v>587</v>
      </c>
      <c r="G224" s="22">
        <v>24.4</v>
      </c>
      <c r="H224" s="22">
        <v>634</v>
      </c>
      <c r="I224" s="22">
        <v>363</v>
      </c>
      <c r="J224" s="22">
        <v>410</v>
      </c>
      <c r="K224" s="22">
        <v>587</v>
      </c>
      <c r="L224" s="22">
        <v>24.4</v>
      </c>
      <c r="M224" s="22">
        <v>58</v>
      </c>
      <c r="N224" s="23" t="str">
        <f t="shared" si="21"/>
        <v>Muy alto</v>
      </c>
      <c r="O224" s="23" t="str">
        <f t="shared" si="22"/>
        <v>Muy alto</v>
      </c>
      <c r="P224" s="23" t="str">
        <f t="shared" si="23"/>
        <v>Muy alto</v>
      </c>
      <c r="Q224" s="24">
        <f t="shared" si="24"/>
        <v>14.877049180327869</v>
      </c>
      <c r="R224" s="23" t="str">
        <f t="shared" si="25"/>
        <v>Aceptable</v>
      </c>
      <c r="S224" s="25" t="str">
        <f t="shared" si="26"/>
        <v>Utilizable</v>
      </c>
      <c r="T224" s="26" t="str">
        <f t="shared" si="27"/>
        <v>semillas, almendras y nueces|00.000.634</v>
      </c>
      <c r="U224" s="26">
        <f>IF(OR($S224&lt;&gt;"Utilizable",$C224&lt;&gt;SUSTITUCION!$C$13),999999,IF(v_prioridad="Potasio",$H224,IF(v_prioridad="Fósforo",$I224,IF(v_prioridad="Sodio",$J224,IF(ISNUMBER($Q224),$Q224,999999)))))</f>
        <v>999999</v>
      </c>
    </row>
    <row r="225" spans="1:21" ht="15" customHeight="1">
      <c r="A225" s="21" t="s">
        <v>577</v>
      </c>
      <c r="B225" s="21" t="s">
        <v>578</v>
      </c>
      <c r="C225" s="21" t="s">
        <v>561</v>
      </c>
      <c r="D225" s="21" t="s">
        <v>562</v>
      </c>
      <c r="E225" s="21" t="s">
        <v>135</v>
      </c>
      <c r="F225" s="22">
        <v>551</v>
      </c>
      <c r="G225" s="22">
        <v>17.5</v>
      </c>
      <c r="H225" s="22" t="s">
        <v>138</v>
      </c>
      <c r="I225" s="22" t="s">
        <v>138</v>
      </c>
      <c r="J225" s="22">
        <v>18</v>
      </c>
      <c r="K225" s="22">
        <v>551</v>
      </c>
      <c r="L225" s="22">
        <v>17.5</v>
      </c>
      <c r="M225" s="22" t="s">
        <v>138</v>
      </c>
      <c r="N225" s="23" t="str">
        <f t="shared" si="21"/>
        <v>Sin dato</v>
      </c>
      <c r="O225" s="23" t="str">
        <f t="shared" si="22"/>
        <v>Sin dato</v>
      </c>
      <c r="P225" s="23" t="str">
        <f t="shared" si="23"/>
        <v>Bajo</v>
      </c>
      <c r="Q225" s="24" t="str">
        <f t="shared" si="24"/>
        <v>N/C</v>
      </c>
      <c r="R225" s="23" t="str">
        <f t="shared" si="25"/>
        <v>N/C</v>
      </c>
      <c r="S225" s="25" t="str">
        <f t="shared" si="26"/>
        <v>No utilizable</v>
      </c>
      <c r="T225" s="26" t="str">
        <f t="shared" si="27"/>
        <v/>
      </c>
      <c r="U225" s="26">
        <f>IF(OR($S225&lt;&gt;"Utilizable",$C225&lt;&gt;SUSTITUCION!$C$13),999999,IF(v_prioridad="Potasio",$H225,IF(v_prioridad="Fósforo",$I225,IF(v_prioridad="Sodio",$J225,IF(ISNUMBER($Q225),$Q225,999999)))))</f>
        <v>999999</v>
      </c>
    </row>
    <row r="226" spans="1:21" ht="15" customHeight="1">
      <c r="A226" s="21" t="s">
        <v>579</v>
      </c>
      <c r="B226" s="21" t="s">
        <v>580</v>
      </c>
      <c r="C226" s="21" t="s">
        <v>561</v>
      </c>
      <c r="D226" s="21" t="s">
        <v>562</v>
      </c>
      <c r="E226" s="21" t="s">
        <v>135</v>
      </c>
      <c r="F226" s="22">
        <v>606</v>
      </c>
      <c r="G226" s="22">
        <v>24.3</v>
      </c>
      <c r="H226" s="22">
        <v>524</v>
      </c>
      <c r="I226" s="22">
        <v>464</v>
      </c>
      <c r="J226" s="22">
        <v>1</v>
      </c>
      <c r="K226" s="22">
        <v>606</v>
      </c>
      <c r="L226" s="22">
        <v>24.3</v>
      </c>
      <c r="M226" s="22">
        <v>58</v>
      </c>
      <c r="N226" s="23" t="str">
        <f t="shared" si="21"/>
        <v>Muy alto</v>
      </c>
      <c r="O226" s="23" t="str">
        <f t="shared" si="22"/>
        <v>Muy alto</v>
      </c>
      <c r="P226" s="23" t="str">
        <f t="shared" si="23"/>
        <v>Bajo</v>
      </c>
      <c r="Q226" s="24">
        <f t="shared" si="24"/>
        <v>19.094650205761315</v>
      </c>
      <c r="R226" s="23" t="str">
        <f t="shared" si="25"/>
        <v>Alta</v>
      </c>
      <c r="S226" s="25" t="str">
        <f t="shared" si="26"/>
        <v>Utilizable</v>
      </c>
      <c r="T226" s="26" t="str">
        <f t="shared" si="27"/>
        <v>semillas, almendras y nueces|00.000.524</v>
      </c>
      <c r="U226" s="26">
        <f>IF(OR($S226&lt;&gt;"Utilizable",$C226&lt;&gt;SUSTITUCION!$C$13),999999,IF(v_prioridad="Potasio",$H226,IF(v_prioridad="Fósforo",$I226,IF(v_prioridad="Sodio",$J226,IF(ISNUMBER($Q226),$Q226,999999)))))</f>
        <v>999999</v>
      </c>
    </row>
    <row r="227" spans="1:21" ht="15" customHeight="1">
      <c r="A227" s="21" t="s">
        <v>581</v>
      </c>
      <c r="B227" s="21" t="s">
        <v>582</v>
      </c>
      <c r="C227" s="21" t="s">
        <v>561</v>
      </c>
      <c r="D227" s="21" t="s">
        <v>562</v>
      </c>
      <c r="E227" s="21" t="s">
        <v>135</v>
      </c>
      <c r="F227" s="22">
        <v>560</v>
      </c>
      <c r="G227" s="22">
        <v>20.2</v>
      </c>
      <c r="H227" s="22">
        <v>1025</v>
      </c>
      <c r="I227" s="22">
        <v>490</v>
      </c>
      <c r="J227" s="22">
        <v>1</v>
      </c>
      <c r="K227" s="22">
        <v>560</v>
      </c>
      <c r="L227" s="22">
        <v>20.2</v>
      </c>
      <c r="M227" s="22">
        <v>105</v>
      </c>
      <c r="N227" s="23" t="str">
        <f t="shared" si="21"/>
        <v>Muy alto</v>
      </c>
      <c r="O227" s="23" t="str">
        <f t="shared" si="22"/>
        <v>Muy alto</v>
      </c>
      <c r="P227" s="23" t="str">
        <f t="shared" si="23"/>
        <v>Bajo</v>
      </c>
      <c r="Q227" s="24">
        <f t="shared" si="24"/>
        <v>24.257425742574259</v>
      </c>
      <c r="R227" s="23" t="str">
        <f t="shared" si="25"/>
        <v>Alta</v>
      </c>
      <c r="S227" s="25" t="str">
        <f t="shared" si="26"/>
        <v>Utilizable</v>
      </c>
      <c r="T227" s="26" t="str">
        <f t="shared" si="27"/>
        <v>semillas, almendras y nueces|00.001.025</v>
      </c>
      <c r="U227" s="26">
        <f>IF(OR($S227&lt;&gt;"Utilizable",$C227&lt;&gt;SUSTITUCION!$C$13),999999,IF(v_prioridad="Potasio",$H227,IF(v_prioridad="Fósforo",$I227,IF(v_prioridad="Sodio",$J227,IF(ISNUMBER($Q227),$Q227,999999)))))</f>
        <v>999999</v>
      </c>
    </row>
    <row r="228" spans="1:21" ht="15" customHeight="1">
      <c r="A228" s="21" t="s">
        <v>583</v>
      </c>
      <c r="B228" s="21" t="s">
        <v>584</v>
      </c>
      <c r="C228" s="21" t="s">
        <v>561</v>
      </c>
      <c r="D228" s="21" t="s">
        <v>562</v>
      </c>
      <c r="E228" s="21" t="s">
        <v>135</v>
      </c>
      <c r="F228" s="22">
        <v>369</v>
      </c>
      <c r="G228" s="22">
        <v>5</v>
      </c>
      <c r="H228" s="22">
        <v>991</v>
      </c>
      <c r="I228" s="22">
        <v>137</v>
      </c>
      <c r="J228" s="22">
        <v>37</v>
      </c>
      <c r="K228" s="22">
        <v>369</v>
      </c>
      <c r="L228" s="22">
        <v>5</v>
      </c>
      <c r="M228" s="22">
        <v>64</v>
      </c>
      <c r="N228" s="23" t="str">
        <f t="shared" si="21"/>
        <v>Muy alto</v>
      </c>
      <c r="O228" s="23" t="str">
        <f t="shared" si="22"/>
        <v>Alto</v>
      </c>
      <c r="P228" s="23" t="str">
        <f t="shared" si="23"/>
        <v>Bajo</v>
      </c>
      <c r="Q228" s="24" t="str">
        <f t="shared" si="24"/>
        <v>N/C: no es fuente proteica</v>
      </c>
      <c r="R228" s="23" t="str">
        <f t="shared" si="25"/>
        <v>N/C</v>
      </c>
      <c r="S228" s="25" t="str">
        <f t="shared" si="26"/>
        <v>Utilizable</v>
      </c>
      <c r="T228" s="26" t="str">
        <f t="shared" si="27"/>
        <v>semillas, almendras y nueces|00.000.991</v>
      </c>
      <c r="U228" s="26">
        <f>IF(OR($S228&lt;&gt;"Utilizable",$C228&lt;&gt;SUSTITUCION!$C$13),999999,IF(v_prioridad="Potasio",$H228,IF(v_prioridad="Fósforo",$I228,IF(v_prioridad="Sodio",$J228,IF(ISNUMBER($Q228),$Q228,999999)))))</f>
        <v>999999</v>
      </c>
    </row>
    <row r="229" spans="1:21" ht="15" customHeight="1">
      <c r="A229" s="21" t="s">
        <v>585</v>
      </c>
      <c r="B229" s="21" t="s">
        <v>586</v>
      </c>
      <c r="C229" s="21" t="s">
        <v>561</v>
      </c>
      <c r="D229" s="21" t="s">
        <v>562</v>
      </c>
      <c r="E229" s="21" t="s">
        <v>135</v>
      </c>
      <c r="F229" s="22">
        <v>180</v>
      </c>
      <c r="G229" s="22">
        <v>4.5</v>
      </c>
      <c r="H229" s="22">
        <v>344</v>
      </c>
      <c r="I229" s="22">
        <v>98</v>
      </c>
      <c r="J229" s="22" t="s">
        <v>138</v>
      </c>
      <c r="K229" s="22">
        <v>180</v>
      </c>
      <c r="L229" s="22">
        <v>4.5</v>
      </c>
      <c r="M229" s="22">
        <v>61</v>
      </c>
      <c r="N229" s="23" t="str">
        <f t="shared" si="21"/>
        <v>Muy alto</v>
      </c>
      <c r="O229" s="23" t="str">
        <f t="shared" si="22"/>
        <v>Medio</v>
      </c>
      <c r="P229" s="23" t="str">
        <f t="shared" si="23"/>
        <v>Sin dato</v>
      </c>
      <c r="Q229" s="24" t="str">
        <f t="shared" si="24"/>
        <v>N/C: no es fuente proteica</v>
      </c>
      <c r="R229" s="23" t="str">
        <f t="shared" si="25"/>
        <v>N/C</v>
      </c>
      <c r="S229" s="25" t="str">
        <f t="shared" si="26"/>
        <v>No utilizable</v>
      </c>
      <c r="T229" s="26" t="str">
        <f t="shared" si="27"/>
        <v/>
      </c>
      <c r="U229" s="26">
        <f>IF(OR($S229&lt;&gt;"Utilizable",$C229&lt;&gt;SUSTITUCION!$C$13),999999,IF(v_prioridad="Potasio",$H229,IF(v_prioridad="Fósforo",$I229,IF(v_prioridad="Sodio",$J229,IF(ISNUMBER($Q229),$Q229,999999)))))</f>
        <v>999999</v>
      </c>
    </row>
    <row r="230" spans="1:21" ht="15" customHeight="1">
      <c r="A230" s="21" t="s">
        <v>587</v>
      </c>
      <c r="B230" s="21" t="s">
        <v>588</v>
      </c>
      <c r="C230" s="21" t="s">
        <v>561</v>
      </c>
      <c r="D230" s="21" t="s">
        <v>562</v>
      </c>
      <c r="E230" s="21" t="s">
        <v>135</v>
      </c>
      <c r="F230" s="22">
        <v>673</v>
      </c>
      <c r="G230" s="22">
        <v>13.7</v>
      </c>
      <c r="H230" s="22">
        <v>597</v>
      </c>
      <c r="I230" s="22">
        <v>575</v>
      </c>
      <c r="J230" s="22">
        <v>2</v>
      </c>
      <c r="K230" s="22">
        <v>673</v>
      </c>
      <c r="L230" s="22">
        <v>13.7</v>
      </c>
      <c r="M230" s="22">
        <v>16</v>
      </c>
      <c r="N230" s="23" t="str">
        <f t="shared" si="21"/>
        <v>Muy alto</v>
      </c>
      <c r="O230" s="23" t="str">
        <f t="shared" si="22"/>
        <v>Muy alto</v>
      </c>
      <c r="P230" s="23" t="str">
        <f t="shared" si="23"/>
        <v>Bajo</v>
      </c>
      <c r="Q230" s="24">
        <f t="shared" si="24"/>
        <v>41.970802919708028</v>
      </c>
      <c r="R230" s="23" t="str">
        <f t="shared" si="25"/>
        <v>Alta</v>
      </c>
      <c r="S230" s="25" t="str">
        <f t="shared" si="26"/>
        <v>Utilizable</v>
      </c>
      <c r="T230" s="26" t="str">
        <f t="shared" si="27"/>
        <v>semillas, almendras y nueces|00.000.597</v>
      </c>
      <c r="U230" s="26">
        <f>IF(OR($S230&lt;&gt;"Utilizable",$C230&lt;&gt;SUSTITUCION!$C$13),999999,IF(v_prioridad="Potasio",$H230,IF(v_prioridad="Fósforo",$I230,IF(v_prioridad="Sodio",$J230,IF(ISNUMBER($Q230),$Q230,999999)))))</f>
        <v>999999</v>
      </c>
    </row>
    <row r="231" spans="1:21" ht="15" customHeight="1">
      <c r="A231" s="21" t="s">
        <v>589</v>
      </c>
      <c r="B231" s="21" t="s">
        <v>590</v>
      </c>
      <c r="C231" s="21" t="s">
        <v>561</v>
      </c>
      <c r="D231" s="21" t="s">
        <v>562</v>
      </c>
      <c r="E231" s="21" t="s">
        <v>135</v>
      </c>
      <c r="F231" s="22">
        <v>486</v>
      </c>
      <c r="G231" s="22">
        <v>16.5</v>
      </c>
      <c r="H231" s="22">
        <v>407</v>
      </c>
      <c r="I231" s="22">
        <v>860</v>
      </c>
      <c r="J231" s="22">
        <v>16</v>
      </c>
      <c r="K231" s="22">
        <v>486</v>
      </c>
      <c r="L231" s="22">
        <v>16.5</v>
      </c>
      <c r="M231" s="22">
        <v>631</v>
      </c>
      <c r="N231" s="23" t="str">
        <f t="shared" si="21"/>
        <v>Muy alto</v>
      </c>
      <c r="O231" s="23" t="str">
        <f t="shared" si="22"/>
        <v>Muy alto</v>
      </c>
      <c r="P231" s="23" t="str">
        <f t="shared" si="23"/>
        <v>Bajo</v>
      </c>
      <c r="Q231" s="24">
        <f t="shared" si="24"/>
        <v>52.121212121212125</v>
      </c>
      <c r="R231" s="23" t="str">
        <f t="shared" si="25"/>
        <v>Alta</v>
      </c>
      <c r="S231" s="25" t="str">
        <f t="shared" si="26"/>
        <v>Utilizable</v>
      </c>
      <c r="T231" s="26" t="str">
        <f t="shared" si="27"/>
        <v>semillas, almendras y nueces|00.000.407</v>
      </c>
      <c r="U231" s="26">
        <f>IF(OR($S231&lt;&gt;"Utilizable",$C231&lt;&gt;SUSTITUCION!$C$13),999999,IF(v_prioridad="Potasio",$H231,IF(v_prioridad="Fósforo",$I231,IF(v_prioridad="Sodio",$J231,IF(ISNUMBER($Q231),$Q231,999999)))))</f>
        <v>999999</v>
      </c>
    </row>
    <row r="232" spans="1:21" ht="15" customHeight="1">
      <c r="A232" s="21" t="s">
        <v>591</v>
      </c>
      <c r="B232" s="21" t="s">
        <v>592</v>
      </c>
      <c r="C232" s="21" t="s">
        <v>561</v>
      </c>
      <c r="D232" s="21" t="s">
        <v>562</v>
      </c>
      <c r="E232" s="21" t="s">
        <v>135</v>
      </c>
      <c r="F232" s="22">
        <v>525</v>
      </c>
      <c r="G232" s="22">
        <v>18</v>
      </c>
      <c r="H232" s="22">
        <v>719</v>
      </c>
      <c r="I232" s="22">
        <v>870</v>
      </c>
      <c r="J232" s="22">
        <v>26</v>
      </c>
      <c r="K232" s="22">
        <v>525</v>
      </c>
      <c r="L232" s="22">
        <v>18</v>
      </c>
      <c r="M232" s="22">
        <v>1438</v>
      </c>
      <c r="N232" s="23" t="str">
        <f t="shared" si="21"/>
        <v>Muy alto</v>
      </c>
      <c r="O232" s="23" t="str">
        <f t="shared" si="22"/>
        <v>Muy alto</v>
      </c>
      <c r="P232" s="23" t="str">
        <f t="shared" si="23"/>
        <v>Bajo</v>
      </c>
      <c r="Q232" s="24">
        <f t="shared" si="24"/>
        <v>48.333333333333336</v>
      </c>
      <c r="R232" s="23" t="str">
        <f t="shared" si="25"/>
        <v>Alta</v>
      </c>
      <c r="S232" s="25" t="str">
        <f t="shared" si="26"/>
        <v>Utilizable</v>
      </c>
      <c r="T232" s="26" t="str">
        <f t="shared" si="27"/>
        <v>semillas, almendras y nueces|00.000.719</v>
      </c>
      <c r="U232" s="26">
        <f>IF(OR($S232&lt;&gt;"Utilizable",$C232&lt;&gt;SUSTITUCION!$C$13),999999,IF(v_prioridad="Potasio",$H232,IF(v_prioridad="Fósforo",$I232,IF(v_prioridad="Sodio",$J232,IF(ISNUMBER($Q232),$Q232,999999)))))</f>
        <v>999999</v>
      </c>
    </row>
    <row r="233" spans="1:21" ht="15" customHeight="1">
      <c r="A233" s="21" t="s">
        <v>593</v>
      </c>
      <c r="B233" s="21" t="s">
        <v>594</v>
      </c>
      <c r="C233" s="21" t="s">
        <v>561</v>
      </c>
      <c r="D233" s="21" t="s">
        <v>562</v>
      </c>
      <c r="E233" s="21" t="s">
        <v>135</v>
      </c>
      <c r="F233" s="22">
        <v>565</v>
      </c>
      <c r="G233" s="22">
        <v>17</v>
      </c>
      <c r="H233" s="22">
        <v>475</v>
      </c>
      <c r="I233" s="22">
        <v>638</v>
      </c>
      <c r="J233" s="22">
        <v>11</v>
      </c>
      <c r="K233" s="22">
        <v>565</v>
      </c>
      <c r="L233" s="22">
        <v>17</v>
      </c>
      <c r="M233" s="22">
        <v>989</v>
      </c>
      <c r="N233" s="23" t="str">
        <f t="shared" si="21"/>
        <v>Muy alto</v>
      </c>
      <c r="O233" s="23" t="str">
        <f t="shared" si="22"/>
        <v>Muy alto</v>
      </c>
      <c r="P233" s="23" t="str">
        <f t="shared" si="23"/>
        <v>Bajo</v>
      </c>
      <c r="Q233" s="24">
        <f t="shared" si="24"/>
        <v>37.529411764705884</v>
      </c>
      <c r="R233" s="23" t="str">
        <f t="shared" si="25"/>
        <v>Alta</v>
      </c>
      <c r="S233" s="25" t="str">
        <f t="shared" si="26"/>
        <v>Utilizable</v>
      </c>
      <c r="T233" s="26" t="str">
        <f t="shared" si="27"/>
        <v>semillas, almendras y nueces|00.000.475</v>
      </c>
      <c r="U233" s="26">
        <f>IF(OR($S233&lt;&gt;"Utilizable",$C233&lt;&gt;SUSTITUCION!$C$13),999999,IF(v_prioridad="Potasio",$H233,IF(v_prioridad="Fósforo",$I233,IF(v_prioridad="Sodio",$J233,IF(ISNUMBER($Q233),$Q233,999999)))))</f>
        <v>999999</v>
      </c>
    </row>
    <row r="234" spans="1:21" ht="15" customHeight="1">
      <c r="A234" s="21" t="s">
        <v>595</v>
      </c>
      <c r="B234" s="21" t="s">
        <v>596</v>
      </c>
      <c r="C234" s="21" t="s">
        <v>561</v>
      </c>
      <c r="D234" s="21" t="s">
        <v>562</v>
      </c>
      <c r="E234" s="21" t="s">
        <v>135</v>
      </c>
      <c r="F234" s="22">
        <v>619</v>
      </c>
      <c r="G234" s="22">
        <v>17.2</v>
      </c>
      <c r="H234" s="22">
        <v>491</v>
      </c>
      <c r="I234" s="22">
        <v>1158</v>
      </c>
      <c r="J234" s="22">
        <v>3</v>
      </c>
      <c r="K234" s="22">
        <v>619</v>
      </c>
      <c r="L234" s="22">
        <v>17.2</v>
      </c>
      <c r="M234" s="22">
        <v>57</v>
      </c>
      <c r="N234" s="23" t="str">
        <f t="shared" si="21"/>
        <v>Muy alto</v>
      </c>
      <c r="O234" s="23" t="str">
        <f t="shared" si="22"/>
        <v>Muy alto</v>
      </c>
      <c r="P234" s="23" t="str">
        <f t="shared" si="23"/>
        <v>Bajo</v>
      </c>
      <c r="Q234" s="24">
        <f t="shared" si="24"/>
        <v>67.325581395348834</v>
      </c>
      <c r="R234" s="23" t="str">
        <f t="shared" si="25"/>
        <v>Alta</v>
      </c>
      <c r="S234" s="25" t="str">
        <f t="shared" si="26"/>
        <v>Utilizable</v>
      </c>
      <c r="T234" s="26" t="str">
        <f t="shared" si="27"/>
        <v>semillas, almendras y nueces|00.000.491</v>
      </c>
      <c r="U234" s="26">
        <f>IF(OR($S234&lt;&gt;"Utilizable",$C234&lt;&gt;SUSTITUCION!$C$13),999999,IF(v_prioridad="Potasio",$H234,IF(v_prioridad="Fósforo",$I234,IF(v_prioridad="Sodio",$J234,IF(ISNUMBER($Q234),$Q234,999999)))))</f>
        <v>999999</v>
      </c>
    </row>
    <row r="235" spans="1:21" ht="15" customHeight="1">
      <c r="A235" s="21" t="s">
        <v>597</v>
      </c>
      <c r="B235" s="21" t="s">
        <v>598</v>
      </c>
      <c r="C235" s="21" t="s">
        <v>561</v>
      </c>
      <c r="D235" s="21" t="s">
        <v>562</v>
      </c>
      <c r="E235" s="21" t="s">
        <v>135</v>
      </c>
      <c r="F235" s="22">
        <v>559</v>
      </c>
      <c r="G235" s="22">
        <v>30.2</v>
      </c>
      <c r="H235" s="22">
        <v>809</v>
      </c>
      <c r="I235" s="22">
        <v>1233</v>
      </c>
      <c r="J235" s="22">
        <v>7</v>
      </c>
      <c r="K235" s="22">
        <v>559</v>
      </c>
      <c r="L235" s="22">
        <v>30.2</v>
      </c>
      <c r="M235" s="22">
        <v>46</v>
      </c>
      <c r="N235" s="23" t="str">
        <f t="shared" si="21"/>
        <v>Muy alto</v>
      </c>
      <c r="O235" s="23" t="str">
        <f t="shared" si="22"/>
        <v>Muy alto</v>
      </c>
      <c r="P235" s="23" t="str">
        <f t="shared" si="23"/>
        <v>Bajo</v>
      </c>
      <c r="Q235" s="24">
        <f t="shared" si="24"/>
        <v>40.827814569536422</v>
      </c>
      <c r="R235" s="23" t="str">
        <f t="shared" si="25"/>
        <v>Alta</v>
      </c>
      <c r="S235" s="25" t="str">
        <f t="shared" si="26"/>
        <v>Utilizable</v>
      </c>
      <c r="T235" s="26" t="str">
        <f t="shared" si="27"/>
        <v>semillas, almendras y nueces|00.000.809</v>
      </c>
      <c r="U235" s="26">
        <f>IF(OR($S235&lt;&gt;"Utilizable",$C235&lt;&gt;SUSTITUCION!$C$13),999999,IF(v_prioridad="Potasio",$H235,IF(v_prioridad="Fósforo",$I235,IF(v_prioridad="Sodio",$J235,IF(ISNUMBER($Q235),$Q235,999999)))))</f>
        <v>999999</v>
      </c>
    </row>
    <row r="236" spans="1:21" ht="15" customHeight="1">
      <c r="A236" s="21" t="s">
        <v>599</v>
      </c>
      <c r="B236" s="21" t="s">
        <v>600</v>
      </c>
      <c r="C236" s="21" t="s">
        <v>561</v>
      </c>
      <c r="D236" s="21" t="s">
        <v>562</v>
      </c>
      <c r="E236" s="21" t="s">
        <v>135</v>
      </c>
      <c r="F236" s="22">
        <v>418</v>
      </c>
      <c r="G236" s="22">
        <v>21.9</v>
      </c>
      <c r="H236" s="22" t="s">
        <v>138</v>
      </c>
      <c r="I236" s="22" t="s">
        <v>138</v>
      </c>
      <c r="J236" s="22" t="s">
        <v>138</v>
      </c>
      <c r="K236" s="22">
        <v>418</v>
      </c>
      <c r="L236" s="22">
        <v>21.9</v>
      </c>
      <c r="M236" s="22" t="s">
        <v>138</v>
      </c>
      <c r="N236" s="23" t="str">
        <f t="shared" si="21"/>
        <v>Sin dato</v>
      </c>
      <c r="O236" s="23" t="str">
        <f t="shared" si="22"/>
        <v>Sin dato</v>
      </c>
      <c r="P236" s="23" t="str">
        <f t="shared" si="23"/>
        <v>Sin dato</v>
      </c>
      <c r="Q236" s="24" t="str">
        <f t="shared" si="24"/>
        <v>N/C</v>
      </c>
      <c r="R236" s="23" t="str">
        <f t="shared" si="25"/>
        <v>N/C</v>
      </c>
      <c r="S236" s="25" t="str">
        <f t="shared" si="26"/>
        <v>No utilizable</v>
      </c>
      <c r="T236" s="26" t="str">
        <f t="shared" si="27"/>
        <v/>
      </c>
      <c r="U236" s="26">
        <f>IF(OR($S236&lt;&gt;"Utilizable",$C236&lt;&gt;SUSTITUCION!$C$13),999999,IF(v_prioridad="Potasio",$H236,IF(v_prioridad="Fósforo",$I236,IF(v_prioridad="Sodio",$J236,IF(ISNUMBER($Q236),$Q236,999999)))))</f>
        <v>999999</v>
      </c>
    </row>
    <row r="237" spans="1:21" ht="15" customHeight="1">
      <c r="A237" s="21" t="s">
        <v>601</v>
      </c>
      <c r="B237" s="21" t="s">
        <v>602</v>
      </c>
      <c r="C237" s="21" t="s">
        <v>603</v>
      </c>
      <c r="D237" s="21" t="s">
        <v>604</v>
      </c>
      <c r="E237" s="21" t="s">
        <v>135</v>
      </c>
      <c r="F237" s="22">
        <v>407</v>
      </c>
      <c r="G237" s="22">
        <v>11.9</v>
      </c>
      <c r="H237" s="22">
        <v>124</v>
      </c>
      <c r="I237" s="22">
        <v>115</v>
      </c>
      <c r="J237" s="22">
        <v>698</v>
      </c>
      <c r="K237" s="22">
        <v>407</v>
      </c>
      <c r="L237" s="22">
        <v>11.9</v>
      </c>
      <c r="M237" s="22">
        <v>76</v>
      </c>
      <c r="N237" s="23" t="str">
        <f t="shared" si="21"/>
        <v>Medio</v>
      </c>
      <c r="O237" s="23" t="str">
        <f t="shared" si="22"/>
        <v>Alto</v>
      </c>
      <c r="P237" s="23" t="str">
        <f t="shared" si="23"/>
        <v>Muy alto</v>
      </c>
      <c r="Q237" s="24">
        <f t="shared" si="24"/>
        <v>9.6638655462184868</v>
      </c>
      <c r="R237" s="23" t="str">
        <f t="shared" si="25"/>
        <v>Deseable</v>
      </c>
      <c r="S237" s="25" t="str">
        <f t="shared" si="26"/>
        <v>Utilizable</v>
      </c>
      <c r="T237" s="26" t="str">
        <f t="shared" si="27"/>
        <v>cereales y derivados|00.000.124</v>
      </c>
      <c r="U237" s="26">
        <f>IF(OR($S237&lt;&gt;"Utilizable",$C237&lt;&gt;SUSTITUCION!$C$13),999999,IF(v_prioridad="Potasio",$H237,IF(v_prioridad="Fósforo",$I237,IF(v_prioridad="Sodio",$J237,IF(ISNUMBER($Q237),$Q237,999999)))))</f>
        <v>999999</v>
      </c>
    </row>
    <row r="238" spans="1:21" ht="15" customHeight="1">
      <c r="A238" s="21" t="s">
        <v>605</v>
      </c>
      <c r="B238" s="21" t="s">
        <v>606</v>
      </c>
      <c r="C238" s="21" t="s">
        <v>603</v>
      </c>
      <c r="D238" s="21" t="s">
        <v>604</v>
      </c>
      <c r="E238" s="21" t="s">
        <v>135</v>
      </c>
      <c r="F238" s="22">
        <v>267</v>
      </c>
      <c r="G238" s="22">
        <v>8.1999999999999993</v>
      </c>
      <c r="H238" s="22">
        <v>119</v>
      </c>
      <c r="I238" s="22">
        <v>94</v>
      </c>
      <c r="J238" s="22">
        <v>298</v>
      </c>
      <c r="K238" s="22">
        <v>267</v>
      </c>
      <c r="L238" s="22">
        <v>8.1999999999999993</v>
      </c>
      <c r="M238" s="22">
        <v>108</v>
      </c>
      <c r="N238" s="23" t="str">
        <f t="shared" si="21"/>
        <v>Medio</v>
      </c>
      <c r="O238" s="23" t="str">
        <f t="shared" si="22"/>
        <v>Medio</v>
      </c>
      <c r="P238" s="23" t="str">
        <f t="shared" si="23"/>
        <v>Alto</v>
      </c>
      <c r="Q238" s="24" t="str">
        <f t="shared" si="24"/>
        <v>N/C: no es fuente proteica</v>
      </c>
      <c r="R238" s="23" t="str">
        <f t="shared" si="25"/>
        <v>N/C</v>
      </c>
      <c r="S238" s="25" t="str">
        <f t="shared" si="26"/>
        <v>Utilizable</v>
      </c>
      <c r="T238" s="26" t="str">
        <f t="shared" si="27"/>
        <v>cereales y derivados|00.000.119</v>
      </c>
      <c r="U238" s="26">
        <f>IF(OR($S238&lt;&gt;"Utilizable",$C238&lt;&gt;SUSTITUCION!$C$13),999999,IF(v_prioridad="Potasio",$H238,IF(v_prioridad="Fósforo",$I238,IF(v_prioridad="Sodio",$J238,IF(ISNUMBER($Q238),$Q238,999999)))))</f>
        <v>999999</v>
      </c>
    </row>
    <row r="239" spans="1:21" ht="15" customHeight="1">
      <c r="A239" s="21" t="s">
        <v>607</v>
      </c>
      <c r="B239" s="21" t="s">
        <v>608</v>
      </c>
      <c r="C239" s="21" t="s">
        <v>603</v>
      </c>
      <c r="D239" s="21" t="s">
        <v>604</v>
      </c>
      <c r="E239" s="21" t="s">
        <v>135</v>
      </c>
      <c r="F239" s="22">
        <v>259</v>
      </c>
      <c r="G239" s="22">
        <v>8.5</v>
      </c>
      <c r="H239" s="22">
        <v>166</v>
      </c>
      <c r="I239" s="22">
        <v>125</v>
      </c>
      <c r="J239" s="22">
        <v>603</v>
      </c>
      <c r="K239" s="22">
        <v>259</v>
      </c>
      <c r="L239" s="22">
        <v>8.5</v>
      </c>
      <c r="M239" s="22">
        <v>73</v>
      </c>
      <c r="N239" s="23" t="str">
        <f t="shared" si="21"/>
        <v>Medio</v>
      </c>
      <c r="O239" s="23" t="str">
        <f t="shared" si="22"/>
        <v>Alto</v>
      </c>
      <c r="P239" s="23" t="str">
        <f t="shared" si="23"/>
        <v>Muy alto</v>
      </c>
      <c r="Q239" s="24" t="str">
        <f t="shared" si="24"/>
        <v>N/C: no es fuente proteica</v>
      </c>
      <c r="R239" s="23" t="str">
        <f t="shared" si="25"/>
        <v>N/C</v>
      </c>
      <c r="S239" s="25" t="str">
        <f t="shared" si="26"/>
        <v>Utilizable</v>
      </c>
      <c r="T239" s="26" t="str">
        <f t="shared" si="27"/>
        <v>cereales y derivados|00.000.166</v>
      </c>
      <c r="U239" s="26">
        <f>IF(OR($S239&lt;&gt;"Utilizable",$C239&lt;&gt;SUSTITUCION!$C$13),999999,IF(v_prioridad="Potasio",$H239,IF(v_prioridad="Fósforo",$I239,IF(v_prioridad="Sodio",$J239,IF(ISNUMBER($Q239),$Q239,999999)))))</f>
        <v>999999</v>
      </c>
    </row>
    <row r="240" spans="1:21" ht="15" customHeight="1">
      <c r="A240" s="21" t="s">
        <v>609</v>
      </c>
      <c r="B240" s="21" t="s">
        <v>610</v>
      </c>
      <c r="C240" s="21" t="s">
        <v>603</v>
      </c>
      <c r="D240" s="21" t="s">
        <v>604</v>
      </c>
      <c r="E240" s="21" t="s">
        <v>135</v>
      </c>
      <c r="F240" s="22">
        <v>250</v>
      </c>
      <c r="G240" s="22">
        <v>12</v>
      </c>
      <c r="H240" s="22" t="s">
        <v>138</v>
      </c>
      <c r="I240" s="22" t="s">
        <v>138</v>
      </c>
      <c r="J240" s="22">
        <v>289</v>
      </c>
      <c r="K240" s="22">
        <v>250</v>
      </c>
      <c r="L240" s="22">
        <v>12</v>
      </c>
      <c r="M240" s="22" t="s">
        <v>138</v>
      </c>
      <c r="N240" s="23" t="str">
        <f t="shared" si="21"/>
        <v>Sin dato</v>
      </c>
      <c r="O240" s="23" t="str">
        <f t="shared" si="22"/>
        <v>Sin dato</v>
      </c>
      <c r="P240" s="23" t="str">
        <f t="shared" si="23"/>
        <v>Alto</v>
      </c>
      <c r="Q240" s="24" t="str">
        <f t="shared" si="24"/>
        <v>N/C</v>
      </c>
      <c r="R240" s="23" t="str">
        <f t="shared" si="25"/>
        <v>N/C</v>
      </c>
      <c r="S240" s="25" t="str">
        <f t="shared" si="26"/>
        <v>No utilizable</v>
      </c>
      <c r="T240" s="26" t="str">
        <f t="shared" si="27"/>
        <v/>
      </c>
      <c r="U240" s="26">
        <f>IF(OR($S240&lt;&gt;"Utilizable",$C240&lt;&gt;SUSTITUCION!$C$13),999999,IF(v_prioridad="Potasio",$H240,IF(v_prioridad="Fósforo",$I240,IF(v_prioridad="Sodio",$J240,IF(ISNUMBER($Q240),$Q240,999999)))))</f>
        <v>999999</v>
      </c>
    </row>
    <row r="241" spans="1:21" ht="15" customHeight="1">
      <c r="A241" s="21" t="s">
        <v>611</v>
      </c>
      <c r="B241" s="21" t="s">
        <v>612</v>
      </c>
      <c r="C241" s="21" t="s">
        <v>603</v>
      </c>
      <c r="D241" s="21" t="s">
        <v>604</v>
      </c>
      <c r="E241" s="21" t="s">
        <v>135</v>
      </c>
      <c r="F241" s="22">
        <v>212</v>
      </c>
      <c r="G241" s="22">
        <v>10.199999999999999</v>
      </c>
      <c r="H241" s="22" t="s">
        <v>138</v>
      </c>
      <c r="I241" s="22" t="s">
        <v>138</v>
      </c>
      <c r="J241" s="22">
        <v>365</v>
      </c>
      <c r="K241" s="22">
        <v>212</v>
      </c>
      <c r="L241" s="22">
        <v>10.199999999999999</v>
      </c>
      <c r="M241" s="22" t="s">
        <v>138</v>
      </c>
      <c r="N241" s="23" t="str">
        <f t="shared" si="21"/>
        <v>Sin dato</v>
      </c>
      <c r="O241" s="23" t="str">
        <f t="shared" si="22"/>
        <v>Sin dato</v>
      </c>
      <c r="P241" s="23" t="str">
        <f t="shared" si="23"/>
        <v>Alto</v>
      </c>
      <c r="Q241" s="24" t="str">
        <f t="shared" si="24"/>
        <v>N/C</v>
      </c>
      <c r="R241" s="23" t="str">
        <f t="shared" si="25"/>
        <v>N/C</v>
      </c>
      <c r="S241" s="25" t="str">
        <f t="shared" si="26"/>
        <v>No utilizable</v>
      </c>
      <c r="T241" s="26" t="str">
        <f t="shared" si="27"/>
        <v/>
      </c>
      <c r="U241" s="26">
        <f>IF(OR($S241&lt;&gt;"Utilizable",$C241&lt;&gt;SUSTITUCION!$C$13),999999,IF(v_prioridad="Potasio",$H241,IF(v_prioridad="Fósforo",$I241,IF(v_prioridad="Sodio",$J241,IF(ISNUMBER($Q241),$Q241,999999)))))</f>
        <v>999999</v>
      </c>
    </row>
    <row r="242" spans="1:21" ht="15" customHeight="1">
      <c r="A242" s="21" t="s">
        <v>613</v>
      </c>
      <c r="B242" s="21" t="s">
        <v>614</v>
      </c>
      <c r="C242" s="21" t="s">
        <v>603</v>
      </c>
      <c r="D242" s="21" t="s">
        <v>604</v>
      </c>
      <c r="E242" s="21" t="s">
        <v>135</v>
      </c>
      <c r="F242" s="22">
        <v>363</v>
      </c>
      <c r="G242" s="22">
        <v>9.1</v>
      </c>
      <c r="H242" s="22" t="s">
        <v>138</v>
      </c>
      <c r="I242" s="22" t="s">
        <v>138</v>
      </c>
      <c r="J242" s="22">
        <v>564</v>
      </c>
      <c r="K242" s="22">
        <v>363</v>
      </c>
      <c r="L242" s="22">
        <v>9.1</v>
      </c>
      <c r="M242" s="22" t="s">
        <v>138</v>
      </c>
      <c r="N242" s="23" t="str">
        <f t="shared" si="21"/>
        <v>Sin dato</v>
      </c>
      <c r="O242" s="23" t="str">
        <f t="shared" si="22"/>
        <v>Sin dato</v>
      </c>
      <c r="P242" s="23" t="str">
        <f t="shared" si="23"/>
        <v>Muy alto</v>
      </c>
      <c r="Q242" s="24" t="str">
        <f t="shared" si="24"/>
        <v>N/C</v>
      </c>
      <c r="R242" s="23" t="str">
        <f t="shared" si="25"/>
        <v>N/C</v>
      </c>
      <c r="S242" s="25" t="str">
        <f t="shared" si="26"/>
        <v>No utilizable</v>
      </c>
      <c r="T242" s="26" t="str">
        <f t="shared" si="27"/>
        <v/>
      </c>
      <c r="U242" s="26">
        <f>IF(OR($S242&lt;&gt;"Utilizable",$C242&lt;&gt;SUSTITUCION!$C$13),999999,IF(v_prioridad="Potasio",$H242,IF(v_prioridad="Fósforo",$I242,IF(v_prioridad="Sodio",$J242,IF(ISNUMBER($Q242),$Q242,999999)))))</f>
        <v>999999</v>
      </c>
    </row>
    <row r="243" spans="1:21" ht="15" customHeight="1">
      <c r="A243" s="21" t="s">
        <v>615</v>
      </c>
      <c r="B243" s="21" t="s">
        <v>616</v>
      </c>
      <c r="C243" s="21" t="s">
        <v>603</v>
      </c>
      <c r="D243" s="21" t="s">
        <v>604</v>
      </c>
      <c r="E243" s="21" t="s">
        <v>135</v>
      </c>
      <c r="F243" s="22">
        <v>252</v>
      </c>
      <c r="G243" s="22">
        <v>12.5</v>
      </c>
      <c r="H243" s="22">
        <v>254</v>
      </c>
      <c r="I243" s="22">
        <v>212</v>
      </c>
      <c r="J243" s="22">
        <v>455</v>
      </c>
      <c r="K243" s="22">
        <v>252</v>
      </c>
      <c r="L243" s="22">
        <v>12.5</v>
      </c>
      <c r="M243" s="22">
        <v>161</v>
      </c>
      <c r="N243" s="23" t="str">
        <f t="shared" si="21"/>
        <v>Alto</v>
      </c>
      <c r="O243" s="23" t="str">
        <f t="shared" si="22"/>
        <v>Muy alto</v>
      </c>
      <c r="P243" s="23" t="str">
        <f t="shared" si="23"/>
        <v>Muy alto</v>
      </c>
      <c r="Q243" s="24">
        <f t="shared" si="24"/>
        <v>16.96</v>
      </c>
      <c r="R243" s="23" t="str">
        <f t="shared" si="25"/>
        <v>Alta</v>
      </c>
      <c r="S243" s="25" t="str">
        <f t="shared" si="26"/>
        <v>Utilizable</v>
      </c>
      <c r="T243" s="26" t="str">
        <f t="shared" si="27"/>
        <v>cereales y derivados|00.000.254</v>
      </c>
      <c r="U243" s="26">
        <f>IF(OR($S243&lt;&gt;"Utilizable",$C243&lt;&gt;SUSTITUCION!$C$13),999999,IF(v_prioridad="Potasio",$H243,IF(v_prioridad="Fósforo",$I243,IF(v_prioridad="Sodio",$J243,IF(ISNUMBER($Q243),$Q243,999999)))))</f>
        <v>999999</v>
      </c>
    </row>
    <row r="244" spans="1:21" ht="15" customHeight="1">
      <c r="A244" s="21" t="s">
        <v>617</v>
      </c>
      <c r="B244" s="21" t="s">
        <v>618</v>
      </c>
      <c r="C244" s="21" t="s">
        <v>603</v>
      </c>
      <c r="D244" s="21" t="s">
        <v>604</v>
      </c>
      <c r="E244" s="21" t="s">
        <v>135</v>
      </c>
      <c r="F244" s="22">
        <v>272</v>
      </c>
      <c r="G244" s="22">
        <v>10.8</v>
      </c>
      <c r="H244" s="22">
        <v>117</v>
      </c>
      <c r="I244" s="22">
        <v>105</v>
      </c>
      <c r="J244" s="22">
        <v>602</v>
      </c>
      <c r="K244" s="22">
        <v>272</v>
      </c>
      <c r="L244" s="22">
        <v>10.8</v>
      </c>
      <c r="M244" s="22">
        <v>52</v>
      </c>
      <c r="N244" s="23" t="str">
        <f t="shared" si="21"/>
        <v>Medio</v>
      </c>
      <c r="O244" s="23" t="str">
        <f t="shared" si="22"/>
        <v>Alto</v>
      </c>
      <c r="P244" s="23" t="str">
        <f t="shared" si="23"/>
        <v>Muy alto</v>
      </c>
      <c r="Q244" s="24">
        <f t="shared" si="24"/>
        <v>9.7222222222222214</v>
      </c>
      <c r="R244" s="23" t="str">
        <f t="shared" si="25"/>
        <v>Deseable</v>
      </c>
      <c r="S244" s="25" t="str">
        <f t="shared" si="26"/>
        <v>Utilizable</v>
      </c>
      <c r="T244" s="26" t="str">
        <f t="shared" si="27"/>
        <v>cereales y derivados|00.000.117</v>
      </c>
      <c r="U244" s="26">
        <f>IF(OR($S244&lt;&gt;"Utilizable",$C244&lt;&gt;SUSTITUCION!$C$13),999999,IF(v_prioridad="Potasio",$H244,IF(v_prioridad="Fósforo",$I244,IF(v_prioridad="Sodio",$J244,IF(ISNUMBER($Q244),$Q244,999999)))))</f>
        <v>999999</v>
      </c>
    </row>
    <row r="245" spans="1:21" ht="15" customHeight="1">
      <c r="A245" s="21" t="s">
        <v>619</v>
      </c>
      <c r="B245" s="21" t="s">
        <v>620</v>
      </c>
      <c r="C245" s="21" t="s">
        <v>603</v>
      </c>
      <c r="D245" s="21" t="s">
        <v>604</v>
      </c>
      <c r="E245" s="21" t="s">
        <v>135</v>
      </c>
      <c r="F245" s="22">
        <v>269</v>
      </c>
      <c r="G245" s="22">
        <v>8.6999999999999993</v>
      </c>
      <c r="H245" s="22">
        <v>106</v>
      </c>
      <c r="I245" s="22">
        <v>96.8</v>
      </c>
      <c r="J245" s="22">
        <v>504</v>
      </c>
      <c r="K245" s="22">
        <v>269</v>
      </c>
      <c r="L245" s="22">
        <v>8.6999999999999993</v>
      </c>
      <c r="M245" s="22">
        <v>83.8</v>
      </c>
      <c r="N245" s="23" t="str">
        <f t="shared" si="21"/>
        <v>Medio</v>
      </c>
      <c r="O245" s="23" t="str">
        <f t="shared" si="22"/>
        <v>Medio</v>
      </c>
      <c r="P245" s="23" t="str">
        <f t="shared" si="23"/>
        <v>Muy alto</v>
      </c>
      <c r="Q245" s="24" t="str">
        <f t="shared" si="24"/>
        <v>N/C: no es fuente proteica</v>
      </c>
      <c r="R245" s="23" t="str">
        <f t="shared" si="25"/>
        <v>N/C</v>
      </c>
      <c r="S245" s="25" t="str">
        <f t="shared" si="26"/>
        <v>Utilizable</v>
      </c>
      <c r="T245" s="26" t="str">
        <f t="shared" si="27"/>
        <v>cereales y derivados|00.000.106</v>
      </c>
      <c r="U245" s="26">
        <f>IF(OR($S245&lt;&gt;"Utilizable",$C245&lt;&gt;SUSTITUCION!$C$13),999999,IF(v_prioridad="Potasio",$H245,IF(v_prioridad="Fósforo",$I245,IF(v_prioridad="Sodio",$J245,IF(ISNUMBER($Q245),$Q245,999999)))))</f>
        <v>999999</v>
      </c>
    </row>
    <row r="246" spans="1:21" ht="15" customHeight="1">
      <c r="A246" s="21" t="s">
        <v>621</v>
      </c>
      <c r="B246" s="21" t="s">
        <v>622</v>
      </c>
      <c r="C246" s="21" t="s">
        <v>603</v>
      </c>
      <c r="D246" s="21" t="s">
        <v>604</v>
      </c>
      <c r="E246" s="21" t="s">
        <v>135</v>
      </c>
      <c r="F246" s="22">
        <v>244</v>
      </c>
      <c r="G246" s="22">
        <v>8.1</v>
      </c>
      <c r="H246" s="22" t="s">
        <v>138</v>
      </c>
      <c r="I246" s="22" t="s">
        <v>138</v>
      </c>
      <c r="J246" s="22">
        <v>466</v>
      </c>
      <c r="K246" s="22">
        <v>244</v>
      </c>
      <c r="L246" s="22">
        <v>8.1</v>
      </c>
      <c r="M246" s="22" t="s">
        <v>138</v>
      </c>
      <c r="N246" s="23" t="str">
        <f t="shared" si="21"/>
        <v>Sin dato</v>
      </c>
      <c r="O246" s="23" t="str">
        <f t="shared" si="22"/>
        <v>Sin dato</v>
      </c>
      <c r="P246" s="23" t="str">
        <f t="shared" si="23"/>
        <v>Muy alto</v>
      </c>
      <c r="Q246" s="24" t="str">
        <f t="shared" si="24"/>
        <v>N/C</v>
      </c>
      <c r="R246" s="23" t="str">
        <f t="shared" si="25"/>
        <v>N/C</v>
      </c>
      <c r="S246" s="25" t="str">
        <f t="shared" si="26"/>
        <v>No utilizable</v>
      </c>
      <c r="T246" s="26" t="str">
        <f t="shared" si="27"/>
        <v/>
      </c>
      <c r="U246" s="26">
        <f>IF(OR($S246&lt;&gt;"Utilizable",$C246&lt;&gt;SUSTITUCION!$C$13),999999,IF(v_prioridad="Potasio",$H246,IF(v_prioridad="Fósforo",$I246,IF(v_prioridad="Sodio",$J246,IF(ISNUMBER($Q246),$Q246,999999)))))</f>
        <v>999999</v>
      </c>
    </row>
    <row r="247" spans="1:21" ht="15" customHeight="1">
      <c r="A247" s="21" t="s">
        <v>623</v>
      </c>
      <c r="B247" s="21" t="s">
        <v>624</v>
      </c>
      <c r="C247" s="21" t="s">
        <v>603</v>
      </c>
      <c r="D247" s="21" t="s">
        <v>604</v>
      </c>
      <c r="E247" s="21" t="s">
        <v>135</v>
      </c>
      <c r="F247" s="22">
        <v>275</v>
      </c>
      <c r="G247" s="22">
        <v>9.1</v>
      </c>
      <c r="H247" s="22">
        <v>120</v>
      </c>
      <c r="I247" s="22">
        <v>97</v>
      </c>
      <c r="J247" s="22">
        <v>536</v>
      </c>
      <c r="K247" s="22">
        <v>275</v>
      </c>
      <c r="L247" s="22">
        <v>9.1</v>
      </c>
      <c r="M247" s="22">
        <v>86</v>
      </c>
      <c r="N247" s="23" t="str">
        <f t="shared" si="21"/>
        <v>Medio</v>
      </c>
      <c r="O247" s="23" t="str">
        <f t="shared" si="22"/>
        <v>Medio</v>
      </c>
      <c r="P247" s="23" t="str">
        <f t="shared" si="23"/>
        <v>Muy alto</v>
      </c>
      <c r="Q247" s="24" t="str">
        <f t="shared" si="24"/>
        <v>N/C: no es fuente proteica</v>
      </c>
      <c r="R247" s="23" t="str">
        <f t="shared" si="25"/>
        <v>N/C</v>
      </c>
      <c r="S247" s="25" t="str">
        <f t="shared" si="26"/>
        <v>Utilizable</v>
      </c>
      <c r="T247" s="26" t="str">
        <f t="shared" si="27"/>
        <v>cereales y derivados|00.000.120</v>
      </c>
      <c r="U247" s="26">
        <f>IF(OR($S247&lt;&gt;"Utilizable",$C247&lt;&gt;SUSTITUCION!$C$13),999999,IF(v_prioridad="Potasio",$H247,IF(v_prioridad="Fósforo",$I247,IF(v_prioridad="Sodio",$J247,IF(ISNUMBER($Q247),$Q247,999999)))))</f>
        <v>999999</v>
      </c>
    </row>
    <row r="248" spans="1:21" ht="15" customHeight="1">
      <c r="A248" s="21" t="s">
        <v>625</v>
      </c>
      <c r="B248" s="21" t="s">
        <v>626</v>
      </c>
      <c r="C248" s="21" t="s">
        <v>603</v>
      </c>
      <c r="D248" s="21" t="s">
        <v>604</v>
      </c>
      <c r="E248" s="21" t="s">
        <v>135</v>
      </c>
      <c r="F248" s="22">
        <v>395</v>
      </c>
      <c r="G248" s="22">
        <v>13.4</v>
      </c>
      <c r="H248" s="22">
        <v>196</v>
      </c>
      <c r="I248" s="22">
        <v>165</v>
      </c>
      <c r="J248" s="22">
        <v>732</v>
      </c>
      <c r="K248" s="22">
        <v>395</v>
      </c>
      <c r="L248" s="22">
        <v>13.4</v>
      </c>
      <c r="M248" s="22">
        <v>183</v>
      </c>
      <c r="N248" s="23" t="str">
        <f t="shared" si="21"/>
        <v>Medio</v>
      </c>
      <c r="O248" s="23" t="str">
        <f t="shared" si="22"/>
        <v>Alto</v>
      </c>
      <c r="P248" s="23" t="str">
        <f t="shared" si="23"/>
        <v>Muy alto</v>
      </c>
      <c r="Q248" s="24">
        <f t="shared" si="24"/>
        <v>12.313432835820896</v>
      </c>
      <c r="R248" s="23" t="str">
        <f t="shared" si="25"/>
        <v>Aceptable</v>
      </c>
      <c r="S248" s="25" t="str">
        <f t="shared" si="26"/>
        <v>Utilizable</v>
      </c>
      <c r="T248" s="26" t="str">
        <f t="shared" si="27"/>
        <v>cereales y derivados|00.000.196</v>
      </c>
      <c r="U248" s="26">
        <f>IF(OR($S248&lt;&gt;"Utilizable",$C248&lt;&gt;SUSTITUCION!$C$13),999999,IF(v_prioridad="Potasio",$H248,IF(v_prioridad="Fósforo",$I248,IF(v_prioridad="Sodio",$J248,IF(ISNUMBER($Q248),$Q248,999999)))))</f>
        <v>999999</v>
      </c>
    </row>
    <row r="249" spans="1:21" ht="15" customHeight="1">
      <c r="A249" s="21" t="s">
        <v>627</v>
      </c>
      <c r="B249" s="21" t="s">
        <v>628</v>
      </c>
      <c r="C249" s="21" t="s">
        <v>603</v>
      </c>
      <c r="D249" s="21" t="s">
        <v>604</v>
      </c>
      <c r="E249" s="21" t="s">
        <v>135</v>
      </c>
      <c r="F249" s="22">
        <v>248</v>
      </c>
      <c r="G249" s="22">
        <v>8.8000000000000007</v>
      </c>
      <c r="H249" s="22">
        <v>227</v>
      </c>
      <c r="I249" s="22">
        <v>185</v>
      </c>
      <c r="J249" s="22">
        <v>486</v>
      </c>
      <c r="K249" s="22">
        <v>248</v>
      </c>
      <c r="L249" s="22">
        <v>8.8000000000000007</v>
      </c>
      <c r="M249" s="22">
        <v>74</v>
      </c>
      <c r="N249" s="23" t="str">
        <f t="shared" si="21"/>
        <v>Alto</v>
      </c>
      <c r="O249" s="23" t="str">
        <f t="shared" si="22"/>
        <v>Muy alto</v>
      </c>
      <c r="P249" s="23" t="str">
        <f t="shared" si="23"/>
        <v>Muy alto</v>
      </c>
      <c r="Q249" s="24" t="str">
        <f t="shared" si="24"/>
        <v>N/C: no es fuente proteica</v>
      </c>
      <c r="R249" s="23" t="str">
        <f t="shared" si="25"/>
        <v>N/C</v>
      </c>
      <c r="S249" s="25" t="str">
        <f t="shared" si="26"/>
        <v>Utilizable</v>
      </c>
      <c r="T249" s="26" t="str">
        <f t="shared" si="27"/>
        <v>cereales y derivados|00.000.227</v>
      </c>
      <c r="U249" s="26">
        <f>IF(OR($S249&lt;&gt;"Utilizable",$C249&lt;&gt;SUSTITUCION!$C$13),999999,IF(v_prioridad="Potasio",$H249,IF(v_prioridad="Fósforo",$I249,IF(v_prioridad="Sodio",$J249,IF(ISNUMBER($Q249),$Q249,999999)))))</f>
        <v>999999</v>
      </c>
    </row>
    <row r="250" spans="1:21" ht="15" customHeight="1">
      <c r="A250" s="21" t="s">
        <v>629</v>
      </c>
      <c r="B250" s="21" t="s">
        <v>630</v>
      </c>
      <c r="C250" s="21" t="s">
        <v>603</v>
      </c>
      <c r="D250" s="21" t="s">
        <v>604</v>
      </c>
      <c r="E250" s="21" t="s">
        <v>135</v>
      </c>
      <c r="F250" s="22">
        <v>260</v>
      </c>
      <c r="G250" s="22">
        <v>8.6999999999999993</v>
      </c>
      <c r="H250" s="22">
        <v>177</v>
      </c>
      <c r="I250" s="22">
        <v>153</v>
      </c>
      <c r="J250" s="22">
        <v>538</v>
      </c>
      <c r="K250" s="22">
        <v>260</v>
      </c>
      <c r="L250" s="22">
        <v>8.6999999999999993</v>
      </c>
      <c r="M250" s="22">
        <v>43</v>
      </c>
      <c r="N250" s="23" t="str">
        <f t="shared" si="21"/>
        <v>Medio</v>
      </c>
      <c r="O250" s="23" t="str">
        <f t="shared" si="22"/>
        <v>Alto</v>
      </c>
      <c r="P250" s="23" t="str">
        <f t="shared" si="23"/>
        <v>Muy alto</v>
      </c>
      <c r="Q250" s="24" t="str">
        <f t="shared" si="24"/>
        <v>N/C: no es fuente proteica</v>
      </c>
      <c r="R250" s="23" t="str">
        <f t="shared" si="25"/>
        <v>N/C</v>
      </c>
      <c r="S250" s="25" t="str">
        <f t="shared" si="26"/>
        <v>Utilizable</v>
      </c>
      <c r="T250" s="26" t="str">
        <f t="shared" si="27"/>
        <v>cereales y derivados|00.000.177</v>
      </c>
      <c r="U250" s="26">
        <f>IF(OR($S250&lt;&gt;"Utilizable",$C250&lt;&gt;SUSTITUCION!$C$13),999999,IF(v_prioridad="Potasio",$H250,IF(v_prioridad="Fósforo",$I250,IF(v_prioridad="Sodio",$J250,IF(ISNUMBER($Q250),$Q250,999999)))))</f>
        <v>999999</v>
      </c>
    </row>
    <row r="251" spans="1:21" ht="15" customHeight="1">
      <c r="A251" s="21" t="s">
        <v>631</v>
      </c>
      <c r="B251" s="21" t="s">
        <v>632</v>
      </c>
      <c r="C251" s="21" t="s">
        <v>603</v>
      </c>
      <c r="D251" s="21" t="s">
        <v>604</v>
      </c>
      <c r="E251" s="21" t="s">
        <v>135</v>
      </c>
      <c r="F251" s="22">
        <v>269</v>
      </c>
      <c r="G251" s="22">
        <v>8.9</v>
      </c>
      <c r="H251" s="22" t="s">
        <v>138</v>
      </c>
      <c r="I251" s="22" t="s">
        <v>138</v>
      </c>
      <c r="J251" s="22">
        <v>354</v>
      </c>
      <c r="K251" s="22">
        <v>269</v>
      </c>
      <c r="L251" s="22">
        <v>8.9</v>
      </c>
      <c r="M251" s="22" t="s">
        <v>138</v>
      </c>
      <c r="N251" s="23" t="str">
        <f t="shared" si="21"/>
        <v>Sin dato</v>
      </c>
      <c r="O251" s="23" t="str">
        <f t="shared" si="22"/>
        <v>Sin dato</v>
      </c>
      <c r="P251" s="23" t="str">
        <f t="shared" si="23"/>
        <v>Alto</v>
      </c>
      <c r="Q251" s="24" t="str">
        <f t="shared" si="24"/>
        <v>N/C</v>
      </c>
      <c r="R251" s="23" t="str">
        <f t="shared" si="25"/>
        <v>N/C</v>
      </c>
      <c r="S251" s="25" t="str">
        <f t="shared" si="26"/>
        <v>No utilizable</v>
      </c>
      <c r="T251" s="26" t="str">
        <f t="shared" si="27"/>
        <v/>
      </c>
      <c r="U251" s="26">
        <f>IF(OR($S251&lt;&gt;"Utilizable",$C251&lt;&gt;SUSTITUCION!$C$13),999999,IF(v_prioridad="Potasio",$H251,IF(v_prioridad="Fósforo",$I251,IF(v_prioridad="Sodio",$J251,IF(ISNUMBER($Q251),$Q251,999999)))))</f>
        <v>999999</v>
      </c>
    </row>
    <row r="252" spans="1:21" ht="15" customHeight="1">
      <c r="A252" s="21" t="s">
        <v>633</v>
      </c>
      <c r="B252" s="21" t="s">
        <v>634</v>
      </c>
      <c r="C252" s="21" t="s">
        <v>603</v>
      </c>
      <c r="D252" s="21" t="s">
        <v>604</v>
      </c>
      <c r="E252" s="21" t="s">
        <v>135</v>
      </c>
      <c r="F252" s="22">
        <v>370</v>
      </c>
      <c r="G252" s="22">
        <v>6.8</v>
      </c>
      <c r="H252" s="22">
        <v>77</v>
      </c>
      <c r="I252" s="22">
        <v>71</v>
      </c>
      <c r="J252" s="22">
        <v>7</v>
      </c>
      <c r="K252" s="22">
        <v>370</v>
      </c>
      <c r="L252" s="22">
        <v>6.8</v>
      </c>
      <c r="M252" s="22">
        <v>11</v>
      </c>
      <c r="N252" s="23" t="str">
        <f t="shared" si="21"/>
        <v>Bajo</v>
      </c>
      <c r="O252" s="23" t="str">
        <f t="shared" si="22"/>
        <v>Medio</v>
      </c>
      <c r="P252" s="23" t="str">
        <f t="shared" si="23"/>
        <v>Bajo</v>
      </c>
      <c r="Q252" s="24" t="str">
        <f t="shared" si="24"/>
        <v>N/C: no es fuente proteica</v>
      </c>
      <c r="R252" s="23" t="str">
        <f t="shared" si="25"/>
        <v>N/C</v>
      </c>
      <c r="S252" s="25" t="str">
        <f t="shared" si="26"/>
        <v>Utilizable</v>
      </c>
      <c r="T252" s="26" t="str">
        <f t="shared" si="27"/>
        <v>cereales y derivados|00.000.077</v>
      </c>
      <c r="U252" s="26">
        <f>IF(OR($S252&lt;&gt;"Utilizable",$C252&lt;&gt;SUSTITUCION!$C$13),999999,IF(v_prioridad="Potasio",$H252,IF(v_prioridad="Fósforo",$I252,IF(v_prioridad="Sodio",$J252,IF(ISNUMBER($Q252),$Q252,999999)))))</f>
        <v>999999</v>
      </c>
    </row>
    <row r="253" spans="1:21" ht="15" customHeight="1">
      <c r="A253" s="21" t="s">
        <v>635</v>
      </c>
      <c r="B253" s="21" t="s">
        <v>636</v>
      </c>
      <c r="C253" s="21" t="s">
        <v>603</v>
      </c>
      <c r="D253" s="21" t="s">
        <v>604</v>
      </c>
      <c r="E253" s="21" t="s">
        <v>135</v>
      </c>
      <c r="F253" s="22">
        <v>130</v>
      </c>
      <c r="G253" s="22">
        <v>2.7</v>
      </c>
      <c r="H253" s="22">
        <v>35</v>
      </c>
      <c r="I253" s="22">
        <v>43</v>
      </c>
      <c r="J253" s="22">
        <v>1</v>
      </c>
      <c r="K253" s="22">
        <v>130</v>
      </c>
      <c r="L253" s="22">
        <v>2.7</v>
      </c>
      <c r="M253" s="22">
        <v>10</v>
      </c>
      <c r="N253" s="23" t="str">
        <f t="shared" si="21"/>
        <v>Bajo</v>
      </c>
      <c r="O253" s="23" t="str">
        <f t="shared" si="22"/>
        <v>Bajo</v>
      </c>
      <c r="P253" s="23" t="str">
        <f t="shared" si="23"/>
        <v>Bajo</v>
      </c>
      <c r="Q253" s="24" t="str">
        <f t="shared" si="24"/>
        <v>N/C: no es fuente proteica</v>
      </c>
      <c r="R253" s="23" t="str">
        <f t="shared" si="25"/>
        <v>N/C</v>
      </c>
      <c r="S253" s="25" t="str">
        <f t="shared" si="26"/>
        <v>Utilizable</v>
      </c>
      <c r="T253" s="26" t="str">
        <f t="shared" si="27"/>
        <v>cereales y derivados|00.000.035</v>
      </c>
      <c r="U253" s="26">
        <f>IF(OR($S253&lt;&gt;"Utilizable",$C253&lt;&gt;SUSTITUCION!$C$13),999999,IF(v_prioridad="Potasio",$H253,IF(v_prioridad="Fósforo",$I253,IF(v_prioridad="Sodio",$J253,IF(ISNUMBER($Q253),$Q253,999999)))))</f>
        <v>999999</v>
      </c>
    </row>
    <row r="254" spans="1:21" ht="15" customHeight="1">
      <c r="A254" s="21" t="s">
        <v>637</v>
      </c>
      <c r="B254" s="21" t="s">
        <v>638</v>
      </c>
      <c r="C254" s="21" t="s">
        <v>603</v>
      </c>
      <c r="D254" s="21" t="s">
        <v>604</v>
      </c>
      <c r="E254" s="21" t="s">
        <v>135</v>
      </c>
      <c r="F254" s="22">
        <v>367</v>
      </c>
      <c r="G254" s="22">
        <v>7.5</v>
      </c>
      <c r="H254" s="22">
        <v>250</v>
      </c>
      <c r="I254" s="22">
        <v>311</v>
      </c>
      <c r="J254" s="22">
        <v>5</v>
      </c>
      <c r="K254" s="22">
        <v>367</v>
      </c>
      <c r="L254" s="22">
        <v>7.5</v>
      </c>
      <c r="M254" s="22">
        <v>9</v>
      </c>
      <c r="N254" s="23" t="str">
        <f t="shared" si="21"/>
        <v>Alto</v>
      </c>
      <c r="O254" s="23" t="str">
        <f t="shared" si="22"/>
        <v>Muy alto</v>
      </c>
      <c r="P254" s="23" t="str">
        <f t="shared" si="23"/>
        <v>Bajo</v>
      </c>
      <c r="Q254" s="24" t="str">
        <f t="shared" si="24"/>
        <v>N/C: no es fuente proteica</v>
      </c>
      <c r="R254" s="23" t="str">
        <f t="shared" si="25"/>
        <v>N/C</v>
      </c>
      <c r="S254" s="25" t="str">
        <f t="shared" si="26"/>
        <v>Utilizable</v>
      </c>
      <c r="T254" s="26" t="str">
        <f t="shared" si="27"/>
        <v>cereales y derivados|00.000.250</v>
      </c>
      <c r="U254" s="26">
        <f>IF(OR($S254&lt;&gt;"Utilizable",$C254&lt;&gt;SUSTITUCION!$C$13),999999,IF(v_prioridad="Potasio",$H254,IF(v_prioridad="Fósforo",$I254,IF(v_prioridad="Sodio",$J254,IF(ISNUMBER($Q254),$Q254,999999)))))</f>
        <v>999999</v>
      </c>
    </row>
    <row r="255" spans="1:21" ht="15" customHeight="1">
      <c r="A255" s="21" t="s">
        <v>639</v>
      </c>
      <c r="B255" s="21" t="s">
        <v>640</v>
      </c>
      <c r="C255" s="21" t="s">
        <v>603</v>
      </c>
      <c r="D255" s="21" t="s">
        <v>604</v>
      </c>
      <c r="E255" s="21" t="s">
        <v>135</v>
      </c>
      <c r="F255" s="22">
        <v>112</v>
      </c>
      <c r="G255" s="22">
        <v>2.2999999999999998</v>
      </c>
      <c r="H255" s="22">
        <v>79</v>
      </c>
      <c r="I255" s="22">
        <v>77</v>
      </c>
      <c r="J255" s="22">
        <v>1</v>
      </c>
      <c r="K255" s="22">
        <v>112</v>
      </c>
      <c r="L255" s="22">
        <v>2.2999999999999998</v>
      </c>
      <c r="M255" s="22">
        <v>10</v>
      </c>
      <c r="N255" s="23" t="str">
        <f t="shared" si="21"/>
        <v>Bajo</v>
      </c>
      <c r="O255" s="23" t="str">
        <f t="shared" si="22"/>
        <v>Medio</v>
      </c>
      <c r="P255" s="23" t="str">
        <f t="shared" si="23"/>
        <v>Bajo</v>
      </c>
      <c r="Q255" s="24" t="str">
        <f t="shared" si="24"/>
        <v>N/C: no es fuente proteica</v>
      </c>
      <c r="R255" s="23" t="str">
        <f t="shared" si="25"/>
        <v>N/C</v>
      </c>
      <c r="S255" s="25" t="str">
        <f t="shared" si="26"/>
        <v>Utilizable</v>
      </c>
      <c r="T255" s="26" t="str">
        <f t="shared" si="27"/>
        <v>cereales y derivados|00.000.079</v>
      </c>
      <c r="U255" s="26">
        <f>IF(OR($S255&lt;&gt;"Utilizable",$C255&lt;&gt;SUSTITUCION!$C$13),999999,IF(v_prioridad="Potasio",$H255,IF(v_prioridad="Fósforo",$I255,IF(v_prioridad="Sodio",$J255,IF(ISNUMBER($Q255),$Q255,999999)))))</f>
        <v>999999</v>
      </c>
    </row>
    <row r="256" spans="1:21" ht="15" customHeight="1">
      <c r="A256" s="21" t="s">
        <v>641</v>
      </c>
      <c r="B256" s="21" t="s">
        <v>642</v>
      </c>
      <c r="C256" s="21" t="s">
        <v>603</v>
      </c>
      <c r="D256" s="21" t="s">
        <v>604</v>
      </c>
      <c r="E256" s="21" t="s">
        <v>135</v>
      </c>
      <c r="F256" s="22">
        <v>387</v>
      </c>
      <c r="G256" s="22">
        <v>12.9</v>
      </c>
      <c r="H256" s="22">
        <v>329</v>
      </c>
      <c r="I256" s="22">
        <v>358</v>
      </c>
      <c r="J256" s="22">
        <v>8</v>
      </c>
      <c r="K256" s="22">
        <v>387</v>
      </c>
      <c r="L256" s="22">
        <v>12.9</v>
      </c>
      <c r="M256" s="22">
        <v>7</v>
      </c>
      <c r="N256" s="23" t="str">
        <f t="shared" si="21"/>
        <v>Muy alto</v>
      </c>
      <c r="O256" s="23" t="str">
        <f t="shared" si="22"/>
        <v>Muy alto</v>
      </c>
      <c r="P256" s="23" t="str">
        <f t="shared" si="23"/>
        <v>Bajo</v>
      </c>
      <c r="Q256" s="24">
        <f t="shared" si="24"/>
        <v>27.751937984496124</v>
      </c>
      <c r="R256" s="23" t="str">
        <f t="shared" si="25"/>
        <v>Alta</v>
      </c>
      <c r="S256" s="25" t="str">
        <f t="shared" si="26"/>
        <v>Utilizable</v>
      </c>
      <c r="T256" s="26" t="str">
        <f t="shared" si="27"/>
        <v>cereales y derivados|00.000.329</v>
      </c>
      <c r="U256" s="26">
        <f>IF(OR($S256&lt;&gt;"Utilizable",$C256&lt;&gt;SUSTITUCION!$C$13),999999,IF(v_prioridad="Potasio",$H256,IF(v_prioridad="Fósforo",$I256,IF(v_prioridad="Sodio",$J256,IF(ISNUMBER($Q256),$Q256,999999)))))</f>
        <v>999999</v>
      </c>
    </row>
    <row r="257" spans="1:21" ht="15" customHeight="1">
      <c r="A257" s="21" t="s">
        <v>643</v>
      </c>
      <c r="B257" s="21" t="s">
        <v>644</v>
      </c>
      <c r="C257" s="21" t="s">
        <v>603</v>
      </c>
      <c r="D257" s="21" t="s">
        <v>604</v>
      </c>
      <c r="E257" s="21" t="s">
        <v>135</v>
      </c>
      <c r="F257" s="22">
        <v>96</v>
      </c>
      <c r="G257" s="22">
        <v>3.4</v>
      </c>
      <c r="H257" s="22">
        <v>218</v>
      </c>
      <c r="I257" s="22">
        <v>77</v>
      </c>
      <c r="J257" s="22">
        <v>1</v>
      </c>
      <c r="K257" s="22">
        <v>96</v>
      </c>
      <c r="L257" s="22">
        <v>3.4</v>
      </c>
      <c r="M257" s="22">
        <v>3</v>
      </c>
      <c r="N257" s="23" t="str">
        <f t="shared" si="21"/>
        <v>Alto</v>
      </c>
      <c r="O257" s="23" t="str">
        <f t="shared" si="22"/>
        <v>Medio</v>
      </c>
      <c r="P257" s="23" t="str">
        <f t="shared" si="23"/>
        <v>Bajo</v>
      </c>
      <c r="Q257" s="24" t="str">
        <f t="shared" si="24"/>
        <v>N/C: no es fuente proteica</v>
      </c>
      <c r="R257" s="23" t="str">
        <f t="shared" si="25"/>
        <v>N/C</v>
      </c>
      <c r="S257" s="25" t="str">
        <f t="shared" si="26"/>
        <v>Utilizable</v>
      </c>
      <c r="T257" s="26" t="str">
        <f t="shared" si="27"/>
        <v>cereales y derivados|00.000.218</v>
      </c>
      <c r="U257" s="26">
        <f>IF(OR($S257&lt;&gt;"Utilizable",$C257&lt;&gt;SUSTITUCION!$C$13),999999,IF(v_prioridad="Potasio",$H257,IF(v_prioridad="Fósforo",$I257,IF(v_prioridad="Sodio",$J257,IF(ISNUMBER($Q257),$Q257,999999)))))</f>
        <v>999999</v>
      </c>
    </row>
    <row r="258" spans="1:21" ht="15" customHeight="1">
      <c r="A258" s="21" t="s">
        <v>645</v>
      </c>
      <c r="B258" s="21" t="s">
        <v>646</v>
      </c>
      <c r="C258" s="21" t="s">
        <v>603</v>
      </c>
      <c r="D258" s="21" t="s">
        <v>604</v>
      </c>
      <c r="E258" s="21" t="s">
        <v>135</v>
      </c>
      <c r="F258" s="22">
        <v>81</v>
      </c>
      <c r="G258" s="22">
        <v>2.6</v>
      </c>
      <c r="H258" s="22">
        <v>233</v>
      </c>
      <c r="I258" s="22">
        <v>79</v>
      </c>
      <c r="J258" s="22">
        <v>1</v>
      </c>
      <c r="K258" s="22">
        <v>81</v>
      </c>
      <c r="L258" s="22">
        <v>2.6</v>
      </c>
      <c r="M258" s="22">
        <v>3</v>
      </c>
      <c r="N258" s="23" t="str">
        <f t="shared" si="21"/>
        <v>Alto</v>
      </c>
      <c r="O258" s="23" t="str">
        <f t="shared" si="22"/>
        <v>Medio</v>
      </c>
      <c r="P258" s="23" t="str">
        <f t="shared" si="23"/>
        <v>Bajo</v>
      </c>
      <c r="Q258" s="24" t="str">
        <f t="shared" si="24"/>
        <v>N/C: no es fuente proteica</v>
      </c>
      <c r="R258" s="23" t="str">
        <f t="shared" si="25"/>
        <v>N/C</v>
      </c>
      <c r="S258" s="25" t="str">
        <f t="shared" si="26"/>
        <v>Utilizable</v>
      </c>
      <c r="T258" s="26" t="str">
        <f t="shared" si="27"/>
        <v>cereales y derivados|00.000.233</v>
      </c>
      <c r="U258" s="26">
        <f>IF(OR($S258&lt;&gt;"Utilizable",$C258&lt;&gt;SUSTITUCION!$C$13),999999,IF(v_prioridad="Potasio",$H258,IF(v_prioridad="Fósforo",$I258,IF(v_prioridad="Sodio",$J258,IF(ISNUMBER($Q258),$Q258,999999)))))</f>
        <v>999999</v>
      </c>
    </row>
    <row r="259" spans="1:21" ht="15" customHeight="1">
      <c r="A259" s="21" t="s">
        <v>647</v>
      </c>
      <c r="B259" s="21" t="s">
        <v>648</v>
      </c>
      <c r="C259" s="21" t="s">
        <v>603</v>
      </c>
      <c r="D259" s="21" t="s">
        <v>604</v>
      </c>
      <c r="E259" s="21" t="s">
        <v>135</v>
      </c>
      <c r="F259" s="22">
        <v>86</v>
      </c>
      <c r="G259" s="22">
        <v>3.3</v>
      </c>
      <c r="H259" s="22">
        <v>270</v>
      </c>
      <c r="I259" s="22">
        <v>89</v>
      </c>
      <c r="J259" s="22">
        <v>15</v>
      </c>
      <c r="K259" s="22">
        <v>86</v>
      </c>
      <c r="L259" s="22">
        <v>3.3</v>
      </c>
      <c r="M259" s="22">
        <v>2</v>
      </c>
      <c r="N259" s="23" t="str">
        <f t="shared" si="21"/>
        <v>Alto</v>
      </c>
      <c r="O259" s="23" t="str">
        <f t="shared" si="22"/>
        <v>Medio</v>
      </c>
      <c r="P259" s="23" t="str">
        <f t="shared" si="23"/>
        <v>Bajo</v>
      </c>
      <c r="Q259" s="24" t="str">
        <f t="shared" si="24"/>
        <v>N/C: no es fuente proteica</v>
      </c>
      <c r="R259" s="23" t="str">
        <f t="shared" si="25"/>
        <v>N/C</v>
      </c>
      <c r="S259" s="25" t="str">
        <f t="shared" si="26"/>
        <v>Utilizable</v>
      </c>
      <c r="T259" s="26" t="str">
        <f t="shared" si="27"/>
        <v>cereales y derivados|00.000.270</v>
      </c>
      <c r="U259" s="26">
        <f>IF(OR($S259&lt;&gt;"Utilizable",$C259&lt;&gt;SUSTITUCION!$C$13),999999,IF(v_prioridad="Potasio",$H259,IF(v_prioridad="Fósforo",$I259,IF(v_prioridad="Sodio",$J259,IF(ISNUMBER($Q259),$Q259,999999)))))</f>
        <v>999999</v>
      </c>
    </row>
    <row r="260" spans="1:21" ht="15" customHeight="1">
      <c r="A260" s="21" t="s">
        <v>649</v>
      </c>
      <c r="B260" s="21" t="s">
        <v>650</v>
      </c>
      <c r="C260" s="21" t="s">
        <v>603</v>
      </c>
      <c r="D260" s="21" t="s">
        <v>604</v>
      </c>
      <c r="E260" s="21" t="s">
        <v>135</v>
      </c>
      <c r="F260" s="22">
        <v>131</v>
      </c>
      <c r="G260" s="22">
        <v>3.5</v>
      </c>
      <c r="H260" s="22">
        <v>144</v>
      </c>
      <c r="I260" s="22">
        <v>127</v>
      </c>
      <c r="J260" s="22">
        <v>13.7</v>
      </c>
      <c r="K260" s="22">
        <v>131</v>
      </c>
      <c r="L260" s="22">
        <v>3.5</v>
      </c>
      <c r="M260" s="22">
        <v>22.1</v>
      </c>
      <c r="N260" s="23" t="str">
        <f t="shared" si="21"/>
        <v>Medio</v>
      </c>
      <c r="O260" s="23" t="str">
        <f t="shared" si="22"/>
        <v>Alto</v>
      </c>
      <c r="P260" s="23" t="str">
        <f t="shared" si="23"/>
        <v>Bajo</v>
      </c>
      <c r="Q260" s="24" t="str">
        <f t="shared" si="24"/>
        <v>N/C: no es fuente proteica</v>
      </c>
      <c r="R260" s="23" t="str">
        <f t="shared" si="25"/>
        <v>N/C</v>
      </c>
      <c r="S260" s="25" t="str">
        <f t="shared" si="26"/>
        <v>Utilizable</v>
      </c>
      <c r="T260" s="26" t="str">
        <f t="shared" si="27"/>
        <v>cereales y derivados|00.000.144</v>
      </c>
      <c r="U260" s="26">
        <f>IF(OR($S260&lt;&gt;"Utilizable",$C260&lt;&gt;SUSTITUCION!$C$13),999999,IF(v_prioridad="Potasio",$H260,IF(v_prioridad="Fósforo",$I260,IF(v_prioridad="Sodio",$J260,IF(ISNUMBER($Q260),$Q260,999999)))))</f>
        <v>999999</v>
      </c>
    </row>
    <row r="261" spans="1:21" ht="15" customHeight="1">
      <c r="A261" s="21" t="s">
        <v>651</v>
      </c>
      <c r="B261" s="21" t="s">
        <v>652</v>
      </c>
      <c r="C261" s="21" t="s">
        <v>603</v>
      </c>
      <c r="D261" s="21" t="s">
        <v>604</v>
      </c>
      <c r="E261" s="21" t="s">
        <v>135</v>
      </c>
      <c r="F261" s="22">
        <v>354</v>
      </c>
      <c r="G261" s="22">
        <v>10.5</v>
      </c>
      <c r="H261" s="22" t="s">
        <v>138</v>
      </c>
      <c r="I261" s="22" t="s">
        <v>138</v>
      </c>
      <c r="J261" s="22">
        <v>143</v>
      </c>
      <c r="K261" s="22">
        <v>354</v>
      </c>
      <c r="L261" s="22">
        <v>10.5</v>
      </c>
      <c r="M261" s="22" t="s">
        <v>138</v>
      </c>
      <c r="N261" s="23" t="str">
        <f t="shared" si="21"/>
        <v>Sin dato</v>
      </c>
      <c r="O261" s="23" t="str">
        <f t="shared" si="22"/>
        <v>Sin dato</v>
      </c>
      <c r="P261" s="23" t="str">
        <f t="shared" si="23"/>
        <v>Alto</v>
      </c>
      <c r="Q261" s="24" t="str">
        <f t="shared" si="24"/>
        <v>N/C</v>
      </c>
      <c r="R261" s="23" t="str">
        <f t="shared" si="25"/>
        <v>N/C</v>
      </c>
      <c r="S261" s="25" t="str">
        <f t="shared" si="26"/>
        <v>No utilizable</v>
      </c>
      <c r="T261" s="26" t="str">
        <f t="shared" si="27"/>
        <v/>
      </c>
      <c r="U261" s="26">
        <f>IF(OR($S261&lt;&gt;"Utilizable",$C261&lt;&gt;SUSTITUCION!$C$13),999999,IF(v_prioridad="Potasio",$H261,IF(v_prioridad="Fósforo",$I261,IF(v_prioridad="Sodio",$J261,IF(ISNUMBER($Q261),$Q261,999999)))))</f>
        <v>999999</v>
      </c>
    </row>
    <row r="262" spans="1:21" ht="15" customHeight="1">
      <c r="A262" s="21" t="s">
        <v>653</v>
      </c>
      <c r="B262" s="21" t="s">
        <v>654</v>
      </c>
      <c r="C262" s="21" t="s">
        <v>603</v>
      </c>
      <c r="D262" s="21" t="s">
        <v>604</v>
      </c>
      <c r="E262" s="21" t="s">
        <v>135</v>
      </c>
      <c r="F262" s="22">
        <v>368</v>
      </c>
      <c r="G262" s="22">
        <v>14.1</v>
      </c>
      <c r="H262" s="22">
        <v>563</v>
      </c>
      <c r="I262" s="22">
        <v>457</v>
      </c>
      <c r="J262" s="22">
        <v>5</v>
      </c>
      <c r="K262" s="22">
        <v>368</v>
      </c>
      <c r="L262" s="22">
        <v>14.1</v>
      </c>
      <c r="M262" s="22">
        <v>47</v>
      </c>
      <c r="N262" s="23" t="str">
        <f t="shared" si="21"/>
        <v>Muy alto</v>
      </c>
      <c r="O262" s="23" t="str">
        <f t="shared" si="22"/>
        <v>Muy alto</v>
      </c>
      <c r="P262" s="23" t="str">
        <f t="shared" si="23"/>
        <v>Bajo</v>
      </c>
      <c r="Q262" s="24">
        <f t="shared" si="24"/>
        <v>32.411347517730498</v>
      </c>
      <c r="R262" s="23" t="str">
        <f t="shared" si="25"/>
        <v>Alta</v>
      </c>
      <c r="S262" s="25" t="str">
        <f t="shared" si="26"/>
        <v>Utilizable</v>
      </c>
      <c r="T262" s="26" t="str">
        <f t="shared" si="27"/>
        <v>cereales y derivados|00.000.563</v>
      </c>
      <c r="U262" s="26">
        <f>IF(OR($S262&lt;&gt;"Utilizable",$C262&lt;&gt;SUSTITUCION!$C$13),999999,IF(v_prioridad="Potasio",$H262,IF(v_prioridad="Fósforo",$I262,IF(v_prioridad="Sodio",$J262,IF(ISNUMBER($Q262),$Q262,999999)))))</f>
        <v>999999</v>
      </c>
    </row>
    <row r="263" spans="1:21" ht="15" customHeight="1">
      <c r="A263" s="21" t="s">
        <v>655</v>
      </c>
      <c r="B263" s="21" t="s">
        <v>656</v>
      </c>
      <c r="C263" s="21" t="s">
        <v>603</v>
      </c>
      <c r="D263" s="21" t="s">
        <v>604</v>
      </c>
      <c r="E263" s="21" t="s">
        <v>135</v>
      </c>
      <c r="F263" s="22">
        <v>351</v>
      </c>
      <c r="G263" s="22">
        <v>12.2</v>
      </c>
      <c r="H263" s="22">
        <v>442</v>
      </c>
      <c r="I263" s="22" t="s">
        <v>138</v>
      </c>
      <c r="J263" s="22">
        <v>23</v>
      </c>
      <c r="K263" s="22">
        <v>351</v>
      </c>
      <c r="L263" s="22">
        <v>12.2</v>
      </c>
      <c r="M263" s="22">
        <v>26</v>
      </c>
      <c r="N263" s="23" t="str">
        <f t="shared" si="21"/>
        <v>Muy alto</v>
      </c>
      <c r="O263" s="23" t="str">
        <f t="shared" si="22"/>
        <v>Sin dato</v>
      </c>
      <c r="P263" s="23" t="str">
        <f t="shared" si="23"/>
        <v>Bajo</v>
      </c>
      <c r="Q263" s="24" t="str">
        <f t="shared" si="24"/>
        <v>N/C</v>
      </c>
      <c r="R263" s="23" t="str">
        <f t="shared" si="25"/>
        <v>N/C</v>
      </c>
      <c r="S263" s="25" t="str">
        <f t="shared" si="26"/>
        <v>No utilizable</v>
      </c>
      <c r="T263" s="26" t="str">
        <f t="shared" si="27"/>
        <v/>
      </c>
      <c r="U263" s="26">
        <f>IF(OR($S263&lt;&gt;"Utilizable",$C263&lt;&gt;SUSTITUCION!$C$13),999999,IF(v_prioridad="Potasio",$H263,IF(v_prioridad="Fósforo",$I263,IF(v_prioridad="Sodio",$J263,IF(ISNUMBER($Q263),$Q263,999999)))))</f>
        <v>999999</v>
      </c>
    </row>
    <row r="264" spans="1:21" ht="15" customHeight="1">
      <c r="A264" s="21" t="s">
        <v>657</v>
      </c>
      <c r="B264" s="21" t="s">
        <v>658</v>
      </c>
      <c r="C264" s="21" t="s">
        <v>603</v>
      </c>
      <c r="D264" s="21" t="s">
        <v>604</v>
      </c>
      <c r="E264" s="21" t="s">
        <v>135</v>
      </c>
      <c r="F264" s="22">
        <v>120</v>
      </c>
      <c r="G264" s="22">
        <v>4.4000000000000004</v>
      </c>
      <c r="H264" s="22">
        <v>172</v>
      </c>
      <c r="I264" s="22">
        <v>152</v>
      </c>
      <c r="J264" s="22">
        <v>7</v>
      </c>
      <c r="K264" s="22">
        <v>120</v>
      </c>
      <c r="L264" s="22">
        <v>4.4000000000000004</v>
      </c>
      <c r="M264" s="22">
        <v>17</v>
      </c>
      <c r="N264" s="23" t="str">
        <f t="shared" si="21"/>
        <v>Medio</v>
      </c>
      <c r="O264" s="23" t="str">
        <f t="shared" si="22"/>
        <v>Alto</v>
      </c>
      <c r="P264" s="23" t="str">
        <f t="shared" si="23"/>
        <v>Bajo</v>
      </c>
      <c r="Q264" s="24" t="str">
        <f t="shared" si="24"/>
        <v>N/C: no es fuente proteica</v>
      </c>
      <c r="R264" s="23" t="str">
        <f t="shared" si="25"/>
        <v>N/C</v>
      </c>
      <c r="S264" s="25" t="str">
        <f t="shared" si="26"/>
        <v>Utilizable</v>
      </c>
      <c r="T264" s="26" t="str">
        <f t="shared" si="27"/>
        <v>cereales y derivados|00.000.172</v>
      </c>
      <c r="U264" s="26">
        <f>IF(OR($S264&lt;&gt;"Utilizable",$C264&lt;&gt;SUSTITUCION!$C$13),999999,IF(v_prioridad="Potasio",$H264,IF(v_prioridad="Fósforo",$I264,IF(v_prioridad="Sodio",$J264,IF(ISNUMBER($Q264),$Q264,999999)))))</f>
        <v>999999</v>
      </c>
    </row>
    <row r="265" spans="1:21" ht="15" customHeight="1">
      <c r="A265" s="21" t="s">
        <v>659</v>
      </c>
      <c r="B265" s="21" t="s">
        <v>660</v>
      </c>
      <c r="C265" s="21" t="s">
        <v>603</v>
      </c>
      <c r="D265" s="21" t="s">
        <v>604</v>
      </c>
      <c r="E265" s="21" t="s">
        <v>135</v>
      </c>
      <c r="F265" s="22">
        <v>246</v>
      </c>
      <c r="G265" s="22">
        <v>17.3</v>
      </c>
      <c r="H265" s="22">
        <v>566</v>
      </c>
      <c r="I265" s="22">
        <v>734</v>
      </c>
      <c r="J265" s="22">
        <v>4</v>
      </c>
      <c r="K265" s="22">
        <v>246</v>
      </c>
      <c r="L265" s="22">
        <v>17.3</v>
      </c>
      <c r="M265" s="22">
        <v>58</v>
      </c>
      <c r="N265" s="23" t="str">
        <f t="shared" ref="N265:N328" si="28">IF(NOT(ISNUMBER(H265)),"Sin dato",IF(H265&lt;=INDEX(rng_umbrales,1,2),"Bajo",IF(H265&lt;=INDEX(rng_umbrales,1,3),"Medio",IF(H265&lt;=INDEX(rng_umbrales,1,4),"Alto","Muy alto"))))</f>
        <v>Muy alto</v>
      </c>
      <c r="O265" s="23" t="str">
        <f t="shared" ref="O265:O328" si="29">IF(NOT(ISNUMBER(I265)),"Sin dato",IF(I265&lt;=INDEX(rng_umbrales,2,2),"Bajo",IF(I265&lt;=INDEX(rng_umbrales,2,3),"Medio",IF(I265&lt;=INDEX(rng_umbrales,2,4),"Alto","Muy alto"))))</f>
        <v>Muy alto</v>
      </c>
      <c r="P265" s="23" t="str">
        <f t="shared" ref="P265:P328" si="30">IF(NOT(ISNUMBER(J265)),"Sin dato",IF(J265&lt;=INDEX(rng_umbrales,3,2),"Bajo",IF(J265&lt;=INDEX(rng_umbrales,3,3),"Medio",IF(J265&lt;=INDEX(rng_umbrales,3,4),"Alto","Muy alto"))))</f>
        <v>Bajo</v>
      </c>
      <c r="Q265" s="24">
        <f t="shared" ref="Q265:Q328" si="31">IF(OR(NOT(ISNUMBER(G265)),NOT(ISNUMBER(I265))),"N/C",IF(G265&lt;u_protMin,"N/C: no es fuente proteica",I265/G265))</f>
        <v>42.427745664739881</v>
      </c>
      <c r="R265" s="23" t="str">
        <f t="shared" ref="R265:R328" si="32">IF(NOT(ISNUMBER(Q265)),"N/C",IF(Q265&lt;=u_ppDes,"Deseable",IF(Q265&lt;=u_ppAcep,"Aceptable","Alta")))</f>
        <v>Alta</v>
      </c>
      <c r="S265" s="25" t="str">
        <f t="shared" ref="S265:S328" si="33">IF(COUNT(F265:J265)=k_cobMin,"Utilizable","No utilizable")</f>
        <v>Utilizable</v>
      </c>
      <c r="T265" s="26" t="str">
        <f t="shared" ref="T265:T328" si="34">IF(S265&lt;&gt;"Utilizable","",C265&amp;"|"&amp;TEXT(IF(v_prioridad="Potasio",H265,IF(v_prioridad="Fósforo",I265,IF(v_prioridad="Sodio",J265,IF(ISNUMBER(Q265),Q265,99999)))),"000000.00"))</f>
        <v>cereales y derivados|00.000.566</v>
      </c>
      <c r="U265" s="26">
        <f>IF(OR($S265&lt;&gt;"Utilizable",$C265&lt;&gt;SUSTITUCION!$C$13),999999,IF(v_prioridad="Potasio",$H265,IF(v_prioridad="Fósforo",$I265,IF(v_prioridad="Sodio",$J265,IF(ISNUMBER($Q265),$Q265,999999)))))</f>
        <v>999999</v>
      </c>
    </row>
    <row r="266" spans="1:21" ht="15" customHeight="1">
      <c r="A266" s="21" t="s">
        <v>661</v>
      </c>
      <c r="B266" s="21" t="s">
        <v>662</v>
      </c>
      <c r="C266" s="21" t="s">
        <v>603</v>
      </c>
      <c r="D266" s="21" t="s">
        <v>604</v>
      </c>
      <c r="E266" s="21" t="s">
        <v>135</v>
      </c>
      <c r="F266" s="22">
        <v>216</v>
      </c>
      <c r="G266" s="22">
        <v>15.6</v>
      </c>
      <c r="H266" s="22">
        <v>1182</v>
      </c>
      <c r="I266" s="22">
        <v>1013</v>
      </c>
      <c r="J266" s="22">
        <v>2</v>
      </c>
      <c r="K266" s="22">
        <v>216</v>
      </c>
      <c r="L266" s="22">
        <v>15.6</v>
      </c>
      <c r="M266" s="22">
        <v>73</v>
      </c>
      <c r="N266" s="23" t="str">
        <f t="shared" si="28"/>
        <v>Muy alto</v>
      </c>
      <c r="O266" s="23" t="str">
        <f t="shared" si="29"/>
        <v>Muy alto</v>
      </c>
      <c r="P266" s="23" t="str">
        <f t="shared" si="30"/>
        <v>Bajo</v>
      </c>
      <c r="Q266" s="24">
        <f t="shared" si="31"/>
        <v>64.935897435897431</v>
      </c>
      <c r="R266" s="23" t="str">
        <f t="shared" si="32"/>
        <v>Alta</v>
      </c>
      <c r="S266" s="25" t="str">
        <f t="shared" si="33"/>
        <v>Utilizable</v>
      </c>
      <c r="T266" s="26" t="str">
        <f t="shared" si="34"/>
        <v>cereales y derivados|00.001.182</v>
      </c>
      <c r="U266" s="26">
        <f>IF(OR($S266&lt;&gt;"Utilizable",$C266&lt;&gt;SUSTITUCION!$C$13),999999,IF(v_prioridad="Potasio",$H266,IF(v_prioridad="Fósforo",$I266,IF(v_prioridad="Sodio",$J266,IF(ISNUMBER($Q266),$Q266,999999)))))</f>
        <v>999999</v>
      </c>
    </row>
    <row r="267" spans="1:21" ht="15" customHeight="1">
      <c r="A267" s="21" t="s">
        <v>663</v>
      </c>
      <c r="B267" s="21" t="s">
        <v>664</v>
      </c>
      <c r="C267" s="21" t="s">
        <v>603</v>
      </c>
      <c r="D267" s="21" t="s">
        <v>604</v>
      </c>
      <c r="E267" s="21" t="s">
        <v>135</v>
      </c>
      <c r="F267" s="22">
        <v>389</v>
      </c>
      <c r="G267" s="22">
        <v>16.899999999999999</v>
      </c>
      <c r="H267" s="22">
        <v>429</v>
      </c>
      <c r="I267" s="22">
        <v>523</v>
      </c>
      <c r="J267" s="22">
        <v>2</v>
      </c>
      <c r="K267" s="22">
        <v>389</v>
      </c>
      <c r="L267" s="22">
        <v>16.899999999999999</v>
      </c>
      <c r="M267" s="22">
        <v>54</v>
      </c>
      <c r="N267" s="23" t="str">
        <f t="shared" si="28"/>
        <v>Muy alto</v>
      </c>
      <c r="O267" s="23" t="str">
        <f t="shared" si="29"/>
        <v>Muy alto</v>
      </c>
      <c r="P267" s="23" t="str">
        <f t="shared" si="30"/>
        <v>Bajo</v>
      </c>
      <c r="Q267" s="24">
        <f t="shared" si="31"/>
        <v>30.946745562130179</v>
      </c>
      <c r="R267" s="23" t="str">
        <f t="shared" si="32"/>
        <v>Alta</v>
      </c>
      <c r="S267" s="25" t="str">
        <f t="shared" si="33"/>
        <v>Utilizable</v>
      </c>
      <c r="T267" s="26" t="str">
        <f t="shared" si="34"/>
        <v>cereales y derivados|00.000.429</v>
      </c>
      <c r="U267" s="26">
        <f>IF(OR($S267&lt;&gt;"Utilizable",$C267&lt;&gt;SUSTITUCION!$C$13),999999,IF(v_prioridad="Potasio",$H267,IF(v_prioridad="Fósforo",$I267,IF(v_prioridad="Sodio",$J267,IF(ISNUMBER($Q267),$Q267,999999)))))</f>
        <v>999999</v>
      </c>
    </row>
    <row r="268" spans="1:21" ht="15" customHeight="1">
      <c r="A268" s="21" t="s">
        <v>665</v>
      </c>
      <c r="B268" s="21" t="s">
        <v>666</v>
      </c>
      <c r="C268" s="21" t="s">
        <v>603</v>
      </c>
      <c r="D268" s="21" t="s">
        <v>604</v>
      </c>
      <c r="E268" s="21" t="s">
        <v>135</v>
      </c>
      <c r="F268" s="22">
        <v>358</v>
      </c>
      <c r="G268" s="22">
        <v>8.1</v>
      </c>
      <c r="H268" s="22" t="s">
        <v>138</v>
      </c>
      <c r="I268" s="22" t="s">
        <v>138</v>
      </c>
      <c r="J268" s="22" t="s">
        <v>138</v>
      </c>
      <c r="K268" s="22">
        <v>358</v>
      </c>
      <c r="L268" s="22">
        <v>8.1</v>
      </c>
      <c r="M268" s="22" t="s">
        <v>138</v>
      </c>
      <c r="N268" s="23" t="str">
        <f t="shared" si="28"/>
        <v>Sin dato</v>
      </c>
      <c r="O268" s="23" t="str">
        <f t="shared" si="29"/>
        <v>Sin dato</v>
      </c>
      <c r="P268" s="23" t="str">
        <f t="shared" si="30"/>
        <v>Sin dato</v>
      </c>
      <c r="Q268" s="24" t="str">
        <f t="shared" si="31"/>
        <v>N/C</v>
      </c>
      <c r="R268" s="23" t="str">
        <f t="shared" si="32"/>
        <v>N/C</v>
      </c>
      <c r="S268" s="25" t="str">
        <f t="shared" si="33"/>
        <v>No utilizable</v>
      </c>
      <c r="T268" s="26" t="str">
        <f t="shared" si="34"/>
        <v/>
      </c>
      <c r="U268" s="26">
        <f>IF(OR($S268&lt;&gt;"Utilizable",$C268&lt;&gt;SUSTITUCION!$C$13),999999,IF(v_prioridad="Potasio",$H268,IF(v_prioridad="Fósforo",$I268,IF(v_prioridad="Sodio",$J268,IF(ISNUMBER($Q268),$Q268,999999)))))</f>
        <v>999999</v>
      </c>
    </row>
    <row r="269" spans="1:21" ht="15" customHeight="1">
      <c r="A269" s="21" t="s">
        <v>667</v>
      </c>
      <c r="B269" s="21" t="s">
        <v>668</v>
      </c>
      <c r="C269" s="21" t="s">
        <v>603</v>
      </c>
      <c r="D269" s="21" t="s">
        <v>604</v>
      </c>
      <c r="E269" s="21" t="s">
        <v>135</v>
      </c>
      <c r="F269" s="22">
        <v>357</v>
      </c>
      <c r="G269" s="22">
        <v>7.5</v>
      </c>
      <c r="H269" s="22">
        <v>168</v>
      </c>
      <c r="I269" s="22">
        <v>102</v>
      </c>
      <c r="J269" s="22">
        <v>729</v>
      </c>
      <c r="K269" s="22">
        <v>357</v>
      </c>
      <c r="L269" s="22">
        <v>7.5</v>
      </c>
      <c r="M269" s="22">
        <v>5</v>
      </c>
      <c r="N269" s="23" t="str">
        <f t="shared" si="28"/>
        <v>Medio</v>
      </c>
      <c r="O269" s="23" t="str">
        <f t="shared" si="29"/>
        <v>Alto</v>
      </c>
      <c r="P269" s="23" t="str">
        <f t="shared" si="30"/>
        <v>Muy alto</v>
      </c>
      <c r="Q269" s="24" t="str">
        <f t="shared" si="31"/>
        <v>N/C: no es fuente proteica</v>
      </c>
      <c r="R269" s="23" t="str">
        <f t="shared" si="32"/>
        <v>N/C</v>
      </c>
      <c r="S269" s="25" t="str">
        <f t="shared" si="33"/>
        <v>Utilizable</v>
      </c>
      <c r="T269" s="26" t="str">
        <f t="shared" si="34"/>
        <v>cereales y derivados|00.000.168</v>
      </c>
      <c r="U269" s="26">
        <f>IF(OR($S269&lt;&gt;"Utilizable",$C269&lt;&gt;SUSTITUCION!$C$13),999999,IF(v_prioridad="Potasio",$H269,IF(v_prioridad="Fósforo",$I269,IF(v_prioridad="Sodio",$J269,IF(ISNUMBER($Q269),$Q269,999999)))))</f>
        <v>999999</v>
      </c>
    </row>
    <row r="270" spans="1:21" ht="15" customHeight="1">
      <c r="A270" s="21" t="s">
        <v>669</v>
      </c>
      <c r="B270" s="21" t="s">
        <v>670</v>
      </c>
      <c r="C270" s="21" t="s">
        <v>603</v>
      </c>
      <c r="D270" s="21" t="s">
        <v>604</v>
      </c>
      <c r="E270" s="21" t="s">
        <v>135</v>
      </c>
      <c r="F270" s="22">
        <v>442</v>
      </c>
      <c r="G270" s="22">
        <v>11.4</v>
      </c>
      <c r="H270" s="22" t="s">
        <v>138</v>
      </c>
      <c r="I270" s="22" t="s">
        <v>138</v>
      </c>
      <c r="J270" s="22">
        <v>44</v>
      </c>
      <c r="K270" s="22">
        <v>442</v>
      </c>
      <c r="L270" s="22">
        <v>11.4</v>
      </c>
      <c r="M270" s="22" t="s">
        <v>138</v>
      </c>
      <c r="N270" s="23" t="str">
        <f t="shared" si="28"/>
        <v>Sin dato</v>
      </c>
      <c r="O270" s="23" t="str">
        <f t="shared" si="29"/>
        <v>Sin dato</v>
      </c>
      <c r="P270" s="23" t="str">
        <f t="shared" si="30"/>
        <v>Medio</v>
      </c>
      <c r="Q270" s="24" t="str">
        <f t="shared" si="31"/>
        <v>N/C</v>
      </c>
      <c r="R270" s="23" t="str">
        <f t="shared" si="32"/>
        <v>N/C</v>
      </c>
      <c r="S270" s="25" t="str">
        <f t="shared" si="33"/>
        <v>No utilizable</v>
      </c>
      <c r="T270" s="26" t="str">
        <f t="shared" si="34"/>
        <v/>
      </c>
      <c r="U270" s="26">
        <f>IF(OR($S270&lt;&gt;"Utilizable",$C270&lt;&gt;SUSTITUCION!$C$13),999999,IF(v_prioridad="Potasio",$H270,IF(v_prioridad="Fósforo",$I270,IF(v_prioridad="Sodio",$J270,IF(ISNUMBER($Q270),$Q270,999999)))))</f>
        <v>999999</v>
      </c>
    </row>
    <row r="271" spans="1:21" ht="15" customHeight="1">
      <c r="A271" s="21" t="s">
        <v>671</v>
      </c>
      <c r="B271" s="21" t="s">
        <v>672</v>
      </c>
      <c r="C271" s="21" t="s">
        <v>603</v>
      </c>
      <c r="D271" s="21" t="s">
        <v>604</v>
      </c>
      <c r="E271" s="21" t="s">
        <v>135</v>
      </c>
      <c r="F271" s="22">
        <v>364</v>
      </c>
      <c r="G271" s="22">
        <v>10.4</v>
      </c>
      <c r="H271" s="22" t="s">
        <v>138</v>
      </c>
      <c r="I271" s="22" t="s">
        <v>138</v>
      </c>
      <c r="J271" s="22">
        <v>25</v>
      </c>
      <c r="K271" s="22">
        <v>364</v>
      </c>
      <c r="L271" s="22">
        <v>10.4</v>
      </c>
      <c r="M271" s="22" t="s">
        <v>138</v>
      </c>
      <c r="N271" s="23" t="str">
        <f t="shared" si="28"/>
        <v>Sin dato</v>
      </c>
      <c r="O271" s="23" t="str">
        <f t="shared" si="29"/>
        <v>Sin dato</v>
      </c>
      <c r="P271" s="23" t="str">
        <f t="shared" si="30"/>
        <v>Bajo</v>
      </c>
      <c r="Q271" s="24" t="str">
        <f t="shared" si="31"/>
        <v>N/C</v>
      </c>
      <c r="R271" s="23" t="str">
        <f t="shared" si="32"/>
        <v>N/C</v>
      </c>
      <c r="S271" s="25" t="str">
        <f t="shared" si="33"/>
        <v>No utilizable</v>
      </c>
      <c r="T271" s="26" t="str">
        <f t="shared" si="34"/>
        <v/>
      </c>
      <c r="U271" s="26">
        <f>IF(OR($S271&lt;&gt;"Utilizable",$C271&lt;&gt;SUSTITUCION!$C$13),999999,IF(v_prioridad="Potasio",$H271,IF(v_prioridad="Fósforo",$I271,IF(v_prioridad="Sodio",$J271,IF(ISNUMBER($Q271),$Q271,999999)))))</f>
        <v>999999</v>
      </c>
    </row>
    <row r="272" spans="1:21" ht="15" customHeight="1">
      <c r="A272" s="21" t="s">
        <v>673</v>
      </c>
      <c r="B272" s="21" t="s">
        <v>674</v>
      </c>
      <c r="C272" s="21" t="s">
        <v>603</v>
      </c>
      <c r="D272" s="21" t="s">
        <v>604</v>
      </c>
      <c r="E272" s="21" t="s">
        <v>135</v>
      </c>
      <c r="F272" s="22">
        <v>112</v>
      </c>
      <c r="G272" s="22">
        <v>3.8</v>
      </c>
      <c r="H272" s="22">
        <v>58</v>
      </c>
      <c r="I272" s="22">
        <v>22</v>
      </c>
      <c r="J272" s="22">
        <v>5</v>
      </c>
      <c r="K272" s="22">
        <v>112</v>
      </c>
      <c r="L272" s="22">
        <v>3.8</v>
      </c>
      <c r="M272" s="22">
        <v>8</v>
      </c>
      <c r="N272" s="23" t="str">
        <f t="shared" si="28"/>
        <v>Bajo</v>
      </c>
      <c r="O272" s="23" t="str">
        <f t="shared" si="29"/>
        <v>Bajo</v>
      </c>
      <c r="P272" s="23" t="str">
        <f t="shared" si="30"/>
        <v>Bajo</v>
      </c>
      <c r="Q272" s="24" t="str">
        <f t="shared" si="31"/>
        <v>N/C: no es fuente proteica</v>
      </c>
      <c r="R272" s="23" t="str">
        <f t="shared" si="32"/>
        <v>N/C</v>
      </c>
      <c r="S272" s="25" t="str">
        <f t="shared" si="33"/>
        <v>Utilizable</v>
      </c>
      <c r="T272" s="26" t="str">
        <f t="shared" si="34"/>
        <v>cereales y derivados|00.000.058</v>
      </c>
      <c r="U272" s="26">
        <f>IF(OR($S272&lt;&gt;"Utilizable",$C272&lt;&gt;SUSTITUCION!$C$13),999999,IF(v_prioridad="Potasio",$H272,IF(v_prioridad="Fósforo",$I272,IF(v_prioridad="Sodio",$J272,IF(ISNUMBER($Q272),$Q272,999999)))))</f>
        <v>999999</v>
      </c>
    </row>
    <row r="273" spans="1:21" ht="15" customHeight="1">
      <c r="A273" s="21" t="s">
        <v>675</v>
      </c>
      <c r="B273" s="21" t="s">
        <v>676</v>
      </c>
      <c r="C273" s="21" t="s">
        <v>603</v>
      </c>
      <c r="D273" s="21" t="s">
        <v>604</v>
      </c>
      <c r="E273" s="21" t="s">
        <v>135</v>
      </c>
      <c r="F273" s="22">
        <v>376</v>
      </c>
      <c r="G273" s="22">
        <v>12.8</v>
      </c>
      <c r="H273" s="22">
        <v>166</v>
      </c>
      <c r="I273" s="22">
        <v>170</v>
      </c>
      <c r="J273" s="22">
        <v>10</v>
      </c>
      <c r="K273" s="22">
        <v>376</v>
      </c>
      <c r="L273" s="22">
        <v>12.8</v>
      </c>
      <c r="M273" s="22">
        <v>24</v>
      </c>
      <c r="N273" s="23" t="str">
        <f t="shared" si="28"/>
        <v>Medio</v>
      </c>
      <c r="O273" s="23" t="str">
        <f t="shared" si="29"/>
        <v>Alto</v>
      </c>
      <c r="P273" s="23" t="str">
        <f t="shared" si="30"/>
        <v>Bajo</v>
      </c>
      <c r="Q273" s="24">
        <f t="shared" si="31"/>
        <v>13.28125</v>
      </c>
      <c r="R273" s="23" t="str">
        <f t="shared" si="32"/>
        <v>Aceptable</v>
      </c>
      <c r="S273" s="25" t="str">
        <f t="shared" si="33"/>
        <v>Utilizable</v>
      </c>
      <c r="T273" s="26" t="str">
        <f t="shared" si="34"/>
        <v>cereales y derivados|00.000.166</v>
      </c>
      <c r="U273" s="26">
        <f>IF(OR($S273&lt;&gt;"Utilizable",$C273&lt;&gt;SUSTITUCION!$C$13),999999,IF(v_prioridad="Potasio",$H273,IF(v_prioridad="Fósforo",$I273,IF(v_prioridad="Sodio",$J273,IF(ISNUMBER($Q273),$Q273,999999)))))</f>
        <v>999999</v>
      </c>
    </row>
    <row r="274" spans="1:21" ht="15" customHeight="1">
      <c r="A274" s="21" t="s">
        <v>677</v>
      </c>
      <c r="B274" s="21" t="s">
        <v>678</v>
      </c>
      <c r="C274" s="21" t="s">
        <v>603</v>
      </c>
      <c r="D274" s="21" t="s">
        <v>604</v>
      </c>
      <c r="E274" s="21" t="s">
        <v>135</v>
      </c>
      <c r="F274" s="22">
        <v>352</v>
      </c>
      <c r="G274" s="22">
        <v>13.9</v>
      </c>
      <c r="H274" s="22">
        <v>434</v>
      </c>
      <c r="I274" s="22">
        <v>343</v>
      </c>
      <c r="J274" s="22">
        <v>6</v>
      </c>
      <c r="K274" s="22">
        <v>352</v>
      </c>
      <c r="L274" s="22">
        <v>13.9</v>
      </c>
      <c r="M274" s="22">
        <v>29</v>
      </c>
      <c r="N274" s="23" t="str">
        <f t="shared" si="28"/>
        <v>Muy alto</v>
      </c>
      <c r="O274" s="23" t="str">
        <f t="shared" si="29"/>
        <v>Muy alto</v>
      </c>
      <c r="P274" s="23" t="str">
        <f t="shared" si="30"/>
        <v>Bajo</v>
      </c>
      <c r="Q274" s="24">
        <f t="shared" si="31"/>
        <v>24.676258992805757</v>
      </c>
      <c r="R274" s="23" t="str">
        <f t="shared" si="32"/>
        <v>Alta</v>
      </c>
      <c r="S274" s="25" t="str">
        <f t="shared" si="33"/>
        <v>Utilizable</v>
      </c>
      <c r="T274" s="26" t="str">
        <f t="shared" si="34"/>
        <v>cereales y derivados|00.000.434</v>
      </c>
      <c r="U274" s="26">
        <f>IF(OR($S274&lt;&gt;"Utilizable",$C274&lt;&gt;SUSTITUCION!$C$13),999999,IF(v_prioridad="Potasio",$H274,IF(v_prioridad="Fósforo",$I274,IF(v_prioridad="Sodio",$J274,IF(ISNUMBER($Q274),$Q274,999999)))))</f>
        <v>999999</v>
      </c>
    </row>
    <row r="275" spans="1:21" ht="15" customHeight="1">
      <c r="A275" s="21" t="s">
        <v>679</v>
      </c>
      <c r="B275" s="21" t="s">
        <v>680</v>
      </c>
      <c r="C275" s="21" t="s">
        <v>603</v>
      </c>
      <c r="D275" s="21" t="s">
        <v>604</v>
      </c>
      <c r="E275" s="21" t="s">
        <v>135</v>
      </c>
      <c r="F275" s="22">
        <v>149</v>
      </c>
      <c r="G275" s="22">
        <v>6</v>
      </c>
      <c r="H275" s="22">
        <v>96</v>
      </c>
      <c r="I275" s="22">
        <v>127</v>
      </c>
      <c r="J275" s="22">
        <v>4</v>
      </c>
      <c r="K275" s="22">
        <v>149</v>
      </c>
      <c r="L275" s="22">
        <v>6</v>
      </c>
      <c r="M275" s="22">
        <v>13</v>
      </c>
      <c r="N275" s="23" t="str">
        <f t="shared" si="28"/>
        <v>Bajo</v>
      </c>
      <c r="O275" s="23" t="str">
        <f t="shared" si="29"/>
        <v>Alto</v>
      </c>
      <c r="P275" s="23" t="str">
        <f t="shared" si="30"/>
        <v>Bajo</v>
      </c>
      <c r="Q275" s="24" t="str">
        <f t="shared" si="31"/>
        <v>N/C: no es fuente proteica</v>
      </c>
      <c r="R275" s="23" t="str">
        <f t="shared" si="32"/>
        <v>N/C</v>
      </c>
      <c r="S275" s="25" t="str">
        <f t="shared" si="33"/>
        <v>Utilizable</v>
      </c>
      <c r="T275" s="26" t="str">
        <f t="shared" si="34"/>
        <v>cereales y derivados|00.000.096</v>
      </c>
      <c r="U275" s="26">
        <f>IF(OR($S275&lt;&gt;"Utilizable",$C275&lt;&gt;SUSTITUCION!$C$13),999999,IF(v_prioridad="Potasio",$H275,IF(v_prioridad="Fósforo",$I275,IF(v_prioridad="Sodio",$J275,IF(ISNUMBER($Q275),$Q275,999999)))))</f>
        <v>999999</v>
      </c>
    </row>
    <row r="276" spans="1:21" ht="15" customHeight="1">
      <c r="A276" s="21" t="s">
        <v>681</v>
      </c>
      <c r="B276" s="21" t="s">
        <v>682</v>
      </c>
      <c r="C276" s="21" t="s">
        <v>603</v>
      </c>
      <c r="D276" s="21" t="s">
        <v>604</v>
      </c>
      <c r="E276" s="21" t="s">
        <v>135</v>
      </c>
      <c r="F276" s="22">
        <v>108</v>
      </c>
      <c r="G276" s="22">
        <v>1.8</v>
      </c>
      <c r="H276" s="22">
        <v>4</v>
      </c>
      <c r="I276" s="22">
        <v>20</v>
      </c>
      <c r="J276" s="22">
        <v>19</v>
      </c>
      <c r="K276" s="22">
        <v>108</v>
      </c>
      <c r="L276" s="22">
        <v>1.8</v>
      </c>
      <c r="M276" s="22">
        <v>4</v>
      </c>
      <c r="N276" s="23" t="str">
        <f t="shared" si="28"/>
        <v>Bajo</v>
      </c>
      <c r="O276" s="23" t="str">
        <f t="shared" si="29"/>
        <v>Bajo</v>
      </c>
      <c r="P276" s="23" t="str">
        <f t="shared" si="30"/>
        <v>Bajo</v>
      </c>
      <c r="Q276" s="24" t="str">
        <f t="shared" si="31"/>
        <v>N/C: no es fuente proteica</v>
      </c>
      <c r="R276" s="23" t="str">
        <f t="shared" si="32"/>
        <v>N/C</v>
      </c>
      <c r="S276" s="25" t="str">
        <f t="shared" si="33"/>
        <v>Utilizable</v>
      </c>
      <c r="T276" s="26" t="str">
        <f t="shared" si="34"/>
        <v>cereales y derivados|00.000.004</v>
      </c>
      <c r="U276" s="26">
        <f>IF(OR($S276&lt;&gt;"Utilizable",$C276&lt;&gt;SUSTITUCION!$C$13),999999,IF(v_prioridad="Potasio",$H276,IF(v_prioridad="Fósforo",$I276,IF(v_prioridad="Sodio",$J276,IF(ISNUMBER($Q276),$Q276,999999)))))</f>
        <v>999999</v>
      </c>
    </row>
    <row r="277" spans="1:21" ht="15" customHeight="1">
      <c r="A277" s="21" t="s">
        <v>683</v>
      </c>
      <c r="B277" s="21" t="s">
        <v>684</v>
      </c>
      <c r="C277" s="21" t="s">
        <v>603</v>
      </c>
      <c r="D277" s="21" t="s">
        <v>604</v>
      </c>
      <c r="E277" s="21" t="s">
        <v>135</v>
      </c>
      <c r="F277" s="22">
        <v>409</v>
      </c>
      <c r="G277" s="22">
        <v>5.6</v>
      </c>
      <c r="H277" s="22" t="s">
        <v>138</v>
      </c>
      <c r="I277" s="22" t="s">
        <v>138</v>
      </c>
      <c r="J277" s="22">
        <v>217</v>
      </c>
      <c r="K277" s="22">
        <v>409</v>
      </c>
      <c r="L277" s="22">
        <v>5.6</v>
      </c>
      <c r="M277" s="22" t="s">
        <v>138</v>
      </c>
      <c r="N277" s="23" t="str">
        <f t="shared" si="28"/>
        <v>Sin dato</v>
      </c>
      <c r="O277" s="23" t="str">
        <f t="shared" si="29"/>
        <v>Sin dato</v>
      </c>
      <c r="P277" s="23" t="str">
        <f t="shared" si="30"/>
        <v>Alto</v>
      </c>
      <c r="Q277" s="24" t="str">
        <f t="shared" si="31"/>
        <v>N/C</v>
      </c>
      <c r="R277" s="23" t="str">
        <f t="shared" si="32"/>
        <v>N/C</v>
      </c>
      <c r="S277" s="25" t="str">
        <f t="shared" si="33"/>
        <v>No utilizable</v>
      </c>
      <c r="T277" s="26" t="str">
        <f t="shared" si="34"/>
        <v/>
      </c>
      <c r="U277" s="26">
        <f>IF(OR($S277&lt;&gt;"Utilizable",$C277&lt;&gt;SUSTITUCION!$C$13),999999,IF(v_prioridad="Potasio",$H277,IF(v_prioridad="Fósforo",$I277,IF(v_prioridad="Sodio",$J277,IF(ISNUMBER($Q277),$Q277,999999)))))</f>
        <v>999999</v>
      </c>
    </row>
    <row r="278" spans="1:21" ht="15" customHeight="1">
      <c r="A278" s="21" t="s">
        <v>685</v>
      </c>
      <c r="B278" s="21" t="s">
        <v>686</v>
      </c>
      <c r="C278" s="21" t="s">
        <v>603</v>
      </c>
      <c r="D278" s="21" t="s">
        <v>604</v>
      </c>
      <c r="E278" s="21" t="s">
        <v>135</v>
      </c>
      <c r="F278" s="22">
        <v>428</v>
      </c>
      <c r="G278" s="22">
        <v>8.6</v>
      </c>
      <c r="H278" s="22" t="s">
        <v>138</v>
      </c>
      <c r="I278" s="22" t="s">
        <v>138</v>
      </c>
      <c r="J278" s="22">
        <v>214</v>
      </c>
      <c r="K278" s="22">
        <v>428</v>
      </c>
      <c r="L278" s="22">
        <v>8.6</v>
      </c>
      <c r="M278" s="22" t="s">
        <v>138</v>
      </c>
      <c r="N278" s="23" t="str">
        <f t="shared" si="28"/>
        <v>Sin dato</v>
      </c>
      <c r="O278" s="23" t="str">
        <f t="shared" si="29"/>
        <v>Sin dato</v>
      </c>
      <c r="P278" s="23" t="str">
        <f t="shared" si="30"/>
        <v>Alto</v>
      </c>
      <c r="Q278" s="24" t="str">
        <f t="shared" si="31"/>
        <v>N/C</v>
      </c>
      <c r="R278" s="23" t="str">
        <f t="shared" si="32"/>
        <v>N/C</v>
      </c>
      <c r="S278" s="25" t="str">
        <f t="shared" si="33"/>
        <v>No utilizable</v>
      </c>
      <c r="T278" s="26" t="str">
        <f t="shared" si="34"/>
        <v/>
      </c>
      <c r="U278" s="26">
        <f>IF(OR($S278&lt;&gt;"Utilizable",$C278&lt;&gt;SUSTITUCION!$C$13),999999,IF(v_prioridad="Potasio",$H278,IF(v_prioridad="Fósforo",$I278,IF(v_prioridad="Sodio",$J278,IF(ISNUMBER($Q278),$Q278,999999)))))</f>
        <v>999999</v>
      </c>
    </row>
    <row r="279" spans="1:21" ht="15" customHeight="1">
      <c r="A279" s="21" t="s">
        <v>687</v>
      </c>
      <c r="B279" s="21" t="s">
        <v>688</v>
      </c>
      <c r="C279" s="21" t="s">
        <v>603</v>
      </c>
      <c r="D279" s="21" t="s">
        <v>604</v>
      </c>
      <c r="E279" s="21" t="s">
        <v>135</v>
      </c>
      <c r="F279" s="22">
        <v>430</v>
      </c>
      <c r="G279" s="22">
        <v>8.5</v>
      </c>
      <c r="H279" s="22" t="s">
        <v>138</v>
      </c>
      <c r="I279" s="22" t="s">
        <v>138</v>
      </c>
      <c r="J279" s="22">
        <v>184</v>
      </c>
      <c r="K279" s="22">
        <v>430</v>
      </c>
      <c r="L279" s="22">
        <v>8.5</v>
      </c>
      <c r="M279" s="22" t="s">
        <v>138</v>
      </c>
      <c r="N279" s="23" t="str">
        <f t="shared" si="28"/>
        <v>Sin dato</v>
      </c>
      <c r="O279" s="23" t="str">
        <f t="shared" si="29"/>
        <v>Sin dato</v>
      </c>
      <c r="P279" s="23" t="str">
        <f t="shared" si="30"/>
        <v>Alto</v>
      </c>
      <c r="Q279" s="24" t="str">
        <f t="shared" si="31"/>
        <v>N/C</v>
      </c>
      <c r="R279" s="23" t="str">
        <f t="shared" si="32"/>
        <v>N/C</v>
      </c>
      <c r="S279" s="25" t="str">
        <f t="shared" si="33"/>
        <v>No utilizable</v>
      </c>
      <c r="T279" s="26" t="str">
        <f t="shared" si="34"/>
        <v/>
      </c>
      <c r="U279" s="26">
        <f>IF(OR($S279&lt;&gt;"Utilizable",$C279&lt;&gt;SUSTITUCION!$C$13),999999,IF(v_prioridad="Potasio",$H279,IF(v_prioridad="Fósforo",$I279,IF(v_prioridad="Sodio",$J279,IF(ISNUMBER($Q279),$Q279,999999)))))</f>
        <v>999999</v>
      </c>
    </row>
    <row r="280" spans="1:21" ht="15" customHeight="1">
      <c r="A280" s="21" t="s">
        <v>689</v>
      </c>
      <c r="B280" s="21" t="s">
        <v>690</v>
      </c>
      <c r="C280" s="21" t="s">
        <v>603</v>
      </c>
      <c r="D280" s="21" t="s">
        <v>604</v>
      </c>
      <c r="E280" s="21" t="s">
        <v>135</v>
      </c>
      <c r="F280" s="22">
        <v>427</v>
      </c>
      <c r="G280" s="22">
        <v>8.3000000000000007</v>
      </c>
      <c r="H280" s="22" t="s">
        <v>138</v>
      </c>
      <c r="I280" s="22" t="s">
        <v>138</v>
      </c>
      <c r="J280" s="22">
        <v>198</v>
      </c>
      <c r="K280" s="22">
        <v>427</v>
      </c>
      <c r="L280" s="22">
        <v>8.3000000000000007</v>
      </c>
      <c r="M280" s="22" t="s">
        <v>138</v>
      </c>
      <c r="N280" s="23" t="str">
        <f t="shared" si="28"/>
        <v>Sin dato</v>
      </c>
      <c r="O280" s="23" t="str">
        <f t="shared" si="29"/>
        <v>Sin dato</v>
      </c>
      <c r="P280" s="23" t="str">
        <f t="shared" si="30"/>
        <v>Alto</v>
      </c>
      <c r="Q280" s="24" t="str">
        <f t="shared" si="31"/>
        <v>N/C</v>
      </c>
      <c r="R280" s="23" t="str">
        <f t="shared" si="32"/>
        <v>N/C</v>
      </c>
      <c r="S280" s="25" t="str">
        <f t="shared" si="33"/>
        <v>No utilizable</v>
      </c>
      <c r="T280" s="26" t="str">
        <f t="shared" si="34"/>
        <v/>
      </c>
      <c r="U280" s="26">
        <f>IF(OR($S280&lt;&gt;"Utilizable",$C280&lt;&gt;SUSTITUCION!$C$13),999999,IF(v_prioridad="Potasio",$H280,IF(v_prioridad="Fósforo",$I280,IF(v_prioridad="Sodio",$J280,IF(ISNUMBER($Q280),$Q280,999999)))))</f>
        <v>999999</v>
      </c>
    </row>
    <row r="281" spans="1:21" ht="15" customHeight="1">
      <c r="A281" s="21" t="s">
        <v>691</v>
      </c>
      <c r="B281" s="21" t="s">
        <v>692</v>
      </c>
      <c r="C281" s="21" t="s">
        <v>603</v>
      </c>
      <c r="D281" s="21" t="s">
        <v>604</v>
      </c>
      <c r="E281" s="21" t="s">
        <v>135</v>
      </c>
      <c r="F281" s="22">
        <v>430</v>
      </c>
      <c r="G281" s="22">
        <v>7.6</v>
      </c>
      <c r="H281" s="22" t="s">
        <v>138</v>
      </c>
      <c r="I281" s="22" t="s">
        <v>138</v>
      </c>
      <c r="J281" s="22">
        <v>209</v>
      </c>
      <c r="K281" s="22">
        <v>430</v>
      </c>
      <c r="L281" s="22">
        <v>7.6</v>
      </c>
      <c r="M281" s="22" t="s">
        <v>138</v>
      </c>
      <c r="N281" s="23" t="str">
        <f t="shared" si="28"/>
        <v>Sin dato</v>
      </c>
      <c r="O281" s="23" t="str">
        <f t="shared" si="29"/>
        <v>Sin dato</v>
      </c>
      <c r="P281" s="23" t="str">
        <f t="shared" si="30"/>
        <v>Alto</v>
      </c>
      <c r="Q281" s="24" t="str">
        <f t="shared" si="31"/>
        <v>N/C</v>
      </c>
      <c r="R281" s="23" t="str">
        <f t="shared" si="32"/>
        <v>N/C</v>
      </c>
      <c r="S281" s="25" t="str">
        <f t="shared" si="33"/>
        <v>No utilizable</v>
      </c>
      <c r="T281" s="26" t="str">
        <f t="shared" si="34"/>
        <v/>
      </c>
      <c r="U281" s="26">
        <f>IF(OR($S281&lt;&gt;"Utilizable",$C281&lt;&gt;SUSTITUCION!$C$13),999999,IF(v_prioridad="Potasio",$H281,IF(v_prioridad="Fósforo",$I281,IF(v_prioridad="Sodio",$J281,IF(ISNUMBER($Q281),$Q281,999999)))))</f>
        <v>999999</v>
      </c>
    </row>
    <row r="282" spans="1:21" ht="15" customHeight="1">
      <c r="A282" s="21" t="s">
        <v>693</v>
      </c>
      <c r="B282" s="21" t="s">
        <v>694</v>
      </c>
      <c r="C282" s="21" t="s">
        <v>603</v>
      </c>
      <c r="D282" s="21" t="s">
        <v>604</v>
      </c>
      <c r="E282" s="21" t="s">
        <v>135</v>
      </c>
      <c r="F282" s="22">
        <v>427</v>
      </c>
      <c r="G282" s="22">
        <v>8.9</v>
      </c>
      <c r="H282" s="22" t="s">
        <v>138</v>
      </c>
      <c r="I282" s="22" t="s">
        <v>138</v>
      </c>
      <c r="J282" s="22">
        <v>220</v>
      </c>
      <c r="K282" s="22">
        <v>427</v>
      </c>
      <c r="L282" s="22">
        <v>8.9</v>
      </c>
      <c r="M282" s="22" t="s">
        <v>138</v>
      </c>
      <c r="N282" s="23" t="str">
        <f t="shared" si="28"/>
        <v>Sin dato</v>
      </c>
      <c r="O282" s="23" t="str">
        <f t="shared" si="29"/>
        <v>Sin dato</v>
      </c>
      <c r="P282" s="23" t="str">
        <f t="shared" si="30"/>
        <v>Alto</v>
      </c>
      <c r="Q282" s="24" t="str">
        <f t="shared" si="31"/>
        <v>N/C</v>
      </c>
      <c r="R282" s="23" t="str">
        <f t="shared" si="32"/>
        <v>N/C</v>
      </c>
      <c r="S282" s="25" t="str">
        <f t="shared" si="33"/>
        <v>No utilizable</v>
      </c>
      <c r="T282" s="26" t="str">
        <f t="shared" si="34"/>
        <v/>
      </c>
      <c r="U282" s="26">
        <f>IF(OR($S282&lt;&gt;"Utilizable",$C282&lt;&gt;SUSTITUCION!$C$13),999999,IF(v_prioridad="Potasio",$H282,IF(v_prioridad="Fósforo",$I282,IF(v_prioridad="Sodio",$J282,IF(ISNUMBER($Q282),$Q282,999999)))))</f>
        <v>999999</v>
      </c>
    </row>
    <row r="283" spans="1:21" ht="15" customHeight="1">
      <c r="A283" s="21" t="s">
        <v>695</v>
      </c>
      <c r="B283" s="21" t="s">
        <v>696</v>
      </c>
      <c r="C283" s="21" t="s">
        <v>603</v>
      </c>
      <c r="D283" s="21" t="s">
        <v>604</v>
      </c>
      <c r="E283" s="21" t="s">
        <v>135</v>
      </c>
      <c r="F283" s="22">
        <v>481</v>
      </c>
      <c r="G283" s="22">
        <v>5.4</v>
      </c>
      <c r="H283" s="22">
        <v>135</v>
      </c>
      <c r="I283" s="22">
        <v>108</v>
      </c>
      <c r="J283" s="22">
        <v>315</v>
      </c>
      <c r="K283" s="22">
        <v>481</v>
      </c>
      <c r="L283" s="22">
        <v>5.4</v>
      </c>
      <c r="M283" s="22">
        <v>25</v>
      </c>
      <c r="N283" s="23" t="str">
        <f t="shared" si="28"/>
        <v>Medio</v>
      </c>
      <c r="O283" s="23" t="str">
        <f t="shared" si="29"/>
        <v>Alto</v>
      </c>
      <c r="P283" s="23" t="str">
        <f t="shared" si="30"/>
        <v>Alto</v>
      </c>
      <c r="Q283" s="24" t="str">
        <f t="shared" si="31"/>
        <v>N/C: no es fuente proteica</v>
      </c>
      <c r="R283" s="23" t="str">
        <f t="shared" si="32"/>
        <v>N/C</v>
      </c>
      <c r="S283" s="25" t="str">
        <f t="shared" si="33"/>
        <v>Utilizable</v>
      </c>
      <c r="T283" s="26" t="str">
        <f t="shared" si="34"/>
        <v>cereales y derivados|00.000.135</v>
      </c>
      <c r="U283" s="26">
        <f>IF(OR($S283&lt;&gt;"Utilizable",$C283&lt;&gt;SUSTITUCION!$C$13),999999,IF(v_prioridad="Potasio",$H283,IF(v_prioridad="Fósforo",$I283,IF(v_prioridad="Sodio",$J283,IF(ISNUMBER($Q283),$Q283,999999)))))</f>
        <v>999999</v>
      </c>
    </row>
    <row r="284" spans="1:21" ht="15" customHeight="1">
      <c r="A284" s="21" t="s">
        <v>697</v>
      </c>
      <c r="B284" s="21" t="s">
        <v>698</v>
      </c>
      <c r="C284" s="21" t="s">
        <v>603</v>
      </c>
      <c r="D284" s="21" t="s">
        <v>604</v>
      </c>
      <c r="E284" s="21" t="s">
        <v>135</v>
      </c>
      <c r="F284" s="22">
        <v>463</v>
      </c>
      <c r="G284" s="22">
        <v>7.1</v>
      </c>
      <c r="H284" s="22" t="s">
        <v>138</v>
      </c>
      <c r="I284" s="22" t="s">
        <v>138</v>
      </c>
      <c r="J284" s="22">
        <v>266</v>
      </c>
      <c r="K284" s="22">
        <v>463</v>
      </c>
      <c r="L284" s="22">
        <v>7.1</v>
      </c>
      <c r="M284" s="22" t="s">
        <v>138</v>
      </c>
      <c r="N284" s="23" t="str">
        <f t="shared" si="28"/>
        <v>Sin dato</v>
      </c>
      <c r="O284" s="23" t="str">
        <f t="shared" si="29"/>
        <v>Sin dato</v>
      </c>
      <c r="P284" s="23" t="str">
        <f t="shared" si="30"/>
        <v>Alto</v>
      </c>
      <c r="Q284" s="24" t="str">
        <f t="shared" si="31"/>
        <v>N/C</v>
      </c>
      <c r="R284" s="23" t="str">
        <f t="shared" si="32"/>
        <v>N/C</v>
      </c>
      <c r="S284" s="25" t="str">
        <f t="shared" si="33"/>
        <v>No utilizable</v>
      </c>
      <c r="T284" s="26" t="str">
        <f t="shared" si="34"/>
        <v/>
      </c>
      <c r="U284" s="26">
        <f>IF(OR($S284&lt;&gt;"Utilizable",$C284&lt;&gt;SUSTITUCION!$C$13),999999,IF(v_prioridad="Potasio",$H284,IF(v_prioridad="Fósforo",$I284,IF(v_prioridad="Sodio",$J284,IF(ISNUMBER($Q284),$Q284,999999)))))</f>
        <v>999999</v>
      </c>
    </row>
    <row r="285" spans="1:21" ht="15" customHeight="1">
      <c r="A285" s="21" t="s">
        <v>699</v>
      </c>
      <c r="B285" s="21" t="s">
        <v>700</v>
      </c>
      <c r="C285" s="21" t="s">
        <v>603</v>
      </c>
      <c r="D285" s="21" t="s">
        <v>604</v>
      </c>
      <c r="E285" s="21" t="s">
        <v>135</v>
      </c>
      <c r="F285" s="22">
        <v>363</v>
      </c>
      <c r="G285" s="22">
        <v>6.7</v>
      </c>
      <c r="H285" s="22" t="s">
        <v>138</v>
      </c>
      <c r="I285" s="22" t="s">
        <v>138</v>
      </c>
      <c r="J285" s="22">
        <v>152</v>
      </c>
      <c r="K285" s="22">
        <v>363</v>
      </c>
      <c r="L285" s="22">
        <v>6.7</v>
      </c>
      <c r="M285" s="22" t="s">
        <v>138</v>
      </c>
      <c r="N285" s="23" t="str">
        <f t="shared" si="28"/>
        <v>Sin dato</v>
      </c>
      <c r="O285" s="23" t="str">
        <f t="shared" si="29"/>
        <v>Sin dato</v>
      </c>
      <c r="P285" s="23" t="str">
        <f t="shared" si="30"/>
        <v>Alto</v>
      </c>
      <c r="Q285" s="24" t="str">
        <f t="shared" si="31"/>
        <v>N/C</v>
      </c>
      <c r="R285" s="23" t="str">
        <f t="shared" si="32"/>
        <v>N/C</v>
      </c>
      <c r="S285" s="25" t="str">
        <f t="shared" si="33"/>
        <v>No utilizable</v>
      </c>
      <c r="T285" s="26" t="str">
        <f t="shared" si="34"/>
        <v/>
      </c>
      <c r="U285" s="26">
        <f>IF(OR($S285&lt;&gt;"Utilizable",$C285&lt;&gt;SUSTITUCION!$C$13),999999,IF(v_prioridad="Potasio",$H285,IF(v_prioridad="Fósforo",$I285,IF(v_prioridad="Sodio",$J285,IF(ISNUMBER($Q285),$Q285,999999)))))</f>
        <v>999999</v>
      </c>
    </row>
    <row r="286" spans="1:21" ht="15" customHeight="1">
      <c r="A286" s="21" t="s">
        <v>701</v>
      </c>
      <c r="B286" s="21" t="s">
        <v>702</v>
      </c>
      <c r="C286" s="21" t="s">
        <v>603</v>
      </c>
      <c r="D286" s="21" t="s">
        <v>604</v>
      </c>
      <c r="E286" s="21" t="s">
        <v>135</v>
      </c>
      <c r="F286" s="22">
        <v>373</v>
      </c>
      <c r="G286" s="22">
        <v>5.2</v>
      </c>
      <c r="H286" s="22" t="s">
        <v>138</v>
      </c>
      <c r="I286" s="22" t="s">
        <v>138</v>
      </c>
      <c r="J286" s="22">
        <v>120</v>
      </c>
      <c r="K286" s="22">
        <v>373</v>
      </c>
      <c r="L286" s="22">
        <v>5.2</v>
      </c>
      <c r="M286" s="22" t="s">
        <v>138</v>
      </c>
      <c r="N286" s="23" t="str">
        <f t="shared" si="28"/>
        <v>Sin dato</v>
      </c>
      <c r="O286" s="23" t="str">
        <f t="shared" si="29"/>
        <v>Sin dato</v>
      </c>
      <c r="P286" s="23" t="str">
        <f t="shared" si="30"/>
        <v>Medio</v>
      </c>
      <c r="Q286" s="24" t="str">
        <f t="shared" si="31"/>
        <v>N/C</v>
      </c>
      <c r="R286" s="23" t="str">
        <f t="shared" si="32"/>
        <v>N/C</v>
      </c>
      <c r="S286" s="25" t="str">
        <f t="shared" si="33"/>
        <v>No utilizable</v>
      </c>
      <c r="T286" s="26" t="str">
        <f t="shared" si="34"/>
        <v/>
      </c>
      <c r="U286" s="26">
        <f>IF(OR($S286&lt;&gt;"Utilizable",$C286&lt;&gt;SUSTITUCION!$C$13),999999,IF(v_prioridad="Potasio",$H286,IF(v_prioridad="Fósforo",$I286,IF(v_prioridad="Sodio",$J286,IF(ISNUMBER($Q286),$Q286,999999)))))</f>
        <v>999999</v>
      </c>
    </row>
    <row r="287" spans="1:21" ht="15" customHeight="1">
      <c r="A287" s="21" t="s">
        <v>703</v>
      </c>
      <c r="B287" s="21" t="s">
        <v>704</v>
      </c>
      <c r="C287" s="21" t="s">
        <v>603</v>
      </c>
      <c r="D287" s="21" t="s">
        <v>604</v>
      </c>
      <c r="E287" s="21" t="s">
        <v>135</v>
      </c>
      <c r="F287" s="22">
        <v>371</v>
      </c>
      <c r="G287" s="22">
        <v>7.5</v>
      </c>
      <c r="H287" s="22" t="s">
        <v>138</v>
      </c>
      <c r="I287" s="22" t="s">
        <v>138</v>
      </c>
      <c r="J287" s="22">
        <v>665</v>
      </c>
      <c r="K287" s="22">
        <v>371</v>
      </c>
      <c r="L287" s="22">
        <v>7.5</v>
      </c>
      <c r="M287" s="22" t="s">
        <v>138</v>
      </c>
      <c r="N287" s="23" t="str">
        <f t="shared" si="28"/>
        <v>Sin dato</v>
      </c>
      <c r="O287" s="23" t="str">
        <f t="shared" si="29"/>
        <v>Sin dato</v>
      </c>
      <c r="P287" s="23" t="str">
        <f t="shared" si="30"/>
        <v>Muy alto</v>
      </c>
      <c r="Q287" s="24" t="str">
        <f t="shared" si="31"/>
        <v>N/C</v>
      </c>
      <c r="R287" s="23" t="str">
        <f t="shared" si="32"/>
        <v>N/C</v>
      </c>
      <c r="S287" s="25" t="str">
        <f t="shared" si="33"/>
        <v>No utilizable</v>
      </c>
      <c r="T287" s="26" t="str">
        <f t="shared" si="34"/>
        <v/>
      </c>
      <c r="U287" s="26">
        <f>IF(OR($S287&lt;&gt;"Utilizable",$C287&lt;&gt;SUSTITUCION!$C$13),999999,IF(v_prioridad="Potasio",$H287,IF(v_prioridad="Fósforo",$I287,IF(v_prioridad="Sodio",$J287,IF(ISNUMBER($Q287),$Q287,999999)))))</f>
        <v>999999</v>
      </c>
    </row>
    <row r="288" spans="1:21" ht="15" customHeight="1">
      <c r="A288" s="21" t="s">
        <v>705</v>
      </c>
      <c r="B288" s="21" t="s">
        <v>706</v>
      </c>
      <c r="C288" s="21" t="s">
        <v>603</v>
      </c>
      <c r="D288" s="21" t="s">
        <v>604</v>
      </c>
      <c r="E288" s="21" t="s">
        <v>135</v>
      </c>
      <c r="F288" s="22">
        <v>363</v>
      </c>
      <c r="G288" s="22">
        <v>7.7</v>
      </c>
      <c r="H288" s="22" t="s">
        <v>138</v>
      </c>
      <c r="I288" s="22" t="s">
        <v>138</v>
      </c>
      <c r="J288" s="22">
        <v>18</v>
      </c>
      <c r="K288" s="22">
        <v>363</v>
      </c>
      <c r="L288" s="22">
        <v>7.7</v>
      </c>
      <c r="M288" s="22" t="s">
        <v>138</v>
      </c>
      <c r="N288" s="23" t="str">
        <f t="shared" si="28"/>
        <v>Sin dato</v>
      </c>
      <c r="O288" s="23" t="str">
        <f t="shared" si="29"/>
        <v>Sin dato</v>
      </c>
      <c r="P288" s="23" t="str">
        <f t="shared" si="30"/>
        <v>Bajo</v>
      </c>
      <c r="Q288" s="24" t="str">
        <f t="shared" si="31"/>
        <v>N/C</v>
      </c>
      <c r="R288" s="23" t="str">
        <f t="shared" si="32"/>
        <v>N/C</v>
      </c>
      <c r="S288" s="25" t="str">
        <f t="shared" si="33"/>
        <v>No utilizable</v>
      </c>
      <c r="T288" s="26" t="str">
        <f t="shared" si="34"/>
        <v/>
      </c>
      <c r="U288" s="26">
        <f>IF(OR($S288&lt;&gt;"Utilizable",$C288&lt;&gt;SUSTITUCION!$C$13),999999,IF(v_prioridad="Potasio",$H288,IF(v_prioridad="Fósforo",$I288,IF(v_prioridad="Sodio",$J288,IF(ISNUMBER($Q288),$Q288,999999)))))</f>
        <v>999999</v>
      </c>
    </row>
    <row r="289" spans="1:21" ht="15" customHeight="1">
      <c r="A289" s="21" t="s">
        <v>707</v>
      </c>
      <c r="B289" s="21" t="s">
        <v>708</v>
      </c>
      <c r="C289" s="21" t="s">
        <v>603</v>
      </c>
      <c r="D289" s="21" t="s">
        <v>604</v>
      </c>
      <c r="E289" s="21" t="s">
        <v>135</v>
      </c>
      <c r="F289" s="22">
        <v>356</v>
      </c>
      <c r="G289" s="22">
        <v>11</v>
      </c>
      <c r="H289" s="22" t="s">
        <v>138</v>
      </c>
      <c r="I289" s="22" t="s">
        <v>138</v>
      </c>
      <c r="J289" s="22">
        <v>525</v>
      </c>
      <c r="K289" s="22">
        <v>356</v>
      </c>
      <c r="L289" s="22">
        <v>11</v>
      </c>
      <c r="M289" s="22" t="s">
        <v>138</v>
      </c>
      <c r="N289" s="23" t="str">
        <f t="shared" si="28"/>
        <v>Sin dato</v>
      </c>
      <c r="O289" s="23" t="str">
        <f t="shared" si="29"/>
        <v>Sin dato</v>
      </c>
      <c r="P289" s="23" t="str">
        <f t="shared" si="30"/>
        <v>Muy alto</v>
      </c>
      <c r="Q289" s="24" t="str">
        <f t="shared" si="31"/>
        <v>N/C</v>
      </c>
      <c r="R289" s="23" t="str">
        <f t="shared" si="32"/>
        <v>N/C</v>
      </c>
      <c r="S289" s="25" t="str">
        <f t="shared" si="33"/>
        <v>No utilizable</v>
      </c>
      <c r="T289" s="26" t="str">
        <f t="shared" si="34"/>
        <v/>
      </c>
      <c r="U289" s="26">
        <f>IF(OR($S289&lt;&gt;"Utilizable",$C289&lt;&gt;SUSTITUCION!$C$13),999999,IF(v_prioridad="Potasio",$H289,IF(v_prioridad="Fósforo",$I289,IF(v_prioridad="Sodio",$J289,IF(ISNUMBER($Q289),$Q289,999999)))))</f>
        <v>999999</v>
      </c>
    </row>
    <row r="290" spans="1:21" ht="15" customHeight="1">
      <c r="A290" s="21" t="s">
        <v>709</v>
      </c>
      <c r="B290" s="21" t="s">
        <v>710</v>
      </c>
      <c r="C290" s="21" t="s">
        <v>603</v>
      </c>
      <c r="D290" s="21" t="s">
        <v>604</v>
      </c>
      <c r="E290" s="21" t="s">
        <v>135</v>
      </c>
      <c r="F290" s="22">
        <v>469</v>
      </c>
      <c r="G290" s="22">
        <v>5.8</v>
      </c>
      <c r="H290" s="22" t="s">
        <v>138</v>
      </c>
      <c r="I290" s="22" t="s">
        <v>138</v>
      </c>
      <c r="J290" s="22">
        <v>273</v>
      </c>
      <c r="K290" s="22">
        <v>469</v>
      </c>
      <c r="L290" s="22">
        <v>5.8</v>
      </c>
      <c r="M290" s="22" t="s">
        <v>138</v>
      </c>
      <c r="N290" s="23" t="str">
        <f t="shared" si="28"/>
        <v>Sin dato</v>
      </c>
      <c r="O290" s="23" t="str">
        <f t="shared" si="29"/>
        <v>Sin dato</v>
      </c>
      <c r="P290" s="23" t="str">
        <f t="shared" si="30"/>
        <v>Alto</v>
      </c>
      <c r="Q290" s="24" t="str">
        <f t="shared" si="31"/>
        <v>N/C</v>
      </c>
      <c r="R290" s="23" t="str">
        <f t="shared" si="32"/>
        <v>N/C</v>
      </c>
      <c r="S290" s="25" t="str">
        <f t="shared" si="33"/>
        <v>No utilizable</v>
      </c>
      <c r="T290" s="26" t="str">
        <f t="shared" si="34"/>
        <v/>
      </c>
      <c r="U290" s="26">
        <f>IF(OR($S290&lt;&gt;"Utilizable",$C290&lt;&gt;SUSTITUCION!$C$13),999999,IF(v_prioridad="Potasio",$H290,IF(v_prioridad="Fósforo",$I290,IF(v_prioridad="Sodio",$J290,IF(ISNUMBER($Q290),$Q290,999999)))))</f>
        <v>999999</v>
      </c>
    </row>
    <row r="291" spans="1:21" ht="15" customHeight="1">
      <c r="A291" s="21" t="s">
        <v>711</v>
      </c>
      <c r="B291" s="21" t="s">
        <v>712</v>
      </c>
      <c r="C291" s="21" t="s">
        <v>603</v>
      </c>
      <c r="D291" s="21" t="s">
        <v>604</v>
      </c>
      <c r="E291" s="21" t="s">
        <v>135</v>
      </c>
      <c r="F291" s="22">
        <v>483</v>
      </c>
      <c r="G291" s="22">
        <v>5.4</v>
      </c>
      <c r="H291" s="22" t="s">
        <v>138</v>
      </c>
      <c r="I291" s="22" t="s">
        <v>138</v>
      </c>
      <c r="J291" s="22">
        <v>162</v>
      </c>
      <c r="K291" s="22">
        <v>483</v>
      </c>
      <c r="L291" s="22">
        <v>5.4</v>
      </c>
      <c r="M291" s="22" t="s">
        <v>138</v>
      </c>
      <c r="N291" s="23" t="str">
        <f t="shared" si="28"/>
        <v>Sin dato</v>
      </c>
      <c r="O291" s="23" t="str">
        <f t="shared" si="29"/>
        <v>Sin dato</v>
      </c>
      <c r="P291" s="23" t="str">
        <f t="shared" si="30"/>
        <v>Alto</v>
      </c>
      <c r="Q291" s="24" t="str">
        <f t="shared" si="31"/>
        <v>N/C</v>
      </c>
      <c r="R291" s="23" t="str">
        <f t="shared" si="32"/>
        <v>N/C</v>
      </c>
      <c r="S291" s="25" t="str">
        <f t="shared" si="33"/>
        <v>No utilizable</v>
      </c>
      <c r="T291" s="26" t="str">
        <f t="shared" si="34"/>
        <v/>
      </c>
      <c r="U291" s="26">
        <f>IF(OR($S291&lt;&gt;"Utilizable",$C291&lt;&gt;SUSTITUCION!$C$13),999999,IF(v_prioridad="Potasio",$H291,IF(v_prioridad="Fósforo",$I291,IF(v_prioridad="Sodio",$J291,IF(ISNUMBER($Q291),$Q291,999999)))))</f>
        <v>999999</v>
      </c>
    </row>
    <row r="292" spans="1:21" ht="15" customHeight="1">
      <c r="A292" s="21" t="s">
        <v>713</v>
      </c>
      <c r="B292" s="21" t="s">
        <v>714</v>
      </c>
      <c r="C292" s="21" t="s">
        <v>603</v>
      </c>
      <c r="D292" s="21" t="s">
        <v>604</v>
      </c>
      <c r="E292" s="21" t="s">
        <v>135</v>
      </c>
      <c r="F292" s="22">
        <v>467</v>
      </c>
      <c r="G292" s="22">
        <v>7.3</v>
      </c>
      <c r="H292" s="22" t="s">
        <v>138</v>
      </c>
      <c r="I292" s="22" t="s">
        <v>138</v>
      </c>
      <c r="J292" s="22">
        <v>322</v>
      </c>
      <c r="K292" s="22">
        <v>467</v>
      </c>
      <c r="L292" s="22">
        <v>7.3</v>
      </c>
      <c r="M292" s="22" t="s">
        <v>138</v>
      </c>
      <c r="N292" s="23" t="str">
        <f t="shared" si="28"/>
        <v>Sin dato</v>
      </c>
      <c r="O292" s="23" t="str">
        <f t="shared" si="29"/>
        <v>Sin dato</v>
      </c>
      <c r="P292" s="23" t="str">
        <f t="shared" si="30"/>
        <v>Alto</v>
      </c>
      <c r="Q292" s="24" t="str">
        <f t="shared" si="31"/>
        <v>N/C</v>
      </c>
      <c r="R292" s="23" t="str">
        <f t="shared" si="32"/>
        <v>N/C</v>
      </c>
      <c r="S292" s="25" t="str">
        <f t="shared" si="33"/>
        <v>No utilizable</v>
      </c>
      <c r="T292" s="26" t="str">
        <f t="shared" si="34"/>
        <v/>
      </c>
      <c r="U292" s="26">
        <f>IF(OR($S292&lt;&gt;"Utilizable",$C292&lt;&gt;SUSTITUCION!$C$13),999999,IF(v_prioridad="Potasio",$H292,IF(v_prioridad="Fósforo",$I292,IF(v_prioridad="Sodio",$J292,IF(ISNUMBER($Q292),$Q292,999999)))))</f>
        <v>999999</v>
      </c>
    </row>
    <row r="293" spans="1:21" ht="15" customHeight="1">
      <c r="A293" s="21" t="s">
        <v>715</v>
      </c>
      <c r="B293" s="21" t="s">
        <v>716</v>
      </c>
      <c r="C293" s="21" t="s">
        <v>603</v>
      </c>
      <c r="D293" s="21" t="s">
        <v>604</v>
      </c>
      <c r="E293" s="21" t="s">
        <v>135</v>
      </c>
      <c r="F293" s="22">
        <v>476</v>
      </c>
      <c r="G293" s="22">
        <v>6.5</v>
      </c>
      <c r="H293" s="22" t="s">
        <v>138</v>
      </c>
      <c r="I293" s="22" t="s">
        <v>138</v>
      </c>
      <c r="J293" s="22">
        <v>313</v>
      </c>
      <c r="K293" s="22">
        <v>476</v>
      </c>
      <c r="L293" s="22">
        <v>6.5</v>
      </c>
      <c r="M293" s="22" t="s">
        <v>138</v>
      </c>
      <c r="N293" s="23" t="str">
        <f t="shared" si="28"/>
        <v>Sin dato</v>
      </c>
      <c r="O293" s="23" t="str">
        <f t="shared" si="29"/>
        <v>Sin dato</v>
      </c>
      <c r="P293" s="23" t="str">
        <f t="shared" si="30"/>
        <v>Alto</v>
      </c>
      <c r="Q293" s="24" t="str">
        <f t="shared" si="31"/>
        <v>N/C</v>
      </c>
      <c r="R293" s="23" t="str">
        <f t="shared" si="32"/>
        <v>N/C</v>
      </c>
      <c r="S293" s="25" t="str">
        <f t="shared" si="33"/>
        <v>No utilizable</v>
      </c>
      <c r="T293" s="26" t="str">
        <f t="shared" si="34"/>
        <v/>
      </c>
      <c r="U293" s="26">
        <f>IF(OR($S293&lt;&gt;"Utilizable",$C293&lt;&gt;SUSTITUCION!$C$13),999999,IF(v_prioridad="Potasio",$H293,IF(v_prioridad="Fósforo",$I293,IF(v_prioridad="Sodio",$J293,IF(ISNUMBER($Q293),$Q293,999999)))))</f>
        <v>999999</v>
      </c>
    </row>
    <row r="294" spans="1:21" ht="15" customHeight="1">
      <c r="A294" s="21" t="s">
        <v>717</v>
      </c>
      <c r="B294" s="21" t="s">
        <v>718</v>
      </c>
      <c r="C294" s="21" t="s">
        <v>603</v>
      </c>
      <c r="D294" s="21" t="s">
        <v>604</v>
      </c>
      <c r="E294" s="21" t="s">
        <v>135</v>
      </c>
      <c r="F294" s="22">
        <v>409</v>
      </c>
      <c r="G294" s="22">
        <v>9.6</v>
      </c>
      <c r="H294" s="22" t="s">
        <v>138</v>
      </c>
      <c r="I294" s="22" t="s">
        <v>138</v>
      </c>
      <c r="J294" s="22">
        <v>228</v>
      </c>
      <c r="K294" s="22">
        <v>409</v>
      </c>
      <c r="L294" s="22">
        <v>9.6</v>
      </c>
      <c r="M294" s="22" t="s">
        <v>138</v>
      </c>
      <c r="N294" s="23" t="str">
        <f t="shared" si="28"/>
        <v>Sin dato</v>
      </c>
      <c r="O294" s="23" t="str">
        <f t="shared" si="29"/>
        <v>Sin dato</v>
      </c>
      <c r="P294" s="23" t="str">
        <f t="shared" si="30"/>
        <v>Alto</v>
      </c>
      <c r="Q294" s="24" t="str">
        <f t="shared" si="31"/>
        <v>N/C</v>
      </c>
      <c r="R294" s="23" t="str">
        <f t="shared" si="32"/>
        <v>N/C</v>
      </c>
      <c r="S294" s="25" t="str">
        <f t="shared" si="33"/>
        <v>No utilizable</v>
      </c>
      <c r="T294" s="26" t="str">
        <f t="shared" si="34"/>
        <v/>
      </c>
      <c r="U294" s="26">
        <f>IF(OR($S294&lt;&gt;"Utilizable",$C294&lt;&gt;SUSTITUCION!$C$13),999999,IF(v_prioridad="Potasio",$H294,IF(v_prioridad="Fósforo",$I294,IF(v_prioridad="Sodio",$J294,IF(ISNUMBER($Q294),$Q294,999999)))))</f>
        <v>999999</v>
      </c>
    </row>
    <row r="295" spans="1:21" ht="15" customHeight="1">
      <c r="A295" s="21" t="s">
        <v>719</v>
      </c>
      <c r="B295" s="21" t="s">
        <v>720</v>
      </c>
      <c r="C295" s="21" t="s">
        <v>603</v>
      </c>
      <c r="D295" s="21" t="s">
        <v>604</v>
      </c>
      <c r="E295" s="21" t="s">
        <v>135</v>
      </c>
      <c r="F295" s="22">
        <v>428</v>
      </c>
      <c r="G295" s="22">
        <v>9</v>
      </c>
      <c r="H295" s="22" t="s">
        <v>138</v>
      </c>
      <c r="I295" s="22" t="s">
        <v>138</v>
      </c>
      <c r="J295" s="22">
        <v>720</v>
      </c>
      <c r="K295" s="22">
        <v>428</v>
      </c>
      <c r="L295" s="22">
        <v>9</v>
      </c>
      <c r="M295" s="22" t="s">
        <v>138</v>
      </c>
      <c r="N295" s="23" t="str">
        <f t="shared" si="28"/>
        <v>Sin dato</v>
      </c>
      <c r="O295" s="23" t="str">
        <f t="shared" si="29"/>
        <v>Sin dato</v>
      </c>
      <c r="P295" s="23" t="str">
        <f t="shared" si="30"/>
        <v>Muy alto</v>
      </c>
      <c r="Q295" s="24" t="str">
        <f t="shared" si="31"/>
        <v>N/C</v>
      </c>
      <c r="R295" s="23" t="str">
        <f t="shared" si="32"/>
        <v>N/C</v>
      </c>
      <c r="S295" s="25" t="str">
        <f t="shared" si="33"/>
        <v>No utilizable</v>
      </c>
      <c r="T295" s="26" t="str">
        <f t="shared" si="34"/>
        <v/>
      </c>
      <c r="U295" s="26">
        <f>IF(OR($S295&lt;&gt;"Utilizable",$C295&lt;&gt;SUSTITUCION!$C$13),999999,IF(v_prioridad="Potasio",$H295,IF(v_prioridad="Fósforo",$I295,IF(v_prioridad="Sodio",$J295,IF(ISNUMBER($Q295),$Q295,999999)))))</f>
        <v>999999</v>
      </c>
    </row>
    <row r="296" spans="1:21" ht="15" customHeight="1">
      <c r="A296" s="21" t="s">
        <v>721</v>
      </c>
      <c r="B296" s="21" t="s">
        <v>722</v>
      </c>
      <c r="C296" s="21" t="s">
        <v>603</v>
      </c>
      <c r="D296" s="21" t="s">
        <v>604</v>
      </c>
      <c r="E296" s="21" t="s">
        <v>135</v>
      </c>
      <c r="F296" s="22">
        <v>453</v>
      </c>
      <c r="G296" s="22">
        <v>8</v>
      </c>
      <c r="H296" s="22" t="s">
        <v>138</v>
      </c>
      <c r="I296" s="22" t="s">
        <v>138</v>
      </c>
      <c r="J296" s="22">
        <v>98</v>
      </c>
      <c r="K296" s="22">
        <v>453</v>
      </c>
      <c r="L296" s="22">
        <v>8</v>
      </c>
      <c r="M296" s="22" t="s">
        <v>138</v>
      </c>
      <c r="N296" s="23" t="str">
        <f t="shared" si="28"/>
        <v>Sin dato</v>
      </c>
      <c r="O296" s="23" t="str">
        <f t="shared" si="29"/>
        <v>Sin dato</v>
      </c>
      <c r="P296" s="23" t="str">
        <f t="shared" si="30"/>
        <v>Medio</v>
      </c>
      <c r="Q296" s="24" t="str">
        <f t="shared" si="31"/>
        <v>N/C</v>
      </c>
      <c r="R296" s="23" t="str">
        <f t="shared" si="32"/>
        <v>N/C</v>
      </c>
      <c r="S296" s="25" t="str">
        <f t="shared" si="33"/>
        <v>No utilizable</v>
      </c>
      <c r="T296" s="26" t="str">
        <f t="shared" si="34"/>
        <v/>
      </c>
      <c r="U296" s="26">
        <f>IF(OR($S296&lt;&gt;"Utilizable",$C296&lt;&gt;SUSTITUCION!$C$13),999999,IF(v_prioridad="Potasio",$H296,IF(v_prioridad="Fósforo",$I296,IF(v_prioridad="Sodio",$J296,IF(ISNUMBER($Q296),$Q296,999999)))))</f>
        <v>999999</v>
      </c>
    </row>
    <row r="297" spans="1:21" ht="15" customHeight="1">
      <c r="A297" s="21" t="s">
        <v>723</v>
      </c>
      <c r="B297" s="21" t="s">
        <v>724</v>
      </c>
      <c r="C297" s="21" t="s">
        <v>603</v>
      </c>
      <c r="D297" s="21" t="s">
        <v>604</v>
      </c>
      <c r="E297" s="21" t="s">
        <v>135</v>
      </c>
      <c r="F297" s="22">
        <v>405</v>
      </c>
      <c r="G297" s="22">
        <v>7.4</v>
      </c>
      <c r="H297" s="22" t="s">
        <v>138</v>
      </c>
      <c r="I297" s="22" t="s">
        <v>138</v>
      </c>
      <c r="J297" s="22">
        <v>235</v>
      </c>
      <c r="K297" s="22">
        <v>405</v>
      </c>
      <c r="L297" s="22">
        <v>7.4</v>
      </c>
      <c r="M297" s="22" t="s">
        <v>138</v>
      </c>
      <c r="N297" s="23" t="str">
        <f t="shared" si="28"/>
        <v>Sin dato</v>
      </c>
      <c r="O297" s="23" t="str">
        <f t="shared" si="29"/>
        <v>Sin dato</v>
      </c>
      <c r="P297" s="23" t="str">
        <f t="shared" si="30"/>
        <v>Alto</v>
      </c>
      <c r="Q297" s="24" t="str">
        <f t="shared" si="31"/>
        <v>N/C</v>
      </c>
      <c r="R297" s="23" t="str">
        <f t="shared" si="32"/>
        <v>N/C</v>
      </c>
      <c r="S297" s="25" t="str">
        <f t="shared" si="33"/>
        <v>No utilizable</v>
      </c>
      <c r="T297" s="26" t="str">
        <f t="shared" si="34"/>
        <v/>
      </c>
      <c r="U297" s="26">
        <f>IF(OR($S297&lt;&gt;"Utilizable",$C297&lt;&gt;SUSTITUCION!$C$13),999999,IF(v_prioridad="Potasio",$H297,IF(v_prioridad="Fósforo",$I297,IF(v_prioridad="Sodio",$J297,IF(ISNUMBER($Q297),$Q297,999999)))))</f>
        <v>999999</v>
      </c>
    </row>
    <row r="298" spans="1:21" ht="15" customHeight="1">
      <c r="A298" s="21" t="s">
        <v>725</v>
      </c>
      <c r="B298" s="21" t="s">
        <v>726</v>
      </c>
      <c r="C298" s="21" t="s">
        <v>603</v>
      </c>
      <c r="D298" s="21" t="s">
        <v>604</v>
      </c>
      <c r="E298" s="21" t="s">
        <v>135</v>
      </c>
      <c r="F298" s="22">
        <v>386</v>
      </c>
      <c r="G298" s="22">
        <v>5.7</v>
      </c>
      <c r="H298" s="22">
        <v>171</v>
      </c>
      <c r="I298" s="22">
        <v>163</v>
      </c>
      <c r="J298" s="22">
        <v>629</v>
      </c>
      <c r="K298" s="22">
        <v>386</v>
      </c>
      <c r="L298" s="22">
        <v>5.7</v>
      </c>
      <c r="M298" s="22">
        <v>429</v>
      </c>
      <c r="N298" s="23" t="str">
        <f t="shared" si="28"/>
        <v>Medio</v>
      </c>
      <c r="O298" s="23" t="str">
        <f t="shared" si="29"/>
        <v>Alto</v>
      </c>
      <c r="P298" s="23" t="str">
        <f t="shared" si="30"/>
        <v>Muy alto</v>
      </c>
      <c r="Q298" s="24" t="str">
        <f t="shared" si="31"/>
        <v>N/C: no es fuente proteica</v>
      </c>
      <c r="R298" s="23" t="str">
        <f t="shared" si="32"/>
        <v>N/C</v>
      </c>
      <c r="S298" s="25" t="str">
        <f t="shared" si="33"/>
        <v>Utilizable</v>
      </c>
      <c r="T298" s="26" t="str">
        <f t="shared" si="34"/>
        <v>cereales y derivados|00.000.171</v>
      </c>
      <c r="U298" s="26">
        <f>IF(OR($S298&lt;&gt;"Utilizable",$C298&lt;&gt;SUSTITUCION!$C$13),999999,IF(v_prioridad="Potasio",$H298,IF(v_prioridad="Fósforo",$I298,IF(v_prioridad="Sodio",$J298,IF(ISNUMBER($Q298),$Q298,999999)))))</f>
        <v>999999</v>
      </c>
    </row>
    <row r="299" spans="1:21" ht="15" customHeight="1">
      <c r="A299" s="21" t="s">
        <v>727</v>
      </c>
      <c r="B299" s="21" t="s">
        <v>728</v>
      </c>
      <c r="C299" s="21" t="s">
        <v>603</v>
      </c>
      <c r="D299" s="21" t="s">
        <v>604</v>
      </c>
      <c r="E299" s="21" t="s">
        <v>135</v>
      </c>
      <c r="F299" s="22">
        <v>384</v>
      </c>
      <c r="G299" s="22">
        <v>8</v>
      </c>
      <c r="H299" s="22">
        <v>384</v>
      </c>
      <c r="I299" s="22">
        <v>149</v>
      </c>
      <c r="J299" s="22">
        <v>670</v>
      </c>
      <c r="K299" s="22">
        <v>384</v>
      </c>
      <c r="L299" s="22">
        <v>8</v>
      </c>
      <c r="M299" s="22">
        <v>40</v>
      </c>
      <c r="N299" s="23" t="str">
        <f t="shared" si="28"/>
        <v>Muy alto</v>
      </c>
      <c r="O299" s="23" t="str">
        <f t="shared" si="29"/>
        <v>Alto</v>
      </c>
      <c r="P299" s="23" t="str">
        <f t="shared" si="30"/>
        <v>Muy alto</v>
      </c>
      <c r="Q299" s="24" t="str">
        <f t="shared" si="31"/>
        <v>N/C: no es fuente proteica</v>
      </c>
      <c r="R299" s="23" t="str">
        <f t="shared" si="32"/>
        <v>N/C</v>
      </c>
      <c r="S299" s="25" t="str">
        <f t="shared" si="33"/>
        <v>Utilizable</v>
      </c>
      <c r="T299" s="26" t="str">
        <f t="shared" si="34"/>
        <v>cereales y derivados|00.000.384</v>
      </c>
      <c r="U299" s="26">
        <f>IF(OR($S299&lt;&gt;"Utilizable",$C299&lt;&gt;SUSTITUCION!$C$13),999999,IF(v_prioridad="Potasio",$H299,IF(v_prioridad="Fósforo",$I299,IF(v_prioridad="Sodio",$J299,IF(ISNUMBER($Q299),$Q299,999999)))))</f>
        <v>999999</v>
      </c>
    </row>
    <row r="300" spans="1:21" ht="15" customHeight="1">
      <c r="A300" s="21" t="s">
        <v>729</v>
      </c>
      <c r="B300" s="21" t="s">
        <v>730</v>
      </c>
      <c r="C300" s="21" t="s">
        <v>603</v>
      </c>
      <c r="D300" s="21" t="s">
        <v>604</v>
      </c>
      <c r="E300" s="21" t="s">
        <v>135</v>
      </c>
      <c r="F300" s="22">
        <v>363</v>
      </c>
      <c r="G300" s="22">
        <v>8.4</v>
      </c>
      <c r="H300" s="22" t="s">
        <v>138</v>
      </c>
      <c r="I300" s="22" t="s">
        <v>138</v>
      </c>
      <c r="J300" s="22">
        <v>228</v>
      </c>
      <c r="K300" s="22">
        <v>363</v>
      </c>
      <c r="L300" s="22">
        <v>8.4</v>
      </c>
      <c r="M300" s="22" t="s">
        <v>138</v>
      </c>
      <c r="N300" s="23" t="str">
        <f t="shared" si="28"/>
        <v>Sin dato</v>
      </c>
      <c r="O300" s="23" t="str">
        <f t="shared" si="29"/>
        <v>Sin dato</v>
      </c>
      <c r="P300" s="23" t="str">
        <f t="shared" si="30"/>
        <v>Alto</v>
      </c>
      <c r="Q300" s="24" t="str">
        <f t="shared" si="31"/>
        <v>N/C</v>
      </c>
      <c r="R300" s="23" t="str">
        <f t="shared" si="32"/>
        <v>N/C</v>
      </c>
      <c r="S300" s="25" t="str">
        <f t="shared" si="33"/>
        <v>No utilizable</v>
      </c>
      <c r="T300" s="26" t="str">
        <f t="shared" si="34"/>
        <v/>
      </c>
      <c r="U300" s="26">
        <f>IF(OR($S300&lt;&gt;"Utilizable",$C300&lt;&gt;SUSTITUCION!$C$13),999999,IF(v_prioridad="Potasio",$H300,IF(v_prioridad="Fósforo",$I300,IF(v_prioridad="Sodio",$J300,IF(ISNUMBER($Q300),$Q300,999999)))))</f>
        <v>999999</v>
      </c>
    </row>
    <row r="301" spans="1:21" ht="15" customHeight="1">
      <c r="A301" s="21" t="s">
        <v>731</v>
      </c>
      <c r="B301" s="21" t="s">
        <v>732</v>
      </c>
      <c r="C301" s="21" t="s">
        <v>603</v>
      </c>
      <c r="D301" s="21" t="s">
        <v>604</v>
      </c>
      <c r="E301" s="21" t="s">
        <v>135</v>
      </c>
      <c r="F301" s="22">
        <v>349</v>
      </c>
      <c r="G301" s="22">
        <v>10.9</v>
      </c>
      <c r="H301" s="22">
        <v>374</v>
      </c>
      <c r="I301" s="22">
        <v>225</v>
      </c>
      <c r="J301" s="22">
        <v>2</v>
      </c>
      <c r="K301" s="22">
        <v>349</v>
      </c>
      <c r="L301" s="22">
        <v>10.9</v>
      </c>
      <c r="M301" s="22">
        <v>24</v>
      </c>
      <c r="N301" s="23" t="str">
        <f t="shared" si="28"/>
        <v>Muy alto</v>
      </c>
      <c r="O301" s="23" t="str">
        <f t="shared" si="29"/>
        <v>Muy alto</v>
      </c>
      <c r="P301" s="23" t="str">
        <f t="shared" si="30"/>
        <v>Bajo</v>
      </c>
      <c r="Q301" s="24">
        <f t="shared" si="31"/>
        <v>20.642201834862384</v>
      </c>
      <c r="R301" s="23" t="str">
        <f t="shared" si="32"/>
        <v>Alta</v>
      </c>
      <c r="S301" s="25" t="str">
        <f t="shared" si="33"/>
        <v>Utilizable</v>
      </c>
      <c r="T301" s="26" t="str">
        <f t="shared" si="34"/>
        <v>cereales y derivados|00.000.374</v>
      </c>
      <c r="U301" s="26">
        <f>IF(OR($S301&lt;&gt;"Utilizable",$C301&lt;&gt;SUSTITUCION!$C$13),999999,IF(v_prioridad="Potasio",$H301,IF(v_prioridad="Fósforo",$I301,IF(v_prioridad="Sodio",$J301,IF(ISNUMBER($Q301),$Q301,999999)))))</f>
        <v>999999</v>
      </c>
    </row>
    <row r="302" spans="1:21" ht="15" customHeight="1">
      <c r="A302" s="21" t="s">
        <v>733</v>
      </c>
      <c r="B302" s="21" t="s">
        <v>734</v>
      </c>
      <c r="C302" s="21" t="s">
        <v>603</v>
      </c>
      <c r="D302" s="21" t="s">
        <v>604</v>
      </c>
      <c r="E302" s="21" t="s">
        <v>135</v>
      </c>
      <c r="F302" s="22">
        <v>364</v>
      </c>
      <c r="G302" s="22">
        <v>10.3</v>
      </c>
      <c r="H302" s="22">
        <v>107</v>
      </c>
      <c r="I302" s="22">
        <v>108</v>
      </c>
      <c r="J302" s="22">
        <v>2</v>
      </c>
      <c r="K302" s="22">
        <v>364</v>
      </c>
      <c r="L302" s="22">
        <v>10.3</v>
      </c>
      <c r="M302" s="22">
        <v>15</v>
      </c>
      <c r="N302" s="23" t="str">
        <f t="shared" si="28"/>
        <v>Medio</v>
      </c>
      <c r="O302" s="23" t="str">
        <f t="shared" si="29"/>
        <v>Alto</v>
      </c>
      <c r="P302" s="23" t="str">
        <f t="shared" si="30"/>
        <v>Bajo</v>
      </c>
      <c r="Q302" s="24">
        <f t="shared" si="31"/>
        <v>10.485436893203882</v>
      </c>
      <c r="R302" s="23" t="str">
        <f t="shared" si="32"/>
        <v>Deseable</v>
      </c>
      <c r="S302" s="25" t="str">
        <f t="shared" si="33"/>
        <v>Utilizable</v>
      </c>
      <c r="T302" s="26" t="str">
        <f t="shared" si="34"/>
        <v>cereales y derivados|00.000.107</v>
      </c>
      <c r="U302" s="26">
        <f>IF(OR($S302&lt;&gt;"Utilizable",$C302&lt;&gt;SUSTITUCION!$C$13),999999,IF(v_prioridad="Potasio",$H302,IF(v_prioridad="Fósforo",$I302,IF(v_prioridad="Sodio",$J302,IF(ISNUMBER($Q302),$Q302,999999)))))</f>
        <v>999999</v>
      </c>
    </row>
    <row r="303" spans="1:21" ht="15" customHeight="1">
      <c r="A303" s="21" t="s">
        <v>735</v>
      </c>
      <c r="B303" s="21" t="s">
        <v>736</v>
      </c>
      <c r="C303" s="21" t="s">
        <v>603</v>
      </c>
      <c r="D303" s="21" t="s">
        <v>604</v>
      </c>
      <c r="E303" s="21" t="s">
        <v>135</v>
      </c>
      <c r="F303" s="22">
        <v>333</v>
      </c>
      <c r="G303" s="22">
        <v>0.3</v>
      </c>
      <c r="H303" s="22" t="s">
        <v>138</v>
      </c>
      <c r="I303" s="22" t="s">
        <v>138</v>
      </c>
      <c r="J303" s="22">
        <v>17</v>
      </c>
      <c r="K303" s="22">
        <v>333</v>
      </c>
      <c r="L303" s="22">
        <v>0.3</v>
      </c>
      <c r="M303" s="22" t="s">
        <v>138</v>
      </c>
      <c r="N303" s="23" t="str">
        <f t="shared" si="28"/>
        <v>Sin dato</v>
      </c>
      <c r="O303" s="23" t="str">
        <f t="shared" si="29"/>
        <v>Sin dato</v>
      </c>
      <c r="P303" s="23" t="str">
        <f t="shared" si="30"/>
        <v>Bajo</v>
      </c>
      <c r="Q303" s="24" t="str">
        <f t="shared" si="31"/>
        <v>N/C</v>
      </c>
      <c r="R303" s="23" t="str">
        <f t="shared" si="32"/>
        <v>N/C</v>
      </c>
      <c r="S303" s="25" t="str">
        <f t="shared" si="33"/>
        <v>No utilizable</v>
      </c>
      <c r="T303" s="26" t="str">
        <f t="shared" si="34"/>
        <v/>
      </c>
      <c r="U303" s="26">
        <f>IF(OR($S303&lt;&gt;"Utilizable",$C303&lt;&gt;SUSTITUCION!$C$13),999999,IF(v_prioridad="Potasio",$H303,IF(v_prioridad="Fósforo",$I303,IF(v_prioridad="Sodio",$J303,IF(ISNUMBER($Q303),$Q303,999999)))))</f>
        <v>999999</v>
      </c>
    </row>
    <row r="304" spans="1:21" ht="15" customHeight="1">
      <c r="A304" s="21" t="s">
        <v>737</v>
      </c>
      <c r="B304" s="21" t="s">
        <v>738</v>
      </c>
      <c r="C304" s="21" t="s">
        <v>603</v>
      </c>
      <c r="D304" s="21" t="s">
        <v>604</v>
      </c>
      <c r="E304" s="21" t="s">
        <v>135</v>
      </c>
      <c r="F304" s="22">
        <v>380</v>
      </c>
      <c r="G304" s="22">
        <v>13.4</v>
      </c>
      <c r="H304" s="22" t="s">
        <v>138</v>
      </c>
      <c r="I304" s="22">
        <v>292</v>
      </c>
      <c r="J304" s="22" t="s">
        <v>138</v>
      </c>
      <c r="K304" s="22">
        <v>380</v>
      </c>
      <c r="L304" s="22">
        <v>13.4</v>
      </c>
      <c r="M304" s="22">
        <v>62</v>
      </c>
      <c r="N304" s="23" t="str">
        <f t="shared" si="28"/>
        <v>Sin dato</v>
      </c>
      <c r="O304" s="23" t="str">
        <f t="shared" si="29"/>
        <v>Muy alto</v>
      </c>
      <c r="P304" s="23" t="str">
        <f t="shared" si="30"/>
        <v>Sin dato</v>
      </c>
      <c r="Q304" s="24">
        <f t="shared" si="31"/>
        <v>21.791044776119403</v>
      </c>
      <c r="R304" s="23" t="str">
        <f t="shared" si="32"/>
        <v>Alta</v>
      </c>
      <c r="S304" s="25" t="str">
        <f t="shared" si="33"/>
        <v>No utilizable</v>
      </c>
      <c r="T304" s="26" t="str">
        <f t="shared" si="34"/>
        <v/>
      </c>
      <c r="U304" s="26">
        <f>IF(OR($S304&lt;&gt;"Utilizable",$C304&lt;&gt;SUSTITUCION!$C$13),999999,IF(v_prioridad="Potasio",$H304,IF(v_prioridad="Fósforo",$I304,IF(v_prioridad="Sodio",$J304,IF(ISNUMBER($Q304),$Q304,999999)))))</f>
        <v>999999</v>
      </c>
    </row>
    <row r="305" spans="1:21" ht="15" customHeight="1">
      <c r="A305" s="21" t="s">
        <v>739</v>
      </c>
      <c r="B305" s="21" t="s">
        <v>740</v>
      </c>
      <c r="C305" s="21" t="s">
        <v>603</v>
      </c>
      <c r="D305" s="21" t="s">
        <v>604</v>
      </c>
      <c r="E305" s="21" t="s">
        <v>135</v>
      </c>
      <c r="F305" s="22">
        <v>361</v>
      </c>
      <c r="G305" s="22">
        <v>6.9</v>
      </c>
      <c r="H305" s="22">
        <v>315</v>
      </c>
      <c r="I305" s="22">
        <v>272</v>
      </c>
      <c r="J305" s="22">
        <v>5</v>
      </c>
      <c r="K305" s="22">
        <v>361</v>
      </c>
      <c r="L305" s="22">
        <v>6.9</v>
      </c>
      <c r="M305" s="22">
        <v>7</v>
      </c>
      <c r="N305" s="23" t="str">
        <f t="shared" si="28"/>
        <v>Muy alto</v>
      </c>
      <c r="O305" s="23" t="str">
        <f t="shared" si="29"/>
        <v>Muy alto</v>
      </c>
      <c r="P305" s="23" t="str">
        <f t="shared" si="30"/>
        <v>Bajo</v>
      </c>
      <c r="Q305" s="24" t="str">
        <f t="shared" si="31"/>
        <v>N/C: no es fuente proteica</v>
      </c>
      <c r="R305" s="23" t="str">
        <f t="shared" si="32"/>
        <v>N/C</v>
      </c>
      <c r="S305" s="25" t="str">
        <f t="shared" si="33"/>
        <v>Utilizable</v>
      </c>
      <c r="T305" s="26" t="str">
        <f t="shared" si="34"/>
        <v>cereales y derivados|00.000.315</v>
      </c>
      <c r="U305" s="26">
        <f>IF(OR($S305&lt;&gt;"Utilizable",$C305&lt;&gt;SUSTITUCION!$C$13),999999,IF(v_prioridad="Potasio",$H305,IF(v_prioridad="Fósforo",$I305,IF(v_prioridad="Sodio",$J305,IF(ISNUMBER($Q305),$Q305,999999)))))</f>
        <v>999999</v>
      </c>
    </row>
    <row r="306" spans="1:21" ht="15" customHeight="1">
      <c r="A306" s="21" t="s">
        <v>741</v>
      </c>
      <c r="B306" s="21" t="s">
        <v>742</v>
      </c>
      <c r="C306" s="21" t="s">
        <v>603</v>
      </c>
      <c r="D306" s="21" t="s">
        <v>604</v>
      </c>
      <c r="E306" s="21" t="s">
        <v>135</v>
      </c>
      <c r="F306" s="22">
        <v>351</v>
      </c>
      <c r="G306" s="22">
        <v>8</v>
      </c>
      <c r="H306" s="22">
        <v>1588</v>
      </c>
      <c r="I306" s="22">
        <v>178</v>
      </c>
      <c r="J306" s="22">
        <v>34</v>
      </c>
      <c r="K306" s="22">
        <v>351</v>
      </c>
      <c r="L306" s="22">
        <v>8</v>
      </c>
      <c r="M306" s="22">
        <v>33</v>
      </c>
      <c r="N306" s="23" t="str">
        <f t="shared" si="28"/>
        <v>Muy alto</v>
      </c>
      <c r="O306" s="23" t="str">
        <f t="shared" si="29"/>
        <v>Muy alto</v>
      </c>
      <c r="P306" s="23" t="str">
        <f t="shared" si="30"/>
        <v>Bajo</v>
      </c>
      <c r="Q306" s="24" t="str">
        <f t="shared" si="31"/>
        <v>N/C: no es fuente proteica</v>
      </c>
      <c r="R306" s="23" t="str">
        <f t="shared" si="32"/>
        <v>N/C</v>
      </c>
      <c r="S306" s="25" t="str">
        <f t="shared" si="33"/>
        <v>Utilizable</v>
      </c>
      <c r="T306" s="26" t="str">
        <f t="shared" si="34"/>
        <v>cereales y derivados|00.001.588</v>
      </c>
      <c r="U306" s="26">
        <f>IF(OR($S306&lt;&gt;"Utilizable",$C306&lt;&gt;SUSTITUCION!$C$13),999999,IF(v_prioridad="Potasio",$H306,IF(v_prioridad="Fósforo",$I306,IF(v_prioridad="Sodio",$J306,IF(ISNUMBER($Q306),$Q306,999999)))))</f>
        <v>999999</v>
      </c>
    </row>
    <row r="307" spans="1:21" ht="15" customHeight="1">
      <c r="A307" s="21" t="s">
        <v>743</v>
      </c>
      <c r="B307" s="21" t="s">
        <v>744</v>
      </c>
      <c r="C307" s="21" t="s">
        <v>603</v>
      </c>
      <c r="D307" s="21" t="s">
        <v>604</v>
      </c>
      <c r="E307" s="21" t="s">
        <v>135</v>
      </c>
      <c r="F307" s="22">
        <v>381</v>
      </c>
      <c r="G307" s="22">
        <v>0.3</v>
      </c>
      <c r="H307" s="22">
        <v>3</v>
      </c>
      <c r="I307" s="22">
        <v>13</v>
      </c>
      <c r="J307" s="22">
        <v>9</v>
      </c>
      <c r="K307" s="22">
        <v>381</v>
      </c>
      <c r="L307" s="22">
        <v>0.3</v>
      </c>
      <c r="M307" s="22">
        <v>2</v>
      </c>
      <c r="N307" s="23" t="str">
        <f t="shared" si="28"/>
        <v>Bajo</v>
      </c>
      <c r="O307" s="23" t="str">
        <f t="shared" si="29"/>
        <v>Bajo</v>
      </c>
      <c r="P307" s="23" t="str">
        <f t="shared" si="30"/>
        <v>Bajo</v>
      </c>
      <c r="Q307" s="24" t="str">
        <f t="shared" si="31"/>
        <v>N/C: no es fuente proteica</v>
      </c>
      <c r="R307" s="23" t="str">
        <f t="shared" si="32"/>
        <v>N/C</v>
      </c>
      <c r="S307" s="25" t="str">
        <f t="shared" si="33"/>
        <v>Utilizable</v>
      </c>
      <c r="T307" s="26" t="str">
        <f t="shared" si="34"/>
        <v>cereales y derivados|00.000.003</v>
      </c>
      <c r="U307" s="26">
        <f>IF(OR($S307&lt;&gt;"Utilizable",$C307&lt;&gt;SUSTITUCION!$C$13),999999,IF(v_prioridad="Potasio",$H307,IF(v_prioridad="Fósforo",$I307,IF(v_prioridad="Sodio",$J307,IF(ISNUMBER($Q307),$Q307,999999)))))</f>
        <v>999999</v>
      </c>
    </row>
    <row r="308" spans="1:21" ht="15" customHeight="1">
      <c r="A308" s="21" t="s">
        <v>745</v>
      </c>
      <c r="B308" s="21" t="s">
        <v>746</v>
      </c>
      <c r="C308" s="21" t="s">
        <v>603</v>
      </c>
      <c r="D308" s="21" t="s">
        <v>604</v>
      </c>
      <c r="E308" s="21" t="s">
        <v>135</v>
      </c>
      <c r="F308" s="22">
        <v>360</v>
      </c>
      <c r="G308" s="22">
        <v>12.7</v>
      </c>
      <c r="H308" s="22">
        <v>186</v>
      </c>
      <c r="I308" s="22">
        <v>136</v>
      </c>
      <c r="J308" s="22">
        <v>1</v>
      </c>
      <c r="K308" s="22">
        <v>360</v>
      </c>
      <c r="L308" s="22">
        <v>12.7</v>
      </c>
      <c r="M308" s="22">
        <v>17</v>
      </c>
      <c r="N308" s="23" t="str">
        <f t="shared" si="28"/>
        <v>Medio</v>
      </c>
      <c r="O308" s="23" t="str">
        <f t="shared" si="29"/>
        <v>Alto</v>
      </c>
      <c r="P308" s="23" t="str">
        <f t="shared" si="30"/>
        <v>Bajo</v>
      </c>
      <c r="Q308" s="24">
        <f t="shared" si="31"/>
        <v>10.708661417322835</v>
      </c>
      <c r="R308" s="23" t="str">
        <f t="shared" si="32"/>
        <v>Deseable</v>
      </c>
      <c r="S308" s="25" t="str">
        <f t="shared" si="33"/>
        <v>Utilizable</v>
      </c>
      <c r="T308" s="26" t="str">
        <f t="shared" si="34"/>
        <v>cereales y derivados|00.000.186</v>
      </c>
      <c r="U308" s="26">
        <f>IF(OR($S308&lt;&gt;"Utilizable",$C308&lt;&gt;SUSTITUCION!$C$13),999999,IF(v_prioridad="Potasio",$H308,IF(v_prioridad="Fósforo",$I308,IF(v_prioridad="Sodio",$J308,IF(ISNUMBER($Q308),$Q308,999999)))))</f>
        <v>999999</v>
      </c>
    </row>
    <row r="309" spans="1:21" ht="15" customHeight="1">
      <c r="A309" s="21" t="s">
        <v>747</v>
      </c>
      <c r="B309" s="21" t="s">
        <v>748</v>
      </c>
      <c r="C309" s="21" t="s">
        <v>603</v>
      </c>
      <c r="D309" s="21" t="s">
        <v>604</v>
      </c>
      <c r="E309" s="21" t="s">
        <v>135</v>
      </c>
      <c r="F309" s="22">
        <v>342</v>
      </c>
      <c r="G309" s="22">
        <v>12</v>
      </c>
      <c r="H309" s="22" t="s">
        <v>138</v>
      </c>
      <c r="I309" s="22" t="s">
        <v>138</v>
      </c>
      <c r="J309" s="22">
        <v>5</v>
      </c>
      <c r="K309" s="22">
        <v>342</v>
      </c>
      <c r="L309" s="22">
        <v>12</v>
      </c>
      <c r="M309" s="22" t="s">
        <v>138</v>
      </c>
      <c r="N309" s="23" t="str">
        <f t="shared" si="28"/>
        <v>Sin dato</v>
      </c>
      <c r="O309" s="23" t="str">
        <f t="shared" si="29"/>
        <v>Sin dato</v>
      </c>
      <c r="P309" s="23" t="str">
        <f t="shared" si="30"/>
        <v>Bajo</v>
      </c>
      <c r="Q309" s="24" t="str">
        <f t="shared" si="31"/>
        <v>N/C</v>
      </c>
      <c r="R309" s="23" t="str">
        <f t="shared" si="32"/>
        <v>N/C</v>
      </c>
      <c r="S309" s="25" t="str">
        <f t="shared" si="33"/>
        <v>No utilizable</v>
      </c>
      <c r="T309" s="26" t="str">
        <f t="shared" si="34"/>
        <v/>
      </c>
      <c r="U309" s="26">
        <f>IF(OR($S309&lt;&gt;"Utilizable",$C309&lt;&gt;SUSTITUCION!$C$13),999999,IF(v_prioridad="Potasio",$H309,IF(v_prioridad="Fósforo",$I309,IF(v_prioridad="Sodio",$J309,IF(ISNUMBER($Q309),$Q309,999999)))))</f>
        <v>999999</v>
      </c>
    </row>
    <row r="310" spans="1:21" ht="15" customHeight="1">
      <c r="A310" s="21" t="s">
        <v>749</v>
      </c>
      <c r="B310" s="21" t="s">
        <v>750</v>
      </c>
      <c r="C310" s="21" t="s">
        <v>603</v>
      </c>
      <c r="D310" s="21" t="s">
        <v>604</v>
      </c>
      <c r="E310" s="21" t="s">
        <v>135</v>
      </c>
      <c r="F310" s="22">
        <v>358</v>
      </c>
      <c r="G310" s="22">
        <v>0.2</v>
      </c>
      <c r="H310" s="22">
        <v>11</v>
      </c>
      <c r="I310" s="22">
        <v>7</v>
      </c>
      <c r="J310" s="22">
        <v>1</v>
      </c>
      <c r="K310" s="22">
        <v>358</v>
      </c>
      <c r="L310" s="22">
        <v>0.2</v>
      </c>
      <c r="M310" s="22">
        <v>20</v>
      </c>
      <c r="N310" s="23" t="str">
        <f t="shared" si="28"/>
        <v>Bajo</v>
      </c>
      <c r="O310" s="23" t="str">
        <f t="shared" si="29"/>
        <v>Bajo</v>
      </c>
      <c r="P310" s="23" t="str">
        <f t="shared" si="30"/>
        <v>Bajo</v>
      </c>
      <c r="Q310" s="24" t="str">
        <f t="shared" si="31"/>
        <v>N/C: no es fuente proteica</v>
      </c>
      <c r="R310" s="23" t="str">
        <f t="shared" si="32"/>
        <v>N/C</v>
      </c>
      <c r="S310" s="25" t="str">
        <f t="shared" si="33"/>
        <v>Utilizable</v>
      </c>
      <c r="T310" s="26" t="str">
        <f t="shared" si="34"/>
        <v>cereales y derivados|00.000.011</v>
      </c>
      <c r="U310" s="26">
        <f>IF(OR($S310&lt;&gt;"Utilizable",$C310&lt;&gt;SUSTITUCION!$C$13),999999,IF(v_prioridad="Potasio",$H310,IF(v_prioridad="Fósforo",$I310,IF(v_prioridad="Sodio",$J310,IF(ISNUMBER($Q310),$Q310,999999)))))</f>
        <v>999999</v>
      </c>
    </row>
    <row r="311" spans="1:21" ht="15" customHeight="1">
      <c r="A311" s="21" t="s">
        <v>751</v>
      </c>
      <c r="B311" s="21" t="s">
        <v>752</v>
      </c>
      <c r="C311" s="21" t="s">
        <v>753</v>
      </c>
      <c r="D311" s="21" t="s">
        <v>754</v>
      </c>
      <c r="E311" s="21" t="s">
        <v>135</v>
      </c>
      <c r="F311" s="22">
        <v>131</v>
      </c>
      <c r="G311" s="22">
        <v>1.6</v>
      </c>
      <c r="H311" s="22" t="s">
        <v>138</v>
      </c>
      <c r="I311" s="22">
        <v>21</v>
      </c>
      <c r="J311" s="22" t="s">
        <v>138</v>
      </c>
      <c r="K311" s="22">
        <v>131</v>
      </c>
      <c r="L311" s="22">
        <v>1.6</v>
      </c>
      <c r="M311" s="22">
        <v>41</v>
      </c>
      <c r="N311" s="23" t="str">
        <f t="shared" si="28"/>
        <v>Sin dato</v>
      </c>
      <c r="O311" s="23" t="str">
        <f t="shared" si="29"/>
        <v>Bajo</v>
      </c>
      <c r="P311" s="23" t="str">
        <f t="shared" si="30"/>
        <v>Sin dato</v>
      </c>
      <c r="Q311" s="24" t="str">
        <f t="shared" si="31"/>
        <v>N/C: no es fuente proteica</v>
      </c>
      <c r="R311" s="23" t="str">
        <f t="shared" si="32"/>
        <v>N/C</v>
      </c>
      <c r="S311" s="25" t="str">
        <f t="shared" si="33"/>
        <v>No utilizable</v>
      </c>
      <c r="T311" s="26" t="str">
        <f t="shared" si="34"/>
        <v/>
      </c>
      <c r="U311" s="26">
        <f>IF(OR($S311&lt;&gt;"Utilizable",$C311&lt;&gt;SUSTITUCION!$C$13),999999,IF(v_prioridad="Potasio",$H311,IF(v_prioridad="Fósforo",$I311,IF(v_prioridad="Sodio",$J311,IF(ISNUMBER($Q311),$Q311,999999)))))</f>
        <v>999999</v>
      </c>
    </row>
    <row r="312" spans="1:21" ht="15" customHeight="1">
      <c r="A312" s="21" t="s">
        <v>755</v>
      </c>
      <c r="B312" s="21" t="s">
        <v>756</v>
      </c>
      <c r="C312" s="21" t="s">
        <v>753</v>
      </c>
      <c r="D312" s="21" t="s">
        <v>754</v>
      </c>
      <c r="E312" s="21" t="s">
        <v>135</v>
      </c>
      <c r="F312" s="22">
        <v>89</v>
      </c>
      <c r="G312" s="22">
        <v>2.2999999999999998</v>
      </c>
      <c r="H312" s="22">
        <v>545</v>
      </c>
      <c r="I312" s="22">
        <v>72</v>
      </c>
      <c r="J312" s="22">
        <v>12</v>
      </c>
      <c r="K312" s="22">
        <v>89</v>
      </c>
      <c r="L312" s="22">
        <v>2.2999999999999998</v>
      </c>
      <c r="M312" s="22">
        <v>9</v>
      </c>
      <c r="N312" s="23" t="str">
        <f t="shared" si="28"/>
        <v>Muy alto</v>
      </c>
      <c r="O312" s="23" t="str">
        <f t="shared" si="29"/>
        <v>Medio</v>
      </c>
      <c r="P312" s="23" t="str">
        <f t="shared" si="30"/>
        <v>Bajo</v>
      </c>
      <c r="Q312" s="24" t="str">
        <f t="shared" si="31"/>
        <v>N/C: no es fuente proteica</v>
      </c>
      <c r="R312" s="23" t="str">
        <f t="shared" si="32"/>
        <v>N/C</v>
      </c>
      <c r="S312" s="25" t="str">
        <f t="shared" si="33"/>
        <v>Utilizable</v>
      </c>
      <c r="T312" s="26" t="str">
        <f t="shared" si="34"/>
        <v>Papas|00.000.545</v>
      </c>
      <c r="U312" s="26">
        <f>IF(OR($S312&lt;&gt;"Utilizable",$C312&lt;&gt;SUSTITUCION!$C$13),999999,IF(v_prioridad="Potasio",$H312,IF(v_prioridad="Fósforo",$I312,IF(v_prioridad="Sodio",$J312,IF(ISNUMBER($Q312),$Q312,999999)))))</f>
        <v>545</v>
      </c>
    </row>
    <row r="313" spans="1:21" ht="15" customHeight="1">
      <c r="A313" s="21" t="s">
        <v>757</v>
      </c>
      <c r="B313" s="21" t="s">
        <v>758</v>
      </c>
      <c r="C313" s="21" t="s">
        <v>753</v>
      </c>
      <c r="D313" s="21" t="s">
        <v>754</v>
      </c>
      <c r="E313" s="21" t="s">
        <v>135</v>
      </c>
      <c r="F313" s="22">
        <v>80</v>
      </c>
      <c r="G313" s="22">
        <v>3.1</v>
      </c>
      <c r="H313" s="22">
        <v>419</v>
      </c>
      <c r="I313" s="22">
        <v>51</v>
      </c>
      <c r="J313" s="22">
        <v>7</v>
      </c>
      <c r="K313" s="22">
        <v>80</v>
      </c>
      <c r="L313" s="22">
        <v>3.1</v>
      </c>
      <c r="M313" s="22">
        <v>11</v>
      </c>
      <c r="N313" s="23" t="str">
        <f t="shared" si="28"/>
        <v>Muy alto</v>
      </c>
      <c r="O313" s="23" t="str">
        <f t="shared" si="29"/>
        <v>Medio</v>
      </c>
      <c r="P313" s="23" t="str">
        <f t="shared" si="30"/>
        <v>Bajo</v>
      </c>
      <c r="Q313" s="24" t="str">
        <f t="shared" si="31"/>
        <v>N/C: no es fuente proteica</v>
      </c>
      <c r="R313" s="23" t="str">
        <f t="shared" si="32"/>
        <v>N/C</v>
      </c>
      <c r="S313" s="25" t="str">
        <f t="shared" si="33"/>
        <v>Utilizable</v>
      </c>
      <c r="T313" s="26" t="str">
        <f t="shared" si="34"/>
        <v>Papas|00.000.419</v>
      </c>
      <c r="U313" s="26">
        <f>IF(OR($S313&lt;&gt;"Utilizable",$C313&lt;&gt;SUSTITUCION!$C$13),999999,IF(v_prioridad="Potasio",$H313,IF(v_prioridad="Fósforo",$I313,IF(v_prioridad="Sodio",$J313,IF(ISNUMBER($Q313),$Q313,999999)))))</f>
        <v>419</v>
      </c>
    </row>
    <row r="314" spans="1:21" ht="15" customHeight="1">
      <c r="A314" s="21" t="s">
        <v>759</v>
      </c>
      <c r="B314" s="21" t="s">
        <v>760</v>
      </c>
      <c r="C314" s="21" t="s">
        <v>753</v>
      </c>
      <c r="D314" s="21" t="s">
        <v>754</v>
      </c>
      <c r="E314" s="21" t="s">
        <v>135</v>
      </c>
      <c r="F314" s="22">
        <v>79</v>
      </c>
      <c r="G314" s="22">
        <v>2.1</v>
      </c>
      <c r="H314" s="22">
        <v>417</v>
      </c>
      <c r="I314" s="22">
        <v>55</v>
      </c>
      <c r="J314" s="22">
        <v>5</v>
      </c>
      <c r="K314" s="22">
        <v>79</v>
      </c>
      <c r="L314" s="22">
        <v>2.1</v>
      </c>
      <c r="M314" s="22">
        <v>13</v>
      </c>
      <c r="N314" s="23" t="str">
        <f t="shared" si="28"/>
        <v>Muy alto</v>
      </c>
      <c r="O314" s="23" t="str">
        <f t="shared" si="29"/>
        <v>Medio</v>
      </c>
      <c r="P314" s="23" t="str">
        <f t="shared" si="30"/>
        <v>Bajo</v>
      </c>
      <c r="Q314" s="24" t="str">
        <f t="shared" si="31"/>
        <v>N/C: no es fuente proteica</v>
      </c>
      <c r="R314" s="23" t="str">
        <f t="shared" si="32"/>
        <v>N/C</v>
      </c>
      <c r="S314" s="25" t="str">
        <f t="shared" si="33"/>
        <v>Utilizable</v>
      </c>
      <c r="T314" s="26" t="str">
        <f t="shared" si="34"/>
        <v>Papas|00.000.417</v>
      </c>
      <c r="U314" s="26">
        <f>IF(OR($S314&lt;&gt;"Utilizable",$C314&lt;&gt;SUSTITUCION!$C$13),999999,IF(v_prioridad="Potasio",$H314,IF(v_prioridad="Fósforo",$I314,IF(v_prioridad="Sodio",$J314,IF(ISNUMBER($Q314),$Q314,999999)))))</f>
        <v>417</v>
      </c>
    </row>
    <row r="315" spans="1:21" ht="15" customHeight="1">
      <c r="A315" s="21" t="s">
        <v>761</v>
      </c>
      <c r="B315" s="21" t="s">
        <v>762</v>
      </c>
      <c r="C315" s="21" t="s">
        <v>763</v>
      </c>
      <c r="D315" s="21" t="s">
        <v>764</v>
      </c>
      <c r="E315" s="21" t="s">
        <v>135</v>
      </c>
      <c r="F315" s="22">
        <v>884</v>
      </c>
      <c r="G315" s="22">
        <v>0</v>
      </c>
      <c r="H315" s="22">
        <v>0</v>
      </c>
      <c r="I315" s="22">
        <v>0</v>
      </c>
      <c r="J315" s="22">
        <v>0</v>
      </c>
      <c r="K315" s="22">
        <v>884</v>
      </c>
      <c r="L315" s="22">
        <v>0</v>
      </c>
      <c r="M315" s="22">
        <v>0</v>
      </c>
      <c r="N315" s="23" t="str">
        <f t="shared" si="28"/>
        <v>Bajo</v>
      </c>
      <c r="O315" s="23" t="str">
        <f t="shared" si="29"/>
        <v>Bajo</v>
      </c>
      <c r="P315" s="23" t="str">
        <f t="shared" si="30"/>
        <v>Bajo</v>
      </c>
      <c r="Q315" s="24" t="str">
        <f t="shared" si="31"/>
        <v>N/C: no es fuente proteica</v>
      </c>
      <c r="R315" s="23" t="str">
        <f t="shared" si="32"/>
        <v>N/C</v>
      </c>
      <c r="S315" s="25" t="str">
        <f t="shared" si="33"/>
        <v>Utilizable</v>
      </c>
      <c r="T315" s="26" t="str">
        <f t="shared" si="34"/>
        <v>aceites y grasas|00.000.000</v>
      </c>
      <c r="U315" s="26">
        <f>IF(OR($S315&lt;&gt;"Utilizable",$C315&lt;&gt;SUSTITUCION!$C$13),999999,IF(v_prioridad="Potasio",$H315,IF(v_prioridad="Fósforo",$I315,IF(v_prioridad="Sodio",$J315,IF(ISNUMBER($Q315),$Q315,999999)))))</f>
        <v>999999</v>
      </c>
    </row>
    <row r="316" spans="1:21" ht="15" customHeight="1">
      <c r="A316" s="21" t="s">
        <v>765</v>
      </c>
      <c r="B316" s="21" t="s">
        <v>766</v>
      </c>
      <c r="C316" s="21" t="s">
        <v>763</v>
      </c>
      <c r="D316" s="21" t="s">
        <v>764</v>
      </c>
      <c r="E316" s="21" t="s">
        <v>135</v>
      </c>
      <c r="F316" s="22">
        <v>892</v>
      </c>
      <c r="G316" s="22">
        <v>0</v>
      </c>
      <c r="H316" s="22">
        <v>0</v>
      </c>
      <c r="I316" s="22">
        <v>0</v>
      </c>
      <c r="J316" s="22">
        <v>0</v>
      </c>
      <c r="K316" s="22">
        <v>892</v>
      </c>
      <c r="L316" s="22">
        <v>0</v>
      </c>
      <c r="M316" s="22">
        <v>1</v>
      </c>
      <c r="N316" s="23" t="str">
        <f t="shared" si="28"/>
        <v>Bajo</v>
      </c>
      <c r="O316" s="23" t="str">
        <f t="shared" si="29"/>
        <v>Bajo</v>
      </c>
      <c r="P316" s="23" t="str">
        <f t="shared" si="30"/>
        <v>Bajo</v>
      </c>
      <c r="Q316" s="24" t="str">
        <f t="shared" si="31"/>
        <v>N/C: no es fuente proteica</v>
      </c>
      <c r="R316" s="23" t="str">
        <f t="shared" si="32"/>
        <v>N/C</v>
      </c>
      <c r="S316" s="25" t="str">
        <f t="shared" si="33"/>
        <v>Utilizable</v>
      </c>
      <c r="T316" s="26" t="str">
        <f t="shared" si="34"/>
        <v>aceites y grasas|00.000.000</v>
      </c>
      <c r="U316" s="26">
        <f>IF(OR($S316&lt;&gt;"Utilizable",$C316&lt;&gt;SUSTITUCION!$C$13),999999,IF(v_prioridad="Potasio",$H316,IF(v_prioridad="Fósforo",$I316,IF(v_prioridad="Sodio",$J316,IF(ISNUMBER($Q316),$Q316,999999)))))</f>
        <v>999999</v>
      </c>
    </row>
    <row r="317" spans="1:21" ht="15" customHeight="1">
      <c r="A317" s="21" t="s">
        <v>767</v>
      </c>
      <c r="B317" s="21" t="s">
        <v>768</v>
      </c>
      <c r="C317" s="21" t="s">
        <v>763</v>
      </c>
      <c r="D317" s="21" t="s">
        <v>764</v>
      </c>
      <c r="E317" s="21" t="s">
        <v>135</v>
      </c>
      <c r="F317" s="22">
        <v>897</v>
      </c>
      <c r="G317" s="22">
        <v>0</v>
      </c>
      <c r="H317" s="22">
        <v>1.8</v>
      </c>
      <c r="I317" s="22">
        <v>0.9</v>
      </c>
      <c r="J317" s="22">
        <v>0</v>
      </c>
      <c r="K317" s="22">
        <v>897</v>
      </c>
      <c r="L317" s="22">
        <v>0</v>
      </c>
      <c r="M317" s="22">
        <v>0</v>
      </c>
      <c r="N317" s="23" t="str">
        <f t="shared" si="28"/>
        <v>Bajo</v>
      </c>
      <c r="O317" s="23" t="str">
        <f t="shared" si="29"/>
        <v>Bajo</v>
      </c>
      <c r="P317" s="23" t="str">
        <f t="shared" si="30"/>
        <v>Bajo</v>
      </c>
      <c r="Q317" s="24" t="str">
        <f t="shared" si="31"/>
        <v>N/C: no es fuente proteica</v>
      </c>
      <c r="R317" s="23" t="str">
        <f t="shared" si="32"/>
        <v>N/C</v>
      </c>
      <c r="S317" s="25" t="str">
        <f t="shared" si="33"/>
        <v>Utilizable</v>
      </c>
      <c r="T317" s="26" t="str">
        <f t="shared" si="34"/>
        <v>aceites y grasas|00.000.002</v>
      </c>
      <c r="U317" s="26">
        <f>IF(OR($S317&lt;&gt;"Utilizable",$C317&lt;&gt;SUSTITUCION!$C$13),999999,IF(v_prioridad="Potasio",$H317,IF(v_prioridad="Fósforo",$I317,IF(v_prioridad="Sodio",$J317,IF(ISNUMBER($Q317),$Q317,999999)))))</f>
        <v>999999</v>
      </c>
    </row>
    <row r="318" spans="1:21" ht="15" customHeight="1">
      <c r="A318" s="21" t="s">
        <v>769</v>
      </c>
      <c r="B318" s="21" t="s">
        <v>770</v>
      </c>
      <c r="C318" s="21" t="s">
        <v>763</v>
      </c>
      <c r="D318" s="21" t="s">
        <v>764</v>
      </c>
      <c r="E318" s="21" t="s">
        <v>135</v>
      </c>
      <c r="F318" s="22">
        <v>884</v>
      </c>
      <c r="G318" s="22">
        <v>0</v>
      </c>
      <c r="H318" s="22">
        <v>0</v>
      </c>
      <c r="I318" s="22">
        <v>0</v>
      </c>
      <c r="J318" s="22">
        <v>0</v>
      </c>
      <c r="K318" s="22">
        <v>884</v>
      </c>
      <c r="L318" s="22">
        <v>0</v>
      </c>
      <c r="M318" s="22">
        <v>0</v>
      </c>
      <c r="N318" s="23" t="str">
        <f t="shared" si="28"/>
        <v>Bajo</v>
      </c>
      <c r="O318" s="23" t="str">
        <f t="shared" si="29"/>
        <v>Bajo</v>
      </c>
      <c r="P318" s="23" t="str">
        <f t="shared" si="30"/>
        <v>Bajo</v>
      </c>
      <c r="Q318" s="24" t="str">
        <f t="shared" si="31"/>
        <v>N/C: no es fuente proteica</v>
      </c>
      <c r="R318" s="23" t="str">
        <f t="shared" si="32"/>
        <v>N/C</v>
      </c>
      <c r="S318" s="25" t="str">
        <f t="shared" si="33"/>
        <v>Utilizable</v>
      </c>
      <c r="T318" s="26" t="str">
        <f t="shared" si="34"/>
        <v>aceites y grasas|00.000.000</v>
      </c>
      <c r="U318" s="26">
        <f>IF(OR($S318&lt;&gt;"Utilizable",$C318&lt;&gt;SUSTITUCION!$C$13),999999,IF(v_prioridad="Potasio",$H318,IF(v_prioridad="Fósforo",$I318,IF(v_prioridad="Sodio",$J318,IF(ISNUMBER($Q318),$Q318,999999)))))</f>
        <v>999999</v>
      </c>
    </row>
    <row r="319" spans="1:21" ht="15" customHeight="1">
      <c r="A319" s="21" t="s">
        <v>771</v>
      </c>
      <c r="B319" s="21" t="s">
        <v>772</v>
      </c>
      <c r="C319" s="21" t="s">
        <v>763</v>
      </c>
      <c r="D319" s="21" t="s">
        <v>764</v>
      </c>
      <c r="E319" s="21" t="s">
        <v>135</v>
      </c>
      <c r="F319" s="22">
        <v>898</v>
      </c>
      <c r="G319" s="22">
        <v>0</v>
      </c>
      <c r="H319" s="22" t="s">
        <v>138</v>
      </c>
      <c r="I319" s="22" t="s">
        <v>138</v>
      </c>
      <c r="J319" s="22" t="s">
        <v>138</v>
      </c>
      <c r="K319" s="22">
        <v>898</v>
      </c>
      <c r="L319" s="22">
        <v>0</v>
      </c>
      <c r="M319" s="22" t="s">
        <v>138</v>
      </c>
      <c r="N319" s="23" t="str">
        <f t="shared" si="28"/>
        <v>Sin dato</v>
      </c>
      <c r="O319" s="23" t="str">
        <f t="shared" si="29"/>
        <v>Sin dato</v>
      </c>
      <c r="P319" s="23" t="str">
        <f t="shared" si="30"/>
        <v>Sin dato</v>
      </c>
      <c r="Q319" s="24" t="str">
        <f t="shared" si="31"/>
        <v>N/C</v>
      </c>
      <c r="R319" s="23" t="str">
        <f t="shared" si="32"/>
        <v>N/C</v>
      </c>
      <c r="S319" s="25" t="str">
        <f t="shared" si="33"/>
        <v>No utilizable</v>
      </c>
      <c r="T319" s="26" t="str">
        <f t="shared" si="34"/>
        <v/>
      </c>
      <c r="U319" s="26">
        <f>IF(OR($S319&lt;&gt;"Utilizable",$C319&lt;&gt;SUSTITUCION!$C$13),999999,IF(v_prioridad="Potasio",$H319,IF(v_prioridad="Fósforo",$I319,IF(v_prioridad="Sodio",$J319,IF(ISNUMBER($Q319),$Q319,999999)))))</f>
        <v>999999</v>
      </c>
    </row>
    <row r="320" spans="1:21" ht="15" customHeight="1">
      <c r="A320" s="21" t="s">
        <v>773</v>
      </c>
      <c r="B320" s="21" t="s">
        <v>774</v>
      </c>
      <c r="C320" s="21" t="s">
        <v>763</v>
      </c>
      <c r="D320" s="21" t="s">
        <v>764</v>
      </c>
      <c r="E320" s="21" t="s">
        <v>135</v>
      </c>
      <c r="F320" s="22">
        <v>897</v>
      </c>
      <c r="G320" s="22">
        <v>0</v>
      </c>
      <c r="H320" s="22">
        <v>0</v>
      </c>
      <c r="I320" s="22">
        <v>0</v>
      </c>
      <c r="J320" s="22">
        <v>0.1</v>
      </c>
      <c r="K320" s="22">
        <v>897</v>
      </c>
      <c r="L320" s="22">
        <v>0</v>
      </c>
      <c r="M320" s="22">
        <v>0</v>
      </c>
      <c r="N320" s="23" t="str">
        <f t="shared" si="28"/>
        <v>Bajo</v>
      </c>
      <c r="O320" s="23" t="str">
        <f t="shared" si="29"/>
        <v>Bajo</v>
      </c>
      <c r="P320" s="23" t="str">
        <f t="shared" si="30"/>
        <v>Bajo</v>
      </c>
      <c r="Q320" s="24" t="str">
        <f t="shared" si="31"/>
        <v>N/C: no es fuente proteica</v>
      </c>
      <c r="R320" s="23" t="str">
        <f t="shared" si="32"/>
        <v>N/C</v>
      </c>
      <c r="S320" s="25" t="str">
        <f t="shared" si="33"/>
        <v>Utilizable</v>
      </c>
      <c r="T320" s="26" t="str">
        <f t="shared" si="34"/>
        <v>aceites y grasas|00.000.000</v>
      </c>
      <c r="U320" s="26">
        <f>IF(OR($S320&lt;&gt;"Utilizable",$C320&lt;&gt;SUSTITUCION!$C$13),999999,IF(v_prioridad="Potasio",$H320,IF(v_prioridad="Fósforo",$I320,IF(v_prioridad="Sodio",$J320,IF(ISNUMBER($Q320),$Q320,999999)))))</f>
        <v>999999</v>
      </c>
    </row>
    <row r="321" spans="1:21" ht="15" customHeight="1">
      <c r="A321" s="21" t="s">
        <v>775</v>
      </c>
      <c r="B321" s="21" t="s">
        <v>776</v>
      </c>
      <c r="C321" s="21" t="s">
        <v>763</v>
      </c>
      <c r="D321" s="21" t="s">
        <v>764</v>
      </c>
      <c r="E321" s="21" t="s">
        <v>135</v>
      </c>
      <c r="F321" s="22">
        <v>884</v>
      </c>
      <c r="G321" s="22">
        <v>0</v>
      </c>
      <c r="H321" s="22">
        <v>1</v>
      </c>
      <c r="I321" s="22">
        <v>0</v>
      </c>
      <c r="J321" s="22">
        <v>2</v>
      </c>
      <c r="K321" s="22">
        <v>884</v>
      </c>
      <c r="L321" s="22">
        <v>0</v>
      </c>
      <c r="M321" s="22">
        <v>1</v>
      </c>
      <c r="N321" s="23" t="str">
        <f t="shared" si="28"/>
        <v>Bajo</v>
      </c>
      <c r="O321" s="23" t="str">
        <f t="shared" si="29"/>
        <v>Bajo</v>
      </c>
      <c r="P321" s="23" t="str">
        <f t="shared" si="30"/>
        <v>Bajo</v>
      </c>
      <c r="Q321" s="24" t="str">
        <f t="shared" si="31"/>
        <v>N/C: no es fuente proteica</v>
      </c>
      <c r="R321" s="23" t="str">
        <f t="shared" si="32"/>
        <v>N/C</v>
      </c>
      <c r="S321" s="25" t="str">
        <f t="shared" si="33"/>
        <v>Utilizable</v>
      </c>
      <c r="T321" s="26" t="str">
        <f t="shared" si="34"/>
        <v>aceites y grasas|00.000.001</v>
      </c>
      <c r="U321" s="26">
        <f>IF(OR($S321&lt;&gt;"Utilizable",$C321&lt;&gt;SUSTITUCION!$C$13),999999,IF(v_prioridad="Potasio",$H321,IF(v_prioridad="Fósforo",$I321,IF(v_prioridad="Sodio",$J321,IF(ISNUMBER($Q321),$Q321,999999)))))</f>
        <v>999999</v>
      </c>
    </row>
    <row r="322" spans="1:21" ht="15" customHeight="1">
      <c r="A322" s="21" t="s">
        <v>777</v>
      </c>
      <c r="B322" s="21" t="s">
        <v>778</v>
      </c>
      <c r="C322" s="21" t="s">
        <v>763</v>
      </c>
      <c r="D322" s="21" t="s">
        <v>764</v>
      </c>
      <c r="E322" s="21" t="s">
        <v>135</v>
      </c>
      <c r="F322" s="22">
        <v>887</v>
      </c>
      <c r="G322" s="22">
        <v>0.2</v>
      </c>
      <c r="H322" s="22" t="s">
        <v>138</v>
      </c>
      <c r="I322" s="22" t="s">
        <v>138</v>
      </c>
      <c r="J322" s="22">
        <v>0.3</v>
      </c>
      <c r="K322" s="22">
        <v>887</v>
      </c>
      <c r="L322" s="22">
        <v>0.2</v>
      </c>
      <c r="M322" s="22" t="s">
        <v>138</v>
      </c>
      <c r="N322" s="23" t="str">
        <f t="shared" si="28"/>
        <v>Sin dato</v>
      </c>
      <c r="O322" s="23" t="str">
        <f t="shared" si="29"/>
        <v>Sin dato</v>
      </c>
      <c r="P322" s="23" t="str">
        <f t="shared" si="30"/>
        <v>Bajo</v>
      </c>
      <c r="Q322" s="24" t="str">
        <f t="shared" si="31"/>
        <v>N/C</v>
      </c>
      <c r="R322" s="23" t="str">
        <f t="shared" si="32"/>
        <v>N/C</v>
      </c>
      <c r="S322" s="25" t="str">
        <f t="shared" si="33"/>
        <v>No utilizable</v>
      </c>
      <c r="T322" s="26" t="str">
        <f t="shared" si="34"/>
        <v/>
      </c>
      <c r="U322" s="26">
        <f>IF(OR($S322&lt;&gt;"Utilizable",$C322&lt;&gt;SUSTITUCION!$C$13),999999,IF(v_prioridad="Potasio",$H322,IF(v_prioridad="Fósforo",$I322,IF(v_prioridad="Sodio",$J322,IF(ISNUMBER($Q322),$Q322,999999)))))</f>
        <v>999999</v>
      </c>
    </row>
    <row r="323" spans="1:21" ht="15" customHeight="1">
      <c r="A323" s="21" t="s">
        <v>779</v>
      </c>
      <c r="B323" s="21" t="s">
        <v>780</v>
      </c>
      <c r="C323" s="21" t="s">
        <v>763</v>
      </c>
      <c r="D323" s="21" t="s">
        <v>764</v>
      </c>
      <c r="E323" s="21" t="s">
        <v>135</v>
      </c>
      <c r="F323" s="22">
        <v>884</v>
      </c>
      <c r="G323" s="22">
        <v>0</v>
      </c>
      <c r="H323" s="22">
        <v>0</v>
      </c>
      <c r="I323" s="22">
        <v>0</v>
      </c>
      <c r="J323" s="22">
        <v>0</v>
      </c>
      <c r="K323" s="22">
        <v>884</v>
      </c>
      <c r="L323" s="22">
        <v>0</v>
      </c>
      <c r="M323" s="22">
        <v>0</v>
      </c>
      <c r="N323" s="23" t="str">
        <f t="shared" si="28"/>
        <v>Bajo</v>
      </c>
      <c r="O323" s="23" t="str">
        <f t="shared" si="29"/>
        <v>Bajo</v>
      </c>
      <c r="P323" s="23" t="str">
        <f t="shared" si="30"/>
        <v>Bajo</v>
      </c>
      <c r="Q323" s="24" t="str">
        <f t="shared" si="31"/>
        <v>N/C: no es fuente proteica</v>
      </c>
      <c r="R323" s="23" t="str">
        <f t="shared" si="32"/>
        <v>N/C</v>
      </c>
      <c r="S323" s="25" t="str">
        <f t="shared" si="33"/>
        <v>Utilizable</v>
      </c>
      <c r="T323" s="26" t="str">
        <f t="shared" si="34"/>
        <v>aceites y grasas|00.000.000</v>
      </c>
      <c r="U323" s="26">
        <f>IF(OR($S323&lt;&gt;"Utilizable",$C323&lt;&gt;SUSTITUCION!$C$13),999999,IF(v_prioridad="Potasio",$H323,IF(v_prioridad="Fósforo",$I323,IF(v_prioridad="Sodio",$J323,IF(ISNUMBER($Q323),$Q323,999999)))))</f>
        <v>999999</v>
      </c>
    </row>
    <row r="324" spans="1:21" ht="15" customHeight="1">
      <c r="A324" s="21" t="s">
        <v>781</v>
      </c>
      <c r="B324" s="21" t="s">
        <v>782</v>
      </c>
      <c r="C324" s="21" t="s">
        <v>763</v>
      </c>
      <c r="D324" s="21" t="s">
        <v>764</v>
      </c>
      <c r="E324" s="21" t="s">
        <v>135</v>
      </c>
      <c r="F324" s="22">
        <v>897</v>
      </c>
      <c r="G324" s="22">
        <v>0</v>
      </c>
      <c r="H324" s="22">
        <v>0</v>
      </c>
      <c r="I324" s="22">
        <v>0.3</v>
      </c>
      <c r="J324" s="22">
        <v>0</v>
      </c>
      <c r="K324" s="22">
        <v>897</v>
      </c>
      <c r="L324" s="22">
        <v>0</v>
      </c>
      <c r="M324" s="22">
        <v>0</v>
      </c>
      <c r="N324" s="23" t="str">
        <f t="shared" si="28"/>
        <v>Bajo</v>
      </c>
      <c r="O324" s="23" t="str">
        <f t="shared" si="29"/>
        <v>Bajo</v>
      </c>
      <c r="P324" s="23" t="str">
        <f t="shared" si="30"/>
        <v>Bajo</v>
      </c>
      <c r="Q324" s="24" t="str">
        <f t="shared" si="31"/>
        <v>N/C: no es fuente proteica</v>
      </c>
      <c r="R324" s="23" t="str">
        <f t="shared" si="32"/>
        <v>N/C</v>
      </c>
      <c r="S324" s="25" t="str">
        <f t="shared" si="33"/>
        <v>Utilizable</v>
      </c>
      <c r="T324" s="26" t="str">
        <f t="shared" si="34"/>
        <v>aceites y grasas|00.000.000</v>
      </c>
      <c r="U324" s="26">
        <f>IF(OR($S324&lt;&gt;"Utilizable",$C324&lt;&gt;SUSTITUCION!$C$13),999999,IF(v_prioridad="Potasio",$H324,IF(v_prioridad="Fósforo",$I324,IF(v_prioridad="Sodio",$J324,IF(ISNUMBER($Q324),$Q324,999999)))))</f>
        <v>999999</v>
      </c>
    </row>
    <row r="325" spans="1:21" ht="15" customHeight="1">
      <c r="A325" s="21" t="s">
        <v>783</v>
      </c>
      <c r="B325" s="21" t="s">
        <v>784</v>
      </c>
      <c r="C325" s="21" t="s">
        <v>763</v>
      </c>
      <c r="D325" s="21" t="s">
        <v>764</v>
      </c>
      <c r="E325" s="21" t="s">
        <v>135</v>
      </c>
      <c r="F325" s="22">
        <v>884</v>
      </c>
      <c r="G325" s="22">
        <v>0</v>
      </c>
      <c r="H325" s="22">
        <v>0</v>
      </c>
      <c r="I325" s="22">
        <v>0</v>
      </c>
      <c r="J325" s="22">
        <v>0</v>
      </c>
      <c r="K325" s="22">
        <v>884</v>
      </c>
      <c r="L325" s="22">
        <v>0</v>
      </c>
      <c r="M325" s="22">
        <v>0</v>
      </c>
      <c r="N325" s="23" t="str">
        <f t="shared" si="28"/>
        <v>Bajo</v>
      </c>
      <c r="O325" s="23" t="str">
        <f t="shared" si="29"/>
        <v>Bajo</v>
      </c>
      <c r="P325" s="23" t="str">
        <f t="shared" si="30"/>
        <v>Bajo</v>
      </c>
      <c r="Q325" s="24" t="str">
        <f t="shared" si="31"/>
        <v>N/C: no es fuente proteica</v>
      </c>
      <c r="R325" s="23" t="str">
        <f t="shared" si="32"/>
        <v>N/C</v>
      </c>
      <c r="S325" s="25" t="str">
        <f t="shared" si="33"/>
        <v>Utilizable</v>
      </c>
      <c r="T325" s="26" t="str">
        <f t="shared" si="34"/>
        <v>aceites y grasas|00.000.000</v>
      </c>
      <c r="U325" s="26">
        <f>IF(OR($S325&lt;&gt;"Utilizable",$C325&lt;&gt;SUSTITUCION!$C$13),999999,IF(v_prioridad="Potasio",$H325,IF(v_prioridad="Fósforo",$I325,IF(v_prioridad="Sodio",$J325,IF(ISNUMBER($Q325),$Q325,999999)))))</f>
        <v>999999</v>
      </c>
    </row>
    <row r="326" spans="1:21" ht="15" customHeight="1">
      <c r="A326" s="21" t="s">
        <v>785</v>
      </c>
      <c r="B326" s="21" t="s">
        <v>786</v>
      </c>
      <c r="C326" s="21" t="s">
        <v>763</v>
      </c>
      <c r="D326" s="21" t="s">
        <v>764</v>
      </c>
      <c r="E326" s="21" t="s">
        <v>135</v>
      </c>
      <c r="F326" s="22">
        <v>897</v>
      </c>
      <c r="G326" s="22">
        <v>0.4</v>
      </c>
      <c r="H326" s="22" t="s">
        <v>138</v>
      </c>
      <c r="I326" s="22" t="s">
        <v>138</v>
      </c>
      <c r="J326" s="22" t="s">
        <v>138</v>
      </c>
      <c r="K326" s="22">
        <v>897</v>
      </c>
      <c r="L326" s="22">
        <v>0.4</v>
      </c>
      <c r="M326" s="22" t="s">
        <v>138</v>
      </c>
      <c r="N326" s="23" t="str">
        <f t="shared" si="28"/>
        <v>Sin dato</v>
      </c>
      <c r="O326" s="23" t="str">
        <f t="shared" si="29"/>
        <v>Sin dato</v>
      </c>
      <c r="P326" s="23" t="str">
        <f t="shared" si="30"/>
        <v>Sin dato</v>
      </c>
      <c r="Q326" s="24" t="str">
        <f t="shared" si="31"/>
        <v>N/C</v>
      </c>
      <c r="R326" s="23" t="str">
        <f t="shared" si="32"/>
        <v>N/C</v>
      </c>
      <c r="S326" s="25" t="str">
        <f t="shared" si="33"/>
        <v>No utilizable</v>
      </c>
      <c r="T326" s="26" t="str">
        <f t="shared" si="34"/>
        <v/>
      </c>
      <c r="U326" s="26">
        <f>IF(OR($S326&lt;&gt;"Utilizable",$C326&lt;&gt;SUSTITUCION!$C$13),999999,IF(v_prioridad="Potasio",$H326,IF(v_prioridad="Fósforo",$I326,IF(v_prioridad="Sodio",$J326,IF(ISNUMBER($Q326),$Q326,999999)))))</f>
        <v>999999</v>
      </c>
    </row>
    <row r="327" spans="1:21" ht="15" customHeight="1">
      <c r="A327" s="21" t="s">
        <v>787</v>
      </c>
      <c r="B327" s="21" t="s">
        <v>788</v>
      </c>
      <c r="C327" s="21" t="s">
        <v>763</v>
      </c>
      <c r="D327" s="21" t="s">
        <v>764</v>
      </c>
      <c r="E327" s="21" t="s">
        <v>135</v>
      </c>
      <c r="F327" s="22">
        <v>181</v>
      </c>
      <c r="G327" s="22">
        <v>7</v>
      </c>
      <c r="H327" s="22">
        <v>211</v>
      </c>
      <c r="I327" s="22">
        <v>85</v>
      </c>
      <c r="J327" s="22">
        <v>70</v>
      </c>
      <c r="K327" s="22">
        <v>181</v>
      </c>
      <c r="L327" s="22">
        <v>7</v>
      </c>
      <c r="M327" s="22">
        <v>141</v>
      </c>
      <c r="N327" s="23" t="str">
        <f t="shared" si="28"/>
        <v>Alto</v>
      </c>
      <c r="O327" s="23" t="str">
        <f t="shared" si="29"/>
        <v>Medio</v>
      </c>
      <c r="P327" s="23" t="str">
        <f t="shared" si="30"/>
        <v>Medio</v>
      </c>
      <c r="Q327" s="24" t="str">
        <f t="shared" si="31"/>
        <v>N/C: no es fuente proteica</v>
      </c>
      <c r="R327" s="23" t="str">
        <f t="shared" si="32"/>
        <v>N/C</v>
      </c>
      <c r="S327" s="25" t="str">
        <f t="shared" si="33"/>
        <v>Utilizable</v>
      </c>
      <c r="T327" s="26" t="str">
        <f t="shared" si="34"/>
        <v>aceites y grasas|00.000.211</v>
      </c>
      <c r="U327" s="26">
        <f>IF(OR($S327&lt;&gt;"Utilizable",$C327&lt;&gt;SUSTITUCION!$C$13),999999,IF(v_prioridad="Potasio",$H327,IF(v_prioridad="Fósforo",$I327,IF(v_prioridad="Sodio",$J327,IF(ISNUMBER($Q327),$Q327,999999)))))</f>
        <v>999999</v>
      </c>
    </row>
    <row r="328" spans="1:21" ht="15" customHeight="1">
      <c r="A328" s="21" t="s">
        <v>789</v>
      </c>
      <c r="B328" s="21" t="s">
        <v>790</v>
      </c>
      <c r="C328" s="21" t="s">
        <v>763</v>
      </c>
      <c r="D328" s="21" t="s">
        <v>764</v>
      </c>
      <c r="E328" s="21" t="s">
        <v>135</v>
      </c>
      <c r="F328" s="22">
        <v>345</v>
      </c>
      <c r="G328" s="22">
        <v>2.1</v>
      </c>
      <c r="H328" s="22">
        <v>75.2</v>
      </c>
      <c r="I328" s="22">
        <v>62.6</v>
      </c>
      <c r="J328" s="22">
        <v>37.4</v>
      </c>
      <c r="K328" s="22">
        <v>345</v>
      </c>
      <c r="L328" s="22">
        <v>2.1</v>
      </c>
      <c r="M328" s="22">
        <v>64.7</v>
      </c>
      <c r="N328" s="23" t="str">
        <f t="shared" si="28"/>
        <v>Bajo</v>
      </c>
      <c r="O328" s="23" t="str">
        <f t="shared" si="29"/>
        <v>Medio</v>
      </c>
      <c r="P328" s="23" t="str">
        <f t="shared" si="30"/>
        <v>Bajo</v>
      </c>
      <c r="Q328" s="24" t="str">
        <f t="shared" si="31"/>
        <v>N/C: no es fuente proteica</v>
      </c>
      <c r="R328" s="23" t="str">
        <f t="shared" si="32"/>
        <v>N/C</v>
      </c>
      <c r="S328" s="25" t="str">
        <f t="shared" si="33"/>
        <v>Utilizable</v>
      </c>
      <c r="T328" s="26" t="str">
        <f t="shared" si="34"/>
        <v>aceites y grasas|00.000.075</v>
      </c>
      <c r="U328" s="26">
        <f>IF(OR($S328&lt;&gt;"Utilizable",$C328&lt;&gt;SUSTITUCION!$C$13),999999,IF(v_prioridad="Potasio",$H328,IF(v_prioridad="Fósforo",$I328,IF(v_prioridad="Sodio",$J328,IF(ISNUMBER($Q328),$Q328,999999)))))</f>
        <v>999999</v>
      </c>
    </row>
    <row r="329" spans="1:21" ht="15" customHeight="1">
      <c r="A329" s="21" t="s">
        <v>791</v>
      </c>
      <c r="B329" s="21" t="s">
        <v>792</v>
      </c>
      <c r="C329" s="21" t="s">
        <v>763</v>
      </c>
      <c r="D329" s="21" t="s">
        <v>764</v>
      </c>
      <c r="E329" s="21" t="s">
        <v>135</v>
      </c>
      <c r="F329" s="22">
        <v>194</v>
      </c>
      <c r="G329" s="22">
        <v>2.7</v>
      </c>
      <c r="H329" s="22">
        <v>0</v>
      </c>
      <c r="I329" s="22">
        <v>0</v>
      </c>
      <c r="J329" s="22">
        <v>0</v>
      </c>
      <c r="K329" s="22">
        <v>194</v>
      </c>
      <c r="L329" s="22">
        <v>2.7</v>
      </c>
      <c r="M329" s="22">
        <v>0</v>
      </c>
      <c r="N329" s="23" t="str">
        <f t="shared" ref="N329:N392" si="35">IF(NOT(ISNUMBER(H329)),"Sin dato",IF(H329&lt;=INDEX(rng_umbrales,1,2),"Bajo",IF(H329&lt;=INDEX(rng_umbrales,1,3),"Medio",IF(H329&lt;=INDEX(rng_umbrales,1,4),"Alto","Muy alto"))))</f>
        <v>Bajo</v>
      </c>
      <c r="O329" s="23" t="str">
        <f t="shared" ref="O329:O392" si="36">IF(NOT(ISNUMBER(I329)),"Sin dato",IF(I329&lt;=INDEX(rng_umbrales,2,2),"Bajo",IF(I329&lt;=INDEX(rng_umbrales,2,3),"Medio",IF(I329&lt;=INDEX(rng_umbrales,2,4),"Alto","Muy alto"))))</f>
        <v>Bajo</v>
      </c>
      <c r="P329" s="23" t="str">
        <f t="shared" ref="P329:P392" si="37">IF(NOT(ISNUMBER(J329)),"Sin dato",IF(J329&lt;=INDEX(rng_umbrales,3,2),"Bajo",IF(J329&lt;=INDEX(rng_umbrales,3,3),"Medio",IF(J329&lt;=INDEX(rng_umbrales,3,4),"Alto","Muy alto"))))</f>
        <v>Bajo</v>
      </c>
      <c r="Q329" s="24" t="str">
        <f t="shared" ref="Q329:Q392" si="38">IF(OR(NOT(ISNUMBER(G329)),NOT(ISNUMBER(I329))),"N/C",IF(G329&lt;u_protMin,"N/C: no es fuente proteica",I329/G329))</f>
        <v>N/C: no es fuente proteica</v>
      </c>
      <c r="R329" s="23" t="str">
        <f t="shared" ref="R329:R392" si="39">IF(NOT(ISNUMBER(Q329)),"N/C",IF(Q329&lt;=u_ppDes,"Deseable",IF(Q329&lt;=u_ppAcep,"Aceptable","Alta")))</f>
        <v>N/C</v>
      </c>
      <c r="S329" s="25" t="str">
        <f t="shared" ref="S329:S392" si="40">IF(COUNT(F329:J329)=k_cobMin,"Utilizable","No utilizable")</f>
        <v>Utilizable</v>
      </c>
      <c r="T329" s="26" t="str">
        <f t="shared" ref="T329:T392" si="41">IF(S329&lt;&gt;"Utilizable","",C329&amp;"|"&amp;TEXT(IF(v_prioridad="Potasio",H329,IF(v_prioridad="Fósforo",I329,IF(v_prioridad="Sodio",J329,IF(ISNUMBER(Q329),Q329,99999)))),"000000.00"))</f>
        <v>aceites y grasas|00.000.000</v>
      </c>
      <c r="U329" s="26">
        <f>IF(OR($S329&lt;&gt;"Utilizable",$C329&lt;&gt;SUSTITUCION!$C$13),999999,IF(v_prioridad="Potasio",$H329,IF(v_prioridad="Fósforo",$I329,IF(v_prioridad="Sodio",$J329,IF(ISNUMBER($Q329),$Q329,999999)))))</f>
        <v>999999</v>
      </c>
    </row>
    <row r="330" spans="1:21" ht="15" customHeight="1">
      <c r="A330" s="21" t="s">
        <v>793</v>
      </c>
      <c r="B330" s="21" t="s">
        <v>794</v>
      </c>
      <c r="C330" s="21" t="s">
        <v>763</v>
      </c>
      <c r="D330" s="21" t="s">
        <v>764</v>
      </c>
      <c r="E330" s="21" t="s">
        <v>135</v>
      </c>
      <c r="F330" s="22">
        <v>897</v>
      </c>
      <c r="G330" s="22">
        <v>0</v>
      </c>
      <c r="H330" s="22">
        <v>0</v>
      </c>
      <c r="I330" s="22">
        <v>0</v>
      </c>
      <c r="J330" s="22">
        <v>150</v>
      </c>
      <c r="K330" s="22">
        <v>897</v>
      </c>
      <c r="L330" s="22">
        <v>0</v>
      </c>
      <c r="M330" s="22">
        <v>0</v>
      </c>
      <c r="N330" s="23" t="str">
        <f t="shared" si="35"/>
        <v>Bajo</v>
      </c>
      <c r="O330" s="23" t="str">
        <f t="shared" si="36"/>
        <v>Bajo</v>
      </c>
      <c r="P330" s="23" t="str">
        <f t="shared" si="37"/>
        <v>Alto</v>
      </c>
      <c r="Q330" s="24" t="str">
        <f t="shared" si="38"/>
        <v>N/C: no es fuente proteica</v>
      </c>
      <c r="R330" s="23" t="str">
        <f t="shared" si="39"/>
        <v>N/C</v>
      </c>
      <c r="S330" s="25" t="str">
        <f t="shared" si="40"/>
        <v>Utilizable</v>
      </c>
      <c r="T330" s="26" t="str">
        <f t="shared" si="41"/>
        <v>aceites y grasas|00.000.000</v>
      </c>
      <c r="U330" s="26">
        <f>IF(OR($S330&lt;&gt;"Utilizable",$C330&lt;&gt;SUSTITUCION!$C$13),999999,IF(v_prioridad="Potasio",$H330,IF(v_prioridad="Fósforo",$I330,IF(v_prioridad="Sodio",$J330,IF(ISNUMBER($Q330),$Q330,999999)))))</f>
        <v>999999</v>
      </c>
    </row>
    <row r="331" spans="1:21" ht="15" customHeight="1">
      <c r="A331" s="21" t="s">
        <v>795</v>
      </c>
      <c r="B331" s="21" t="s">
        <v>796</v>
      </c>
      <c r="C331" s="21" t="s">
        <v>763</v>
      </c>
      <c r="D331" s="21" t="s">
        <v>764</v>
      </c>
      <c r="E331" s="21" t="s">
        <v>135</v>
      </c>
      <c r="F331" s="22">
        <v>897</v>
      </c>
      <c r="G331" s="22">
        <v>0</v>
      </c>
      <c r="H331" s="22">
        <v>0</v>
      </c>
      <c r="I331" s="22">
        <v>0</v>
      </c>
      <c r="J331" s="22">
        <v>0</v>
      </c>
      <c r="K331" s="22">
        <v>897</v>
      </c>
      <c r="L331" s="22">
        <v>0</v>
      </c>
      <c r="M331" s="22">
        <v>0</v>
      </c>
      <c r="N331" s="23" t="str">
        <f t="shared" si="35"/>
        <v>Bajo</v>
      </c>
      <c r="O331" s="23" t="str">
        <f t="shared" si="36"/>
        <v>Bajo</v>
      </c>
      <c r="P331" s="23" t="str">
        <f t="shared" si="37"/>
        <v>Bajo</v>
      </c>
      <c r="Q331" s="24" t="str">
        <f t="shared" si="38"/>
        <v>N/C: no es fuente proteica</v>
      </c>
      <c r="R331" s="23" t="str">
        <f t="shared" si="39"/>
        <v>N/C</v>
      </c>
      <c r="S331" s="25" t="str">
        <f t="shared" si="40"/>
        <v>Utilizable</v>
      </c>
      <c r="T331" s="26" t="str">
        <f t="shared" si="41"/>
        <v>aceites y grasas|00.000.000</v>
      </c>
      <c r="U331" s="26">
        <f>IF(OR($S331&lt;&gt;"Utilizable",$C331&lt;&gt;SUSTITUCION!$C$13),999999,IF(v_prioridad="Potasio",$H331,IF(v_prioridad="Fósforo",$I331,IF(v_prioridad="Sodio",$J331,IF(ISNUMBER($Q331),$Q331,999999)))))</f>
        <v>999999</v>
      </c>
    </row>
    <row r="332" spans="1:21" ht="15" customHeight="1">
      <c r="A332" s="21" t="s">
        <v>797</v>
      </c>
      <c r="B332" s="21" t="s">
        <v>798</v>
      </c>
      <c r="C332" s="21" t="s">
        <v>763</v>
      </c>
      <c r="D332" s="21" t="s">
        <v>764</v>
      </c>
      <c r="E332" s="21" t="s">
        <v>135</v>
      </c>
      <c r="F332" s="22">
        <v>717</v>
      </c>
      <c r="G332" s="22">
        <v>0.9</v>
      </c>
      <c r="H332" s="22">
        <v>24</v>
      </c>
      <c r="I332" s="22">
        <v>24</v>
      </c>
      <c r="J332" s="22">
        <v>643</v>
      </c>
      <c r="K332" s="22">
        <v>717</v>
      </c>
      <c r="L332" s="22">
        <v>0.9</v>
      </c>
      <c r="M332" s="22">
        <v>24</v>
      </c>
      <c r="N332" s="23" t="str">
        <f t="shared" si="35"/>
        <v>Bajo</v>
      </c>
      <c r="O332" s="23" t="str">
        <f t="shared" si="36"/>
        <v>Bajo</v>
      </c>
      <c r="P332" s="23" t="str">
        <f t="shared" si="37"/>
        <v>Muy alto</v>
      </c>
      <c r="Q332" s="24" t="str">
        <f t="shared" si="38"/>
        <v>N/C: no es fuente proteica</v>
      </c>
      <c r="R332" s="23" t="str">
        <f t="shared" si="39"/>
        <v>N/C</v>
      </c>
      <c r="S332" s="25" t="str">
        <f t="shared" si="40"/>
        <v>Utilizable</v>
      </c>
      <c r="T332" s="26" t="str">
        <f t="shared" si="41"/>
        <v>aceites y grasas|00.000.024</v>
      </c>
      <c r="U332" s="26">
        <f>IF(OR($S332&lt;&gt;"Utilizable",$C332&lt;&gt;SUSTITUCION!$C$13),999999,IF(v_prioridad="Potasio",$H332,IF(v_prioridad="Fósforo",$I332,IF(v_prioridad="Sodio",$J332,IF(ISNUMBER($Q332),$Q332,999999)))))</f>
        <v>999999</v>
      </c>
    </row>
    <row r="333" spans="1:21" ht="15" customHeight="1">
      <c r="A333" s="21" t="s">
        <v>799</v>
      </c>
      <c r="B333" s="21" t="s">
        <v>800</v>
      </c>
      <c r="C333" s="21" t="s">
        <v>763</v>
      </c>
      <c r="D333" s="21" t="s">
        <v>764</v>
      </c>
      <c r="E333" s="21" t="s">
        <v>135</v>
      </c>
      <c r="F333" s="22">
        <v>749</v>
      </c>
      <c r="G333" s="22">
        <v>0.3</v>
      </c>
      <c r="H333" s="22" t="s">
        <v>138</v>
      </c>
      <c r="I333" s="22" t="s">
        <v>138</v>
      </c>
      <c r="J333" s="22">
        <v>563</v>
      </c>
      <c r="K333" s="22">
        <v>749</v>
      </c>
      <c r="L333" s="22">
        <v>0.3</v>
      </c>
      <c r="M333" s="22">
        <v>9.1999999999999993</v>
      </c>
      <c r="N333" s="23" t="str">
        <f t="shared" si="35"/>
        <v>Sin dato</v>
      </c>
      <c r="O333" s="23" t="str">
        <f t="shared" si="36"/>
        <v>Sin dato</v>
      </c>
      <c r="P333" s="23" t="str">
        <f t="shared" si="37"/>
        <v>Muy alto</v>
      </c>
      <c r="Q333" s="24" t="str">
        <f t="shared" si="38"/>
        <v>N/C</v>
      </c>
      <c r="R333" s="23" t="str">
        <f t="shared" si="39"/>
        <v>N/C</v>
      </c>
      <c r="S333" s="25" t="str">
        <f t="shared" si="40"/>
        <v>No utilizable</v>
      </c>
      <c r="T333" s="26" t="str">
        <f t="shared" si="41"/>
        <v/>
      </c>
      <c r="U333" s="26">
        <f>IF(OR($S333&lt;&gt;"Utilizable",$C333&lt;&gt;SUSTITUCION!$C$13),999999,IF(v_prioridad="Potasio",$H333,IF(v_prioridad="Fósforo",$I333,IF(v_prioridad="Sodio",$J333,IF(ISNUMBER($Q333),$Q333,999999)))))</f>
        <v>999999</v>
      </c>
    </row>
    <row r="334" spans="1:21" ht="15" customHeight="1">
      <c r="A334" s="21" t="s">
        <v>801</v>
      </c>
      <c r="B334" s="21" t="s">
        <v>802</v>
      </c>
      <c r="C334" s="21" t="s">
        <v>763</v>
      </c>
      <c r="D334" s="21" t="s">
        <v>764</v>
      </c>
      <c r="E334" s="21" t="s">
        <v>135</v>
      </c>
      <c r="F334" s="22">
        <v>717</v>
      </c>
      <c r="G334" s="22">
        <v>0.2</v>
      </c>
      <c r="H334" s="22">
        <v>18</v>
      </c>
      <c r="I334" s="22">
        <v>5</v>
      </c>
      <c r="J334" s="22">
        <v>751</v>
      </c>
      <c r="K334" s="22">
        <v>717</v>
      </c>
      <c r="L334" s="22">
        <v>0.2</v>
      </c>
      <c r="M334" s="22">
        <v>3</v>
      </c>
      <c r="N334" s="23" t="str">
        <f t="shared" si="35"/>
        <v>Bajo</v>
      </c>
      <c r="O334" s="23" t="str">
        <f t="shared" si="36"/>
        <v>Bajo</v>
      </c>
      <c r="P334" s="23" t="str">
        <f t="shared" si="37"/>
        <v>Muy alto</v>
      </c>
      <c r="Q334" s="24" t="str">
        <f t="shared" si="38"/>
        <v>N/C: no es fuente proteica</v>
      </c>
      <c r="R334" s="23" t="str">
        <f t="shared" si="39"/>
        <v>N/C</v>
      </c>
      <c r="S334" s="25" t="str">
        <f t="shared" si="40"/>
        <v>Utilizable</v>
      </c>
      <c r="T334" s="26" t="str">
        <f t="shared" si="41"/>
        <v>aceites y grasas|00.000.018</v>
      </c>
      <c r="U334" s="26">
        <f>IF(OR($S334&lt;&gt;"Utilizable",$C334&lt;&gt;SUSTITUCION!$C$13),999999,IF(v_prioridad="Potasio",$H334,IF(v_prioridad="Fósforo",$I334,IF(v_prioridad="Sodio",$J334,IF(ISNUMBER($Q334),$Q334,999999)))))</f>
        <v>999999</v>
      </c>
    </row>
    <row r="335" spans="1:21" ht="15" customHeight="1">
      <c r="A335" s="21" t="s">
        <v>803</v>
      </c>
      <c r="B335" s="21" t="s">
        <v>804</v>
      </c>
      <c r="C335" s="21" t="s">
        <v>763</v>
      </c>
      <c r="D335" s="21" t="s">
        <v>764</v>
      </c>
      <c r="E335" s="21" t="s">
        <v>135</v>
      </c>
      <c r="F335" s="22">
        <v>700</v>
      </c>
      <c r="G335" s="22">
        <v>0.6</v>
      </c>
      <c r="H335" s="22" t="s">
        <v>138</v>
      </c>
      <c r="I335" s="22" t="s">
        <v>138</v>
      </c>
      <c r="J335" s="22">
        <v>686</v>
      </c>
      <c r="K335" s="22">
        <v>700</v>
      </c>
      <c r="L335" s="22">
        <v>0.6</v>
      </c>
      <c r="M335" s="22" t="s">
        <v>138</v>
      </c>
      <c r="N335" s="23" t="str">
        <f t="shared" si="35"/>
        <v>Sin dato</v>
      </c>
      <c r="O335" s="23" t="str">
        <f t="shared" si="36"/>
        <v>Sin dato</v>
      </c>
      <c r="P335" s="23" t="str">
        <f t="shared" si="37"/>
        <v>Muy alto</v>
      </c>
      <c r="Q335" s="24" t="str">
        <f t="shared" si="38"/>
        <v>N/C</v>
      </c>
      <c r="R335" s="23" t="str">
        <f t="shared" si="39"/>
        <v>N/C</v>
      </c>
      <c r="S335" s="25" t="str">
        <f t="shared" si="40"/>
        <v>No utilizable</v>
      </c>
      <c r="T335" s="26" t="str">
        <f t="shared" si="41"/>
        <v/>
      </c>
      <c r="U335" s="26">
        <f>IF(OR($S335&lt;&gt;"Utilizable",$C335&lt;&gt;SUSTITUCION!$C$13),999999,IF(v_prioridad="Potasio",$H335,IF(v_prioridad="Fósforo",$I335,IF(v_prioridad="Sodio",$J335,IF(ISNUMBER($Q335),$Q335,999999)))))</f>
        <v>999999</v>
      </c>
    </row>
    <row r="336" spans="1:21" ht="15" customHeight="1">
      <c r="A336" s="21" t="s">
        <v>805</v>
      </c>
      <c r="B336" s="21" t="s">
        <v>806</v>
      </c>
      <c r="C336" s="21" t="s">
        <v>763</v>
      </c>
      <c r="D336" s="21" t="s">
        <v>764</v>
      </c>
      <c r="E336" s="21" t="s">
        <v>135</v>
      </c>
      <c r="F336" s="22">
        <v>424</v>
      </c>
      <c r="G336" s="22">
        <v>0.2</v>
      </c>
      <c r="H336" s="22">
        <v>36</v>
      </c>
      <c r="I336" s="22">
        <v>4</v>
      </c>
      <c r="J336" s="22">
        <v>646</v>
      </c>
      <c r="K336" s="22">
        <v>424</v>
      </c>
      <c r="L336" s="22">
        <v>0.2</v>
      </c>
      <c r="M336" s="22">
        <v>4</v>
      </c>
      <c r="N336" s="23" t="str">
        <f t="shared" si="35"/>
        <v>Bajo</v>
      </c>
      <c r="O336" s="23" t="str">
        <f t="shared" si="36"/>
        <v>Bajo</v>
      </c>
      <c r="P336" s="23" t="str">
        <f t="shared" si="37"/>
        <v>Muy alto</v>
      </c>
      <c r="Q336" s="24" t="str">
        <f t="shared" si="38"/>
        <v>N/C: no es fuente proteica</v>
      </c>
      <c r="R336" s="23" t="str">
        <f t="shared" si="39"/>
        <v>N/C</v>
      </c>
      <c r="S336" s="25" t="str">
        <f t="shared" si="40"/>
        <v>Utilizable</v>
      </c>
      <c r="T336" s="26" t="str">
        <f t="shared" si="41"/>
        <v>aceites y grasas|00.000.036</v>
      </c>
      <c r="U336" s="26">
        <f>IF(OR($S336&lt;&gt;"Utilizable",$C336&lt;&gt;SUSTITUCION!$C$13),999999,IF(v_prioridad="Potasio",$H336,IF(v_prioridad="Fósforo",$I336,IF(v_prioridad="Sodio",$J336,IF(ISNUMBER($Q336),$Q336,999999)))))</f>
        <v>999999</v>
      </c>
    </row>
    <row r="337" spans="1:21" ht="15" customHeight="1">
      <c r="A337" s="21" t="s">
        <v>807</v>
      </c>
      <c r="B337" s="21" t="s">
        <v>808</v>
      </c>
      <c r="C337" s="21" t="s">
        <v>763</v>
      </c>
      <c r="D337" s="21" t="s">
        <v>764</v>
      </c>
      <c r="E337" s="21" t="s">
        <v>135</v>
      </c>
      <c r="F337" s="22">
        <v>192</v>
      </c>
      <c r="G337" s="22">
        <v>0</v>
      </c>
      <c r="H337" s="22" t="s">
        <v>138</v>
      </c>
      <c r="I337" s="22" t="s">
        <v>138</v>
      </c>
      <c r="J337" s="22">
        <v>605</v>
      </c>
      <c r="K337" s="22">
        <v>192</v>
      </c>
      <c r="L337" s="22">
        <v>0</v>
      </c>
      <c r="M337" s="22" t="s">
        <v>138</v>
      </c>
      <c r="N337" s="23" t="str">
        <f t="shared" si="35"/>
        <v>Sin dato</v>
      </c>
      <c r="O337" s="23" t="str">
        <f t="shared" si="36"/>
        <v>Sin dato</v>
      </c>
      <c r="P337" s="23" t="str">
        <f t="shared" si="37"/>
        <v>Muy alto</v>
      </c>
      <c r="Q337" s="24" t="str">
        <f t="shared" si="38"/>
        <v>N/C</v>
      </c>
      <c r="R337" s="23" t="str">
        <f t="shared" si="39"/>
        <v>N/C</v>
      </c>
      <c r="S337" s="25" t="str">
        <f t="shared" si="40"/>
        <v>No utilizable</v>
      </c>
      <c r="T337" s="26" t="str">
        <f t="shared" si="41"/>
        <v/>
      </c>
      <c r="U337" s="26">
        <f>IF(OR($S337&lt;&gt;"Utilizable",$C337&lt;&gt;SUSTITUCION!$C$13),999999,IF(v_prioridad="Potasio",$H337,IF(v_prioridad="Fósforo",$I337,IF(v_prioridad="Sodio",$J337,IF(ISNUMBER($Q337),$Q337,999999)))))</f>
        <v>999999</v>
      </c>
    </row>
    <row r="338" spans="1:21" ht="15" customHeight="1">
      <c r="A338" s="21" t="s">
        <v>809</v>
      </c>
      <c r="B338" s="21" t="s">
        <v>810</v>
      </c>
      <c r="C338" s="21" t="s">
        <v>763</v>
      </c>
      <c r="D338" s="21" t="s">
        <v>764</v>
      </c>
      <c r="E338" s="21" t="s">
        <v>135</v>
      </c>
      <c r="F338" s="22">
        <v>717</v>
      </c>
      <c r="G338" s="22">
        <v>1.1000000000000001</v>
      </c>
      <c r="H338" s="22">
        <v>34</v>
      </c>
      <c r="I338" s="22">
        <v>28</v>
      </c>
      <c r="J338" s="22">
        <v>568</v>
      </c>
      <c r="K338" s="22">
        <v>717</v>
      </c>
      <c r="L338" s="22">
        <v>1.1000000000000001</v>
      </c>
      <c r="M338" s="22">
        <v>18</v>
      </c>
      <c r="N338" s="23" t="str">
        <f t="shared" si="35"/>
        <v>Bajo</v>
      </c>
      <c r="O338" s="23" t="str">
        <f t="shared" si="36"/>
        <v>Bajo</v>
      </c>
      <c r="P338" s="23" t="str">
        <f t="shared" si="37"/>
        <v>Muy alto</v>
      </c>
      <c r="Q338" s="24" t="str">
        <f t="shared" si="38"/>
        <v>N/C: no es fuente proteica</v>
      </c>
      <c r="R338" s="23" t="str">
        <f t="shared" si="39"/>
        <v>N/C</v>
      </c>
      <c r="S338" s="25" t="str">
        <f t="shared" si="40"/>
        <v>Utilizable</v>
      </c>
      <c r="T338" s="26" t="str">
        <f t="shared" si="41"/>
        <v>aceites y grasas|00.000.034</v>
      </c>
      <c r="U338" s="26">
        <f>IF(OR($S338&lt;&gt;"Utilizable",$C338&lt;&gt;SUSTITUCION!$C$13),999999,IF(v_prioridad="Potasio",$H338,IF(v_prioridad="Fósforo",$I338,IF(v_prioridad="Sodio",$J338,IF(ISNUMBER($Q338),$Q338,999999)))))</f>
        <v>999999</v>
      </c>
    </row>
    <row r="339" spans="1:21" ht="15" customHeight="1">
      <c r="A339" s="21" t="s">
        <v>811</v>
      </c>
      <c r="B339" s="21" t="s">
        <v>812</v>
      </c>
      <c r="C339" s="21" t="s">
        <v>763</v>
      </c>
      <c r="D339" s="21" t="s">
        <v>764</v>
      </c>
      <c r="E339" s="21" t="s">
        <v>135</v>
      </c>
      <c r="F339" s="22">
        <v>671</v>
      </c>
      <c r="G339" s="22">
        <v>7.2</v>
      </c>
      <c r="H339" s="22" t="s">
        <v>138</v>
      </c>
      <c r="I339" s="22" t="s">
        <v>138</v>
      </c>
      <c r="J339" s="22">
        <v>827</v>
      </c>
      <c r="K339" s="22">
        <v>671</v>
      </c>
      <c r="L339" s="22">
        <v>7.2</v>
      </c>
      <c r="M339" s="22" t="s">
        <v>138</v>
      </c>
      <c r="N339" s="23" t="str">
        <f t="shared" si="35"/>
        <v>Sin dato</v>
      </c>
      <c r="O339" s="23" t="str">
        <f t="shared" si="36"/>
        <v>Sin dato</v>
      </c>
      <c r="P339" s="23" t="str">
        <f t="shared" si="37"/>
        <v>Muy alto</v>
      </c>
      <c r="Q339" s="24" t="str">
        <f t="shared" si="38"/>
        <v>N/C</v>
      </c>
      <c r="R339" s="23" t="str">
        <f t="shared" si="39"/>
        <v>N/C</v>
      </c>
      <c r="S339" s="25" t="str">
        <f t="shared" si="40"/>
        <v>No utilizable</v>
      </c>
      <c r="T339" s="26" t="str">
        <f t="shared" si="41"/>
        <v/>
      </c>
      <c r="U339" s="26">
        <f>IF(OR($S339&lt;&gt;"Utilizable",$C339&lt;&gt;SUSTITUCION!$C$13),999999,IF(v_prioridad="Potasio",$H339,IF(v_prioridad="Fósforo",$I339,IF(v_prioridad="Sodio",$J339,IF(ISNUMBER($Q339),$Q339,999999)))))</f>
        <v>999999</v>
      </c>
    </row>
    <row r="340" spans="1:21" ht="15" customHeight="1">
      <c r="A340" s="21" t="s">
        <v>813</v>
      </c>
      <c r="B340" s="21" t="s">
        <v>814</v>
      </c>
      <c r="C340" s="21" t="s">
        <v>815</v>
      </c>
      <c r="D340" s="21" t="s">
        <v>816</v>
      </c>
      <c r="E340" s="21" t="s">
        <v>817</v>
      </c>
      <c r="F340" s="22">
        <v>22</v>
      </c>
      <c r="G340" s="22">
        <v>2.4</v>
      </c>
      <c r="H340" s="22">
        <v>224</v>
      </c>
      <c r="I340" s="22">
        <v>54</v>
      </c>
      <c r="J340" s="22">
        <v>14</v>
      </c>
      <c r="K340" s="22">
        <v>22</v>
      </c>
      <c r="L340" s="22">
        <v>2.4</v>
      </c>
      <c r="M340" s="22">
        <v>23</v>
      </c>
      <c r="N340" s="23" t="str">
        <f t="shared" si="35"/>
        <v>Alto</v>
      </c>
      <c r="O340" s="23" t="str">
        <f t="shared" si="36"/>
        <v>Medio</v>
      </c>
      <c r="P340" s="23" t="str">
        <f t="shared" si="37"/>
        <v>Bajo</v>
      </c>
      <c r="Q340" s="24" t="str">
        <f t="shared" si="38"/>
        <v>N/C: no es fuente proteica</v>
      </c>
      <c r="R340" s="23" t="str">
        <f t="shared" si="39"/>
        <v>N/C</v>
      </c>
      <c r="S340" s="25" t="str">
        <f t="shared" si="40"/>
        <v>Utilizable</v>
      </c>
      <c r="T340" s="26" t="str">
        <f t="shared" si="41"/>
        <v>Verduras y hortalizas|00.000.224</v>
      </c>
      <c r="U340" s="26">
        <f>IF(OR($S340&lt;&gt;"Utilizable",$C340&lt;&gt;SUSTITUCION!$C$13),999999,IF(v_prioridad="Potasio",$H340,IF(v_prioridad="Fósforo",$I340,IF(v_prioridad="Sodio",$J340,IF(ISNUMBER($Q340),$Q340,999999)))))</f>
        <v>999999</v>
      </c>
    </row>
    <row r="341" spans="1:21" ht="15" customHeight="1">
      <c r="A341" s="21" t="s">
        <v>818</v>
      </c>
      <c r="B341" s="21" t="s">
        <v>819</v>
      </c>
      <c r="C341" s="21" t="s">
        <v>815</v>
      </c>
      <c r="D341" s="21" t="s">
        <v>816</v>
      </c>
      <c r="E341" s="21" t="s">
        <v>817</v>
      </c>
      <c r="F341" s="22">
        <v>23</v>
      </c>
      <c r="G341" s="22">
        <v>3</v>
      </c>
      <c r="H341" s="22">
        <v>466</v>
      </c>
      <c r="I341" s="22">
        <v>56</v>
      </c>
      <c r="J341" s="22">
        <v>70</v>
      </c>
      <c r="K341" s="22">
        <v>23</v>
      </c>
      <c r="L341" s="22">
        <v>3</v>
      </c>
      <c r="M341" s="22">
        <v>136</v>
      </c>
      <c r="N341" s="23" t="str">
        <f t="shared" si="35"/>
        <v>Muy alto</v>
      </c>
      <c r="O341" s="23" t="str">
        <f t="shared" si="36"/>
        <v>Medio</v>
      </c>
      <c r="P341" s="23" t="str">
        <f t="shared" si="37"/>
        <v>Medio</v>
      </c>
      <c r="Q341" s="24" t="str">
        <f t="shared" si="38"/>
        <v>N/C: no es fuente proteica</v>
      </c>
      <c r="R341" s="23" t="str">
        <f t="shared" si="39"/>
        <v>N/C</v>
      </c>
      <c r="S341" s="25" t="str">
        <f t="shared" si="40"/>
        <v>Utilizable</v>
      </c>
      <c r="T341" s="26" t="str">
        <f t="shared" si="41"/>
        <v>Verduras y hortalizas|00.000.466</v>
      </c>
      <c r="U341" s="26">
        <f>IF(OR($S341&lt;&gt;"Utilizable",$C341&lt;&gt;SUSTITUCION!$C$13),999999,IF(v_prioridad="Potasio",$H341,IF(v_prioridad="Fósforo",$I341,IF(v_prioridad="Sodio",$J341,IF(ISNUMBER($Q341),$Q341,999999)))))</f>
        <v>999999</v>
      </c>
    </row>
    <row r="342" spans="1:21" ht="15" customHeight="1">
      <c r="A342" s="21" t="s">
        <v>820</v>
      </c>
      <c r="B342" s="21" t="s">
        <v>821</v>
      </c>
      <c r="C342" s="21" t="s">
        <v>815</v>
      </c>
      <c r="D342" s="21" t="s">
        <v>816</v>
      </c>
      <c r="E342" s="21" t="s">
        <v>817</v>
      </c>
      <c r="F342" s="22">
        <v>31</v>
      </c>
      <c r="G342" s="22">
        <v>2.9</v>
      </c>
      <c r="H342" s="22">
        <v>414</v>
      </c>
      <c r="I342" s="22">
        <v>49</v>
      </c>
      <c r="J342" s="22">
        <v>79</v>
      </c>
      <c r="K342" s="22">
        <v>31</v>
      </c>
      <c r="L342" s="22">
        <v>2.9</v>
      </c>
      <c r="M342" s="22">
        <v>49</v>
      </c>
      <c r="N342" s="23" t="str">
        <f t="shared" si="35"/>
        <v>Muy alto</v>
      </c>
      <c r="O342" s="23" t="str">
        <f t="shared" si="36"/>
        <v>Bajo</v>
      </c>
      <c r="P342" s="23" t="str">
        <f t="shared" si="37"/>
        <v>Medio</v>
      </c>
      <c r="Q342" s="24" t="str">
        <f t="shared" si="38"/>
        <v>N/C: no es fuente proteica</v>
      </c>
      <c r="R342" s="23" t="str">
        <f t="shared" si="39"/>
        <v>N/C</v>
      </c>
      <c r="S342" s="25" t="str">
        <f t="shared" si="40"/>
        <v>Utilizable</v>
      </c>
      <c r="T342" s="26" t="str">
        <f t="shared" si="41"/>
        <v>Verduras y hortalizas|00.000.414</v>
      </c>
      <c r="U342" s="26">
        <f>IF(OR($S342&lt;&gt;"Utilizable",$C342&lt;&gt;SUSTITUCION!$C$13),999999,IF(v_prioridad="Potasio",$H342,IF(v_prioridad="Fósforo",$I342,IF(v_prioridad="Sodio",$J342,IF(ISNUMBER($Q342),$Q342,999999)))))</f>
        <v>999999</v>
      </c>
    </row>
    <row r="343" spans="1:21" ht="15" customHeight="1">
      <c r="A343" s="21" t="s">
        <v>822</v>
      </c>
      <c r="B343" s="21" t="s">
        <v>823</v>
      </c>
      <c r="C343" s="21" t="s">
        <v>815</v>
      </c>
      <c r="D343" s="21" t="s">
        <v>816</v>
      </c>
      <c r="E343" s="21" t="s">
        <v>817</v>
      </c>
      <c r="F343" s="22">
        <v>23</v>
      </c>
      <c r="G343" s="22">
        <v>1.2</v>
      </c>
      <c r="H343" s="22">
        <v>558</v>
      </c>
      <c r="I343" s="22">
        <v>50</v>
      </c>
      <c r="J343" s="22">
        <v>52</v>
      </c>
      <c r="K343" s="22">
        <v>23</v>
      </c>
      <c r="L343" s="22">
        <v>1.2</v>
      </c>
      <c r="M343" s="22">
        <v>99</v>
      </c>
      <c r="N343" s="23" t="str">
        <f t="shared" si="35"/>
        <v>Muy alto</v>
      </c>
      <c r="O343" s="23" t="str">
        <f t="shared" si="36"/>
        <v>Bajo</v>
      </c>
      <c r="P343" s="23" t="str">
        <f t="shared" si="37"/>
        <v>Medio</v>
      </c>
      <c r="Q343" s="24" t="str">
        <f t="shared" si="38"/>
        <v>N/C: no es fuente proteica</v>
      </c>
      <c r="R343" s="23" t="str">
        <f t="shared" si="39"/>
        <v>N/C</v>
      </c>
      <c r="S343" s="25" t="str">
        <f t="shared" si="40"/>
        <v>Utilizable</v>
      </c>
      <c r="T343" s="26" t="str">
        <f t="shared" si="41"/>
        <v>Verduras y hortalizas|00.000.558</v>
      </c>
      <c r="U343" s="26">
        <f>IF(OR($S343&lt;&gt;"Utilizable",$C343&lt;&gt;SUSTITUCION!$C$13),999999,IF(v_prioridad="Potasio",$H343,IF(v_prioridad="Fósforo",$I343,IF(v_prioridad="Sodio",$J343,IF(ISNUMBER($Q343),$Q343,999999)))))</f>
        <v>999999</v>
      </c>
    </row>
    <row r="344" spans="1:21" ht="15" customHeight="1">
      <c r="A344" s="21" t="s">
        <v>824</v>
      </c>
      <c r="B344" s="21" t="s">
        <v>825</v>
      </c>
      <c r="C344" s="21" t="s">
        <v>815</v>
      </c>
      <c r="D344" s="21" t="s">
        <v>816</v>
      </c>
      <c r="E344" s="21" t="s">
        <v>817</v>
      </c>
      <c r="F344" s="22">
        <v>13</v>
      </c>
      <c r="G344" s="22">
        <v>1.4</v>
      </c>
      <c r="H344" s="22">
        <v>238</v>
      </c>
      <c r="I344" s="22">
        <v>33</v>
      </c>
      <c r="J344" s="22">
        <v>5</v>
      </c>
      <c r="K344" s="22">
        <v>13</v>
      </c>
      <c r="L344" s="22">
        <v>1.4</v>
      </c>
      <c r="M344" s="22">
        <v>35</v>
      </c>
      <c r="N344" s="23" t="str">
        <f t="shared" si="35"/>
        <v>Alto</v>
      </c>
      <c r="O344" s="23" t="str">
        <f t="shared" si="36"/>
        <v>Bajo</v>
      </c>
      <c r="P344" s="23" t="str">
        <f t="shared" si="37"/>
        <v>Bajo</v>
      </c>
      <c r="Q344" s="24" t="str">
        <f t="shared" si="38"/>
        <v>N/C: no es fuente proteica</v>
      </c>
      <c r="R344" s="23" t="str">
        <f t="shared" si="39"/>
        <v>N/C</v>
      </c>
      <c r="S344" s="25" t="str">
        <f t="shared" si="40"/>
        <v>Utilizable</v>
      </c>
      <c r="T344" s="26" t="str">
        <f t="shared" si="41"/>
        <v>Verduras y hortalizas|00.000.238</v>
      </c>
      <c r="U344" s="26">
        <f>IF(OR($S344&lt;&gt;"Utilizable",$C344&lt;&gt;SUSTITUCION!$C$13),999999,IF(v_prioridad="Potasio",$H344,IF(v_prioridad="Fósforo",$I344,IF(v_prioridad="Sodio",$J344,IF(ISNUMBER($Q344),$Q344,999999)))))</f>
        <v>999999</v>
      </c>
    </row>
    <row r="345" spans="1:21" ht="15" customHeight="1">
      <c r="A345" s="21" t="s">
        <v>826</v>
      </c>
      <c r="B345" s="21" t="s">
        <v>827</v>
      </c>
      <c r="C345" s="21" t="s">
        <v>815</v>
      </c>
      <c r="D345" s="21" t="s">
        <v>816</v>
      </c>
      <c r="E345" s="21" t="s">
        <v>817</v>
      </c>
      <c r="F345" s="22">
        <v>14</v>
      </c>
      <c r="G345" s="22">
        <v>0.7</v>
      </c>
      <c r="H345" s="22" t="s">
        <v>138</v>
      </c>
      <c r="I345" s="22" t="s">
        <v>138</v>
      </c>
      <c r="J345" s="22">
        <v>22</v>
      </c>
      <c r="K345" s="22">
        <v>14</v>
      </c>
      <c r="L345" s="22">
        <v>0.7</v>
      </c>
      <c r="M345" s="22" t="s">
        <v>138</v>
      </c>
      <c r="N345" s="23" t="str">
        <f t="shared" si="35"/>
        <v>Sin dato</v>
      </c>
      <c r="O345" s="23" t="str">
        <f t="shared" si="36"/>
        <v>Sin dato</v>
      </c>
      <c r="P345" s="23" t="str">
        <f t="shared" si="37"/>
        <v>Bajo</v>
      </c>
      <c r="Q345" s="24" t="str">
        <f t="shared" si="38"/>
        <v>N/C</v>
      </c>
      <c r="R345" s="23" t="str">
        <f t="shared" si="39"/>
        <v>N/C</v>
      </c>
      <c r="S345" s="25" t="str">
        <f t="shared" si="40"/>
        <v>No utilizable</v>
      </c>
      <c r="T345" s="26" t="str">
        <f t="shared" si="41"/>
        <v/>
      </c>
      <c r="U345" s="26">
        <f>IF(OR($S345&lt;&gt;"Utilizable",$C345&lt;&gt;SUSTITUCION!$C$13),999999,IF(v_prioridad="Potasio",$H345,IF(v_prioridad="Fósforo",$I345,IF(v_prioridad="Sodio",$J345,IF(ISNUMBER($Q345),$Q345,999999)))))</f>
        <v>999999</v>
      </c>
    </row>
    <row r="346" spans="1:21" ht="15" customHeight="1">
      <c r="A346" s="21" t="s">
        <v>828</v>
      </c>
      <c r="B346" s="21" t="s">
        <v>829</v>
      </c>
      <c r="C346" s="21" t="s">
        <v>815</v>
      </c>
      <c r="D346" s="21" t="s">
        <v>816</v>
      </c>
      <c r="E346" s="21" t="s">
        <v>817</v>
      </c>
      <c r="F346" s="22">
        <v>16</v>
      </c>
      <c r="G346" s="22">
        <v>1.3</v>
      </c>
      <c r="H346" s="22">
        <v>187</v>
      </c>
      <c r="I346" s="22">
        <v>28</v>
      </c>
      <c r="J346" s="22">
        <v>25</v>
      </c>
      <c r="K346" s="22">
        <v>16</v>
      </c>
      <c r="L346" s="22">
        <v>1.3</v>
      </c>
      <c r="M346" s="22">
        <v>33</v>
      </c>
      <c r="N346" s="23" t="str">
        <f t="shared" si="35"/>
        <v>Medio</v>
      </c>
      <c r="O346" s="23" t="str">
        <f t="shared" si="36"/>
        <v>Bajo</v>
      </c>
      <c r="P346" s="23" t="str">
        <f t="shared" si="37"/>
        <v>Bajo</v>
      </c>
      <c r="Q346" s="24" t="str">
        <f t="shared" si="38"/>
        <v>N/C: no es fuente proteica</v>
      </c>
      <c r="R346" s="23" t="str">
        <f t="shared" si="39"/>
        <v>N/C</v>
      </c>
      <c r="S346" s="25" t="str">
        <f t="shared" si="40"/>
        <v>Utilizable</v>
      </c>
      <c r="T346" s="26" t="str">
        <f t="shared" si="41"/>
        <v>Verduras y hortalizas|00.000.187</v>
      </c>
      <c r="U346" s="26">
        <f>IF(OR($S346&lt;&gt;"Utilizable",$C346&lt;&gt;SUSTITUCION!$C$13),999999,IF(v_prioridad="Potasio",$H346,IF(v_prioridad="Fósforo",$I346,IF(v_prioridad="Sodio",$J346,IF(ISNUMBER($Q346),$Q346,999999)))))</f>
        <v>999999</v>
      </c>
    </row>
    <row r="347" spans="1:21" ht="15" customHeight="1">
      <c r="A347" s="21" t="s">
        <v>830</v>
      </c>
      <c r="B347" s="21" t="s">
        <v>831</v>
      </c>
      <c r="C347" s="21" t="s">
        <v>815</v>
      </c>
      <c r="D347" s="21" t="s">
        <v>816</v>
      </c>
      <c r="E347" s="21" t="s">
        <v>817</v>
      </c>
      <c r="F347" s="22">
        <v>37</v>
      </c>
      <c r="G347" s="22">
        <v>3.3</v>
      </c>
      <c r="H347" s="22" t="s">
        <v>138</v>
      </c>
      <c r="I347" s="22" t="s">
        <v>138</v>
      </c>
      <c r="J347" s="22" t="s">
        <v>138</v>
      </c>
      <c r="K347" s="22">
        <v>37</v>
      </c>
      <c r="L347" s="22">
        <v>3.3</v>
      </c>
      <c r="M347" s="22" t="s">
        <v>138</v>
      </c>
      <c r="N347" s="23" t="str">
        <f t="shared" si="35"/>
        <v>Sin dato</v>
      </c>
      <c r="O347" s="23" t="str">
        <f t="shared" si="36"/>
        <v>Sin dato</v>
      </c>
      <c r="P347" s="23" t="str">
        <f t="shared" si="37"/>
        <v>Sin dato</v>
      </c>
      <c r="Q347" s="24" t="str">
        <f t="shared" si="38"/>
        <v>N/C</v>
      </c>
      <c r="R347" s="23" t="str">
        <f t="shared" si="39"/>
        <v>N/C</v>
      </c>
      <c r="S347" s="25" t="str">
        <f t="shared" si="40"/>
        <v>No utilizable</v>
      </c>
      <c r="T347" s="26" t="str">
        <f t="shared" si="41"/>
        <v/>
      </c>
      <c r="U347" s="26">
        <f>IF(OR($S347&lt;&gt;"Utilizable",$C347&lt;&gt;SUSTITUCION!$C$13),999999,IF(v_prioridad="Potasio",$H347,IF(v_prioridad="Fósforo",$I347,IF(v_prioridad="Sodio",$J347,IF(ISNUMBER($Q347),$Q347,999999)))))</f>
        <v>999999</v>
      </c>
    </row>
    <row r="348" spans="1:21" ht="15" customHeight="1">
      <c r="A348" s="21" t="s">
        <v>832</v>
      </c>
      <c r="B348" s="21" t="s">
        <v>833</v>
      </c>
      <c r="C348" s="21" t="s">
        <v>815</v>
      </c>
      <c r="D348" s="21" t="s">
        <v>816</v>
      </c>
      <c r="E348" s="21" t="s">
        <v>817</v>
      </c>
      <c r="F348" s="22">
        <v>157</v>
      </c>
      <c r="G348" s="22">
        <v>23.9</v>
      </c>
      <c r="H348" s="22" t="s">
        <v>138</v>
      </c>
      <c r="I348" s="22">
        <v>295</v>
      </c>
      <c r="J348" s="22">
        <v>357</v>
      </c>
      <c r="K348" s="22">
        <v>157</v>
      </c>
      <c r="L348" s="22">
        <v>23.9</v>
      </c>
      <c r="M348" s="22">
        <v>154</v>
      </c>
      <c r="N348" s="23" t="str">
        <f t="shared" si="35"/>
        <v>Sin dato</v>
      </c>
      <c r="O348" s="23" t="str">
        <f t="shared" si="36"/>
        <v>Muy alto</v>
      </c>
      <c r="P348" s="23" t="str">
        <f t="shared" si="37"/>
        <v>Alto</v>
      </c>
      <c r="Q348" s="24">
        <f t="shared" si="38"/>
        <v>12.343096234309623</v>
      </c>
      <c r="R348" s="23" t="str">
        <f t="shared" si="39"/>
        <v>Aceptable</v>
      </c>
      <c r="S348" s="25" t="str">
        <f t="shared" si="40"/>
        <v>No utilizable</v>
      </c>
      <c r="T348" s="26" t="str">
        <f t="shared" si="41"/>
        <v/>
      </c>
      <c r="U348" s="26">
        <f>IF(OR($S348&lt;&gt;"Utilizable",$C348&lt;&gt;SUSTITUCION!$C$13),999999,IF(v_prioridad="Potasio",$H348,IF(v_prioridad="Fósforo",$I348,IF(v_prioridad="Sodio",$J348,IF(ISNUMBER($Q348),$Q348,999999)))))</f>
        <v>999999</v>
      </c>
    </row>
    <row r="349" spans="1:21" ht="15" customHeight="1">
      <c r="A349" s="21" t="s">
        <v>834</v>
      </c>
      <c r="B349" s="21" t="s">
        <v>835</v>
      </c>
      <c r="C349" s="21" t="s">
        <v>815</v>
      </c>
      <c r="D349" s="21" t="s">
        <v>816</v>
      </c>
      <c r="E349" s="21" t="s">
        <v>817</v>
      </c>
      <c r="F349" s="22">
        <v>28</v>
      </c>
      <c r="G349" s="22">
        <v>0.9</v>
      </c>
      <c r="H349" s="22">
        <v>191</v>
      </c>
      <c r="I349" s="22">
        <v>27</v>
      </c>
      <c r="J349" s="22">
        <v>67</v>
      </c>
      <c r="K349" s="22">
        <v>28</v>
      </c>
      <c r="L349" s="22">
        <v>0.9</v>
      </c>
      <c r="M349" s="22">
        <v>30</v>
      </c>
      <c r="N349" s="23" t="str">
        <f t="shared" si="35"/>
        <v>Medio</v>
      </c>
      <c r="O349" s="23" t="str">
        <f t="shared" si="36"/>
        <v>Bajo</v>
      </c>
      <c r="P349" s="23" t="str">
        <f t="shared" si="37"/>
        <v>Medio</v>
      </c>
      <c r="Q349" s="24" t="str">
        <f t="shared" si="38"/>
        <v>N/C: no es fuente proteica</v>
      </c>
      <c r="R349" s="23" t="str">
        <f t="shared" si="39"/>
        <v>N/C</v>
      </c>
      <c r="S349" s="25" t="str">
        <f t="shared" si="40"/>
        <v>Utilizable</v>
      </c>
      <c r="T349" s="26" t="str">
        <f t="shared" si="41"/>
        <v>Verduras y hortalizas|00.000.191</v>
      </c>
      <c r="U349" s="26">
        <f>IF(OR($S349&lt;&gt;"Utilizable",$C349&lt;&gt;SUSTITUCION!$C$13),999999,IF(v_prioridad="Potasio",$H349,IF(v_prioridad="Fósforo",$I349,IF(v_prioridad="Sodio",$J349,IF(ISNUMBER($Q349),$Q349,999999)))))</f>
        <v>999999</v>
      </c>
    </row>
    <row r="350" spans="1:21" ht="15" customHeight="1">
      <c r="A350" s="21" t="s">
        <v>836</v>
      </c>
      <c r="B350" s="21" t="s">
        <v>837</v>
      </c>
      <c r="C350" s="21" t="s">
        <v>815</v>
      </c>
      <c r="D350" s="21" t="s">
        <v>816</v>
      </c>
      <c r="E350" s="21" t="s">
        <v>817</v>
      </c>
      <c r="F350" s="22">
        <v>21</v>
      </c>
      <c r="G350" s="22">
        <v>0.4</v>
      </c>
      <c r="H350" s="22" t="s">
        <v>138</v>
      </c>
      <c r="I350" s="22">
        <v>10</v>
      </c>
      <c r="J350" s="22" t="s">
        <v>138</v>
      </c>
      <c r="K350" s="22">
        <v>21</v>
      </c>
      <c r="L350" s="22">
        <v>0.4</v>
      </c>
      <c r="M350" s="22">
        <v>180</v>
      </c>
      <c r="N350" s="23" t="str">
        <f t="shared" si="35"/>
        <v>Sin dato</v>
      </c>
      <c r="O350" s="23" t="str">
        <f t="shared" si="36"/>
        <v>Bajo</v>
      </c>
      <c r="P350" s="23" t="str">
        <f t="shared" si="37"/>
        <v>Sin dato</v>
      </c>
      <c r="Q350" s="24" t="str">
        <f t="shared" si="38"/>
        <v>N/C: no es fuente proteica</v>
      </c>
      <c r="R350" s="23" t="str">
        <f t="shared" si="39"/>
        <v>N/C</v>
      </c>
      <c r="S350" s="25" t="str">
        <f t="shared" si="40"/>
        <v>No utilizable</v>
      </c>
      <c r="T350" s="26" t="str">
        <f t="shared" si="41"/>
        <v/>
      </c>
      <c r="U350" s="26">
        <f>IF(OR($S350&lt;&gt;"Utilizable",$C350&lt;&gt;SUSTITUCION!$C$13),999999,IF(v_prioridad="Potasio",$H350,IF(v_prioridad="Fósforo",$I350,IF(v_prioridad="Sodio",$J350,IF(ISNUMBER($Q350),$Q350,999999)))))</f>
        <v>999999</v>
      </c>
    </row>
    <row r="351" spans="1:21" ht="15" customHeight="1">
      <c r="A351" s="21" t="s">
        <v>838</v>
      </c>
      <c r="B351" s="21" t="s">
        <v>839</v>
      </c>
      <c r="C351" s="21" t="s">
        <v>815</v>
      </c>
      <c r="D351" s="21" t="s">
        <v>816</v>
      </c>
      <c r="E351" s="21" t="s">
        <v>817</v>
      </c>
      <c r="F351" s="22">
        <v>12</v>
      </c>
      <c r="G351" s="22">
        <v>0.6</v>
      </c>
      <c r="H351" s="22">
        <v>136</v>
      </c>
      <c r="I351" s="22">
        <v>21</v>
      </c>
      <c r="J351" s="22">
        <v>2</v>
      </c>
      <c r="K351" s="22">
        <v>12</v>
      </c>
      <c r="L351" s="22">
        <v>0.6</v>
      </c>
      <c r="M351" s="22">
        <v>14</v>
      </c>
      <c r="N351" s="23" t="str">
        <f t="shared" si="35"/>
        <v>Medio</v>
      </c>
      <c r="O351" s="23" t="str">
        <f t="shared" si="36"/>
        <v>Bajo</v>
      </c>
      <c r="P351" s="23" t="str">
        <f t="shared" si="37"/>
        <v>Bajo</v>
      </c>
      <c r="Q351" s="24" t="str">
        <f t="shared" si="38"/>
        <v>N/C: no es fuente proteica</v>
      </c>
      <c r="R351" s="23" t="str">
        <f t="shared" si="39"/>
        <v>N/C</v>
      </c>
      <c r="S351" s="25" t="str">
        <f t="shared" si="40"/>
        <v>Utilizable</v>
      </c>
      <c r="T351" s="26" t="str">
        <f t="shared" si="41"/>
        <v>Verduras y hortalizas|00.000.136</v>
      </c>
      <c r="U351" s="26">
        <f>IF(OR($S351&lt;&gt;"Utilizable",$C351&lt;&gt;SUSTITUCION!$C$13),999999,IF(v_prioridad="Potasio",$H351,IF(v_prioridad="Fósforo",$I351,IF(v_prioridad="Sodio",$J351,IF(ISNUMBER($Q351),$Q351,999999)))))</f>
        <v>999999</v>
      </c>
    </row>
    <row r="352" spans="1:21" ht="15" customHeight="1">
      <c r="A352" s="21" t="s">
        <v>840</v>
      </c>
      <c r="B352" s="21" t="s">
        <v>841</v>
      </c>
      <c r="C352" s="21" t="s">
        <v>815</v>
      </c>
      <c r="D352" s="21" t="s">
        <v>816</v>
      </c>
      <c r="E352" s="21" t="s">
        <v>817</v>
      </c>
      <c r="F352" s="22">
        <v>12</v>
      </c>
      <c r="G352" s="22">
        <v>0.5</v>
      </c>
      <c r="H352" s="22">
        <v>117</v>
      </c>
      <c r="I352" s="22">
        <v>16</v>
      </c>
      <c r="J352" s="22">
        <v>809</v>
      </c>
      <c r="K352" s="22">
        <v>12</v>
      </c>
      <c r="L352" s="22">
        <v>0.5</v>
      </c>
      <c r="M352" s="22">
        <v>57</v>
      </c>
      <c r="N352" s="23" t="str">
        <f t="shared" si="35"/>
        <v>Medio</v>
      </c>
      <c r="O352" s="23" t="str">
        <f t="shared" si="36"/>
        <v>Bajo</v>
      </c>
      <c r="P352" s="23" t="str">
        <f t="shared" si="37"/>
        <v>Muy alto</v>
      </c>
      <c r="Q352" s="24" t="str">
        <f t="shared" si="38"/>
        <v>N/C: no es fuente proteica</v>
      </c>
      <c r="R352" s="23" t="str">
        <f t="shared" si="39"/>
        <v>N/C</v>
      </c>
      <c r="S352" s="25" t="str">
        <f t="shared" si="40"/>
        <v>Utilizable</v>
      </c>
      <c r="T352" s="26" t="str">
        <f t="shared" si="41"/>
        <v>Verduras y hortalizas|00.000.117</v>
      </c>
      <c r="U352" s="26">
        <f>IF(OR($S352&lt;&gt;"Utilizable",$C352&lt;&gt;SUSTITUCION!$C$13),999999,IF(v_prioridad="Potasio",$H352,IF(v_prioridad="Fósforo",$I352,IF(v_prioridad="Sodio",$J352,IF(ISNUMBER($Q352),$Q352,999999)))))</f>
        <v>999999</v>
      </c>
    </row>
    <row r="353" spans="1:21" ht="15" customHeight="1">
      <c r="A353" s="21" t="s">
        <v>842</v>
      </c>
      <c r="B353" s="21" t="s">
        <v>843</v>
      </c>
      <c r="C353" s="21" t="s">
        <v>815</v>
      </c>
      <c r="D353" s="21" t="s">
        <v>816</v>
      </c>
      <c r="E353" s="21" t="s">
        <v>817</v>
      </c>
      <c r="F353" s="22">
        <v>67</v>
      </c>
      <c r="G353" s="22">
        <v>0.9</v>
      </c>
      <c r="H353" s="22">
        <v>66.7</v>
      </c>
      <c r="I353" s="22">
        <v>20</v>
      </c>
      <c r="J353" s="22">
        <v>670</v>
      </c>
      <c r="K353" s="22">
        <v>67</v>
      </c>
      <c r="L353" s="22">
        <v>0.9</v>
      </c>
      <c r="M353" s="22">
        <v>10</v>
      </c>
      <c r="N353" s="23" t="str">
        <f t="shared" si="35"/>
        <v>Bajo</v>
      </c>
      <c r="O353" s="23" t="str">
        <f t="shared" si="36"/>
        <v>Bajo</v>
      </c>
      <c r="P353" s="23" t="str">
        <f t="shared" si="37"/>
        <v>Muy alto</v>
      </c>
      <c r="Q353" s="24" t="str">
        <f t="shared" si="38"/>
        <v>N/C: no es fuente proteica</v>
      </c>
      <c r="R353" s="23" t="str">
        <f t="shared" si="39"/>
        <v>N/C</v>
      </c>
      <c r="S353" s="25" t="str">
        <f t="shared" si="40"/>
        <v>Utilizable</v>
      </c>
      <c r="T353" s="26" t="str">
        <f t="shared" si="41"/>
        <v>Verduras y hortalizas|00.000.067</v>
      </c>
      <c r="U353" s="26">
        <f>IF(OR($S353&lt;&gt;"Utilizable",$C353&lt;&gt;SUSTITUCION!$C$13),999999,IF(v_prioridad="Potasio",$H353,IF(v_prioridad="Fósforo",$I353,IF(v_prioridad="Sodio",$J353,IF(ISNUMBER($Q353),$Q353,999999)))))</f>
        <v>999999</v>
      </c>
    </row>
    <row r="354" spans="1:21" ht="15" customHeight="1">
      <c r="A354" s="21" t="s">
        <v>844</v>
      </c>
      <c r="B354" s="21" t="s">
        <v>845</v>
      </c>
      <c r="C354" s="21" t="s">
        <v>815</v>
      </c>
      <c r="D354" s="21" t="s">
        <v>816</v>
      </c>
      <c r="E354" s="21" t="s">
        <v>817</v>
      </c>
      <c r="F354" s="22">
        <v>31</v>
      </c>
      <c r="G354" s="22">
        <v>1</v>
      </c>
      <c r="H354" s="22">
        <v>211</v>
      </c>
      <c r="I354" s="22">
        <v>26</v>
      </c>
      <c r="J354" s="22">
        <v>4</v>
      </c>
      <c r="K354" s="22">
        <v>31</v>
      </c>
      <c r="L354" s="22">
        <v>1</v>
      </c>
      <c r="M354" s="22">
        <v>7</v>
      </c>
      <c r="N354" s="23" t="str">
        <f t="shared" si="35"/>
        <v>Alto</v>
      </c>
      <c r="O354" s="23" t="str">
        <f t="shared" si="36"/>
        <v>Bajo</v>
      </c>
      <c r="P354" s="23" t="str">
        <f t="shared" si="37"/>
        <v>Bajo</v>
      </c>
      <c r="Q354" s="24" t="str">
        <f t="shared" si="38"/>
        <v>N/C: no es fuente proteica</v>
      </c>
      <c r="R354" s="23" t="str">
        <f t="shared" si="39"/>
        <v>N/C</v>
      </c>
      <c r="S354" s="25" t="str">
        <f t="shared" si="40"/>
        <v>Utilizable</v>
      </c>
      <c r="T354" s="26" t="str">
        <f t="shared" si="41"/>
        <v>Verduras y hortalizas|00.000.211</v>
      </c>
      <c r="U354" s="26">
        <f>IF(OR($S354&lt;&gt;"Utilizable",$C354&lt;&gt;SUSTITUCION!$C$13),999999,IF(v_prioridad="Potasio",$H354,IF(v_prioridad="Fósforo",$I354,IF(v_prioridad="Sodio",$J354,IF(ISNUMBER($Q354),$Q354,999999)))))</f>
        <v>999999</v>
      </c>
    </row>
    <row r="355" spans="1:21" ht="15" customHeight="1">
      <c r="A355" s="21" t="s">
        <v>846</v>
      </c>
      <c r="B355" s="21" t="s">
        <v>847</v>
      </c>
      <c r="C355" s="21" t="s">
        <v>815</v>
      </c>
      <c r="D355" s="21" t="s">
        <v>816</v>
      </c>
      <c r="E355" s="21" t="s">
        <v>817</v>
      </c>
      <c r="F355" s="22">
        <v>20</v>
      </c>
      <c r="G355" s="22">
        <v>0.9</v>
      </c>
      <c r="H355" s="22">
        <v>175</v>
      </c>
      <c r="I355" s="22">
        <v>20</v>
      </c>
      <c r="J355" s="22">
        <v>3</v>
      </c>
      <c r="K355" s="22">
        <v>20</v>
      </c>
      <c r="L355" s="22">
        <v>0.9</v>
      </c>
      <c r="M355" s="22">
        <v>10</v>
      </c>
      <c r="N355" s="23" t="str">
        <f t="shared" si="35"/>
        <v>Medio</v>
      </c>
      <c r="O355" s="23" t="str">
        <f t="shared" si="36"/>
        <v>Bajo</v>
      </c>
      <c r="P355" s="23" t="str">
        <f t="shared" si="37"/>
        <v>Bajo</v>
      </c>
      <c r="Q355" s="24" t="str">
        <f t="shared" si="38"/>
        <v>N/C: no es fuente proteica</v>
      </c>
      <c r="R355" s="23" t="str">
        <f t="shared" si="39"/>
        <v>N/C</v>
      </c>
      <c r="S355" s="25" t="str">
        <f t="shared" si="40"/>
        <v>Utilizable</v>
      </c>
      <c r="T355" s="26" t="str">
        <f t="shared" si="41"/>
        <v>Verduras y hortalizas|00.000.175</v>
      </c>
      <c r="U355" s="26">
        <f>IF(OR($S355&lt;&gt;"Utilizable",$C355&lt;&gt;SUSTITUCION!$C$13),999999,IF(v_prioridad="Potasio",$H355,IF(v_prioridad="Fósforo",$I355,IF(v_prioridad="Sodio",$J355,IF(ISNUMBER($Q355),$Q355,999999)))))</f>
        <v>999999</v>
      </c>
    </row>
    <row r="356" spans="1:21" ht="15" customHeight="1">
      <c r="A356" s="21" t="s">
        <v>848</v>
      </c>
      <c r="B356" s="21" t="s">
        <v>849</v>
      </c>
      <c r="C356" s="21" t="s">
        <v>815</v>
      </c>
      <c r="D356" s="21" t="s">
        <v>816</v>
      </c>
      <c r="E356" s="21" t="s">
        <v>817</v>
      </c>
      <c r="F356" s="22">
        <v>21</v>
      </c>
      <c r="G356" s="22">
        <v>1.1000000000000001</v>
      </c>
      <c r="H356" s="22">
        <v>96</v>
      </c>
      <c r="I356" s="22">
        <v>22</v>
      </c>
      <c r="J356" s="22">
        <v>268</v>
      </c>
      <c r="K356" s="22">
        <v>21</v>
      </c>
      <c r="L356" s="22">
        <v>1.1000000000000001</v>
      </c>
      <c r="M356" s="22">
        <v>37</v>
      </c>
      <c r="N356" s="23" t="str">
        <f t="shared" si="35"/>
        <v>Bajo</v>
      </c>
      <c r="O356" s="23" t="str">
        <f t="shared" si="36"/>
        <v>Bajo</v>
      </c>
      <c r="P356" s="23" t="str">
        <f t="shared" si="37"/>
        <v>Alto</v>
      </c>
      <c r="Q356" s="24" t="str">
        <f t="shared" si="38"/>
        <v>N/C: no es fuente proteica</v>
      </c>
      <c r="R356" s="23" t="str">
        <f t="shared" si="39"/>
        <v>N/C</v>
      </c>
      <c r="S356" s="25" t="str">
        <f t="shared" si="40"/>
        <v>Utilizable</v>
      </c>
      <c r="T356" s="26" t="str">
        <f t="shared" si="41"/>
        <v>Verduras y hortalizas|00.000.096</v>
      </c>
      <c r="U356" s="26">
        <f>IF(OR($S356&lt;&gt;"Utilizable",$C356&lt;&gt;SUSTITUCION!$C$13),999999,IF(v_prioridad="Potasio",$H356,IF(v_prioridad="Fósforo",$I356,IF(v_prioridad="Sodio",$J356,IF(ISNUMBER($Q356),$Q356,999999)))))</f>
        <v>999999</v>
      </c>
    </row>
    <row r="357" spans="1:21" ht="15" customHeight="1">
      <c r="A357" s="21" t="s">
        <v>850</v>
      </c>
      <c r="B357" s="21" t="s">
        <v>851</v>
      </c>
      <c r="C357" s="21" t="s">
        <v>815</v>
      </c>
      <c r="D357" s="21" t="s">
        <v>816</v>
      </c>
      <c r="E357" s="21" t="s">
        <v>817</v>
      </c>
      <c r="F357" s="22">
        <v>35</v>
      </c>
      <c r="G357" s="22">
        <v>1.9</v>
      </c>
      <c r="H357" s="22">
        <v>146</v>
      </c>
      <c r="I357" s="22">
        <v>29</v>
      </c>
      <c r="J357" s="22">
        <v>1</v>
      </c>
      <c r="K357" s="22">
        <v>35</v>
      </c>
      <c r="L357" s="22">
        <v>1.9</v>
      </c>
      <c r="M357" s="22">
        <v>44</v>
      </c>
      <c r="N357" s="23" t="str">
        <f t="shared" si="35"/>
        <v>Medio</v>
      </c>
      <c r="O357" s="23" t="str">
        <f t="shared" si="36"/>
        <v>Bajo</v>
      </c>
      <c r="P357" s="23" t="str">
        <f t="shared" si="37"/>
        <v>Bajo</v>
      </c>
      <c r="Q357" s="24" t="str">
        <f t="shared" si="38"/>
        <v>N/C: no es fuente proteica</v>
      </c>
      <c r="R357" s="23" t="str">
        <f t="shared" si="39"/>
        <v>N/C</v>
      </c>
      <c r="S357" s="25" t="str">
        <f t="shared" si="40"/>
        <v>Utilizable</v>
      </c>
      <c r="T357" s="26" t="str">
        <f t="shared" si="41"/>
        <v>Verduras y hortalizas|00.000.146</v>
      </c>
      <c r="U357" s="26">
        <f>IF(OR($S357&lt;&gt;"Utilizable",$C357&lt;&gt;SUSTITUCION!$C$13),999999,IF(v_prioridad="Potasio",$H357,IF(v_prioridad="Fósforo",$I357,IF(v_prioridad="Sodio",$J357,IF(ISNUMBER($Q357),$Q357,999999)))))</f>
        <v>999999</v>
      </c>
    </row>
    <row r="358" spans="1:21" ht="15" customHeight="1">
      <c r="A358" s="21" t="s">
        <v>852</v>
      </c>
      <c r="B358" s="21" t="s">
        <v>853</v>
      </c>
      <c r="C358" s="21" t="s">
        <v>815</v>
      </c>
      <c r="D358" s="21" t="s">
        <v>816</v>
      </c>
      <c r="E358" s="21" t="s">
        <v>817</v>
      </c>
      <c r="F358" s="22">
        <v>61</v>
      </c>
      <c r="G358" s="22">
        <v>1.5</v>
      </c>
      <c r="H358" s="22">
        <v>180</v>
      </c>
      <c r="I358" s="22">
        <v>35</v>
      </c>
      <c r="J358" s="22">
        <v>20</v>
      </c>
      <c r="K358" s="22">
        <v>61</v>
      </c>
      <c r="L358" s="22">
        <v>1.5</v>
      </c>
      <c r="M358" s="22">
        <v>59</v>
      </c>
      <c r="N358" s="23" t="str">
        <f t="shared" si="35"/>
        <v>Medio</v>
      </c>
      <c r="O358" s="23" t="str">
        <f t="shared" si="36"/>
        <v>Bajo</v>
      </c>
      <c r="P358" s="23" t="str">
        <f t="shared" si="37"/>
        <v>Bajo</v>
      </c>
      <c r="Q358" s="24" t="str">
        <f t="shared" si="38"/>
        <v>N/C: no es fuente proteica</v>
      </c>
      <c r="R358" s="23" t="str">
        <f t="shared" si="39"/>
        <v>N/C</v>
      </c>
      <c r="S358" s="25" t="str">
        <f t="shared" si="40"/>
        <v>Utilizable</v>
      </c>
      <c r="T358" s="26" t="str">
        <f t="shared" si="41"/>
        <v>Verduras y hortalizas|00.000.180</v>
      </c>
      <c r="U358" s="26">
        <f>IF(OR($S358&lt;&gt;"Utilizable",$C358&lt;&gt;SUSTITUCION!$C$13),999999,IF(v_prioridad="Potasio",$H358,IF(v_prioridad="Fósforo",$I358,IF(v_prioridad="Sodio",$J358,IF(ISNUMBER($Q358),$Q358,999999)))))</f>
        <v>999999</v>
      </c>
    </row>
    <row r="359" spans="1:21" ht="15" customHeight="1">
      <c r="A359" s="21" t="s">
        <v>854</v>
      </c>
      <c r="B359" s="21" t="s">
        <v>855</v>
      </c>
      <c r="C359" s="21" t="s">
        <v>815</v>
      </c>
      <c r="D359" s="21" t="s">
        <v>816</v>
      </c>
      <c r="E359" s="21" t="s">
        <v>817</v>
      </c>
      <c r="F359" s="22">
        <v>36</v>
      </c>
      <c r="G359" s="22">
        <v>0.7</v>
      </c>
      <c r="H359" s="22">
        <v>233</v>
      </c>
      <c r="I359" s="22">
        <v>20</v>
      </c>
      <c r="J359" s="22">
        <v>39</v>
      </c>
      <c r="K359" s="22">
        <v>36</v>
      </c>
      <c r="L359" s="22">
        <v>0.7</v>
      </c>
      <c r="M359" s="22">
        <v>25</v>
      </c>
      <c r="N359" s="23" t="str">
        <f t="shared" si="35"/>
        <v>Alto</v>
      </c>
      <c r="O359" s="23" t="str">
        <f t="shared" si="36"/>
        <v>Bajo</v>
      </c>
      <c r="P359" s="23" t="str">
        <f t="shared" si="37"/>
        <v>Bajo</v>
      </c>
      <c r="Q359" s="24" t="str">
        <f t="shared" si="38"/>
        <v>N/C: no es fuente proteica</v>
      </c>
      <c r="R359" s="23" t="str">
        <f t="shared" si="39"/>
        <v>N/C</v>
      </c>
      <c r="S359" s="25" t="str">
        <f t="shared" si="40"/>
        <v>Utilizable</v>
      </c>
      <c r="T359" s="26" t="str">
        <f t="shared" si="41"/>
        <v>Verduras y hortalizas|00.000.233</v>
      </c>
      <c r="U359" s="26">
        <f>IF(OR($S359&lt;&gt;"Utilizable",$C359&lt;&gt;SUSTITUCION!$C$13),999999,IF(v_prioridad="Potasio",$H359,IF(v_prioridad="Fósforo",$I359,IF(v_prioridad="Sodio",$J359,IF(ISNUMBER($Q359),$Q359,999999)))))</f>
        <v>999999</v>
      </c>
    </row>
    <row r="360" spans="1:21" ht="15" customHeight="1">
      <c r="A360" s="21" t="s">
        <v>856</v>
      </c>
      <c r="B360" s="21" t="s">
        <v>857</v>
      </c>
      <c r="C360" s="21" t="s">
        <v>815</v>
      </c>
      <c r="D360" s="21" t="s">
        <v>816</v>
      </c>
      <c r="E360" s="21" t="s">
        <v>817</v>
      </c>
      <c r="F360" s="22">
        <v>16</v>
      </c>
      <c r="G360" s="22">
        <v>2.6</v>
      </c>
      <c r="H360" s="22">
        <v>317</v>
      </c>
      <c r="I360" s="22">
        <v>56</v>
      </c>
      <c r="J360" s="22">
        <v>21</v>
      </c>
      <c r="K360" s="22">
        <v>16</v>
      </c>
      <c r="L360" s="22">
        <v>2.6</v>
      </c>
      <c r="M360" s="22">
        <v>36</v>
      </c>
      <c r="N360" s="23" t="str">
        <f t="shared" si="35"/>
        <v>Muy alto</v>
      </c>
      <c r="O360" s="23" t="str">
        <f t="shared" si="36"/>
        <v>Medio</v>
      </c>
      <c r="P360" s="23" t="str">
        <f t="shared" si="37"/>
        <v>Bajo</v>
      </c>
      <c r="Q360" s="24" t="str">
        <f t="shared" si="38"/>
        <v>N/C: no es fuente proteica</v>
      </c>
      <c r="R360" s="23" t="str">
        <f t="shared" si="39"/>
        <v>N/C</v>
      </c>
      <c r="S360" s="25" t="str">
        <f t="shared" si="40"/>
        <v>Utilizable</v>
      </c>
      <c r="T360" s="26" t="str">
        <f t="shared" si="41"/>
        <v>Verduras y hortalizas|00.000.317</v>
      </c>
      <c r="U360" s="26">
        <f>IF(OR($S360&lt;&gt;"Utilizable",$C360&lt;&gt;SUSTITUCION!$C$13),999999,IF(v_prioridad="Potasio",$H360,IF(v_prioridad="Fósforo",$I360,IF(v_prioridad="Sodio",$J360,IF(ISNUMBER($Q360),$Q360,999999)))))</f>
        <v>999999</v>
      </c>
    </row>
    <row r="361" spans="1:21" ht="15" customHeight="1">
      <c r="A361" s="21" t="s">
        <v>858</v>
      </c>
      <c r="B361" s="21" t="s">
        <v>859</v>
      </c>
      <c r="C361" s="21" t="s">
        <v>815</v>
      </c>
      <c r="D361" s="21" t="s">
        <v>816</v>
      </c>
      <c r="E361" s="21" t="s">
        <v>817</v>
      </c>
      <c r="F361" s="22">
        <v>42</v>
      </c>
      <c r="G361" s="22">
        <v>3.6</v>
      </c>
      <c r="H361" s="22">
        <v>290</v>
      </c>
      <c r="I361" s="22">
        <v>56</v>
      </c>
      <c r="J361" s="22">
        <v>259</v>
      </c>
      <c r="K361" s="22">
        <v>42</v>
      </c>
      <c r="L361" s="22">
        <v>3.6</v>
      </c>
      <c r="M361" s="22">
        <v>26</v>
      </c>
      <c r="N361" s="23" t="str">
        <f t="shared" si="35"/>
        <v>Alto</v>
      </c>
      <c r="O361" s="23" t="str">
        <f t="shared" si="36"/>
        <v>Medio</v>
      </c>
      <c r="P361" s="23" t="str">
        <f t="shared" si="37"/>
        <v>Alto</v>
      </c>
      <c r="Q361" s="24" t="str">
        <f t="shared" si="38"/>
        <v>N/C: no es fuente proteica</v>
      </c>
      <c r="R361" s="23" t="str">
        <f t="shared" si="39"/>
        <v>N/C</v>
      </c>
      <c r="S361" s="25" t="str">
        <f t="shared" si="40"/>
        <v>Utilizable</v>
      </c>
      <c r="T361" s="26" t="str">
        <f t="shared" si="41"/>
        <v>Verduras y hortalizas|00.000.290</v>
      </c>
      <c r="U361" s="26">
        <f>IF(OR($S361&lt;&gt;"Utilizable",$C361&lt;&gt;SUSTITUCION!$C$13),999999,IF(v_prioridad="Potasio",$H361,IF(v_prioridad="Fósforo",$I361,IF(v_prioridad="Sodio",$J361,IF(ISNUMBER($Q361),$Q361,999999)))))</f>
        <v>999999</v>
      </c>
    </row>
    <row r="362" spans="1:21" ht="15" customHeight="1">
      <c r="A362" s="21" t="s">
        <v>860</v>
      </c>
      <c r="B362" s="21" t="s">
        <v>861</v>
      </c>
      <c r="C362" s="21" t="s">
        <v>815</v>
      </c>
      <c r="D362" s="21" t="s">
        <v>816</v>
      </c>
      <c r="E362" s="21" t="s">
        <v>817</v>
      </c>
      <c r="F362" s="22">
        <v>25</v>
      </c>
      <c r="G362" s="22">
        <v>1.3</v>
      </c>
      <c r="H362" s="22">
        <v>170</v>
      </c>
      <c r="I362" s="22">
        <v>26</v>
      </c>
      <c r="J362" s="22">
        <v>18</v>
      </c>
      <c r="K362" s="22">
        <v>25</v>
      </c>
      <c r="L362" s="22">
        <v>1.3</v>
      </c>
      <c r="M362" s="22">
        <v>40</v>
      </c>
      <c r="N362" s="23" t="str">
        <f t="shared" si="35"/>
        <v>Medio</v>
      </c>
      <c r="O362" s="23" t="str">
        <f t="shared" si="36"/>
        <v>Bajo</v>
      </c>
      <c r="P362" s="23" t="str">
        <f t="shared" si="37"/>
        <v>Bajo</v>
      </c>
      <c r="Q362" s="24" t="str">
        <f t="shared" si="38"/>
        <v>N/C: no es fuente proteica</v>
      </c>
      <c r="R362" s="23" t="str">
        <f t="shared" si="39"/>
        <v>N/C</v>
      </c>
      <c r="S362" s="25" t="str">
        <f t="shared" si="40"/>
        <v>Utilizable</v>
      </c>
      <c r="T362" s="26" t="str">
        <f t="shared" si="41"/>
        <v>Verduras y hortalizas|00.000.170</v>
      </c>
      <c r="U362" s="26">
        <f>IF(OR($S362&lt;&gt;"Utilizable",$C362&lt;&gt;SUSTITUCION!$C$13),999999,IF(v_prioridad="Potasio",$H362,IF(v_prioridad="Fósforo",$I362,IF(v_prioridad="Sodio",$J362,IF(ISNUMBER($Q362),$Q362,999999)))))</f>
        <v>999999</v>
      </c>
    </row>
    <row r="363" spans="1:21" ht="15" customHeight="1">
      <c r="A363" s="21" t="s">
        <v>862</v>
      </c>
      <c r="B363" s="21" t="s">
        <v>863</v>
      </c>
      <c r="C363" s="21" t="s">
        <v>815</v>
      </c>
      <c r="D363" s="21" t="s">
        <v>816</v>
      </c>
      <c r="E363" s="21" t="s">
        <v>817</v>
      </c>
      <c r="F363" s="22">
        <v>31</v>
      </c>
      <c r="G363" s="22">
        <v>1.4</v>
      </c>
      <c r="H363" s="22">
        <v>243</v>
      </c>
      <c r="I363" s="22">
        <v>30</v>
      </c>
      <c r="J363" s="22">
        <v>27</v>
      </c>
      <c r="K363" s="22">
        <v>31</v>
      </c>
      <c r="L363" s="22">
        <v>1.4</v>
      </c>
      <c r="M363" s="22">
        <v>45</v>
      </c>
      <c r="N363" s="23" t="str">
        <f t="shared" si="35"/>
        <v>Alto</v>
      </c>
      <c r="O363" s="23" t="str">
        <f t="shared" si="36"/>
        <v>Bajo</v>
      </c>
      <c r="P363" s="23" t="str">
        <f t="shared" si="37"/>
        <v>Bajo</v>
      </c>
      <c r="Q363" s="24" t="str">
        <f t="shared" si="38"/>
        <v>N/C: no es fuente proteica</v>
      </c>
      <c r="R363" s="23" t="str">
        <f t="shared" si="39"/>
        <v>N/C</v>
      </c>
      <c r="S363" s="25" t="str">
        <f t="shared" si="40"/>
        <v>Utilizable</v>
      </c>
      <c r="T363" s="26" t="str">
        <f t="shared" si="41"/>
        <v>Verduras y hortalizas|00.000.243</v>
      </c>
      <c r="U363" s="26">
        <f>IF(OR($S363&lt;&gt;"Utilizable",$C363&lt;&gt;SUSTITUCION!$C$13),999999,IF(v_prioridad="Potasio",$H363,IF(v_prioridad="Fósforo",$I363,IF(v_prioridad="Sodio",$J363,IF(ISNUMBER($Q363),$Q363,999999)))))</f>
        <v>999999</v>
      </c>
    </row>
    <row r="364" spans="1:21" ht="15" customHeight="1">
      <c r="A364" s="21" t="s">
        <v>864</v>
      </c>
      <c r="B364" s="21" t="s">
        <v>865</v>
      </c>
      <c r="C364" s="21" t="s">
        <v>815</v>
      </c>
      <c r="D364" s="21" t="s">
        <v>816</v>
      </c>
      <c r="E364" s="21" t="s">
        <v>817</v>
      </c>
      <c r="F364" s="22">
        <v>18</v>
      </c>
      <c r="G364" s="22">
        <v>0.9</v>
      </c>
      <c r="H364" s="22">
        <v>237</v>
      </c>
      <c r="I364" s="22">
        <v>24</v>
      </c>
      <c r="J364" s="22">
        <v>5</v>
      </c>
      <c r="K364" s="22">
        <v>18</v>
      </c>
      <c r="L364" s="22">
        <v>0.9</v>
      </c>
      <c r="M364" s="22">
        <v>10</v>
      </c>
      <c r="N364" s="23" t="str">
        <f t="shared" si="35"/>
        <v>Alto</v>
      </c>
      <c r="O364" s="23" t="str">
        <f t="shared" si="36"/>
        <v>Bajo</v>
      </c>
      <c r="P364" s="23" t="str">
        <f t="shared" si="37"/>
        <v>Bajo</v>
      </c>
      <c r="Q364" s="24" t="str">
        <f t="shared" si="38"/>
        <v>N/C: no es fuente proteica</v>
      </c>
      <c r="R364" s="23" t="str">
        <f t="shared" si="39"/>
        <v>N/C</v>
      </c>
      <c r="S364" s="25" t="str">
        <f t="shared" si="40"/>
        <v>Utilizable</v>
      </c>
      <c r="T364" s="26" t="str">
        <f t="shared" si="41"/>
        <v>Verduras y hortalizas|00.000.237</v>
      </c>
      <c r="U364" s="26">
        <f>IF(OR($S364&lt;&gt;"Utilizable",$C364&lt;&gt;SUSTITUCION!$C$13),999999,IF(v_prioridad="Potasio",$H364,IF(v_prioridad="Fósforo",$I364,IF(v_prioridad="Sodio",$J364,IF(ISNUMBER($Q364),$Q364,999999)))))</f>
        <v>999999</v>
      </c>
    </row>
    <row r="365" spans="1:21" ht="15" customHeight="1">
      <c r="A365" s="21" t="s">
        <v>866</v>
      </c>
      <c r="B365" s="21" t="s">
        <v>867</v>
      </c>
      <c r="C365" s="21" t="s">
        <v>815</v>
      </c>
      <c r="D365" s="21" t="s">
        <v>816</v>
      </c>
      <c r="E365" s="21" t="s">
        <v>817</v>
      </c>
      <c r="F365" s="22">
        <v>29</v>
      </c>
      <c r="G365" s="22">
        <v>1.5</v>
      </c>
      <c r="H365" s="22" t="s">
        <v>138</v>
      </c>
      <c r="I365" s="22" t="s">
        <v>138</v>
      </c>
      <c r="J365" s="22" t="s">
        <v>138</v>
      </c>
      <c r="K365" s="22">
        <v>29</v>
      </c>
      <c r="L365" s="22">
        <v>1.5</v>
      </c>
      <c r="M365" s="22" t="s">
        <v>138</v>
      </c>
      <c r="N365" s="23" t="str">
        <f t="shared" si="35"/>
        <v>Sin dato</v>
      </c>
      <c r="O365" s="23" t="str">
        <f t="shared" si="36"/>
        <v>Sin dato</v>
      </c>
      <c r="P365" s="23" t="str">
        <f t="shared" si="37"/>
        <v>Sin dato</v>
      </c>
      <c r="Q365" s="24" t="str">
        <f t="shared" si="38"/>
        <v>N/C</v>
      </c>
      <c r="R365" s="23" t="str">
        <f t="shared" si="39"/>
        <v>N/C</v>
      </c>
      <c r="S365" s="25" t="str">
        <f t="shared" si="40"/>
        <v>No utilizable</v>
      </c>
      <c r="T365" s="26" t="str">
        <f t="shared" si="41"/>
        <v/>
      </c>
      <c r="U365" s="26">
        <f>IF(OR($S365&lt;&gt;"Utilizable",$C365&lt;&gt;SUSTITUCION!$C$13),999999,IF(v_prioridad="Potasio",$H365,IF(v_prioridad="Fósforo",$I365,IF(v_prioridad="Sodio",$J365,IF(ISNUMBER($Q365),$Q365,999999)))))</f>
        <v>999999</v>
      </c>
    </row>
    <row r="366" spans="1:21" ht="15" customHeight="1">
      <c r="A366" s="21" t="s">
        <v>868</v>
      </c>
      <c r="B366" s="21" t="s">
        <v>869</v>
      </c>
      <c r="C366" s="21" t="s">
        <v>815</v>
      </c>
      <c r="D366" s="21" t="s">
        <v>816</v>
      </c>
      <c r="E366" s="21" t="s">
        <v>817</v>
      </c>
      <c r="F366" s="22">
        <v>35</v>
      </c>
      <c r="G366" s="22">
        <v>0.8</v>
      </c>
      <c r="H366" s="22">
        <v>235</v>
      </c>
      <c r="I366" s="22">
        <v>30</v>
      </c>
      <c r="J366" s="22">
        <v>58</v>
      </c>
      <c r="K366" s="22">
        <v>35</v>
      </c>
      <c r="L366" s="22">
        <v>0.8</v>
      </c>
      <c r="M366" s="22">
        <v>30</v>
      </c>
      <c r="N366" s="23" t="str">
        <f t="shared" si="35"/>
        <v>Alto</v>
      </c>
      <c r="O366" s="23" t="str">
        <f t="shared" si="36"/>
        <v>Bajo</v>
      </c>
      <c r="P366" s="23" t="str">
        <f t="shared" si="37"/>
        <v>Medio</v>
      </c>
      <c r="Q366" s="24" t="str">
        <f t="shared" si="38"/>
        <v>N/C: no es fuente proteica</v>
      </c>
      <c r="R366" s="23" t="str">
        <f t="shared" si="39"/>
        <v>N/C</v>
      </c>
      <c r="S366" s="25" t="str">
        <f t="shared" si="40"/>
        <v>Utilizable</v>
      </c>
      <c r="T366" s="26" t="str">
        <f t="shared" si="41"/>
        <v>Verduras y hortalizas|00.000.235</v>
      </c>
      <c r="U366" s="26">
        <f>IF(OR($S366&lt;&gt;"Utilizable",$C366&lt;&gt;SUSTITUCION!$C$13),999999,IF(v_prioridad="Potasio",$H366,IF(v_prioridad="Fósforo",$I366,IF(v_prioridad="Sodio",$J366,IF(ISNUMBER($Q366),$Q366,999999)))))</f>
        <v>999999</v>
      </c>
    </row>
    <row r="367" spans="1:21" ht="15" customHeight="1">
      <c r="A367" s="21" t="s">
        <v>870</v>
      </c>
      <c r="B367" s="21" t="s">
        <v>871</v>
      </c>
      <c r="C367" s="21" t="s">
        <v>815</v>
      </c>
      <c r="D367" s="21" t="s">
        <v>816</v>
      </c>
      <c r="E367" s="21" t="s">
        <v>817</v>
      </c>
      <c r="F367" s="22">
        <v>41</v>
      </c>
      <c r="G367" s="22">
        <v>0.9</v>
      </c>
      <c r="H367" s="22">
        <v>320</v>
      </c>
      <c r="I367" s="22">
        <v>35</v>
      </c>
      <c r="J367" s="22">
        <v>69</v>
      </c>
      <c r="K367" s="22">
        <v>41</v>
      </c>
      <c r="L367" s="22">
        <v>0.9</v>
      </c>
      <c r="M367" s="22">
        <v>33</v>
      </c>
      <c r="N367" s="23" t="str">
        <f t="shared" si="35"/>
        <v>Muy alto</v>
      </c>
      <c r="O367" s="23" t="str">
        <f t="shared" si="36"/>
        <v>Bajo</v>
      </c>
      <c r="P367" s="23" t="str">
        <f t="shared" si="37"/>
        <v>Medio</v>
      </c>
      <c r="Q367" s="24" t="str">
        <f t="shared" si="38"/>
        <v>N/C: no es fuente proteica</v>
      </c>
      <c r="R367" s="23" t="str">
        <f t="shared" si="39"/>
        <v>N/C</v>
      </c>
      <c r="S367" s="25" t="str">
        <f t="shared" si="40"/>
        <v>Utilizable</v>
      </c>
      <c r="T367" s="26" t="str">
        <f t="shared" si="41"/>
        <v>Verduras y hortalizas|00.000.320</v>
      </c>
      <c r="U367" s="26">
        <f>IF(OR($S367&lt;&gt;"Utilizable",$C367&lt;&gt;SUSTITUCION!$C$13),999999,IF(v_prioridad="Potasio",$H367,IF(v_prioridad="Fósforo",$I367,IF(v_prioridad="Sodio",$J367,IF(ISNUMBER($Q367),$Q367,999999)))))</f>
        <v>999999</v>
      </c>
    </row>
    <row r="368" spans="1:21" ht="15" customHeight="1">
      <c r="A368" s="21" t="s">
        <v>872</v>
      </c>
      <c r="B368" s="21" t="s">
        <v>873</v>
      </c>
      <c r="C368" s="21" t="s">
        <v>815</v>
      </c>
      <c r="D368" s="21" t="s">
        <v>816</v>
      </c>
      <c r="E368" s="21" t="s">
        <v>817</v>
      </c>
      <c r="F368" s="22">
        <v>15</v>
      </c>
      <c r="G368" s="22">
        <v>1.2</v>
      </c>
      <c r="H368" s="22">
        <v>261</v>
      </c>
      <c r="I368" s="22">
        <v>38</v>
      </c>
      <c r="J368" s="22">
        <v>8</v>
      </c>
      <c r="K368" s="22">
        <v>15</v>
      </c>
      <c r="L368" s="22">
        <v>1.2</v>
      </c>
      <c r="M368" s="22">
        <v>16</v>
      </c>
      <c r="N368" s="23" t="str">
        <f t="shared" si="35"/>
        <v>Alto</v>
      </c>
      <c r="O368" s="23" t="str">
        <f t="shared" si="36"/>
        <v>Bajo</v>
      </c>
      <c r="P368" s="23" t="str">
        <f t="shared" si="37"/>
        <v>Bajo</v>
      </c>
      <c r="Q368" s="24" t="str">
        <f t="shared" si="38"/>
        <v>N/C: no es fuente proteica</v>
      </c>
      <c r="R368" s="23" t="str">
        <f t="shared" si="39"/>
        <v>N/C</v>
      </c>
      <c r="S368" s="25" t="str">
        <f t="shared" si="40"/>
        <v>Utilizable</v>
      </c>
      <c r="T368" s="26" t="str">
        <f t="shared" si="41"/>
        <v>Verduras y hortalizas|00.000.261</v>
      </c>
      <c r="U368" s="26">
        <f>IF(OR($S368&lt;&gt;"Utilizable",$C368&lt;&gt;SUSTITUCION!$C$13),999999,IF(v_prioridad="Potasio",$H368,IF(v_prioridad="Fósforo",$I368,IF(v_prioridad="Sodio",$J368,IF(ISNUMBER($Q368),$Q368,999999)))))</f>
        <v>999999</v>
      </c>
    </row>
    <row r="369" spans="1:21" ht="15" customHeight="1">
      <c r="A369" s="21" t="s">
        <v>874</v>
      </c>
      <c r="B369" s="21" t="s">
        <v>875</v>
      </c>
      <c r="C369" s="21" t="s">
        <v>815</v>
      </c>
      <c r="D369" s="21" t="s">
        <v>816</v>
      </c>
      <c r="E369" s="21" t="s">
        <v>817</v>
      </c>
      <c r="F369" s="22">
        <v>17</v>
      </c>
      <c r="G369" s="22">
        <v>1.1000000000000001</v>
      </c>
      <c r="H369" s="22">
        <v>264</v>
      </c>
      <c r="I369" s="22">
        <v>37</v>
      </c>
      <c r="J369" s="22">
        <v>239</v>
      </c>
      <c r="K369" s="22">
        <v>17</v>
      </c>
      <c r="L369" s="22">
        <v>1.1000000000000001</v>
      </c>
      <c r="M369" s="22">
        <v>18</v>
      </c>
      <c r="N369" s="23" t="str">
        <f t="shared" si="35"/>
        <v>Alto</v>
      </c>
      <c r="O369" s="23" t="str">
        <f t="shared" si="36"/>
        <v>Bajo</v>
      </c>
      <c r="P369" s="23" t="str">
        <f t="shared" si="37"/>
        <v>Alto</v>
      </c>
      <c r="Q369" s="24" t="str">
        <f t="shared" si="38"/>
        <v>N/C: no es fuente proteica</v>
      </c>
      <c r="R369" s="23" t="str">
        <f t="shared" si="39"/>
        <v>N/C</v>
      </c>
      <c r="S369" s="25" t="str">
        <f t="shared" si="40"/>
        <v>Utilizable</v>
      </c>
      <c r="T369" s="26" t="str">
        <f t="shared" si="41"/>
        <v>Verduras y hortalizas|00.000.264</v>
      </c>
      <c r="U369" s="26">
        <f>IF(OR($S369&lt;&gt;"Utilizable",$C369&lt;&gt;SUSTITUCION!$C$13),999999,IF(v_prioridad="Potasio",$H369,IF(v_prioridad="Fósforo",$I369,IF(v_prioridad="Sodio",$J369,IF(ISNUMBER($Q369),$Q369,999999)))))</f>
        <v>999999</v>
      </c>
    </row>
    <row r="370" spans="1:21" ht="15" customHeight="1">
      <c r="A370" s="21" t="s">
        <v>876</v>
      </c>
      <c r="B370" s="21" t="s">
        <v>877</v>
      </c>
      <c r="C370" s="21" t="s">
        <v>815</v>
      </c>
      <c r="D370" s="21" t="s">
        <v>816</v>
      </c>
      <c r="E370" s="21" t="s">
        <v>817</v>
      </c>
      <c r="F370" s="22">
        <v>20</v>
      </c>
      <c r="G370" s="22">
        <v>0.7</v>
      </c>
      <c r="H370" s="22">
        <v>230</v>
      </c>
      <c r="I370" s="22">
        <v>30</v>
      </c>
      <c r="J370" s="22">
        <v>1</v>
      </c>
      <c r="K370" s="22">
        <v>20</v>
      </c>
      <c r="L370" s="22">
        <v>0.7</v>
      </c>
      <c r="M370" s="22">
        <v>15</v>
      </c>
      <c r="N370" s="23" t="str">
        <f t="shared" si="35"/>
        <v>Alto</v>
      </c>
      <c r="O370" s="23" t="str">
        <f t="shared" si="36"/>
        <v>Bajo</v>
      </c>
      <c r="P370" s="23" t="str">
        <f t="shared" si="37"/>
        <v>Bajo</v>
      </c>
      <c r="Q370" s="24" t="str">
        <f t="shared" si="38"/>
        <v>N/C: no es fuente proteica</v>
      </c>
      <c r="R370" s="23" t="str">
        <f t="shared" si="39"/>
        <v>N/C</v>
      </c>
      <c r="S370" s="25" t="str">
        <f t="shared" si="40"/>
        <v>Utilizable</v>
      </c>
      <c r="T370" s="26" t="str">
        <f t="shared" si="41"/>
        <v>Verduras y hortalizas|00.000.230</v>
      </c>
      <c r="U370" s="26">
        <f>IF(OR($S370&lt;&gt;"Utilizable",$C370&lt;&gt;SUSTITUCION!$C$13),999999,IF(v_prioridad="Potasio",$H370,IF(v_prioridad="Fósforo",$I370,IF(v_prioridad="Sodio",$J370,IF(ISNUMBER($Q370),$Q370,999999)))))</f>
        <v>999999</v>
      </c>
    </row>
    <row r="371" spans="1:21" ht="15" customHeight="1">
      <c r="A371" s="21" t="s">
        <v>878</v>
      </c>
      <c r="B371" s="21" t="s">
        <v>879</v>
      </c>
      <c r="C371" s="21" t="s">
        <v>880</v>
      </c>
      <c r="D371" s="21" t="s">
        <v>881</v>
      </c>
      <c r="E371" s="21" t="s">
        <v>135</v>
      </c>
      <c r="F371" s="22">
        <v>232</v>
      </c>
      <c r="G371" s="22">
        <v>1.1000000000000001</v>
      </c>
      <c r="H371" s="22" t="s">
        <v>138</v>
      </c>
      <c r="I371" s="22" t="s">
        <v>138</v>
      </c>
      <c r="J371" s="22">
        <v>1588</v>
      </c>
      <c r="K371" s="22">
        <v>232</v>
      </c>
      <c r="L371" s="22">
        <v>1.1000000000000001</v>
      </c>
      <c r="M371" s="22" t="s">
        <v>138</v>
      </c>
      <c r="N371" s="23" t="str">
        <f t="shared" si="35"/>
        <v>Sin dato</v>
      </c>
      <c r="O371" s="23" t="str">
        <f t="shared" si="36"/>
        <v>Sin dato</v>
      </c>
      <c r="P371" s="23" t="str">
        <f t="shared" si="37"/>
        <v>Muy alto</v>
      </c>
      <c r="Q371" s="24" t="str">
        <f t="shared" si="38"/>
        <v>N/C</v>
      </c>
      <c r="R371" s="23" t="str">
        <f t="shared" si="39"/>
        <v>N/C</v>
      </c>
      <c r="S371" s="25" t="str">
        <f t="shared" si="40"/>
        <v>No utilizable</v>
      </c>
      <c r="T371" s="26" t="str">
        <f t="shared" si="41"/>
        <v/>
      </c>
      <c r="U371" s="26">
        <f>IF(OR($S371&lt;&gt;"Utilizable",$C371&lt;&gt;SUSTITUCION!$C$13),999999,IF(v_prioridad="Potasio",$H371,IF(v_prioridad="Fósforo",$I371,IF(v_prioridad="Sodio",$J371,IF(ISNUMBER($Q371),$Q371,999999)))))</f>
        <v>999999</v>
      </c>
    </row>
    <row r="372" spans="1:21" ht="15" customHeight="1">
      <c r="A372" s="21" t="s">
        <v>882</v>
      </c>
      <c r="B372" s="21" t="s">
        <v>883</v>
      </c>
      <c r="C372" s="21" t="s">
        <v>880</v>
      </c>
      <c r="D372" s="21" t="s">
        <v>881</v>
      </c>
      <c r="E372" s="21" t="s">
        <v>135</v>
      </c>
      <c r="F372" s="22">
        <v>263</v>
      </c>
      <c r="G372" s="22">
        <v>1.2</v>
      </c>
      <c r="H372" s="22" t="s">
        <v>138</v>
      </c>
      <c r="I372" s="22" t="s">
        <v>138</v>
      </c>
      <c r="J372" s="22">
        <v>1508</v>
      </c>
      <c r="K372" s="22">
        <v>263</v>
      </c>
      <c r="L372" s="22">
        <v>1.2</v>
      </c>
      <c r="M372" s="22" t="s">
        <v>138</v>
      </c>
      <c r="N372" s="23" t="str">
        <f t="shared" si="35"/>
        <v>Sin dato</v>
      </c>
      <c r="O372" s="23" t="str">
        <f t="shared" si="36"/>
        <v>Sin dato</v>
      </c>
      <c r="P372" s="23" t="str">
        <f t="shared" si="37"/>
        <v>Muy alto</v>
      </c>
      <c r="Q372" s="24" t="str">
        <f t="shared" si="38"/>
        <v>N/C</v>
      </c>
      <c r="R372" s="23" t="str">
        <f t="shared" si="39"/>
        <v>N/C</v>
      </c>
      <c r="S372" s="25" t="str">
        <f t="shared" si="40"/>
        <v>No utilizable</v>
      </c>
      <c r="T372" s="26" t="str">
        <f t="shared" si="41"/>
        <v/>
      </c>
      <c r="U372" s="26">
        <f>IF(OR($S372&lt;&gt;"Utilizable",$C372&lt;&gt;SUSTITUCION!$C$13),999999,IF(v_prioridad="Potasio",$H372,IF(v_prioridad="Fósforo",$I372,IF(v_prioridad="Sodio",$J372,IF(ISNUMBER($Q372),$Q372,999999)))))</f>
        <v>999999</v>
      </c>
    </row>
    <row r="373" spans="1:21" ht="15" customHeight="1">
      <c r="A373" s="21" t="s">
        <v>884</v>
      </c>
      <c r="B373" s="21" t="s">
        <v>885</v>
      </c>
      <c r="C373" s="21" t="s">
        <v>880</v>
      </c>
      <c r="D373" s="21" t="s">
        <v>881</v>
      </c>
      <c r="E373" s="21" t="s">
        <v>135</v>
      </c>
      <c r="F373" s="22">
        <v>57</v>
      </c>
      <c r="G373" s="22">
        <v>0.7</v>
      </c>
      <c r="H373" s="22">
        <v>77</v>
      </c>
      <c r="I373" s="22">
        <v>12</v>
      </c>
      <c r="J373" s="22">
        <v>1</v>
      </c>
      <c r="K373" s="22">
        <v>57</v>
      </c>
      <c r="L373" s="22">
        <v>0.7</v>
      </c>
      <c r="M373" s="22">
        <v>6</v>
      </c>
      <c r="N373" s="23" t="str">
        <f t="shared" si="35"/>
        <v>Bajo</v>
      </c>
      <c r="O373" s="23" t="str">
        <f t="shared" si="36"/>
        <v>Bajo</v>
      </c>
      <c r="P373" s="23" t="str">
        <f t="shared" si="37"/>
        <v>Bajo</v>
      </c>
      <c r="Q373" s="24" t="str">
        <f t="shared" si="38"/>
        <v>N/C: no es fuente proteica</v>
      </c>
      <c r="R373" s="23" t="str">
        <f t="shared" si="39"/>
        <v>N/C</v>
      </c>
      <c r="S373" s="25" t="str">
        <f t="shared" si="40"/>
        <v>Utilizable</v>
      </c>
      <c r="T373" s="26" t="str">
        <f t="shared" si="41"/>
        <v>Frutas|00.000.077</v>
      </c>
      <c r="U373" s="26">
        <f>IF(OR($S373&lt;&gt;"Utilizable",$C373&lt;&gt;SUSTITUCION!$C$13),999999,IF(v_prioridad="Potasio",$H373,IF(v_prioridad="Fósforo",$I373,IF(v_prioridad="Sodio",$J373,IF(ISNUMBER($Q373),$Q373,999999)))))</f>
        <v>999999</v>
      </c>
    </row>
    <row r="374" spans="1:21" ht="15" customHeight="1">
      <c r="A374" s="21" t="s">
        <v>886</v>
      </c>
      <c r="B374" s="21" t="s">
        <v>887</v>
      </c>
      <c r="C374" s="21" t="s">
        <v>880</v>
      </c>
      <c r="D374" s="21" t="s">
        <v>881</v>
      </c>
      <c r="E374" s="21" t="s">
        <v>135</v>
      </c>
      <c r="F374" s="22">
        <v>46</v>
      </c>
      <c r="G374" s="22">
        <v>0.5</v>
      </c>
      <c r="H374" s="22">
        <v>80</v>
      </c>
      <c r="I374" s="22">
        <v>11</v>
      </c>
      <c r="J374" s="22">
        <v>2</v>
      </c>
      <c r="K374" s="22">
        <v>46</v>
      </c>
      <c r="L374" s="22">
        <v>0.5</v>
      </c>
      <c r="M374" s="22">
        <v>8</v>
      </c>
      <c r="N374" s="23" t="str">
        <f t="shared" si="35"/>
        <v>Bajo</v>
      </c>
      <c r="O374" s="23" t="str">
        <f t="shared" si="36"/>
        <v>Bajo</v>
      </c>
      <c r="P374" s="23" t="str">
        <f t="shared" si="37"/>
        <v>Bajo</v>
      </c>
      <c r="Q374" s="24" t="str">
        <f t="shared" si="38"/>
        <v>N/C: no es fuente proteica</v>
      </c>
      <c r="R374" s="23" t="str">
        <f t="shared" si="39"/>
        <v>N/C</v>
      </c>
      <c r="S374" s="25" t="str">
        <f t="shared" si="40"/>
        <v>Utilizable</v>
      </c>
      <c r="T374" s="26" t="str">
        <f t="shared" si="41"/>
        <v>Frutas|00.000.080</v>
      </c>
      <c r="U374" s="26">
        <f>IF(OR($S374&lt;&gt;"Utilizable",$C374&lt;&gt;SUSTITUCION!$C$13),999999,IF(v_prioridad="Potasio",$H374,IF(v_prioridad="Fósforo",$I374,IF(v_prioridad="Sodio",$J374,IF(ISNUMBER($Q374),$Q374,999999)))))</f>
        <v>999999</v>
      </c>
    </row>
    <row r="375" spans="1:21" ht="15" customHeight="1">
      <c r="A375" s="21" t="s">
        <v>888</v>
      </c>
      <c r="B375" s="21" t="s">
        <v>889</v>
      </c>
      <c r="C375" s="21" t="s">
        <v>880</v>
      </c>
      <c r="D375" s="21" t="s">
        <v>881</v>
      </c>
      <c r="E375" s="21" t="s">
        <v>135</v>
      </c>
      <c r="F375" s="22">
        <v>70</v>
      </c>
      <c r="G375" s="22">
        <v>0.6</v>
      </c>
      <c r="H375" s="22">
        <v>161</v>
      </c>
      <c r="I375" s="22">
        <v>17</v>
      </c>
      <c r="J375" s="22">
        <v>1</v>
      </c>
      <c r="K375" s="22">
        <v>70</v>
      </c>
      <c r="L375" s="22">
        <v>0.6</v>
      </c>
      <c r="M375" s="22">
        <v>8</v>
      </c>
      <c r="N375" s="23" t="str">
        <f t="shared" si="35"/>
        <v>Medio</v>
      </c>
      <c r="O375" s="23" t="str">
        <f t="shared" si="36"/>
        <v>Bajo</v>
      </c>
      <c r="P375" s="23" t="str">
        <f t="shared" si="37"/>
        <v>Bajo</v>
      </c>
      <c r="Q375" s="24" t="str">
        <f t="shared" si="38"/>
        <v>N/C: no es fuente proteica</v>
      </c>
      <c r="R375" s="23" t="str">
        <f t="shared" si="39"/>
        <v>N/C</v>
      </c>
      <c r="S375" s="25" t="str">
        <f t="shared" si="40"/>
        <v>Utilizable</v>
      </c>
      <c r="T375" s="26" t="str">
        <f t="shared" si="41"/>
        <v>Frutas|00.000.161</v>
      </c>
      <c r="U375" s="26">
        <f>IF(OR($S375&lt;&gt;"Utilizable",$C375&lt;&gt;SUSTITUCION!$C$13),999999,IF(v_prioridad="Potasio",$H375,IF(v_prioridad="Fósforo",$I375,IF(v_prioridad="Sodio",$J375,IF(ISNUMBER($Q375),$Q375,999999)))))</f>
        <v>999999</v>
      </c>
    </row>
    <row r="376" spans="1:21" ht="15" customHeight="1">
      <c r="A376" s="21" t="s">
        <v>890</v>
      </c>
      <c r="B376" s="21" t="s">
        <v>891</v>
      </c>
      <c r="C376" s="21" t="s">
        <v>880</v>
      </c>
      <c r="D376" s="21" t="s">
        <v>881</v>
      </c>
      <c r="E376" s="21" t="s">
        <v>135</v>
      </c>
      <c r="F376" s="22">
        <v>63</v>
      </c>
      <c r="G376" s="22">
        <v>1.1000000000000001</v>
      </c>
      <c r="H376" s="22">
        <v>173</v>
      </c>
      <c r="I376" s="22">
        <v>15</v>
      </c>
      <c r="J376" s="22">
        <v>3</v>
      </c>
      <c r="K376" s="22">
        <v>63</v>
      </c>
      <c r="L376" s="22">
        <v>1.1000000000000001</v>
      </c>
      <c r="M376" s="22">
        <v>16</v>
      </c>
      <c r="N376" s="23" t="str">
        <f t="shared" si="35"/>
        <v>Medio</v>
      </c>
      <c r="O376" s="23" t="str">
        <f t="shared" si="36"/>
        <v>Bajo</v>
      </c>
      <c r="P376" s="23" t="str">
        <f t="shared" si="37"/>
        <v>Bajo</v>
      </c>
      <c r="Q376" s="24" t="str">
        <f t="shared" si="38"/>
        <v>N/C: no es fuente proteica</v>
      </c>
      <c r="R376" s="23" t="str">
        <f t="shared" si="39"/>
        <v>N/C</v>
      </c>
      <c r="S376" s="25" t="str">
        <f t="shared" si="40"/>
        <v>Utilizable</v>
      </c>
      <c r="T376" s="26" t="str">
        <f t="shared" si="41"/>
        <v>Frutas|00.000.173</v>
      </c>
      <c r="U376" s="26">
        <f>IF(OR($S376&lt;&gt;"Utilizable",$C376&lt;&gt;SUSTITUCION!$C$13),999999,IF(v_prioridad="Potasio",$H376,IF(v_prioridad="Fósforo",$I376,IF(v_prioridad="Sodio",$J376,IF(ISNUMBER($Q376),$Q376,999999)))))</f>
        <v>999999</v>
      </c>
    </row>
    <row r="377" spans="1:21" ht="15" customHeight="1">
      <c r="A377" s="21" t="s">
        <v>892</v>
      </c>
      <c r="B377" s="21" t="s">
        <v>893</v>
      </c>
      <c r="C377" s="21" t="s">
        <v>880</v>
      </c>
      <c r="D377" s="21" t="s">
        <v>881</v>
      </c>
      <c r="E377" s="21" t="s">
        <v>135</v>
      </c>
      <c r="F377" s="22">
        <v>75</v>
      </c>
      <c r="G377" s="22">
        <v>1.6</v>
      </c>
      <c r="H377" s="22">
        <v>287</v>
      </c>
      <c r="I377" s="22">
        <v>26</v>
      </c>
      <c r="J377" s="22">
        <v>7</v>
      </c>
      <c r="K377" s="22">
        <v>75</v>
      </c>
      <c r="L377" s="22">
        <v>1.6</v>
      </c>
      <c r="M377" s="22">
        <v>10</v>
      </c>
      <c r="N377" s="23" t="str">
        <f t="shared" si="35"/>
        <v>Alto</v>
      </c>
      <c r="O377" s="23" t="str">
        <f t="shared" si="36"/>
        <v>Bajo</v>
      </c>
      <c r="P377" s="23" t="str">
        <f t="shared" si="37"/>
        <v>Bajo</v>
      </c>
      <c r="Q377" s="24" t="str">
        <f t="shared" si="38"/>
        <v>N/C: no es fuente proteica</v>
      </c>
      <c r="R377" s="23" t="str">
        <f t="shared" si="39"/>
        <v>N/C</v>
      </c>
      <c r="S377" s="25" t="str">
        <f t="shared" si="40"/>
        <v>Utilizable</v>
      </c>
      <c r="T377" s="26" t="str">
        <f t="shared" si="41"/>
        <v>Frutas|00.000.287</v>
      </c>
      <c r="U377" s="26">
        <f>IF(OR($S377&lt;&gt;"Utilizable",$C377&lt;&gt;SUSTITUCION!$C$13),999999,IF(v_prioridad="Potasio",$H377,IF(v_prioridad="Fósforo",$I377,IF(v_prioridad="Sodio",$J377,IF(ISNUMBER($Q377),$Q377,999999)))))</f>
        <v>999999</v>
      </c>
    </row>
    <row r="378" spans="1:21" ht="15" customHeight="1">
      <c r="A378" s="21" t="s">
        <v>894</v>
      </c>
      <c r="B378" s="21" t="s">
        <v>895</v>
      </c>
      <c r="C378" s="21" t="s">
        <v>880</v>
      </c>
      <c r="D378" s="21" t="s">
        <v>881</v>
      </c>
      <c r="E378" s="21" t="s">
        <v>135</v>
      </c>
      <c r="F378" s="22">
        <v>46</v>
      </c>
      <c r="G378" s="22">
        <v>0.7</v>
      </c>
      <c r="H378" s="22">
        <v>157</v>
      </c>
      <c r="I378" s="22">
        <v>16</v>
      </c>
      <c r="J378" s="22">
        <v>0</v>
      </c>
      <c r="K378" s="22">
        <v>46</v>
      </c>
      <c r="L378" s="22">
        <v>0.7</v>
      </c>
      <c r="M378" s="22">
        <v>6</v>
      </c>
      <c r="N378" s="23" t="str">
        <f t="shared" si="35"/>
        <v>Medio</v>
      </c>
      <c r="O378" s="23" t="str">
        <f t="shared" si="36"/>
        <v>Bajo</v>
      </c>
      <c r="P378" s="23" t="str">
        <f t="shared" si="37"/>
        <v>Bajo</v>
      </c>
      <c r="Q378" s="24" t="str">
        <f t="shared" si="38"/>
        <v>N/C: no es fuente proteica</v>
      </c>
      <c r="R378" s="23" t="str">
        <f t="shared" si="39"/>
        <v>N/C</v>
      </c>
      <c r="S378" s="25" t="str">
        <f t="shared" si="40"/>
        <v>Utilizable</v>
      </c>
      <c r="T378" s="26" t="str">
        <f t="shared" si="41"/>
        <v>Frutas|00.000.157</v>
      </c>
      <c r="U378" s="26">
        <f>IF(OR($S378&lt;&gt;"Utilizable",$C378&lt;&gt;SUSTITUCION!$C$13),999999,IF(v_prioridad="Potasio",$H378,IF(v_prioridad="Fósforo",$I378,IF(v_prioridad="Sodio",$J378,IF(ISNUMBER($Q378),$Q378,999999)))))</f>
        <v>999999</v>
      </c>
    </row>
    <row r="379" spans="1:21" ht="15" customHeight="1">
      <c r="A379" s="21" t="s">
        <v>896</v>
      </c>
      <c r="B379" s="21" t="s">
        <v>897</v>
      </c>
      <c r="C379" s="21" t="s">
        <v>880</v>
      </c>
      <c r="D379" s="21" t="s">
        <v>881</v>
      </c>
      <c r="E379" s="21" t="s">
        <v>135</v>
      </c>
      <c r="F379" s="22">
        <v>240</v>
      </c>
      <c r="G379" s="22">
        <v>2.2000000000000002</v>
      </c>
      <c r="H379" s="22">
        <v>732</v>
      </c>
      <c r="I379" s="22">
        <v>69</v>
      </c>
      <c r="J379" s="22">
        <v>2</v>
      </c>
      <c r="K379" s="22">
        <v>240</v>
      </c>
      <c r="L379" s="22">
        <v>2.2000000000000002</v>
      </c>
      <c r="M379" s="22">
        <v>43</v>
      </c>
      <c r="N379" s="23" t="str">
        <f t="shared" si="35"/>
        <v>Muy alto</v>
      </c>
      <c r="O379" s="23" t="str">
        <f t="shared" si="36"/>
        <v>Medio</v>
      </c>
      <c r="P379" s="23" t="str">
        <f t="shared" si="37"/>
        <v>Bajo</v>
      </c>
      <c r="Q379" s="24" t="str">
        <f t="shared" si="38"/>
        <v>N/C: no es fuente proteica</v>
      </c>
      <c r="R379" s="23" t="str">
        <f t="shared" si="39"/>
        <v>N/C</v>
      </c>
      <c r="S379" s="25" t="str">
        <f t="shared" si="40"/>
        <v>Utilizable</v>
      </c>
      <c r="T379" s="26" t="str">
        <f t="shared" si="41"/>
        <v>Frutas|00.000.732</v>
      </c>
      <c r="U379" s="26">
        <f>IF(OR($S379&lt;&gt;"Utilizable",$C379&lt;&gt;SUSTITUCION!$C$13),999999,IF(v_prioridad="Potasio",$H379,IF(v_prioridad="Fósforo",$I379,IF(v_prioridad="Sodio",$J379,IF(ISNUMBER($Q379),$Q379,999999)))))</f>
        <v>999999</v>
      </c>
    </row>
    <row r="380" spans="1:21" ht="15" customHeight="1">
      <c r="A380" s="21" t="s">
        <v>898</v>
      </c>
      <c r="B380" s="21" t="s">
        <v>899</v>
      </c>
      <c r="C380" s="21" t="s">
        <v>880</v>
      </c>
      <c r="D380" s="21" t="s">
        <v>881</v>
      </c>
      <c r="E380" s="21" t="s">
        <v>135</v>
      </c>
      <c r="F380" s="22">
        <v>47</v>
      </c>
      <c r="G380" s="22">
        <v>0.9</v>
      </c>
      <c r="H380" s="22">
        <v>177</v>
      </c>
      <c r="I380" s="22">
        <v>21</v>
      </c>
      <c r="J380" s="22">
        <v>1</v>
      </c>
      <c r="K380" s="22">
        <v>47</v>
      </c>
      <c r="L380" s="22">
        <v>0.9</v>
      </c>
      <c r="M380" s="22">
        <v>30</v>
      </c>
      <c r="N380" s="23" t="str">
        <f t="shared" si="35"/>
        <v>Medio</v>
      </c>
      <c r="O380" s="23" t="str">
        <f t="shared" si="36"/>
        <v>Bajo</v>
      </c>
      <c r="P380" s="23" t="str">
        <f t="shared" si="37"/>
        <v>Bajo</v>
      </c>
      <c r="Q380" s="24" t="str">
        <f t="shared" si="38"/>
        <v>N/C: no es fuente proteica</v>
      </c>
      <c r="R380" s="23" t="str">
        <f t="shared" si="39"/>
        <v>N/C</v>
      </c>
      <c r="S380" s="25" t="str">
        <f t="shared" si="40"/>
        <v>Utilizable</v>
      </c>
      <c r="T380" s="26" t="str">
        <f t="shared" si="41"/>
        <v>Frutas|00.000.177</v>
      </c>
      <c r="U380" s="26">
        <f>IF(OR($S380&lt;&gt;"Utilizable",$C380&lt;&gt;SUSTITUCION!$C$13),999999,IF(v_prioridad="Potasio",$H380,IF(v_prioridad="Fósforo",$I380,IF(v_prioridad="Sodio",$J380,IF(ISNUMBER($Q380),$Q380,999999)))))</f>
        <v>999999</v>
      </c>
    </row>
    <row r="381" spans="1:21" ht="15" customHeight="1">
      <c r="A381" s="21" t="s">
        <v>900</v>
      </c>
      <c r="B381" s="21" t="s">
        <v>901</v>
      </c>
      <c r="C381" s="21" t="s">
        <v>880</v>
      </c>
      <c r="D381" s="21" t="s">
        <v>881</v>
      </c>
      <c r="E381" s="21" t="s">
        <v>135</v>
      </c>
      <c r="F381" s="22">
        <v>48</v>
      </c>
      <c r="G381" s="22">
        <v>1.4</v>
      </c>
      <c r="H381" s="22">
        <v>259</v>
      </c>
      <c r="I381" s="22">
        <v>23</v>
      </c>
      <c r="J381" s="22">
        <v>1</v>
      </c>
      <c r="K381" s="22">
        <v>48</v>
      </c>
      <c r="L381" s="22">
        <v>1.4</v>
      </c>
      <c r="M381" s="22">
        <v>13</v>
      </c>
      <c r="N381" s="23" t="str">
        <f t="shared" si="35"/>
        <v>Alto</v>
      </c>
      <c r="O381" s="23" t="str">
        <f t="shared" si="36"/>
        <v>Bajo</v>
      </c>
      <c r="P381" s="23" t="str">
        <f t="shared" si="37"/>
        <v>Bajo</v>
      </c>
      <c r="Q381" s="24" t="str">
        <f t="shared" si="38"/>
        <v>N/C: no es fuente proteica</v>
      </c>
      <c r="R381" s="23" t="str">
        <f t="shared" si="39"/>
        <v>N/C</v>
      </c>
      <c r="S381" s="25" t="str">
        <f t="shared" si="40"/>
        <v>Utilizable</v>
      </c>
      <c r="T381" s="26" t="str">
        <f t="shared" si="41"/>
        <v>Frutas|00.000.259</v>
      </c>
      <c r="U381" s="26">
        <f>IF(OR($S381&lt;&gt;"Utilizable",$C381&lt;&gt;SUSTITUCION!$C$13),999999,IF(v_prioridad="Potasio",$H381,IF(v_prioridad="Fósforo",$I381,IF(v_prioridad="Sodio",$J381,IF(ISNUMBER($Q381),$Q381,999999)))))</f>
        <v>999999</v>
      </c>
    </row>
    <row r="382" spans="1:21" ht="15" customHeight="1">
      <c r="A382" s="21" t="s">
        <v>902</v>
      </c>
      <c r="B382" s="21" t="s">
        <v>903</v>
      </c>
      <c r="C382" s="21" t="s">
        <v>880</v>
      </c>
      <c r="D382" s="21" t="s">
        <v>881</v>
      </c>
      <c r="E382" s="21" t="s">
        <v>135</v>
      </c>
      <c r="F382" s="22">
        <v>244</v>
      </c>
      <c r="G382" s="22">
        <v>4.5999999999999996</v>
      </c>
      <c r="H382" s="22" t="s">
        <v>138</v>
      </c>
      <c r="I382" s="22" t="s">
        <v>138</v>
      </c>
      <c r="J382" s="22">
        <v>347</v>
      </c>
      <c r="K382" s="22">
        <v>244</v>
      </c>
      <c r="L382" s="22">
        <v>4.5999999999999996</v>
      </c>
      <c r="M382" s="22" t="s">
        <v>138</v>
      </c>
      <c r="N382" s="23" t="str">
        <f t="shared" si="35"/>
        <v>Sin dato</v>
      </c>
      <c r="O382" s="23" t="str">
        <f t="shared" si="36"/>
        <v>Sin dato</v>
      </c>
      <c r="P382" s="23" t="str">
        <f t="shared" si="37"/>
        <v>Alto</v>
      </c>
      <c r="Q382" s="24" t="str">
        <f t="shared" si="38"/>
        <v>N/C</v>
      </c>
      <c r="R382" s="23" t="str">
        <f t="shared" si="39"/>
        <v>N/C</v>
      </c>
      <c r="S382" s="25" t="str">
        <f t="shared" si="40"/>
        <v>No utilizable</v>
      </c>
      <c r="T382" s="26" t="str">
        <f t="shared" si="41"/>
        <v/>
      </c>
      <c r="U382" s="26">
        <f>IF(OR($S382&lt;&gt;"Utilizable",$C382&lt;&gt;SUSTITUCION!$C$13),999999,IF(v_prioridad="Potasio",$H382,IF(v_prioridad="Fósforo",$I382,IF(v_prioridad="Sodio",$J382,IF(ISNUMBER($Q382),$Q382,999999)))))</f>
        <v>999999</v>
      </c>
    </row>
    <row r="383" spans="1:21" ht="15" customHeight="1">
      <c r="A383" s="21" t="s">
        <v>904</v>
      </c>
      <c r="B383" s="21" t="s">
        <v>905</v>
      </c>
      <c r="C383" s="21" t="s">
        <v>880</v>
      </c>
      <c r="D383" s="21" t="s">
        <v>881</v>
      </c>
      <c r="E383" s="21" t="s">
        <v>135</v>
      </c>
      <c r="F383" s="22">
        <v>39</v>
      </c>
      <c r="G383" s="22">
        <v>0.9</v>
      </c>
      <c r="H383" s="22">
        <v>190</v>
      </c>
      <c r="I383" s="22">
        <v>20</v>
      </c>
      <c r="J383" s="22">
        <v>0</v>
      </c>
      <c r="K383" s="22">
        <v>39</v>
      </c>
      <c r="L383" s="22">
        <v>0.9</v>
      </c>
      <c r="M383" s="22">
        <v>6</v>
      </c>
      <c r="N383" s="23" t="str">
        <f t="shared" si="35"/>
        <v>Medio</v>
      </c>
      <c r="O383" s="23" t="str">
        <f t="shared" si="36"/>
        <v>Bajo</v>
      </c>
      <c r="P383" s="23" t="str">
        <f t="shared" si="37"/>
        <v>Bajo</v>
      </c>
      <c r="Q383" s="24" t="str">
        <f t="shared" si="38"/>
        <v>N/C: no es fuente proteica</v>
      </c>
      <c r="R383" s="23" t="str">
        <f t="shared" si="39"/>
        <v>N/C</v>
      </c>
      <c r="S383" s="25" t="str">
        <f t="shared" si="40"/>
        <v>Utilizable</v>
      </c>
      <c r="T383" s="26" t="str">
        <f t="shared" si="41"/>
        <v>Frutas|00.000.190</v>
      </c>
      <c r="U383" s="26">
        <f>IF(OR($S383&lt;&gt;"Utilizable",$C383&lt;&gt;SUSTITUCION!$C$13),999999,IF(v_prioridad="Potasio",$H383,IF(v_prioridad="Fósforo",$I383,IF(v_prioridad="Sodio",$J383,IF(ISNUMBER($Q383),$Q383,999999)))))</f>
        <v>999999</v>
      </c>
    </row>
    <row r="384" spans="1:21" ht="15" customHeight="1">
      <c r="A384" s="21" t="s">
        <v>906</v>
      </c>
      <c r="B384" s="21" t="s">
        <v>907</v>
      </c>
      <c r="C384" s="21" t="s">
        <v>880</v>
      </c>
      <c r="D384" s="21" t="s">
        <v>881</v>
      </c>
      <c r="E384" s="21" t="s">
        <v>135</v>
      </c>
      <c r="F384" s="22">
        <v>50</v>
      </c>
      <c r="G384" s="22">
        <v>0.6</v>
      </c>
      <c r="H384" s="22" t="s">
        <v>138</v>
      </c>
      <c r="I384" s="22" t="s">
        <v>138</v>
      </c>
      <c r="J384" s="22">
        <v>10</v>
      </c>
      <c r="K384" s="22">
        <v>50</v>
      </c>
      <c r="L384" s="22">
        <v>0.6</v>
      </c>
      <c r="M384" s="22" t="s">
        <v>138</v>
      </c>
      <c r="N384" s="23" t="str">
        <f t="shared" si="35"/>
        <v>Sin dato</v>
      </c>
      <c r="O384" s="23" t="str">
        <f t="shared" si="36"/>
        <v>Sin dato</v>
      </c>
      <c r="P384" s="23" t="str">
        <f t="shared" si="37"/>
        <v>Bajo</v>
      </c>
      <c r="Q384" s="24" t="str">
        <f t="shared" si="38"/>
        <v>N/C</v>
      </c>
      <c r="R384" s="23" t="str">
        <f t="shared" si="39"/>
        <v>N/C</v>
      </c>
      <c r="S384" s="25" t="str">
        <f t="shared" si="40"/>
        <v>No utilizable</v>
      </c>
      <c r="T384" s="26" t="str">
        <f t="shared" si="41"/>
        <v/>
      </c>
      <c r="U384" s="26">
        <f>IF(OR($S384&lt;&gt;"Utilizable",$C384&lt;&gt;SUSTITUCION!$C$13),999999,IF(v_prioridad="Potasio",$H384,IF(v_prioridad="Fósforo",$I384,IF(v_prioridad="Sodio",$J384,IF(ISNUMBER($Q384),$Q384,999999)))))</f>
        <v>999999</v>
      </c>
    </row>
    <row r="385" spans="1:21" ht="15" customHeight="1">
      <c r="A385" s="21" t="s">
        <v>908</v>
      </c>
      <c r="B385" s="21" t="s">
        <v>909</v>
      </c>
      <c r="C385" s="21" t="s">
        <v>880</v>
      </c>
      <c r="D385" s="21" t="s">
        <v>881</v>
      </c>
      <c r="E385" s="21" t="s">
        <v>135</v>
      </c>
      <c r="F385" s="22">
        <v>52</v>
      </c>
      <c r="G385" s="22">
        <v>1.2</v>
      </c>
      <c r="H385" s="22">
        <v>151</v>
      </c>
      <c r="I385" s="22">
        <v>29</v>
      </c>
      <c r="J385" s="22">
        <v>1</v>
      </c>
      <c r="K385" s="22">
        <v>52</v>
      </c>
      <c r="L385" s="22">
        <v>1.2</v>
      </c>
      <c r="M385" s="22">
        <v>25</v>
      </c>
      <c r="N385" s="23" t="str">
        <f t="shared" si="35"/>
        <v>Medio</v>
      </c>
      <c r="O385" s="23" t="str">
        <f t="shared" si="36"/>
        <v>Bajo</v>
      </c>
      <c r="P385" s="23" t="str">
        <f t="shared" si="37"/>
        <v>Bajo</v>
      </c>
      <c r="Q385" s="24" t="str">
        <f t="shared" si="38"/>
        <v>N/C: no es fuente proteica</v>
      </c>
      <c r="R385" s="23" t="str">
        <f t="shared" si="39"/>
        <v>N/C</v>
      </c>
      <c r="S385" s="25" t="str">
        <f t="shared" si="40"/>
        <v>Utilizable</v>
      </c>
      <c r="T385" s="26" t="str">
        <f t="shared" si="41"/>
        <v>Frutas|00.000.151</v>
      </c>
      <c r="U385" s="26">
        <f>IF(OR($S385&lt;&gt;"Utilizable",$C385&lt;&gt;SUSTITUCION!$C$13),999999,IF(v_prioridad="Potasio",$H385,IF(v_prioridad="Fósforo",$I385,IF(v_prioridad="Sodio",$J385,IF(ISNUMBER($Q385),$Q385,999999)))))</f>
        <v>999999</v>
      </c>
    </row>
    <row r="386" spans="1:21" ht="15" customHeight="1">
      <c r="A386" s="21" t="s">
        <v>910</v>
      </c>
      <c r="B386" s="21" t="s">
        <v>911</v>
      </c>
      <c r="C386" s="21" t="s">
        <v>880</v>
      </c>
      <c r="D386" s="21" t="s">
        <v>881</v>
      </c>
      <c r="E386" s="21" t="s">
        <v>135</v>
      </c>
      <c r="F386" s="22">
        <v>32</v>
      </c>
      <c r="G386" s="22">
        <v>0.7</v>
      </c>
      <c r="H386" s="22">
        <v>153</v>
      </c>
      <c r="I386" s="22">
        <v>24</v>
      </c>
      <c r="J386" s="22">
        <v>1</v>
      </c>
      <c r="K386" s="22">
        <v>32</v>
      </c>
      <c r="L386" s="22">
        <v>0.7</v>
      </c>
      <c r="M386" s="22">
        <v>16</v>
      </c>
      <c r="N386" s="23" t="str">
        <f t="shared" si="35"/>
        <v>Medio</v>
      </c>
      <c r="O386" s="23" t="str">
        <f t="shared" si="36"/>
        <v>Bajo</v>
      </c>
      <c r="P386" s="23" t="str">
        <f t="shared" si="37"/>
        <v>Bajo</v>
      </c>
      <c r="Q386" s="24" t="str">
        <f t="shared" si="38"/>
        <v>N/C: no es fuente proteica</v>
      </c>
      <c r="R386" s="23" t="str">
        <f t="shared" si="39"/>
        <v>N/C</v>
      </c>
      <c r="S386" s="25" t="str">
        <f t="shared" si="40"/>
        <v>Utilizable</v>
      </c>
      <c r="T386" s="26" t="str">
        <f t="shared" si="41"/>
        <v>Frutas|00.000.153</v>
      </c>
      <c r="U386" s="26">
        <f>IF(OR($S386&lt;&gt;"Utilizable",$C386&lt;&gt;SUSTITUCION!$C$13),999999,IF(v_prioridad="Potasio",$H386,IF(v_prioridad="Fósforo",$I386,IF(v_prioridad="Sodio",$J386,IF(ISNUMBER($Q386),$Q386,999999)))))</f>
        <v>999999</v>
      </c>
    </row>
    <row r="387" spans="1:21" ht="15" customHeight="1">
      <c r="A387" s="21" t="s">
        <v>912</v>
      </c>
      <c r="B387" s="21" t="s">
        <v>913</v>
      </c>
      <c r="C387" s="21" t="s">
        <v>880</v>
      </c>
      <c r="D387" s="21" t="s">
        <v>881</v>
      </c>
      <c r="E387" s="21" t="s">
        <v>135</v>
      </c>
      <c r="F387" s="22">
        <v>83</v>
      </c>
      <c r="G387" s="22">
        <v>1.2</v>
      </c>
      <c r="H387" s="22">
        <v>236</v>
      </c>
      <c r="I387" s="22">
        <v>36</v>
      </c>
      <c r="J387" s="22">
        <v>3</v>
      </c>
      <c r="K387" s="22">
        <v>83</v>
      </c>
      <c r="L387" s="22">
        <v>1.2</v>
      </c>
      <c r="M387" s="22">
        <v>10</v>
      </c>
      <c r="N387" s="23" t="str">
        <f t="shared" si="35"/>
        <v>Alto</v>
      </c>
      <c r="O387" s="23" t="str">
        <f t="shared" si="36"/>
        <v>Bajo</v>
      </c>
      <c r="P387" s="23" t="str">
        <f t="shared" si="37"/>
        <v>Bajo</v>
      </c>
      <c r="Q387" s="24" t="str">
        <f t="shared" si="38"/>
        <v>N/C: no es fuente proteica</v>
      </c>
      <c r="R387" s="23" t="str">
        <f t="shared" si="39"/>
        <v>N/C</v>
      </c>
      <c r="S387" s="25" t="str">
        <f t="shared" si="40"/>
        <v>Utilizable</v>
      </c>
      <c r="T387" s="26" t="str">
        <f t="shared" si="41"/>
        <v>Frutas|00.000.236</v>
      </c>
      <c r="U387" s="26">
        <f>IF(OR($S387&lt;&gt;"Utilizable",$C387&lt;&gt;SUSTITUCION!$C$13),999999,IF(v_prioridad="Potasio",$H387,IF(v_prioridad="Fósforo",$I387,IF(v_prioridad="Sodio",$J387,IF(ISNUMBER($Q387),$Q387,999999)))))</f>
        <v>999999</v>
      </c>
    </row>
    <row r="388" spans="1:21" ht="15" customHeight="1">
      <c r="A388" s="21" t="s">
        <v>914</v>
      </c>
      <c r="B388" s="21" t="s">
        <v>915</v>
      </c>
      <c r="C388" s="21" t="s">
        <v>880</v>
      </c>
      <c r="D388" s="21" t="s">
        <v>881</v>
      </c>
      <c r="E388" s="21" t="s">
        <v>135</v>
      </c>
      <c r="F388" s="22">
        <v>56</v>
      </c>
      <c r="G388" s="22">
        <v>1.4</v>
      </c>
      <c r="H388" s="22">
        <v>275</v>
      </c>
      <c r="I388" s="22">
        <v>44</v>
      </c>
      <c r="J388" s="22">
        <v>1</v>
      </c>
      <c r="K388" s="22">
        <v>56</v>
      </c>
      <c r="L388" s="22">
        <v>1.4</v>
      </c>
      <c r="M388" s="22">
        <v>33</v>
      </c>
      <c r="N388" s="23" t="str">
        <f t="shared" si="35"/>
        <v>Alto</v>
      </c>
      <c r="O388" s="23" t="str">
        <f t="shared" si="36"/>
        <v>Bajo</v>
      </c>
      <c r="P388" s="23" t="str">
        <f t="shared" si="37"/>
        <v>Bajo</v>
      </c>
      <c r="Q388" s="24" t="str">
        <f t="shared" si="38"/>
        <v>N/C: no es fuente proteica</v>
      </c>
      <c r="R388" s="23" t="str">
        <f t="shared" si="39"/>
        <v>N/C</v>
      </c>
      <c r="S388" s="25" t="str">
        <f t="shared" si="40"/>
        <v>Utilizable</v>
      </c>
      <c r="T388" s="26" t="str">
        <f t="shared" si="41"/>
        <v>Frutas|00.000.275</v>
      </c>
      <c r="U388" s="26">
        <f>IF(OR($S388&lt;&gt;"Utilizable",$C388&lt;&gt;SUSTITUCION!$C$13),999999,IF(v_prioridad="Potasio",$H388,IF(v_prioridad="Fósforo",$I388,IF(v_prioridad="Sodio",$J388,IF(ISNUMBER($Q388),$Q388,999999)))))</f>
        <v>999999</v>
      </c>
    </row>
    <row r="389" spans="1:21" ht="15" customHeight="1">
      <c r="A389" s="21" t="s">
        <v>916</v>
      </c>
      <c r="B389" s="21" t="s">
        <v>917</v>
      </c>
      <c r="C389" s="21" t="s">
        <v>880</v>
      </c>
      <c r="D389" s="21" t="s">
        <v>881</v>
      </c>
      <c r="E389" s="21" t="s">
        <v>135</v>
      </c>
      <c r="F389" s="22">
        <v>68</v>
      </c>
      <c r="G389" s="22">
        <v>2.6</v>
      </c>
      <c r="H389" s="22">
        <v>417</v>
      </c>
      <c r="I389" s="22">
        <v>40</v>
      </c>
      <c r="J389" s="22">
        <v>2</v>
      </c>
      <c r="K389" s="22">
        <v>68</v>
      </c>
      <c r="L389" s="22">
        <v>2.6</v>
      </c>
      <c r="M389" s="22">
        <v>18</v>
      </c>
      <c r="N389" s="23" t="str">
        <f t="shared" si="35"/>
        <v>Muy alto</v>
      </c>
      <c r="O389" s="23" t="str">
        <f t="shared" si="36"/>
        <v>Bajo</v>
      </c>
      <c r="P389" s="23" t="str">
        <f t="shared" si="37"/>
        <v>Bajo</v>
      </c>
      <c r="Q389" s="24" t="str">
        <f t="shared" si="38"/>
        <v>N/C: no es fuente proteica</v>
      </c>
      <c r="R389" s="23" t="str">
        <f t="shared" si="39"/>
        <v>N/C</v>
      </c>
      <c r="S389" s="25" t="str">
        <f t="shared" si="40"/>
        <v>Utilizable</v>
      </c>
      <c r="T389" s="26" t="str">
        <f t="shared" si="41"/>
        <v>Frutas|00.000.417</v>
      </c>
      <c r="U389" s="26">
        <f>IF(OR($S389&lt;&gt;"Utilizable",$C389&lt;&gt;SUSTITUCION!$C$13),999999,IF(v_prioridad="Potasio",$H389,IF(v_prioridad="Fósforo",$I389,IF(v_prioridad="Sodio",$J389,IF(ISNUMBER($Q389),$Q389,999999)))))</f>
        <v>999999</v>
      </c>
    </row>
    <row r="390" spans="1:21" ht="15" customHeight="1">
      <c r="A390" s="21" t="s">
        <v>918</v>
      </c>
      <c r="B390" s="21" t="s">
        <v>919</v>
      </c>
      <c r="C390" s="21" t="s">
        <v>880</v>
      </c>
      <c r="D390" s="21" t="s">
        <v>881</v>
      </c>
      <c r="E390" s="21" t="s">
        <v>135</v>
      </c>
      <c r="F390" s="22">
        <v>63</v>
      </c>
      <c r="G390" s="22">
        <v>1.1000000000000001</v>
      </c>
      <c r="H390" s="22">
        <v>222</v>
      </c>
      <c r="I390" s="22">
        <v>21</v>
      </c>
      <c r="J390" s="22">
        <v>0</v>
      </c>
      <c r="K390" s="22">
        <v>63</v>
      </c>
      <c r="L390" s="22">
        <v>1.1000000000000001</v>
      </c>
      <c r="M390" s="22">
        <v>13</v>
      </c>
      <c r="N390" s="23" t="str">
        <f t="shared" si="35"/>
        <v>Alto</v>
      </c>
      <c r="O390" s="23" t="str">
        <f t="shared" si="36"/>
        <v>Bajo</v>
      </c>
      <c r="P390" s="23" t="str">
        <f t="shared" si="37"/>
        <v>Bajo</v>
      </c>
      <c r="Q390" s="24" t="str">
        <f t="shared" si="38"/>
        <v>N/C: no es fuente proteica</v>
      </c>
      <c r="R390" s="23" t="str">
        <f t="shared" si="39"/>
        <v>N/C</v>
      </c>
      <c r="S390" s="25" t="str">
        <f t="shared" si="40"/>
        <v>Utilizable</v>
      </c>
      <c r="T390" s="26" t="str">
        <f t="shared" si="41"/>
        <v>Frutas|00.000.222</v>
      </c>
      <c r="U390" s="26">
        <f>IF(OR($S390&lt;&gt;"Utilizable",$C390&lt;&gt;SUSTITUCION!$C$13),999999,IF(v_prioridad="Potasio",$H390,IF(v_prioridad="Fósforo",$I390,IF(v_prioridad="Sodio",$J390,IF(ISNUMBER($Q390),$Q390,999999)))))</f>
        <v>999999</v>
      </c>
    </row>
    <row r="391" spans="1:21" ht="15" customHeight="1">
      <c r="A391" s="21" t="s">
        <v>920</v>
      </c>
      <c r="B391" s="21" t="s">
        <v>921</v>
      </c>
      <c r="C391" s="21" t="s">
        <v>880</v>
      </c>
      <c r="D391" s="21" t="s">
        <v>881</v>
      </c>
      <c r="E391" s="21" t="s">
        <v>135</v>
      </c>
      <c r="F391" s="22">
        <v>50</v>
      </c>
      <c r="G391" s="22">
        <v>1</v>
      </c>
      <c r="H391" s="22">
        <v>173</v>
      </c>
      <c r="I391" s="22">
        <v>15</v>
      </c>
      <c r="J391" s="22">
        <v>3</v>
      </c>
      <c r="K391" s="22">
        <v>50</v>
      </c>
      <c r="L391" s="22">
        <v>1</v>
      </c>
      <c r="M391" s="22">
        <v>16</v>
      </c>
      <c r="N391" s="23" t="str">
        <f t="shared" si="35"/>
        <v>Medio</v>
      </c>
      <c r="O391" s="23" t="str">
        <f t="shared" si="36"/>
        <v>Bajo</v>
      </c>
      <c r="P391" s="23" t="str">
        <f t="shared" si="37"/>
        <v>Bajo</v>
      </c>
      <c r="Q391" s="24" t="str">
        <f t="shared" si="38"/>
        <v>N/C: no es fuente proteica</v>
      </c>
      <c r="R391" s="23" t="str">
        <f t="shared" si="39"/>
        <v>N/C</v>
      </c>
      <c r="S391" s="25" t="str">
        <f t="shared" si="40"/>
        <v>Utilizable</v>
      </c>
      <c r="T391" s="26" t="str">
        <f t="shared" si="41"/>
        <v>Frutas|00.000.173</v>
      </c>
      <c r="U391" s="26">
        <f>IF(OR($S391&lt;&gt;"Utilizable",$C391&lt;&gt;SUSTITUCION!$C$13),999999,IF(v_prioridad="Potasio",$H391,IF(v_prioridad="Fósforo",$I391,IF(v_prioridad="Sodio",$J391,IF(ISNUMBER($Q391),$Q391,999999)))))</f>
        <v>999999</v>
      </c>
    </row>
    <row r="392" spans="1:21" ht="15" customHeight="1">
      <c r="A392" s="21" t="s">
        <v>922</v>
      </c>
      <c r="B392" s="21" t="s">
        <v>923</v>
      </c>
      <c r="C392" s="21" t="s">
        <v>880</v>
      </c>
      <c r="D392" s="21" t="s">
        <v>881</v>
      </c>
      <c r="E392" s="21" t="s">
        <v>135</v>
      </c>
      <c r="F392" s="22">
        <v>74</v>
      </c>
      <c r="G392" s="22">
        <v>0.8</v>
      </c>
      <c r="H392" s="22">
        <v>232</v>
      </c>
      <c r="I392" s="22">
        <v>14</v>
      </c>
      <c r="J392" s="22">
        <v>1</v>
      </c>
      <c r="K392" s="22">
        <v>74</v>
      </c>
      <c r="L392" s="22">
        <v>0.8</v>
      </c>
      <c r="M392" s="22">
        <v>35</v>
      </c>
      <c r="N392" s="23" t="str">
        <f t="shared" si="35"/>
        <v>Alto</v>
      </c>
      <c r="O392" s="23" t="str">
        <f t="shared" si="36"/>
        <v>Bajo</v>
      </c>
      <c r="P392" s="23" t="str">
        <f t="shared" si="37"/>
        <v>Bajo</v>
      </c>
      <c r="Q392" s="24" t="str">
        <f t="shared" si="38"/>
        <v>N/C: no es fuente proteica</v>
      </c>
      <c r="R392" s="23" t="str">
        <f t="shared" si="39"/>
        <v>N/C</v>
      </c>
      <c r="S392" s="25" t="str">
        <f t="shared" si="40"/>
        <v>Utilizable</v>
      </c>
      <c r="T392" s="26" t="str">
        <f t="shared" si="41"/>
        <v>Frutas|00.000.232</v>
      </c>
      <c r="U392" s="26">
        <f>IF(OR($S392&lt;&gt;"Utilizable",$C392&lt;&gt;SUSTITUCION!$C$13),999999,IF(v_prioridad="Potasio",$H392,IF(v_prioridad="Fósforo",$I392,IF(v_prioridad="Sodio",$J392,IF(ISNUMBER($Q392),$Q392,999999)))))</f>
        <v>999999</v>
      </c>
    </row>
    <row r="393" spans="1:21" ht="15" customHeight="1">
      <c r="A393" s="21" t="s">
        <v>924</v>
      </c>
      <c r="B393" s="21" t="s">
        <v>925</v>
      </c>
      <c r="C393" s="21" t="s">
        <v>880</v>
      </c>
      <c r="D393" s="21" t="s">
        <v>881</v>
      </c>
      <c r="E393" s="21" t="s">
        <v>135</v>
      </c>
      <c r="F393" s="22">
        <v>249</v>
      </c>
      <c r="G393" s="22">
        <v>3.3</v>
      </c>
      <c r="H393" s="22">
        <v>680</v>
      </c>
      <c r="I393" s="22">
        <v>67</v>
      </c>
      <c r="J393" s="22">
        <v>10</v>
      </c>
      <c r="K393" s="22">
        <v>249</v>
      </c>
      <c r="L393" s="22">
        <v>3.3</v>
      </c>
      <c r="M393" s="22">
        <v>162</v>
      </c>
      <c r="N393" s="23" t="str">
        <f t="shared" ref="N393:N456" si="42">IF(NOT(ISNUMBER(H393)),"Sin dato",IF(H393&lt;=INDEX(rng_umbrales,1,2),"Bajo",IF(H393&lt;=INDEX(rng_umbrales,1,3),"Medio",IF(H393&lt;=INDEX(rng_umbrales,1,4),"Alto","Muy alto"))))</f>
        <v>Muy alto</v>
      </c>
      <c r="O393" s="23" t="str">
        <f t="shared" ref="O393:O456" si="43">IF(NOT(ISNUMBER(I393)),"Sin dato",IF(I393&lt;=INDEX(rng_umbrales,2,2),"Bajo",IF(I393&lt;=INDEX(rng_umbrales,2,3),"Medio",IF(I393&lt;=INDEX(rng_umbrales,2,4),"Alto","Muy alto"))))</f>
        <v>Medio</v>
      </c>
      <c r="P393" s="23" t="str">
        <f t="shared" ref="P393:P456" si="44">IF(NOT(ISNUMBER(J393)),"Sin dato",IF(J393&lt;=INDEX(rng_umbrales,3,2),"Bajo",IF(J393&lt;=INDEX(rng_umbrales,3,3),"Medio",IF(J393&lt;=INDEX(rng_umbrales,3,4),"Alto","Muy alto"))))</f>
        <v>Bajo</v>
      </c>
      <c r="Q393" s="24" t="str">
        <f t="shared" ref="Q393:Q456" si="45">IF(OR(NOT(ISNUMBER(G393)),NOT(ISNUMBER(I393))),"N/C",IF(G393&lt;u_protMin,"N/C: no es fuente proteica",I393/G393))</f>
        <v>N/C: no es fuente proteica</v>
      </c>
      <c r="R393" s="23" t="str">
        <f t="shared" ref="R393:R456" si="46">IF(NOT(ISNUMBER(Q393)),"N/C",IF(Q393&lt;=u_ppDes,"Deseable",IF(Q393&lt;=u_ppAcep,"Aceptable","Alta")))</f>
        <v>N/C</v>
      </c>
      <c r="S393" s="25" t="str">
        <f t="shared" ref="S393:S456" si="47">IF(COUNT(F393:J393)=k_cobMin,"Utilizable","No utilizable")</f>
        <v>Utilizable</v>
      </c>
      <c r="T393" s="26" t="str">
        <f t="shared" ref="T393:T456" si="48">IF(S393&lt;&gt;"Utilizable","",C393&amp;"|"&amp;TEXT(IF(v_prioridad="Potasio",H393,IF(v_prioridad="Fósforo",I393,IF(v_prioridad="Sodio",J393,IF(ISNUMBER(Q393),Q393,99999)))),"000000.00"))</f>
        <v>Frutas|00.000.680</v>
      </c>
      <c r="U393" s="26">
        <f>IF(OR($S393&lt;&gt;"Utilizable",$C393&lt;&gt;SUSTITUCION!$C$13),999999,IF(v_prioridad="Potasio",$H393,IF(v_prioridad="Fósforo",$I393,IF(v_prioridad="Sodio",$J393,IF(ISNUMBER($Q393),$Q393,999999)))))</f>
        <v>999999</v>
      </c>
    </row>
    <row r="394" spans="1:21" ht="15" customHeight="1">
      <c r="A394" s="21" t="s">
        <v>926</v>
      </c>
      <c r="B394" s="21" t="s">
        <v>927</v>
      </c>
      <c r="C394" s="21" t="s">
        <v>880</v>
      </c>
      <c r="D394" s="21" t="s">
        <v>881</v>
      </c>
      <c r="E394" s="21" t="s">
        <v>135</v>
      </c>
      <c r="F394" s="22">
        <v>239</v>
      </c>
      <c r="G394" s="22">
        <v>3.6</v>
      </c>
      <c r="H394" s="22">
        <v>996</v>
      </c>
      <c r="I394" s="22">
        <v>119</v>
      </c>
      <c r="J394" s="22">
        <v>7</v>
      </c>
      <c r="K394" s="22">
        <v>239</v>
      </c>
      <c r="L394" s="22">
        <v>3.6</v>
      </c>
      <c r="M394" s="22">
        <v>28</v>
      </c>
      <c r="N394" s="23" t="str">
        <f t="shared" si="42"/>
        <v>Muy alto</v>
      </c>
      <c r="O394" s="23" t="str">
        <f t="shared" si="43"/>
        <v>Alto</v>
      </c>
      <c r="P394" s="23" t="str">
        <f t="shared" si="44"/>
        <v>Bajo</v>
      </c>
      <c r="Q394" s="24" t="str">
        <f t="shared" si="45"/>
        <v>N/C: no es fuente proteica</v>
      </c>
      <c r="R394" s="23" t="str">
        <f t="shared" si="46"/>
        <v>N/C</v>
      </c>
      <c r="S394" s="25" t="str">
        <f t="shared" si="47"/>
        <v>Utilizable</v>
      </c>
      <c r="T394" s="26" t="str">
        <f t="shared" si="48"/>
        <v>Frutas|00.000.996</v>
      </c>
      <c r="U394" s="26">
        <f>IF(OR($S394&lt;&gt;"Utilizable",$C394&lt;&gt;SUSTITUCION!$C$13),999999,IF(v_prioridad="Potasio",$H394,IF(v_prioridad="Fósforo",$I394,IF(v_prioridad="Sodio",$J394,IF(ISNUMBER($Q394),$Q394,999999)))))</f>
        <v>999999</v>
      </c>
    </row>
    <row r="395" spans="1:21" ht="15" customHeight="1">
      <c r="A395" s="21" t="s">
        <v>928</v>
      </c>
      <c r="B395" s="21" t="s">
        <v>929</v>
      </c>
      <c r="C395" s="21" t="s">
        <v>880</v>
      </c>
      <c r="D395" s="21" t="s">
        <v>881</v>
      </c>
      <c r="E395" s="21" t="s">
        <v>135</v>
      </c>
      <c r="F395" s="22">
        <v>61</v>
      </c>
      <c r="G395" s="22">
        <v>1.1000000000000001</v>
      </c>
      <c r="H395" s="22">
        <v>312</v>
      </c>
      <c r="I395" s="22">
        <v>34</v>
      </c>
      <c r="J395" s="22">
        <v>3</v>
      </c>
      <c r="K395" s="22">
        <v>61</v>
      </c>
      <c r="L395" s="22">
        <v>1.1000000000000001</v>
      </c>
      <c r="M395" s="22">
        <v>34</v>
      </c>
      <c r="N395" s="23" t="str">
        <f t="shared" si="42"/>
        <v>Muy alto</v>
      </c>
      <c r="O395" s="23" t="str">
        <f t="shared" si="43"/>
        <v>Bajo</v>
      </c>
      <c r="P395" s="23" t="str">
        <f t="shared" si="44"/>
        <v>Bajo</v>
      </c>
      <c r="Q395" s="24" t="str">
        <f t="shared" si="45"/>
        <v>N/C: no es fuente proteica</v>
      </c>
      <c r="R395" s="23" t="str">
        <f t="shared" si="46"/>
        <v>N/C</v>
      </c>
      <c r="S395" s="25" t="str">
        <f t="shared" si="47"/>
        <v>Utilizable</v>
      </c>
      <c r="T395" s="26" t="str">
        <f t="shared" si="48"/>
        <v>Frutas|00.000.312</v>
      </c>
      <c r="U395" s="26">
        <f>IF(OR($S395&lt;&gt;"Utilizable",$C395&lt;&gt;SUSTITUCION!$C$13),999999,IF(v_prioridad="Potasio",$H395,IF(v_prioridad="Fósforo",$I395,IF(v_prioridad="Sodio",$J395,IF(ISNUMBER($Q395),$Q395,999999)))))</f>
        <v>999999</v>
      </c>
    </row>
    <row r="396" spans="1:21" ht="15" customHeight="1">
      <c r="A396" s="21" t="s">
        <v>930</v>
      </c>
      <c r="B396" s="21" t="s">
        <v>931</v>
      </c>
      <c r="C396" s="21" t="s">
        <v>880</v>
      </c>
      <c r="D396" s="21" t="s">
        <v>881</v>
      </c>
      <c r="E396" s="21" t="s">
        <v>135</v>
      </c>
      <c r="F396" s="22">
        <v>29</v>
      </c>
      <c r="G396" s="22">
        <v>1.1000000000000001</v>
      </c>
      <c r="H396" s="22">
        <v>138</v>
      </c>
      <c r="I396" s="22">
        <v>16</v>
      </c>
      <c r="J396" s="22">
        <v>2</v>
      </c>
      <c r="K396" s="22">
        <v>29</v>
      </c>
      <c r="L396" s="22">
        <v>1.1000000000000001</v>
      </c>
      <c r="M396" s="22">
        <v>26</v>
      </c>
      <c r="N396" s="23" t="str">
        <f t="shared" si="42"/>
        <v>Medio</v>
      </c>
      <c r="O396" s="23" t="str">
        <f t="shared" si="43"/>
        <v>Bajo</v>
      </c>
      <c r="P396" s="23" t="str">
        <f t="shared" si="44"/>
        <v>Bajo</v>
      </c>
      <c r="Q396" s="24" t="str">
        <f t="shared" si="45"/>
        <v>N/C: no es fuente proteica</v>
      </c>
      <c r="R396" s="23" t="str">
        <f t="shared" si="46"/>
        <v>N/C</v>
      </c>
      <c r="S396" s="25" t="str">
        <f t="shared" si="47"/>
        <v>Utilizable</v>
      </c>
      <c r="T396" s="26" t="str">
        <f t="shared" si="48"/>
        <v>Frutas|00.000.138</v>
      </c>
      <c r="U396" s="26">
        <f>IF(OR($S396&lt;&gt;"Utilizable",$C396&lt;&gt;SUSTITUCION!$C$13),999999,IF(v_prioridad="Potasio",$H396,IF(v_prioridad="Fósforo",$I396,IF(v_prioridad="Sodio",$J396,IF(ISNUMBER($Q396),$Q396,999999)))))</f>
        <v>999999</v>
      </c>
    </row>
    <row r="397" spans="1:21" ht="15" customHeight="1">
      <c r="A397" s="21" t="s">
        <v>932</v>
      </c>
      <c r="B397" s="21" t="s">
        <v>933</v>
      </c>
      <c r="C397" s="21" t="s">
        <v>880</v>
      </c>
      <c r="D397" s="21" t="s">
        <v>881</v>
      </c>
      <c r="E397" s="21" t="s">
        <v>135</v>
      </c>
      <c r="F397" s="22">
        <v>53</v>
      </c>
      <c r="G397" s="22">
        <v>0.8</v>
      </c>
      <c r="H397" s="22">
        <v>166</v>
      </c>
      <c r="I397" s="22">
        <v>20</v>
      </c>
      <c r="J397" s="22">
        <v>2</v>
      </c>
      <c r="K397" s="22">
        <v>53</v>
      </c>
      <c r="L397" s="22">
        <v>0.8</v>
      </c>
      <c r="M397" s="22">
        <v>37</v>
      </c>
      <c r="N397" s="23" t="str">
        <f t="shared" si="42"/>
        <v>Medio</v>
      </c>
      <c r="O397" s="23" t="str">
        <f t="shared" si="43"/>
        <v>Bajo</v>
      </c>
      <c r="P397" s="23" t="str">
        <f t="shared" si="44"/>
        <v>Bajo</v>
      </c>
      <c r="Q397" s="24" t="str">
        <f t="shared" si="45"/>
        <v>N/C: no es fuente proteica</v>
      </c>
      <c r="R397" s="23" t="str">
        <f t="shared" si="46"/>
        <v>N/C</v>
      </c>
      <c r="S397" s="25" t="str">
        <f t="shared" si="47"/>
        <v>Utilizable</v>
      </c>
      <c r="T397" s="26" t="str">
        <f t="shared" si="48"/>
        <v>Frutas|00.000.166</v>
      </c>
      <c r="U397" s="26">
        <f>IF(OR($S397&lt;&gt;"Utilizable",$C397&lt;&gt;SUSTITUCION!$C$13),999999,IF(v_prioridad="Potasio",$H397,IF(v_prioridad="Fósforo",$I397,IF(v_prioridad="Sodio",$J397,IF(ISNUMBER($Q397),$Q397,999999)))))</f>
        <v>999999</v>
      </c>
    </row>
    <row r="398" spans="1:21" ht="15" customHeight="1">
      <c r="A398" s="21" t="s">
        <v>934</v>
      </c>
      <c r="B398" s="21" t="s">
        <v>935</v>
      </c>
      <c r="C398" s="21" t="s">
        <v>880</v>
      </c>
      <c r="D398" s="21" t="s">
        <v>881</v>
      </c>
      <c r="E398" s="21" t="s">
        <v>135</v>
      </c>
      <c r="F398" s="22">
        <v>60</v>
      </c>
      <c r="G398" s="22">
        <v>0.8</v>
      </c>
      <c r="H398" s="22">
        <v>168</v>
      </c>
      <c r="I398" s="22">
        <v>14</v>
      </c>
      <c r="J398" s="22">
        <v>1</v>
      </c>
      <c r="K398" s="22">
        <v>60</v>
      </c>
      <c r="L398" s="22">
        <v>0.8</v>
      </c>
      <c r="M398" s="22">
        <v>11</v>
      </c>
      <c r="N398" s="23" t="str">
        <f t="shared" si="42"/>
        <v>Medio</v>
      </c>
      <c r="O398" s="23" t="str">
        <f t="shared" si="43"/>
        <v>Bajo</v>
      </c>
      <c r="P398" s="23" t="str">
        <f t="shared" si="44"/>
        <v>Bajo</v>
      </c>
      <c r="Q398" s="24" t="str">
        <f t="shared" si="45"/>
        <v>N/C: no es fuente proteica</v>
      </c>
      <c r="R398" s="23" t="str">
        <f t="shared" si="46"/>
        <v>N/C</v>
      </c>
      <c r="S398" s="25" t="str">
        <f t="shared" si="47"/>
        <v>Utilizable</v>
      </c>
      <c r="T398" s="26" t="str">
        <f t="shared" si="48"/>
        <v>Frutas|00.000.168</v>
      </c>
      <c r="U398" s="26">
        <f>IF(OR($S398&lt;&gt;"Utilizable",$C398&lt;&gt;SUSTITUCION!$C$13),999999,IF(v_prioridad="Potasio",$H398,IF(v_prioridad="Fósforo",$I398,IF(v_prioridad="Sodio",$J398,IF(ISNUMBER($Q398),$Q398,999999)))))</f>
        <v>999999</v>
      </c>
    </row>
    <row r="399" spans="1:21" ht="15" customHeight="1">
      <c r="A399" s="21" t="s">
        <v>936</v>
      </c>
      <c r="B399" s="21" t="s">
        <v>937</v>
      </c>
      <c r="C399" s="21" t="s">
        <v>880</v>
      </c>
      <c r="D399" s="21" t="s">
        <v>881</v>
      </c>
      <c r="E399" s="21" t="s">
        <v>135</v>
      </c>
      <c r="F399" s="22">
        <v>52</v>
      </c>
      <c r="G399" s="22">
        <v>0.3</v>
      </c>
      <c r="H399" s="22">
        <v>107</v>
      </c>
      <c r="I399" s="22">
        <v>11</v>
      </c>
      <c r="J399" s="22">
        <v>1</v>
      </c>
      <c r="K399" s="22">
        <v>52</v>
      </c>
      <c r="L399" s="22">
        <v>0.3</v>
      </c>
      <c r="M399" s="22">
        <v>6</v>
      </c>
      <c r="N399" s="23" t="str">
        <f t="shared" si="42"/>
        <v>Medio</v>
      </c>
      <c r="O399" s="23" t="str">
        <f t="shared" si="43"/>
        <v>Bajo</v>
      </c>
      <c r="P399" s="23" t="str">
        <f t="shared" si="44"/>
        <v>Bajo</v>
      </c>
      <c r="Q399" s="24" t="str">
        <f t="shared" si="45"/>
        <v>N/C: no es fuente proteica</v>
      </c>
      <c r="R399" s="23" t="str">
        <f t="shared" si="46"/>
        <v>N/C</v>
      </c>
      <c r="S399" s="25" t="str">
        <f t="shared" si="47"/>
        <v>Utilizable</v>
      </c>
      <c r="T399" s="26" t="str">
        <f t="shared" si="48"/>
        <v>Frutas|00.000.107</v>
      </c>
      <c r="U399" s="26">
        <f>IF(OR($S399&lt;&gt;"Utilizable",$C399&lt;&gt;SUSTITUCION!$C$13),999999,IF(v_prioridad="Potasio",$H399,IF(v_prioridad="Fósforo",$I399,IF(v_prioridad="Sodio",$J399,IF(ISNUMBER($Q399),$Q399,999999)))))</f>
        <v>999999</v>
      </c>
    </row>
    <row r="400" spans="1:21" ht="15" customHeight="1">
      <c r="A400" s="21" t="s">
        <v>938</v>
      </c>
      <c r="B400" s="21" t="s">
        <v>939</v>
      </c>
      <c r="C400" s="21" t="s">
        <v>880</v>
      </c>
      <c r="D400" s="21" t="s">
        <v>881</v>
      </c>
      <c r="E400" s="21" t="s">
        <v>135</v>
      </c>
      <c r="F400" s="22">
        <v>63</v>
      </c>
      <c r="G400" s="22">
        <v>0.2</v>
      </c>
      <c r="H400" s="22">
        <v>109</v>
      </c>
      <c r="I400" s="22">
        <v>11</v>
      </c>
      <c r="J400" s="22">
        <v>1</v>
      </c>
      <c r="K400" s="22">
        <v>63</v>
      </c>
      <c r="L400" s="22">
        <v>0.2</v>
      </c>
      <c r="M400" s="22">
        <v>6</v>
      </c>
      <c r="N400" s="23" t="str">
        <f t="shared" si="42"/>
        <v>Medio</v>
      </c>
      <c r="O400" s="23" t="str">
        <f t="shared" si="43"/>
        <v>Bajo</v>
      </c>
      <c r="P400" s="23" t="str">
        <f t="shared" si="44"/>
        <v>Bajo</v>
      </c>
      <c r="Q400" s="24" t="str">
        <f t="shared" si="45"/>
        <v>N/C: no es fuente proteica</v>
      </c>
      <c r="R400" s="23" t="str">
        <f t="shared" si="46"/>
        <v>N/C</v>
      </c>
      <c r="S400" s="25" t="str">
        <f t="shared" si="47"/>
        <v>Utilizable</v>
      </c>
      <c r="T400" s="26" t="str">
        <f t="shared" si="48"/>
        <v>Frutas|00.000.109</v>
      </c>
      <c r="U400" s="26">
        <f>IF(OR($S400&lt;&gt;"Utilizable",$C400&lt;&gt;SUSTITUCION!$C$13),999999,IF(v_prioridad="Potasio",$H400,IF(v_prioridad="Fósforo",$I400,IF(v_prioridad="Sodio",$J400,IF(ISNUMBER($Q400),$Q400,999999)))))</f>
        <v>999999</v>
      </c>
    </row>
    <row r="401" spans="1:21" ht="15" customHeight="1">
      <c r="A401" s="21" t="s">
        <v>940</v>
      </c>
      <c r="B401" s="21" t="s">
        <v>941</v>
      </c>
      <c r="C401" s="21" t="s">
        <v>880</v>
      </c>
      <c r="D401" s="21" t="s">
        <v>881</v>
      </c>
      <c r="E401" s="21" t="s">
        <v>135</v>
      </c>
      <c r="F401" s="22">
        <v>57</v>
      </c>
      <c r="G401" s="22">
        <v>0.3</v>
      </c>
      <c r="H401" s="22">
        <v>100</v>
      </c>
      <c r="I401" s="22">
        <v>10</v>
      </c>
      <c r="J401" s="22">
        <v>1</v>
      </c>
      <c r="K401" s="22">
        <v>57</v>
      </c>
      <c r="L401" s="22">
        <v>0.3</v>
      </c>
      <c r="M401" s="22">
        <v>6</v>
      </c>
      <c r="N401" s="23" t="str">
        <f t="shared" si="42"/>
        <v>Bajo</v>
      </c>
      <c r="O401" s="23" t="str">
        <f t="shared" si="43"/>
        <v>Bajo</v>
      </c>
      <c r="P401" s="23" t="str">
        <f t="shared" si="44"/>
        <v>Bajo</v>
      </c>
      <c r="Q401" s="24" t="str">
        <f t="shared" si="45"/>
        <v>N/C: no es fuente proteica</v>
      </c>
      <c r="R401" s="23" t="str">
        <f t="shared" si="46"/>
        <v>N/C</v>
      </c>
      <c r="S401" s="25" t="str">
        <f t="shared" si="47"/>
        <v>Utilizable</v>
      </c>
      <c r="T401" s="26" t="str">
        <f t="shared" si="48"/>
        <v>Frutas|00.000.100</v>
      </c>
      <c r="U401" s="26">
        <f>IF(OR($S401&lt;&gt;"Utilizable",$C401&lt;&gt;SUSTITUCION!$C$13),999999,IF(v_prioridad="Potasio",$H401,IF(v_prioridad="Fósforo",$I401,IF(v_prioridad="Sodio",$J401,IF(ISNUMBER($Q401),$Q401,999999)))))</f>
        <v>999999</v>
      </c>
    </row>
    <row r="402" spans="1:21" ht="15" customHeight="1">
      <c r="A402" s="21" t="s">
        <v>942</v>
      </c>
      <c r="B402" s="21" t="s">
        <v>943</v>
      </c>
      <c r="C402" s="21" t="s">
        <v>880</v>
      </c>
      <c r="D402" s="21" t="s">
        <v>881</v>
      </c>
      <c r="E402" s="21" t="s">
        <v>135</v>
      </c>
      <c r="F402" s="22">
        <v>59</v>
      </c>
      <c r="G402" s="22">
        <v>0.3</v>
      </c>
      <c r="H402" s="22">
        <v>104</v>
      </c>
      <c r="I402" s="22">
        <v>12</v>
      </c>
      <c r="J402" s="22">
        <v>1</v>
      </c>
      <c r="K402" s="22">
        <v>59</v>
      </c>
      <c r="L402" s="22">
        <v>0.3</v>
      </c>
      <c r="M402" s="22">
        <v>6</v>
      </c>
      <c r="N402" s="23" t="str">
        <f t="shared" si="42"/>
        <v>Medio</v>
      </c>
      <c r="O402" s="23" t="str">
        <f t="shared" si="43"/>
        <v>Bajo</v>
      </c>
      <c r="P402" s="23" t="str">
        <f t="shared" si="44"/>
        <v>Bajo</v>
      </c>
      <c r="Q402" s="24" t="str">
        <f t="shared" si="45"/>
        <v>N/C: no es fuente proteica</v>
      </c>
      <c r="R402" s="23" t="str">
        <f t="shared" si="46"/>
        <v>N/C</v>
      </c>
      <c r="S402" s="25" t="str">
        <f t="shared" si="47"/>
        <v>Utilizable</v>
      </c>
      <c r="T402" s="26" t="str">
        <f t="shared" si="48"/>
        <v>Frutas|00.000.104</v>
      </c>
      <c r="U402" s="26">
        <f>IF(OR($S402&lt;&gt;"Utilizable",$C402&lt;&gt;SUSTITUCION!$C$13),999999,IF(v_prioridad="Potasio",$H402,IF(v_prioridad="Fósforo",$I402,IF(v_prioridad="Sodio",$J402,IF(ISNUMBER($Q402),$Q402,999999)))))</f>
        <v>999999</v>
      </c>
    </row>
    <row r="403" spans="1:21" ht="15" customHeight="1">
      <c r="A403" s="21" t="s">
        <v>944</v>
      </c>
      <c r="B403" s="21" t="s">
        <v>945</v>
      </c>
      <c r="C403" s="21" t="s">
        <v>880</v>
      </c>
      <c r="D403" s="21" t="s">
        <v>881</v>
      </c>
      <c r="E403" s="21" t="s">
        <v>135</v>
      </c>
      <c r="F403" s="22">
        <v>52</v>
      </c>
      <c r="G403" s="22">
        <v>0.3</v>
      </c>
      <c r="H403" s="22">
        <v>90</v>
      </c>
      <c r="I403" s="22">
        <v>11</v>
      </c>
      <c r="J403" s="22">
        <v>1</v>
      </c>
      <c r="K403" s="22">
        <v>52</v>
      </c>
      <c r="L403" s="22">
        <v>0.3</v>
      </c>
      <c r="M403" s="22">
        <v>4</v>
      </c>
      <c r="N403" s="23" t="str">
        <f t="shared" si="42"/>
        <v>Bajo</v>
      </c>
      <c r="O403" s="23" t="str">
        <f t="shared" si="43"/>
        <v>Bajo</v>
      </c>
      <c r="P403" s="23" t="str">
        <f t="shared" si="44"/>
        <v>Bajo</v>
      </c>
      <c r="Q403" s="24" t="str">
        <f t="shared" si="45"/>
        <v>N/C: no es fuente proteica</v>
      </c>
      <c r="R403" s="23" t="str">
        <f t="shared" si="46"/>
        <v>N/C</v>
      </c>
      <c r="S403" s="25" t="str">
        <f t="shared" si="47"/>
        <v>Utilizable</v>
      </c>
      <c r="T403" s="26" t="str">
        <f t="shared" si="48"/>
        <v>Frutas|00.000.090</v>
      </c>
      <c r="U403" s="26">
        <f>IF(OR($S403&lt;&gt;"Utilizable",$C403&lt;&gt;SUSTITUCION!$C$13),999999,IF(v_prioridad="Potasio",$H403,IF(v_prioridad="Fósforo",$I403,IF(v_prioridad="Sodio",$J403,IF(ISNUMBER($Q403),$Q403,999999)))))</f>
        <v>999999</v>
      </c>
    </row>
    <row r="404" spans="1:21" ht="15" customHeight="1">
      <c r="A404" s="21" t="s">
        <v>946</v>
      </c>
      <c r="B404" s="21" t="s">
        <v>947</v>
      </c>
      <c r="C404" s="21" t="s">
        <v>880</v>
      </c>
      <c r="D404" s="21" t="s">
        <v>881</v>
      </c>
      <c r="E404" s="21" t="s">
        <v>135</v>
      </c>
      <c r="F404" s="22">
        <v>58</v>
      </c>
      <c r="G404" s="22">
        <v>0.4</v>
      </c>
      <c r="H404" s="22">
        <v>120</v>
      </c>
      <c r="I404" s="22">
        <v>12</v>
      </c>
      <c r="J404" s="22">
        <v>1</v>
      </c>
      <c r="K404" s="22">
        <v>58</v>
      </c>
      <c r="L404" s="22">
        <v>0.4</v>
      </c>
      <c r="M404" s="22">
        <v>5</v>
      </c>
      <c r="N404" s="23" t="str">
        <f t="shared" si="42"/>
        <v>Medio</v>
      </c>
      <c r="O404" s="23" t="str">
        <f t="shared" si="43"/>
        <v>Bajo</v>
      </c>
      <c r="P404" s="23" t="str">
        <f t="shared" si="44"/>
        <v>Bajo</v>
      </c>
      <c r="Q404" s="24" t="str">
        <f t="shared" si="45"/>
        <v>N/C: no es fuente proteica</v>
      </c>
      <c r="R404" s="23" t="str">
        <f t="shared" si="46"/>
        <v>N/C</v>
      </c>
      <c r="S404" s="25" t="str">
        <f t="shared" si="47"/>
        <v>Utilizable</v>
      </c>
      <c r="T404" s="26" t="str">
        <f t="shared" si="48"/>
        <v>Frutas|00.000.120</v>
      </c>
      <c r="U404" s="26">
        <f>IF(OR($S404&lt;&gt;"Utilizable",$C404&lt;&gt;SUSTITUCION!$C$13),999999,IF(v_prioridad="Potasio",$H404,IF(v_prioridad="Fósforo",$I404,IF(v_prioridad="Sodio",$J404,IF(ISNUMBER($Q404),$Q404,999999)))))</f>
        <v>999999</v>
      </c>
    </row>
    <row r="405" spans="1:21" ht="15" customHeight="1">
      <c r="A405" s="21" t="s">
        <v>948</v>
      </c>
      <c r="B405" s="21" t="s">
        <v>949</v>
      </c>
      <c r="C405" s="21" t="s">
        <v>880</v>
      </c>
      <c r="D405" s="21" t="s">
        <v>881</v>
      </c>
      <c r="E405" s="21" t="s">
        <v>135</v>
      </c>
      <c r="F405" s="22">
        <v>34</v>
      </c>
      <c r="G405" s="22">
        <v>0.8</v>
      </c>
      <c r="H405" s="22">
        <v>267</v>
      </c>
      <c r="I405" s="22">
        <v>15</v>
      </c>
      <c r="J405" s="22">
        <v>16</v>
      </c>
      <c r="K405" s="22">
        <v>34</v>
      </c>
      <c r="L405" s="22">
        <v>0.8</v>
      </c>
      <c r="M405" s="22">
        <v>9</v>
      </c>
      <c r="N405" s="23" t="str">
        <f t="shared" si="42"/>
        <v>Alto</v>
      </c>
      <c r="O405" s="23" t="str">
        <f t="shared" si="43"/>
        <v>Bajo</v>
      </c>
      <c r="P405" s="23" t="str">
        <f t="shared" si="44"/>
        <v>Bajo</v>
      </c>
      <c r="Q405" s="24" t="str">
        <f t="shared" si="45"/>
        <v>N/C: no es fuente proteica</v>
      </c>
      <c r="R405" s="23" t="str">
        <f t="shared" si="46"/>
        <v>N/C</v>
      </c>
      <c r="S405" s="25" t="str">
        <f t="shared" si="47"/>
        <v>Utilizable</v>
      </c>
      <c r="T405" s="26" t="str">
        <f t="shared" si="48"/>
        <v>Frutas|00.000.267</v>
      </c>
      <c r="U405" s="26">
        <f>IF(OR($S405&lt;&gt;"Utilizable",$C405&lt;&gt;SUSTITUCION!$C$13),999999,IF(v_prioridad="Potasio",$H405,IF(v_prioridad="Fósforo",$I405,IF(v_prioridad="Sodio",$J405,IF(ISNUMBER($Q405),$Q405,999999)))))</f>
        <v>999999</v>
      </c>
    </row>
    <row r="406" spans="1:21" ht="15" customHeight="1">
      <c r="A406" s="21" t="s">
        <v>950</v>
      </c>
      <c r="B406" s="21" t="s">
        <v>951</v>
      </c>
      <c r="C406" s="21" t="s">
        <v>880</v>
      </c>
      <c r="D406" s="21" t="s">
        <v>881</v>
      </c>
      <c r="E406" s="21" t="s">
        <v>135</v>
      </c>
      <c r="F406" s="22">
        <v>57</v>
      </c>
      <c r="G406" s="22">
        <v>0.4</v>
      </c>
      <c r="H406" s="22">
        <v>197</v>
      </c>
      <c r="I406" s="22">
        <v>17</v>
      </c>
      <c r="J406" s="22">
        <v>4</v>
      </c>
      <c r="K406" s="22">
        <v>57</v>
      </c>
      <c r="L406" s="22">
        <v>0.4</v>
      </c>
      <c r="M406" s="22">
        <v>11</v>
      </c>
      <c r="N406" s="23" t="str">
        <f t="shared" si="42"/>
        <v>Medio</v>
      </c>
      <c r="O406" s="23" t="str">
        <f t="shared" si="43"/>
        <v>Bajo</v>
      </c>
      <c r="P406" s="23" t="str">
        <f t="shared" si="44"/>
        <v>Bajo</v>
      </c>
      <c r="Q406" s="24" t="str">
        <f t="shared" si="45"/>
        <v>N/C: no es fuente proteica</v>
      </c>
      <c r="R406" s="23" t="str">
        <f t="shared" si="46"/>
        <v>N/C</v>
      </c>
      <c r="S406" s="25" t="str">
        <f t="shared" si="47"/>
        <v>Utilizable</v>
      </c>
      <c r="T406" s="26" t="str">
        <f t="shared" si="48"/>
        <v>Frutas|00.000.197</v>
      </c>
      <c r="U406" s="26">
        <f>IF(OR($S406&lt;&gt;"Utilizable",$C406&lt;&gt;SUSTITUCION!$C$13),999999,IF(v_prioridad="Potasio",$H406,IF(v_prioridad="Fósforo",$I406,IF(v_prioridad="Sodio",$J406,IF(ISNUMBER($Q406),$Q406,999999)))))</f>
        <v>999999</v>
      </c>
    </row>
    <row r="407" spans="1:21" ht="15" customHeight="1">
      <c r="A407" s="21" t="s">
        <v>952</v>
      </c>
      <c r="B407" s="21" t="s">
        <v>953</v>
      </c>
      <c r="C407" s="21" t="s">
        <v>880</v>
      </c>
      <c r="D407" s="21" t="s">
        <v>881</v>
      </c>
      <c r="E407" s="21" t="s">
        <v>135</v>
      </c>
      <c r="F407" s="22">
        <v>43</v>
      </c>
      <c r="G407" s="22">
        <v>1.4</v>
      </c>
      <c r="H407" s="22">
        <v>162</v>
      </c>
      <c r="I407" s="22">
        <v>22</v>
      </c>
      <c r="J407" s="22">
        <v>1</v>
      </c>
      <c r="K407" s="22">
        <v>43</v>
      </c>
      <c r="L407" s="22">
        <v>1.4</v>
      </c>
      <c r="M407" s="22">
        <v>29</v>
      </c>
      <c r="N407" s="23" t="str">
        <f t="shared" si="42"/>
        <v>Medio</v>
      </c>
      <c r="O407" s="23" t="str">
        <f t="shared" si="43"/>
        <v>Bajo</v>
      </c>
      <c r="P407" s="23" t="str">
        <f t="shared" si="44"/>
        <v>Bajo</v>
      </c>
      <c r="Q407" s="24" t="str">
        <f t="shared" si="45"/>
        <v>N/C: no es fuente proteica</v>
      </c>
      <c r="R407" s="23" t="str">
        <f t="shared" si="46"/>
        <v>N/C</v>
      </c>
      <c r="S407" s="25" t="str">
        <f t="shared" si="47"/>
        <v>Utilizable</v>
      </c>
      <c r="T407" s="26" t="str">
        <f t="shared" si="48"/>
        <v>Frutas|00.000.162</v>
      </c>
      <c r="U407" s="26">
        <f>IF(OR($S407&lt;&gt;"Utilizable",$C407&lt;&gt;SUSTITUCION!$C$13),999999,IF(v_prioridad="Potasio",$H407,IF(v_prioridad="Fósforo",$I407,IF(v_prioridad="Sodio",$J407,IF(ISNUMBER($Q407),$Q407,999999)))))</f>
        <v>999999</v>
      </c>
    </row>
    <row r="408" spans="1:21" ht="15" customHeight="1">
      <c r="A408" s="21" t="s">
        <v>954</v>
      </c>
      <c r="B408" s="21" t="s">
        <v>955</v>
      </c>
      <c r="C408" s="21" t="s">
        <v>880</v>
      </c>
      <c r="D408" s="21" t="s">
        <v>881</v>
      </c>
      <c r="E408" s="21" t="s">
        <v>135</v>
      </c>
      <c r="F408" s="22">
        <v>47</v>
      </c>
      <c r="G408" s="22">
        <v>0.9</v>
      </c>
      <c r="H408" s="22">
        <v>181</v>
      </c>
      <c r="I408" s="22">
        <v>14</v>
      </c>
      <c r="J408" s="22">
        <v>0</v>
      </c>
      <c r="K408" s="22">
        <v>47</v>
      </c>
      <c r="L408" s="22">
        <v>0.9</v>
      </c>
      <c r="M408" s="22">
        <v>40</v>
      </c>
      <c r="N408" s="23" t="str">
        <f t="shared" si="42"/>
        <v>Medio</v>
      </c>
      <c r="O408" s="23" t="str">
        <f t="shared" si="43"/>
        <v>Bajo</v>
      </c>
      <c r="P408" s="23" t="str">
        <f t="shared" si="44"/>
        <v>Bajo</v>
      </c>
      <c r="Q408" s="24" t="str">
        <f t="shared" si="45"/>
        <v>N/C: no es fuente proteica</v>
      </c>
      <c r="R408" s="23" t="str">
        <f t="shared" si="46"/>
        <v>N/C</v>
      </c>
      <c r="S408" s="25" t="str">
        <f t="shared" si="47"/>
        <v>Utilizable</v>
      </c>
      <c r="T408" s="26" t="str">
        <f t="shared" si="48"/>
        <v>Frutas|00.000.181</v>
      </c>
      <c r="U408" s="26">
        <f>IF(OR($S408&lt;&gt;"Utilizable",$C408&lt;&gt;SUSTITUCION!$C$13),999999,IF(v_prioridad="Potasio",$H408,IF(v_prioridad="Fósforo",$I408,IF(v_prioridad="Sodio",$J408,IF(ISNUMBER($Q408),$Q408,999999)))))</f>
        <v>999999</v>
      </c>
    </row>
    <row r="409" spans="1:21" ht="15" customHeight="1">
      <c r="A409" s="21" t="s">
        <v>956</v>
      </c>
      <c r="B409" s="21" t="s">
        <v>957</v>
      </c>
      <c r="C409" s="21" t="s">
        <v>880</v>
      </c>
      <c r="D409" s="21" t="s">
        <v>881</v>
      </c>
      <c r="E409" s="21" t="s">
        <v>135</v>
      </c>
      <c r="F409" s="22">
        <v>47</v>
      </c>
      <c r="G409" s="22">
        <v>0.4</v>
      </c>
      <c r="H409" s="22">
        <v>266</v>
      </c>
      <c r="I409" s="22">
        <v>27</v>
      </c>
      <c r="J409" s="22">
        <v>1</v>
      </c>
      <c r="K409" s="22">
        <v>47</v>
      </c>
      <c r="L409" s="22">
        <v>0.4</v>
      </c>
      <c r="M409" s="22">
        <v>16</v>
      </c>
      <c r="N409" s="23" t="str">
        <f t="shared" si="42"/>
        <v>Alto</v>
      </c>
      <c r="O409" s="23" t="str">
        <f t="shared" si="43"/>
        <v>Bajo</v>
      </c>
      <c r="P409" s="23" t="str">
        <f t="shared" si="44"/>
        <v>Bajo</v>
      </c>
      <c r="Q409" s="24" t="str">
        <f t="shared" si="45"/>
        <v>N/C: no es fuente proteica</v>
      </c>
      <c r="R409" s="23" t="str">
        <f t="shared" si="46"/>
        <v>N/C</v>
      </c>
      <c r="S409" s="25" t="str">
        <f t="shared" si="47"/>
        <v>Utilizable</v>
      </c>
      <c r="T409" s="26" t="str">
        <f t="shared" si="48"/>
        <v>Frutas|00.000.266</v>
      </c>
      <c r="U409" s="26">
        <f>IF(OR($S409&lt;&gt;"Utilizable",$C409&lt;&gt;SUSTITUCION!$C$13),999999,IF(v_prioridad="Potasio",$H409,IF(v_prioridad="Fósforo",$I409,IF(v_prioridad="Sodio",$J409,IF(ISNUMBER($Q409),$Q409,999999)))))</f>
        <v>999999</v>
      </c>
    </row>
    <row r="410" spans="1:21" ht="15" customHeight="1">
      <c r="A410" s="21" t="s">
        <v>958</v>
      </c>
      <c r="B410" s="21" t="s">
        <v>959</v>
      </c>
      <c r="C410" s="21" t="s">
        <v>880</v>
      </c>
      <c r="D410" s="21" t="s">
        <v>881</v>
      </c>
      <c r="E410" s="21" t="s">
        <v>135</v>
      </c>
      <c r="F410" s="22">
        <v>160</v>
      </c>
      <c r="G410" s="22">
        <v>2</v>
      </c>
      <c r="H410" s="22">
        <v>485</v>
      </c>
      <c r="I410" s="22">
        <v>52</v>
      </c>
      <c r="J410" s="22">
        <v>7</v>
      </c>
      <c r="K410" s="22">
        <v>160</v>
      </c>
      <c r="L410" s="22">
        <v>2</v>
      </c>
      <c r="M410" s="22">
        <v>12</v>
      </c>
      <c r="N410" s="23" t="str">
        <f t="shared" si="42"/>
        <v>Muy alto</v>
      </c>
      <c r="O410" s="23" t="str">
        <f t="shared" si="43"/>
        <v>Medio</v>
      </c>
      <c r="P410" s="23" t="str">
        <f t="shared" si="44"/>
        <v>Bajo</v>
      </c>
      <c r="Q410" s="24" t="str">
        <f t="shared" si="45"/>
        <v>N/C: no es fuente proteica</v>
      </c>
      <c r="R410" s="23" t="str">
        <f t="shared" si="46"/>
        <v>N/C</v>
      </c>
      <c r="S410" s="25" t="str">
        <f t="shared" si="47"/>
        <v>Utilizable</v>
      </c>
      <c r="T410" s="26" t="str">
        <f t="shared" si="48"/>
        <v>Frutas|00.000.485</v>
      </c>
      <c r="U410" s="26">
        <f>IF(OR($S410&lt;&gt;"Utilizable",$C410&lt;&gt;SUSTITUCION!$C$13),999999,IF(v_prioridad="Potasio",$H410,IF(v_prioridad="Fósforo",$I410,IF(v_prioridad="Sodio",$J410,IF(ISNUMBER($Q410),$Q410,999999)))))</f>
        <v>999999</v>
      </c>
    </row>
    <row r="411" spans="1:21" ht="15" customHeight="1">
      <c r="A411" s="21" t="s">
        <v>960</v>
      </c>
      <c r="B411" s="21" t="s">
        <v>961</v>
      </c>
      <c r="C411" s="21" t="s">
        <v>880</v>
      </c>
      <c r="D411" s="21" t="s">
        <v>881</v>
      </c>
      <c r="E411" s="21" t="s">
        <v>135</v>
      </c>
      <c r="F411" s="22">
        <v>160</v>
      </c>
      <c r="G411" s="22">
        <v>1.7</v>
      </c>
      <c r="H411" s="22" t="s">
        <v>138</v>
      </c>
      <c r="I411" s="22" t="s">
        <v>138</v>
      </c>
      <c r="J411" s="22">
        <v>4</v>
      </c>
      <c r="K411" s="22">
        <v>160</v>
      </c>
      <c r="L411" s="22">
        <v>1.7</v>
      </c>
      <c r="M411" s="22" t="s">
        <v>138</v>
      </c>
      <c r="N411" s="23" t="str">
        <f t="shared" si="42"/>
        <v>Sin dato</v>
      </c>
      <c r="O411" s="23" t="str">
        <f t="shared" si="43"/>
        <v>Sin dato</v>
      </c>
      <c r="P411" s="23" t="str">
        <f t="shared" si="44"/>
        <v>Bajo</v>
      </c>
      <c r="Q411" s="24" t="str">
        <f t="shared" si="45"/>
        <v>N/C</v>
      </c>
      <c r="R411" s="23" t="str">
        <f t="shared" si="46"/>
        <v>N/C</v>
      </c>
      <c r="S411" s="25" t="str">
        <f t="shared" si="47"/>
        <v>No utilizable</v>
      </c>
      <c r="T411" s="26" t="str">
        <f t="shared" si="48"/>
        <v/>
      </c>
      <c r="U411" s="26">
        <f>IF(OR($S411&lt;&gt;"Utilizable",$C411&lt;&gt;SUSTITUCION!$C$13),999999,IF(v_prioridad="Potasio",$H411,IF(v_prioridad="Fósforo",$I411,IF(v_prioridad="Sodio",$J411,IF(ISNUMBER($Q411),$Q411,999999)))))</f>
        <v>999999</v>
      </c>
    </row>
    <row r="412" spans="1:21" ht="15" customHeight="1">
      <c r="A412" s="21" t="s">
        <v>962</v>
      </c>
      <c r="B412" s="21" t="s">
        <v>963</v>
      </c>
      <c r="C412" s="21" t="s">
        <v>880</v>
      </c>
      <c r="D412" s="21" t="s">
        <v>881</v>
      </c>
      <c r="E412" s="21" t="s">
        <v>135</v>
      </c>
      <c r="F412" s="22">
        <v>43</v>
      </c>
      <c r="G412" s="22">
        <v>0.5</v>
      </c>
      <c r="H412" s="22">
        <v>182</v>
      </c>
      <c r="I412" s="22">
        <v>10</v>
      </c>
      <c r="J412" s="22">
        <v>8</v>
      </c>
      <c r="K412" s="22">
        <v>43</v>
      </c>
      <c r="L412" s="22">
        <v>0.5</v>
      </c>
      <c r="M412" s="22">
        <v>20</v>
      </c>
      <c r="N412" s="23" t="str">
        <f t="shared" si="42"/>
        <v>Medio</v>
      </c>
      <c r="O412" s="23" t="str">
        <f t="shared" si="43"/>
        <v>Bajo</v>
      </c>
      <c r="P412" s="23" t="str">
        <f t="shared" si="44"/>
        <v>Bajo</v>
      </c>
      <c r="Q412" s="24" t="str">
        <f t="shared" si="45"/>
        <v>N/C: no es fuente proteica</v>
      </c>
      <c r="R412" s="23" t="str">
        <f t="shared" si="46"/>
        <v>N/C</v>
      </c>
      <c r="S412" s="25" t="str">
        <f t="shared" si="47"/>
        <v>Utilizable</v>
      </c>
      <c r="T412" s="26" t="str">
        <f t="shared" si="48"/>
        <v>Frutas|00.000.182</v>
      </c>
      <c r="U412" s="26">
        <f>IF(OR($S412&lt;&gt;"Utilizable",$C412&lt;&gt;SUSTITUCION!$C$13),999999,IF(v_prioridad="Potasio",$H412,IF(v_prioridad="Fósforo",$I412,IF(v_prioridad="Sodio",$J412,IF(ISNUMBER($Q412),$Q412,999999)))))</f>
        <v>999999</v>
      </c>
    </row>
    <row r="413" spans="1:21" ht="15" customHeight="1">
      <c r="A413" s="21" t="s">
        <v>964</v>
      </c>
      <c r="B413" s="21" t="s">
        <v>965</v>
      </c>
      <c r="C413" s="21" t="s">
        <v>880</v>
      </c>
      <c r="D413" s="21" t="s">
        <v>881</v>
      </c>
      <c r="E413" s="21" t="s">
        <v>135</v>
      </c>
      <c r="F413" s="22">
        <v>299</v>
      </c>
      <c r="G413" s="22">
        <v>3.1</v>
      </c>
      <c r="H413" s="22">
        <v>749</v>
      </c>
      <c r="I413" s="22">
        <v>101</v>
      </c>
      <c r="J413" s="22">
        <v>11</v>
      </c>
      <c r="K413" s="22">
        <v>299</v>
      </c>
      <c r="L413" s="22">
        <v>3.1</v>
      </c>
      <c r="M413" s="22">
        <v>50</v>
      </c>
      <c r="N413" s="23" t="str">
        <f t="shared" si="42"/>
        <v>Muy alto</v>
      </c>
      <c r="O413" s="23" t="str">
        <f t="shared" si="43"/>
        <v>Alto</v>
      </c>
      <c r="P413" s="23" t="str">
        <f t="shared" si="44"/>
        <v>Bajo</v>
      </c>
      <c r="Q413" s="24" t="str">
        <f t="shared" si="45"/>
        <v>N/C: no es fuente proteica</v>
      </c>
      <c r="R413" s="23" t="str">
        <f t="shared" si="46"/>
        <v>N/C</v>
      </c>
      <c r="S413" s="25" t="str">
        <f t="shared" si="47"/>
        <v>Utilizable</v>
      </c>
      <c r="T413" s="26" t="str">
        <f t="shared" si="48"/>
        <v>Frutas|00.000.749</v>
      </c>
      <c r="U413" s="26">
        <f>IF(OR($S413&lt;&gt;"Utilizable",$C413&lt;&gt;SUSTITUCION!$C$13),999999,IF(v_prioridad="Potasio",$H413,IF(v_prioridad="Fósforo",$I413,IF(v_prioridad="Sodio",$J413,IF(ISNUMBER($Q413),$Q413,999999)))))</f>
        <v>999999</v>
      </c>
    </row>
    <row r="414" spans="1:21" ht="15" customHeight="1">
      <c r="A414" s="21" t="s">
        <v>966</v>
      </c>
      <c r="B414" s="21" t="s">
        <v>967</v>
      </c>
      <c r="C414" s="21" t="s">
        <v>880</v>
      </c>
      <c r="D414" s="21" t="s">
        <v>881</v>
      </c>
      <c r="E414" s="21" t="s">
        <v>135</v>
      </c>
      <c r="F414" s="22">
        <v>255</v>
      </c>
      <c r="G414" s="22">
        <v>0.4</v>
      </c>
      <c r="H414" s="22">
        <v>17</v>
      </c>
      <c r="I414" s="22" t="s">
        <v>138</v>
      </c>
      <c r="J414" s="22">
        <v>3</v>
      </c>
      <c r="K414" s="22">
        <v>255</v>
      </c>
      <c r="L414" s="22">
        <v>0.4</v>
      </c>
      <c r="M414" s="22">
        <v>21</v>
      </c>
      <c r="N414" s="23" t="str">
        <f t="shared" si="42"/>
        <v>Bajo</v>
      </c>
      <c r="O414" s="23" t="str">
        <f t="shared" si="43"/>
        <v>Sin dato</v>
      </c>
      <c r="P414" s="23" t="str">
        <f t="shared" si="44"/>
        <v>Bajo</v>
      </c>
      <c r="Q414" s="24" t="str">
        <f t="shared" si="45"/>
        <v>N/C</v>
      </c>
      <c r="R414" s="23" t="str">
        <f t="shared" si="46"/>
        <v>N/C</v>
      </c>
      <c r="S414" s="25" t="str">
        <f t="shared" si="47"/>
        <v>No utilizable</v>
      </c>
      <c r="T414" s="26" t="str">
        <f t="shared" si="48"/>
        <v/>
      </c>
      <c r="U414" s="26">
        <f>IF(OR($S414&lt;&gt;"Utilizable",$C414&lt;&gt;SUSTITUCION!$C$13),999999,IF(v_prioridad="Potasio",$H414,IF(v_prioridad="Fósforo",$I414,IF(v_prioridad="Sodio",$J414,IF(ISNUMBER($Q414),$Q414,999999)))))</f>
        <v>999999</v>
      </c>
    </row>
    <row r="415" spans="1:21" ht="15" customHeight="1">
      <c r="A415" s="21" t="s">
        <v>968</v>
      </c>
      <c r="B415" s="21" t="s">
        <v>969</v>
      </c>
      <c r="C415" s="21" t="s">
        <v>970</v>
      </c>
      <c r="D415" s="21" t="s">
        <v>971</v>
      </c>
      <c r="E415" s="21" t="s">
        <v>135</v>
      </c>
      <c r="F415" s="22">
        <v>387</v>
      </c>
      <c r="G415" s="22">
        <v>0</v>
      </c>
      <c r="H415" s="22">
        <v>2</v>
      </c>
      <c r="I415" s="22">
        <v>0</v>
      </c>
      <c r="J415" s="22">
        <v>1</v>
      </c>
      <c r="K415" s="22">
        <v>387</v>
      </c>
      <c r="L415" s="22">
        <v>0</v>
      </c>
      <c r="M415" s="22">
        <v>1</v>
      </c>
      <c r="N415" s="23" t="str">
        <f t="shared" si="42"/>
        <v>Bajo</v>
      </c>
      <c r="O415" s="23" t="str">
        <f t="shared" si="43"/>
        <v>Bajo</v>
      </c>
      <c r="P415" s="23" t="str">
        <f t="shared" si="44"/>
        <v>Bajo</v>
      </c>
      <c r="Q415" s="24" t="str">
        <f t="shared" si="45"/>
        <v>N/C: no es fuente proteica</v>
      </c>
      <c r="R415" s="23" t="str">
        <f t="shared" si="46"/>
        <v>N/C</v>
      </c>
      <c r="S415" s="25" t="str">
        <f t="shared" si="47"/>
        <v>Utilizable</v>
      </c>
      <c r="T415" s="26" t="str">
        <f t="shared" si="48"/>
        <v>de Dulces y miel|00.000.002</v>
      </c>
      <c r="U415" s="26">
        <f>IF(OR($S415&lt;&gt;"Utilizable",$C415&lt;&gt;SUSTITUCION!$C$13),999999,IF(v_prioridad="Potasio",$H415,IF(v_prioridad="Fósforo",$I415,IF(v_prioridad="Sodio",$J415,IF(ISNUMBER($Q415),$Q415,999999)))))</f>
        <v>999999</v>
      </c>
    </row>
    <row r="416" spans="1:21" ht="15" customHeight="1">
      <c r="A416" s="21" t="s">
        <v>972</v>
      </c>
      <c r="B416" s="21" t="s">
        <v>973</v>
      </c>
      <c r="C416" s="21" t="s">
        <v>970</v>
      </c>
      <c r="D416" s="21" t="s">
        <v>971</v>
      </c>
      <c r="E416" s="21" t="s">
        <v>135</v>
      </c>
      <c r="F416" s="22">
        <v>399</v>
      </c>
      <c r="G416" s="22">
        <v>0.1</v>
      </c>
      <c r="H416" s="22" t="s">
        <v>138</v>
      </c>
      <c r="I416" s="22" t="s">
        <v>138</v>
      </c>
      <c r="J416" s="22" t="s">
        <v>138</v>
      </c>
      <c r="K416" s="22">
        <v>399</v>
      </c>
      <c r="L416" s="22">
        <v>0.1</v>
      </c>
      <c r="M416" s="22" t="s">
        <v>138</v>
      </c>
      <c r="N416" s="23" t="str">
        <f t="shared" si="42"/>
        <v>Sin dato</v>
      </c>
      <c r="O416" s="23" t="str">
        <f t="shared" si="43"/>
        <v>Sin dato</v>
      </c>
      <c r="P416" s="23" t="str">
        <f t="shared" si="44"/>
        <v>Sin dato</v>
      </c>
      <c r="Q416" s="24" t="str">
        <f t="shared" si="45"/>
        <v>N/C</v>
      </c>
      <c r="R416" s="23" t="str">
        <f t="shared" si="46"/>
        <v>N/C</v>
      </c>
      <c r="S416" s="25" t="str">
        <f t="shared" si="47"/>
        <v>No utilizable</v>
      </c>
      <c r="T416" s="26" t="str">
        <f t="shared" si="48"/>
        <v/>
      </c>
      <c r="U416" s="26">
        <f>IF(OR($S416&lt;&gt;"Utilizable",$C416&lt;&gt;SUSTITUCION!$C$13),999999,IF(v_prioridad="Potasio",$H416,IF(v_prioridad="Fósforo",$I416,IF(v_prioridad="Sodio",$J416,IF(ISNUMBER($Q416),$Q416,999999)))))</f>
        <v>999999</v>
      </c>
    </row>
    <row r="417" spans="1:21" ht="15" customHeight="1">
      <c r="A417" s="21" t="s">
        <v>974</v>
      </c>
      <c r="B417" s="21" t="s">
        <v>975</v>
      </c>
      <c r="C417" s="21" t="s">
        <v>970</v>
      </c>
      <c r="D417" s="21" t="s">
        <v>971</v>
      </c>
      <c r="E417" s="21" t="s">
        <v>135</v>
      </c>
      <c r="F417" s="22">
        <v>389</v>
      </c>
      <c r="G417" s="22">
        <v>0</v>
      </c>
      <c r="H417" s="22">
        <v>2</v>
      </c>
      <c r="I417" s="22">
        <v>0</v>
      </c>
      <c r="J417" s="22">
        <v>2</v>
      </c>
      <c r="K417" s="22">
        <v>389</v>
      </c>
      <c r="L417" s="22">
        <v>0</v>
      </c>
      <c r="M417" s="22">
        <v>1</v>
      </c>
      <c r="N417" s="23" t="str">
        <f t="shared" si="42"/>
        <v>Bajo</v>
      </c>
      <c r="O417" s="23" t="str">
        <f t="shared" si="43"/>
        <v>Bajo</v>
      </c>
      <c r="P417" s="23" t="str">
        <f t="shared" si="44"/>
        <v>Bajo</v>
      </c>
      <c r="Q417" s="24" t="str">
        <f t="shared" si="45"/>
        <v>N/C: no es fuente proteica</v>
      </c>
      <c r="R417" s="23" t="str">
        <f t="shared" si="46"/>
        <v>N/C</v>
      </c>
      <c r="S417" s="25" t="str">
        <f t="shared" si="47"/>
        <v>Utilizable</v>
      </c>
      <c r="T417" s="26" t="str">
        <f t="shared" si="48"/>
        <v>de Dulces y miel|00.000.002</v>
      </c>
      <c r="U417" s="26">
        <f>IF(OR($S417&lt;&gt;"Utilizable",$C417&lt;&gt;SUSTITUCION!$C$13),999999,IF(v_prioridad="Potasio",$H417,IF(v_prioridad="Fósforo",$I417,IF(v_prioridad="Sodio",$J417,IF(ISNUMBER($Q417),$Q417,999999)))))</f>
        <v>999999</v>
      </c>
    </row>
    <row r="418" spans="1:21" ht="15" customHeight="1">
      <c r="A418" s="21" t="s">
        <v>976</v>
      </c>
      <c r="B418" s="21" t="s">
        <v>977</v>
      </c>
      <c r="C418" s="21" t="s">
        <v>970</v>
      </c>
      <c r="D418" s="21" t="s">
        <v>971</v>
      </c>
      <c r="E418" s="21" t="s">
        <v>135</v>
      </c>
      <c r="F418" s="22">
        <v>400</v>
      </c>
      <c r="G418" s="22">
        <v>0</v>
      </c>
      <c r="H418" s="22" t="s">
        <v>138</v>
      </c>
      <c r="I418" s="22" t="s">
        <v>138</v>
      </c>
      <c r="J418" s="22" t="s">
        <v>138</v>
      </c>
      <c r="K418" s="22">
        <v>400</v>
      </c>
      <c r="L418" s="22">
        <v>0</v>
      </c>
      <c r="M418" s="22" t="s">
        <v>138</v>
      </c>
      <c r="N418" s="23" t="str">
        <f t="shared" si="42"/>
        <v>Sin dato</v>
      </c>
      <c r="O418" s="23" t="str">
        <f t="shared" si="43"/>
        <v>Sin dato</v>
      </c>
      <c r="P418" s="23" t="str">
        <f t="shared" si="44"/>
        <v>Sin dato</v>
      </c>
      <c r="Q418" s="24" t="str">
        <f t="shared" si="45"/>
        <v>N/C</v>
      </c>
      <c r="R418" s="23" t="str">
        <f t="shared" si="46"/>
        <v>N/C</v>
      </c>
      <c r="S418" s="25" t="str">
        <f t="shared" si="47"/>
        <v>No utilizable</v>
      </c>
      <c r="T418" s="26" t="str">
        <f t="shared" si="48"/>
        <v/>
      </c>
      <c r="U418" s="26">
        <f>IF(OR($S418&lt;&gt;"Utilizable",$C418&lt;&gt;SUSTITUCION!$C$13),999999,IF(v_prioridad="Potasio",$H418,IF(v_prioridad="Fósforo",$I418,IF(v_prioridad="Sodio",$J418,IF(ISNUMBER($Q418),$Q418,999999)))))</f>
        <v>999999</v>
      </c>
    </row>
    <row r="419" spans="1:21" ht="15" customHeight="1">
      <c r="A419" s="21" t="s">
        <v>978</v>
      </c>
      <c r="B419" s="21" t="s">
        <v>979</v>
      </c>
      <c r="C419" s="21" t="s">
        <v>970</v>
      </c>
      <c r="D419" s="21" t="s">
        <v>971</v>
      </c>
      <c r="E419" s="21" t="s">
        <v>135</v>
      </c>
      <c r="F419" s="22">
        <v>400</v>
      </c>
      <c r="G419" s="22">
        <v>0</v>
      </c>
      <c r="H419" s="22" t="s">
        <v>138</v>
      </c>
      <c r="I419" s="22" t="s">
        <v>138</v>
      </c>
      <c r="J419" s="22" t="s">
        <v>138</v>
      </c>
      <c r="K419" s="22">
        <v>400</v>
      </c>
      <c r="L419" s="22">
        <v>0</v>
      </c>
      <c r="M419" s="22" t="s">
        <v>138</v>
      </c>
      <c r="N419" s="23" t="str">
        <f t="shared" si="42"/>
        <v>Sin dato</v>
      </c>
      <c r="O419" s="23" t="str">
        <f t="shared" si="43"/>
        <v>Sin dato</v>
      </c>
      <c r="P419" s="23" t="str">
        <f t="shared" si="44"/>
        <v>Sin dato</v>
      </c>
      <c r="Q419" s="24" t="str">
        <f t="shared" si="45"/>
        <v>N/C</v>
      </c>
      <c r="R419" s="23" t="str">
        <f t="shared" si="46"/>
        <v>N/C</v>
      </c>
      <c r="S419" s="25" t="str">
        <f t="shared" si="47"/>
        <v>No utilizable</v>
      </c>
      <c r="T419" s="26" t="str">
        <f t="shared" si="48"/>
        <v/>
      </c>
      <c r="U419" s="26">
        <f>IF(OR($S419&lt;&gt;"Utilizable",$C419&lt;&gt;SUSTITUCION!$C$13),999999,IF(v_prioridad="Potasio",$H419,IF(v_prioridad="Fósforo",$I419,IF(v_prioridad="Sodio",$J419,IF(ISNUMBER($Q419),$Q419,999999)))))</f>
        <v>999999</v>
      </c>
    </row>
    <row r="420" spans="1:21" ht="15" customHeight="1">
      <c r="A420" s="21" t="s">
        <v>980</v>
      </c>
      <c r="B420" s="21" t="s">
        <v>981</v>
      </c>
      <c r="C420" s="21" t="s">
        <v>970</v>
      </c>
      <c r="D420" s="21" t="s">
        <v>971</v>
      </c>
      <c r="E420" s="21" t="s">
        <v>135</v>
      </c>
      <c r="F420" s="22">
        <v>334</v>
      </c>
      <c r="G420" s="22">
        <v>0.6</v>
      </c>
      <c r="H420" s="22">
        <v>52</v>
      </c>
      <c r="I420" s="22">
        <v>5</v>
      </c>
      <c r="J420" s="22">
        <v>7</v>
      </c>
      <c r="K420" s="22">
        <v>334</v>
      </c>
      <c r="L420" s="22">
        <v>0.6</v>
      </c>
      <c r="M420" s="22">
        <v>8</v>
      </c>
      <c r="N420" s="23" t="str">
        <f t="shared" si="42"/>
        <v>Bajo</v>
      </c>
      <c r="O420" s="23" t="str">
        <f t="shared" si="43"/>
        <v>Bajo</v>
      </c>
      <c r="P420" s="23" t="str">
        <f t="shared" si="44"/>
        <v>Bajo</v>
      </c>
      <c r="Q420" s="24" t="str">
        <f t="shared" si="45"/>
        <v>N/C: no es fuente proteica</v>
      </c>
      <c r="R420" s="23" t="str">
        <f t="shared" si="46"/>
        <v>N/C</v>
      </c>
      <c r="S420" s="25" t="str">
        <f t="shared" si="47"/>
        <v>Utilizable</v>
      </c>
      <c r="T420" s="26" t="str">
        <f t="shared" si="48"/>
        <v>de Dulces y miel|00.000.052</v>
      </c>
      <c r="U420" s="26">
        <f>IF(OR($S420&lt;&gt;"Utilizable",$C420&lt;&gt;SUSTITUCION!$C$13),999999,IF(v_prioridad="Potasio",$H420,IF(v_prioridad="Fósforo",$I420,IF(v_prioridad="Sodio",$J420,IF(ISNUMBER($Q420),$Q420,999999)))))</f>
        <v>999999</v>
      </c>
    </row>
    <row r="421" spans="1:21" ht="15" customHeight="1">
      <c r="A421" s="21" t="s">
        <v>982</v>
      </c>
      <c r="B421" s="21" t="s">
        <v>983</v>
      </c>
      <c r="C421" s="21" t="s">
        <v>970</v>
      </c>
      <c r="D421" s="21" t="s">
        <v>971</v>
      </c>
      <c r="E421" s="21" t="s">
        <v>135</v>
      </c>
      <c r="F421" s="22">
        <v>318</v>
      </c>
      <c r="G421" s="22">
        <v>0.3</v>
      </c>
      <c r="H421" s="22">
        <v>50.7</v>
      </c>
      <c r="I421" s="22">
        <v>19</v>
      </c>
      <c r="J421" s="22">
        <v>8</v>
      </c>
      <c r="K421" s="22">
        <v>318</v>
      </c>
      <c r="L421" s="22">
        <v>0.3</v>
      </c>
      <c r="M421" s="22">
        <v>9</v>
      </c>
      <c r="N421" s="23" t="str">
        <f t="shared" si="42"/>
        <v>Bajo</v>
      </c>
      <c r="O421" s="23" t="str">
        <f t="shared" si="43"/>
        <v>Bajo</v>
      </c>
      <c r="P421" s="23" t="str">
        <f t="shared" si="44"/>
        <v>Bajo</v>
      </c>
      <c r="Q421" s="24" t="str">
        <f t="shared" si="45"/>
        <v>N/C: no es fuente proteica</v>
      </c>
      <c r="R421" s="23" t="str">
        <f t="shared" si="46"/>
        <v>N/C</v>
      </c>
      <c r="S421" s="25" t="str">
        <f t="shared" si="47"/>
        <v>Utilizable</v>
      </c>
      <c r="T421" s="26" t="str">
        <f t="shared" si="48"/>
        <v>de Dulces y miel|00.000.051</v>
      </c>
      <c r="U421" s="26">
        <f>IF(OR($S421&lt;&gt;"Utilizable",$C421&lt;&gt;SUSTITUCION!$C$13),999999,IF(v_prioridad="Potasio",$H421,IF(v_prioridad="Fósforo",$I421,IF(v_prioridad="Sodio",$J421,IF(ISNUMBER($Q421),$Q421,999999)))))</f>
        <v>999999</v>
      </c>
    </row>
    <row r="422" spans="1:21" ht="15" customHeight="1">
      <c r="A422" s="21" t="s">
        <v>984</v>
      </c>
      <c r="B422" s="21" t="s">
        <v>985</v>
      </c>
      <c r="C422" s="21" t="s">
        <v>970</v>
      </c>
      <c r="D422" s="21" t="s">
        <v>971</v>
      </c>
      <c r="E422" s="21" t="s">
        <v>135</v>
      </c>
      <c r="F422" s="22">
        <v>254</v>
      </c>
      <c r="G422" s="22">
        <v>0</v>
      </c>
      <c r="H422" s="22">
        <v>0</v>
      </c>
      <c r="I422" s="22" t="s">
        <v>138</v>
      </c>
      <c r="J422" s="22">
        <v>0</v>
      </c>
      <c r="K422" s="22">
        <v>254</v>
      </c>
      <c r="L422" s="22">
        <v>0</v>
      </c>
      <c r="M422" s="22">
        <v>0</v>
      </c>
      <c r="N422" s="23" t="str">
        <f t="shared" si="42"/>
        <v>Bajo</v>
      </c>
      <c r="O422" s="23" t="str">
        <f t="shared" si="43"/>
        <v>Sin dato</v>
      </c>
      <c r="P422" s="23" t="str">
        <f t="shared" si="44"/>
        <v>Bajo</v>
      </c>
      <c r="Q422" s="24" t="str">
        <f t="shared" si="45"/>
        <v>N/C</v>
      </c>
      <c r="R422" s="23" t="str">
        <f t="shared" si="46"/>
        <v>N/C</v>
      </c>
      <c r="S422" s="25" t="str">
        <f t="shared" si="47"/>
        <v>No utilizable</v>
      </c>
      <c r="T422" s="26" t="str">
        <f t="shared" si="48"/>
        <v/>
      </c>
      <c r="U422" s="26">
        <f>IF(OR($S422&lt;&gt;"Utilizable",$C422&lt;&gt;SUSTITUCION!$C$13),999999,IF(v_prioridad="Potasio",$H422,IF(v_prioridad="Fósforo",$I422,IF(v_prioridad="Sodio",$J422,IF(ISNUMBER($Q422),$Q422,999999)))))</f>
        <v>999999</v>
      </c>
    </row>
    <row r="423" spans="1:21" ht="15" customHeight="1">
      <c r="A423" s="21" t="s">
        <v>986</v>
      </c>
      <c r="B423" s="21" t="s">
        <v>987</v>
      </c>
      <c r="C423" s="21" t="s">
        <v>988</v>
      </c>
      <c r="D423" s="21" t="s">
        <v>989</v>
      </c>
      <c r="E423" s="21" t="s">
        <v>135</v>
      </c>
      <c r="F423" s="22">
        <v>410</v>
      </c>
      <c r="G423" s="22">
        <v>2.2999999999999998</v>
      </c>
      <c r="H423" s="22" t="s">
        <v>138</v>
      </c>
      <c r="I423" s="22" t="s">
        <v>138</v>
      </c>
      <c r="J423" s="22">
        <v>152</v>
      </c>
      <c r="K423" s="22">
        <v>410</v>
      </c>
      <c r="L423" s="22">
        <v>2.2999999999999998</v>
      </c>
      <c r="M423" s="22" t="s">
        <v>138</v>
      </c>
      <c r="N423" s="23" t="str">
        <f t="shared" si="42"/>
        <v>Sin dato</v>
      </c>
      <c r="O423" s="23" t="str">
        <f t="shared" si="43"/>
        <v>Sin dato</v>
      </c>
      <c r="P423" s="23" t="str">
        <f t="shared" si="44"/>
        <v>Alto</v>
      </c>
      <c r="Q423" s="24" t="str">
        <f t="shared" si="45"/>
        <v>N/C</v>
      </c>
      <c r="R423" s="23" t="str">
        <f t="shared" si="46"/>
        <v>N/C</v>
      </c>
      <c r="S423" s="25" t="str">
        <f t="shared" si="47"/>
        <v>No utilizable</v>
      </c>
      <c r="T423" s="26" t="str">
        <f t="shared" si="48"/>
        <v/>
      </c>
      <c r="U423" s="26">
        <f>IF(OR($S423&lt;&gt;"Utilizable",$C423&lt;&gt;SUSTITUCION!$C$13),999999,IF(v_prioridad="Potasio",$H423,IF(v_prioridad="Fósforo",$I423,IF(v_prioridad="Sodio",$J423,IF(ISNUMBER($Q423),$Q423,999999)))))</f>
        <v>999999</v>
      </c>
    </row>
    <row r="424" spans="1:21" ht="15" customHeight="1">
      <c r="A424" s="21" t="s">
        <v>990</v>
      </c>
      <c r="B424" s="21" t="s">
        <v>991</v>
      </c>
      <c r="C424" s="21" t="s">
        <v>988</v>
      </c>
      <c r="D424" s="21" t="s">
        <v>989</v>
      </c>
      <c r="E424" s="21" t="s">
        <v>135</v>
      </c>
      <c r="F424" s="22">
        <v>405</v>
      </c>
      <c r="G424" s="22">
        <v>11.6</v>
      </c>
      <c r="H424" s="22">
        <v>365</v>
      </c>
      <c r="I424" s="22">
        <v>261</v>
      </c>
      <c r="J424" s="22">
        <v>365</v>
      </c>
      <c r="K424" s="22">
        <v>405</v>
      </c>
      <c r="L424" s="22">
        <v>11.6</v>
      </c>
      <c r="M424" s="22">
        <v>68</v>
      </c>
      <c r="N424" s="23" t="str">
        <f t="shared" si="42"/>
        <v>Muy alto</v>
      </c>
      <c r="O424" s="23" t="str">
        <f t="shared" si="43"/>
        <v>Muy alto</v>
      </c>
      <c r="P424" s="23" t="str">
        <f t="shared" si="44"/>
        <v>Alto</v>
      </c>
      <c r="Q424" s="24">
        <f t="shared" si="45"/>
        <v>22.5</v>
      </c>
      <c r="R424" s="23" t="str">
        <f t="shared" si="46"/>
        <v>Alta</v>
      </c>
      <c r="S424" s="25" t="str">
        <f t="shared" si="47"/>
        <v>Utilizable</v>
      </c>
      <c r="T424" s="26" t="str">
        <f t="shared" si="48"/>
        <v>dulces|00.000.365</v>
      </c>
      <c r="U424" s="26">
        <f>IF(OR($S424&lt;&gt;"Utilizable",$C424&lt;&gt;SUSTITUCION!$C$13),999999,IF(v_prioridad="Potasio",$H424,IF(v_prioridad="Fósforo",$I424,IF(v_prioridad="Sodio",$J424,IF(ISNUMBER($Q424),$Q424,999999)))))</f>
        <v>999999</v>
      </c>
    </row>
    <row r="425" spans="1:21" ht="15" customHeight="1">
      <c r="A425" s="21" t="s">
        <v>992</v>
      </c>
      <c r="B425" s="21" t="s">
        <v>993</v>
      </c>
      <c r="C425" s="21" t="s">
        <v>988</v>
      </c>
      <c r="D425" s="21" t="s">
        <v>989</v>
      </c>
      <c r="E425" s="21" t="s">
        <v>135</v>
      </c>
      <c r="F425" s="22">
        <v>385</v>
      </c>
      <c r="G425" s="22">
        <v>3</v>
      </c>
      <c r="H425" s="22">
        <v>104</v>
      </c>
      <c r="I425" s="22" t="s">
        <v>138</v>
      </c>
      <c r="J425" s="22" t="s">
        <v>138</v>
      </c>
      <c r="K425" s="22">
        <v>385</v>
      </c>
      <c r="L425" s="22">
        <v>3</v>
      </c>
      <c r="M425" s="22">
        <v>36</v>
      </c>
      <c r="N425" s="23" t="str">
        <f t="shared" si="42"/>
        <v>Medio</v>
      </c>
      <c r="O425" s="23" t="str">
        <f t="shared" si="43"/>
        <v>Sin dato</v>
      </c>
      <c r="P425" s="23" t="str">
        <f t="shared" si="44"/>
        <v>Sin dato</v>
      </c>
      <c r="Q425" s="24" t="str">
        <f t="shared" si="45"/>
        <v>N/C</v>
      </c>
      <c r="R425" s="23" t="str">
        <f t="shared" si="46"/>
        <v>N/C</v>
      </c>
      <c r="S425" s="25" t="str">
        <f t="shared" si="47"/>
        <v>No utilizable</v>
      </c>
      <c r="T425" s="26" t="str">
        <f t="shared" si="48"/>
        <v/>
      </c>
      <c r="U425" s="26">
        <f>IF(OR($S425&lt;&gt;"Utilizable",$C425&lt;&gt;SUSTITUCION!$C$13),999999,IF(v_prioridad="Potasio",$H425,IF(v_prioridad="Fósforo",$I425,IF(v_prioridad="Sodio",$J425,IF(ISNUMBER($Q425),$Q425,999999)))))</f>
        <v>999999</v>
      </c>
    </row>
    <row r="426" spans="1:21" ht="15" customHeight="1">
      <c r="A426" s="21" t="s">
        <v>994</v>
      </c>
      <c r="B426" s="21" t="s">
        <v>995</v>
      </c>
      <c r="C426" s="21" t="s">
        <v>988</v>
      </c>
      <c r="D426" s="21" t="s">
        <v>989</v>
      </c>
      <c r="E426" s="21" t="s">
        <v>135</v>
      </c>
      <c r="F426" s="22">
        <v>307</v>
      </c>
      <c r="G426" s="22">
        <v>6.2</v>
      </c>
      <c r="H426" s="22" t="s">
        <v>138</v>
      </c>
      <c r="I426" s="22" t="s">
        <v>138</v>
      </c>
      <c r="J426" s="22">
        <v>38</v>
      </c>
      <c r="K426" s="22">
        <v>307</v>
      </c>
      <c r="L426" s="22">
        <v>6.2</v>
      </c>
      <c r="M426" s="22" t="s">
        <v>138</v>
      </c>
      <c r="N426" s="23" t="str">
        <f t="shared" si="42"/>
        <v>Sin dato</v>
      </c>
      <c r="O426" s="23" t="str">
        <f t="shared" si="43"/>
        <v>Sin dato</v>
      </c>
      <c r="P426" s="23" t="str">
        <f t="shared" si="44"/>
        <v>Bajo</v>
      </c>
      <c r="Q426" s="24" t="str">
        <f t="shared" si="45"/>
        <v>N/C</v>
      </c>
      <c r="R426" s="23" t="str">
        <f t="shared" si="46"/>
        <v>N/C</v>
      </c>
      <c r="S426" s="25" t="str">
        <f t="shared" si="47"/>
        <v>No utilizable</v>
      </c>
      <c r="T426" s="26" t="str">
        <f t="shared" si="48"/>
        <v/>
      </c>
      <c r="U426" s="26">
        <f>IF(OR($S426&lt;&gt;"Utilizable",$C426&lt;&gt;SUSTITUCION!$C$13),999999,IF(v_prioridad="Potasio",$H426,IF(v_prioridad="Fósforo",$I426,IF(v_prioridad="Sodio",$J426,IF(ISNUMBER($Q426),$Q426,999999)))))</f>
        <v>999999</v>
      </c>
    </row>
    <row r="427" spans="1:21" ht="15" customHeight="1">
      <c r="A427" s="21" t="s">
        <v>996</v>
      </c>
      <c r="B427" s="21" t="s">
        <v>997</v>
      </c>
      <c r="C427" s="21" t="s">
        <v>988</v>
      </c>
      <c r="D427" s="21" t="s">
        <v>989</v>
      </c>
      <c r="E427" s="21" t="s">
        <v>135</v>
      </c>
      <c r="F427" s="22">
        <v>381</v>
      </c>
      <c r="G427" s="22">
        <v>4.2</v>
      </c>
      <c r="H427" s="22" t="s">
        <v>138</v>
      </c>
      <c r="I427" s="22">
        <v>193</v>
      </c>
      <c r="J427" s="22">
        <v>203</v>
      </c>
      <c r="K427" s="22">
        <v>381</v>
      </c>
      <c r="L427" s="22">
        <v>4.2</v>
      </c>
      <c r="M427" s="22">
        <v>67</v>
      </c>
      <c r="N427" s="23" t="str">
        <f t="shared" si="42"/>
        <v>Sin dato</v>
      </c>
      <c r="O427" s="23" t="str">
        <f t="shared" si="43"/>
        <v>Muy alto</v>
      </c>
      <c r="P427" s="23" t="str">
        <f t="shared" si="44"/>
        <v>Alto</v>
      </c>
      <c r="Q427" s="24" t="str">
        <f t="shared" si="45"/>
        <v>N/C: no es fuente proteica</v>
      </c>
      <c r="R427" s="23" t="str">
        <f t="shared" si="46"/>
        <v>N/C</v>
      </c>
      <c r="S427" s="25" t="str">
        <f t="shared" si="47"/>
        <v>No utilizable</v>
      </c>
      <c r="T427" s="26" t="str">
        <f t="shared" si="48"/>
        <v/>
      </c>
      <c r="U427" s="26">
        <f>IF(OR($S427&lt;&gt;"Utilizable",$C427&lt;&gt;SUSTITUCION!$C$13),999999,IF(v_prioridad="Potasio",$H427,IF(v_prioridad="Fósforo",$I427,IF(v_prioridad="Sodio",$J427,IF(ISNUMBER($Q427),$Q427,999999)))))</f>
        <v>999999</v>
      </c>
    </row>
    <row r="428" spans="1:21" ht="15" customHeight="1">
      <c r="A428" s="21" t="s">
        <v>998</v>
      </c>
      <c r="B428" s="21" t="s">
        <v>999</v>
      </c>
      <c r="C428" s="21" t="s">
        <v>988</v>
      </c>
      <c r="D428" s="21" t="s">
        <v>989</v>
      </c>
      <c r="E428" s="21" t="s">
        <v>135</v>
      </c>
      <c r="F428" s="22">
        <v>228</v>
      </c>
      <c r="G428" s="22">
        <v>19.600000000000001</v>
      </c>
      <c r="H428" s="22">
        <v>1524</v>
      </c>
      <c r="I428" s="22">
        <v>734</v>
      </c>
      <c r="J428" s="22">
        <v>21</v>
      </c>
      <c r="K428" s="22">
        <v>228</v>
      </c>
      <c r="L428" s="22">
        <v>19.600000000000001</v>
      </c>
      <c r="M428" s="22">
        <v>128</v>
      </c>
      <c r="N428" s="23" t="str">
        <f t="shared" si="42"/>
        <v>Muy alto</v>
      </c>
      <c r="O428" s="23" t="str">
        <f t="shared" si="43"/>
        <v>Muy alto</v>
      </c>
      <c r="P428" s="23" t="str">
        <f t="shared" si="44"/>
        <v>Bajo</v>
      </c>
      <c r="Q428" s="24">
        <f t="shared" si="45"/>
        <v>37.448979591836732</v>
      </c>
      <c r="R428" s="23" t="str">
        <f t="shared" si="46"/>
        <v>Alta</v>
      </c>
      <c r="S428" s="25" t="str">
        <f t="shared" si="47"/>
        <v>Utilizable</v>
      </c>
      <c r="T428" s="26" t="str">
        <f t="shared" si="48"/>
        <v>dulces|00.001.524</v>
      </c>
      <c r="U428" s="26">
        <f>IF(OR($S428&lt;&gt;"Utilizable",$C428&lt;&gt;SUSTITUCION!$C$13),999999,IF(v_prioridad="Potasio",$H428,IF(v_prioridad="Fósforo",$I428,IF(v_prioridad="Sodio",$J428,IF(ISNUMBER($Q428),$Q428,999999)))))</f>
        <v>999999</v>
      </c>
    </row>
    <row r="429" spans="1:21" ht="15" customHeight="1">
      <c r="A429" s="21" t="s">
        <v>1000</v>
      </c>
      <c r="B429" s="21" t="s">
        <v>1001</v>
      </c>
      <c r="C429" s="21" t="s">
        <v>988</v>
      </c>
      <c r="D429" s="21" t="s">
        <v>989</v>
      </c>
      <c r="E429" s="21" t="s">
        <v>135</v>
      </c>
      <c r="F429" s="22">
        <v>367</v>
      </c>
      <c r="G429" s="22">
        <v>0.8</v>
      </c>
      <c r="H429" s="22" t="s">
        <v>138</v>
      </c>
      <c r="I429" s="22" t="s">
        <v>138</v>
      </c>
      <c r="J429" s="22">
        <v>108</v>
      </c>
      <c r="K429" s="22">
        <v>367</v>
      </c>
      <c r="L429" s="22">
        <v>0.8</v>
      </c>
      <c r="M429" s="22" t="s">
        <v>138</v>
      </c>
      <c r="N429" s="23" t="str">
        <f t="shared" si="42"/>
        <v>Sin dato</v>
      </c>
      <c r="O429" s="23" t="str">
        <f t="shared" si="43"/>
        <v>Sin dato</v>
      </c>
      <c r="P429" s="23" t="str">
        <f t="shared" si="44"/>
        <v>Medio</v>
      </c>
      <c r="Q429" s="24" t="str">
        <f t="shared" si="45"/>
        <v>N/C</v>
      </c>
      <c r="R429" s="23" t="str">
        <f t="shared" si="46"/>
        <v>N/C</v>
      </c>
      <c r="S429" s="25" t="str">
        <f t="shared" si="47"/>
        <v>No utilizable</v>
      </c>
      <c r="T429" s="26" t="str">
        <f t="shared" si="48"/>
        <v/>
      </c>
      <c r="U429" s="26">
        <f>IF(OR($S429&lt;&gt;"Utilizable",$C429&lt;&gt;SUSTITUCION!$C$13),999999,IF(v_prioridad="Potasio",$H429,IF(v_prioridad="Fósforo",$I429,IF(v_prioridad="Sodio",$J429,IF(ISNUMBER($Q429),$Q429,999999)))))</f>
        <v>999999</v>
      </c>
    </row>
    <row r="430" spans="1:21" ht="15" customHeight="1">
      <c r="A430" s="21" t="s">
        <v>1002</v>
      </c>
      <c r="B430" s="21" t="s">
        <v>1003</v>
      </c>
      <c r="C430" s="21" t="s">
        <v>988</v>
      </c>
      <c r="D430" s="21" t="s">
        <v>989</v>
      </c>
      <c r="E430" s="21" t="s">
        <v>135</v>
      </c>
      <c r="F430" s="22">
        <v>559</v>
      </c>
      <c r="G430" s="22">
        <v>11.3</v>
      </c>
      <c r="H430" s="22" t="s">
        <v>138</v>
      </c>
      <c r="I430" s="22" t="s">
        <v>138</v>
      </c>
      <c r="J430" s="22">
        <v>84</v>
      </c>
      <c r="K430" s="22">
        <v>559</v>
      </c>
      <c r="L430" s="22">
        <v>11.3</v>
      </c>
      <c r="M430" s="22" t="s">
        <v>138</v>
      </c>
      <c r="N430" s="23" t="str">
        <f t="shared" si="42"/>
        <v>Sin dato</v>
      </c>
      <c r="O430" s="23" t="str">
        <f t="shared" si="43"/>
        <v>Sin dato</v>
      </c>
      <c r="P430" s="23" t="str">
        <f t="shared" si="44"/>
        <v>Medio</v>
      </c>
      <c r="Q430" s="24" t="str">
        <f t="shared" si="45"/>
        <v>N/C</v>
      </c>
      <c r="R430" s="23" t="str">
        <f t="shared" si="46"/>
        <v>N/C</v>
      </c>
      <c r="S430" s="25" t="str">
        <f t="shared" si="47"/>
        <v>No utilizable</v>
      </c>
      <c r="T430" s="26" t="str">
        <f t="shared" si="48"/>
        <v/>
      </c>
      <c r="U430" s="26">
        <f>IF(OR($S430&lt;&gt;"Utilizable",$C430&lt;&gt;SUSTITUCION!$C$13),999999,IF(v_prioridad="Potasio",$H430,IF(v_prioridad="Fósforo",$I430,IF(v_prioridad="Sodio",$J430,IF(ISNUMBER($Q430),$Q430,999999)))))</f>
        <v>999999</v>
      </c>
    </row>
    <row r="431" spans="1:21" ht="15" customHeight="1">
      <c r="A431" s="21" t="s">
        <v>1004</v>
      </c>
      <c r="B431" s="21" t="s">
        <v>1005</v>
      </c>
      <c r="C431" s="21" t="s">
        <v>988</v>
      </c>
      <c r="D431" s="21" t="s">
        <v>989</v>
      </c>
      <c r="E431" s="21" t="s">
        <v>135</v>
      </c>
      <c r="F431" s="22">
        <v>579</v>
      </c>
      <c r="G431" s="22">
        <v>6.1</v>
      </c>
      <c r="H431" s="22">
        <v>567</v>
      </c>
      <c r="I431" s="22">
        <v>260</v>
      </c>
      <c r="J431" s="22">
        <v>10</v>
      </c>
      <c r="K431" s="22">
        <v>579</v>
      </c>
      <c r="L431" s="22">
        <v>6.1</v>
      </c>
      <c r="M431" s="22">
        <v>62</v>
      </c>
      <c r="N431" s="23" t="str">
        <f t="shared" si="42"/>
        <v>Muy alto</v>
      </c>
      <c r="O431" s="23" t="str">
        <f t="shared" si="43"/>
        <v>Muy alto</v>
      </c>
      <c r="P431" s="23" t="str">
        <f t="shared" si="44"/>
        <v>Bajo</v>
      </c>
      <c r="Q431" s="24" t="str">
        <f t="shared" si="45"/>
        <v>N/C: no es fuente proteica</v>
      </c>
      <c r="R431" s="23" t="str">
        <f t="shared" si="46"/>
        <v>N/C</v>
      </c>
      <c r="S431" s="25" t="str">
        <f t="shared" si="47"/>
        <v>Utilizable</v>
      </c>
      <c r="T431" s="26" t="str">
        <f t="shared" si="48"/>
        <v>dulces|00.000.567</v>
      </c>
      <c r="U431" s="26">
        <f>IF(OR($S431&lt;&gt;"Utilizable",$C431&lt;&gt;SUSTITUCION!$C$13),999999,IF(v_prioridad="Potasio",$H431,IF(v_prioridad="Fósforo",$I431,IF(v_prioridad="Sodio",$J431,IF(ISNUMBER($Q431),$Q431,999999)))))</f>
        <v>999999</v>
      </c>
    </row>
    <row r="432" spans="1:21" ht="15" customHeight="1">
      <c r="A432" s="21" t="s">
        <v>1006</v>
      </c>
      <c r="B432" s="21" t="s">
        <v>1007</v>
      </c>
      <c r="C432" s="21" t="s">
        <v>988</v>
      </c>
      <c r="D432" s="21" t="s">
        <v>989</v>
      </c>
      <c r="E432" s="21" t="s">
        <v>135</v>
      </c>
      <c r="F432" s="22">
        <v>598</v>
      </c>
      <c r="G432" s="22">
        <v>7.8</v>
      </c>
      <c r="H432" s="22">
        <v>715</v>
      </c>
      <c r="I432" s="22">
        <v>308</v>
      </c>
      <c r="J432" s="22">
        <v>20</v>
      </c>
      <c r="K432" s="22">
        <v>598</v>
      </c>
      <c r="L432" s="22">
        <v>7.8</v>
      </c>
      <c r="M432" s="22">
        <v>73</v>
      </c>
      <c r="N432" s="23" t="str">
        <f t="shared" si="42"/>
        <v>Muy alto</v>
      </c>
      <c r="O432" s="23" t="str">
        <f t="shared" si="43"/>
        <v>Muy alto</v>
      </c>
      <c r="P432" s="23" t="str">
        <f t="shared" si="44"/>
        <v>Bajo</v>
      </c>
      <c r="Q432" s="24" t="str">
        <f t="shared" si="45"/>
        <v>N/C: no es fuente proteica</v>
      </c>
      <c r="R432" s="23" t="str">
        <f t="shared" si="46"/>
        <v>N/C</v>
      </c>
      <c r="S432" s="25" t="str">
        <f t="shared" si="47"/>
        <v>Utilizable</v>
      </c>
      <c r="T432" s="26" t="str">
        <f t="shared" si="48"/>
        <v>dulces|00.000.715</v>
      </c>
      <c r="U432" s="26">
        <f>IF(OR($S432&lt;&gt;"Utilizable",$C432&lt;&gt;SUSTITUCION!$C$13),999999,IF(v_prioridad="Potasio",$H432,IF(v_prioridad="Fósforo",$I432,IF(v_prioridad="Sodio",$J432,IF(ISNUMBER($Q432),$Q432,999999)))))</f>
        <v>999999</v>
      </c>
    </row>
    <row r="433" spans="1:21" ht="15" customHeight="1">
      <c r="A433" s="21" t="s">
        <v>1008</v>
      </c>
      <c r="B433" s="21" t="s">
        <v>1009</v>
      </c>
      <c r="C433" s="21" t="s">
        <v>988</v>
      </c>
      <c r="D433" s="21" t="s">
        <v>989</v>
      </c>
      <c r="E433" s="21" t="s">
        <v>135</v>
      </c>
      <c r="F433" s="22">
        <v>548</v>
      </c>
      <c r="G433" s="22">
        <v>8.3000000000000007</v>
      </c>
      <c r="H433" s="22" t="s">
        <v>138</v>
      </c>
      <c r="I433" s="22" t="s">
        <v>138</v>
      </c>
      <c r="J433" s="22">
        <v>108</v>
      </c>
      <c r="K433" s="22">
        <v>548</v>
      </c>
      <c r="L433" s="22">
        <v>8.3000000000000007</v>
      </c>
      <c r="M433" s="22" t="s">
        <v>138</v>
      </c>
      <c r="N433" s="23" t="str">
        <f t="shared" si="42"/>
        <v>Sin dato</v>
      </c>
      <c r="O433" s="23" t="str">
        <f t="shared" si="43"/>
        <v>Sin dato</v>
      </c>
      <c r="P433" s="23" t="str">
        <f t="shared" si="44"/>
        <v>Medio</v>
      </c>
      <c r="Q433" s="24" t="str">
        <f t="shared" si="45"/>
        <v>N/C</v>
      </c>
      <c r="R433" s="23" t="str">
        <f t="shared" si="46"/>
        <v>N/C</v>
      </c>
      <c r="S433" s="25" t="str">
        <f t="shared" si="47"/>
        <v>No utilizable</v>
      </c>
      <c r="T433" s="26" t="str">
        <f t="shared" si="48"/>
        <v/>
      </c>
      <c r="U433" s="26">
        <f>IF(OR($S433&lt;&gt;"Utilizable",$C433&lt;&gt;SUSTITUCION!$C$13),999999,IF(v_prioridad="Potasio",$H433,IF(v_prioridad="Fósforo",$I433,IF(v_prioridad="Sodio",$J433,IF(ISNUMBER($Q433),$Q433,999999)))))</f>
        <v>999999</v>
      </c>
    </row>
    <row r="434" spans="1:21" ht="15" customHeight="1">
      <c r="A434" s="21" t="s">
        <v>1010</v>
      </c>
      <c r="B434" s="21" t="s">
        <v>1011</v>
      </c>
      <c r="C434" s="21" t="s">
        <v>988</v>
      </c>
      <c r="D434" s="21" t="s">
        <v>989</v>
      </c>
      <c r="E434" s="21" t="s">
        <v>135</v>
      </c>
      <c r="F434" s="22">
        <v>393</v>
      </c>
      <c r="G434" s="22">
        <v>8</v>
      </c>
      <c r="H434" s="22" t="s">
        <v>138</v>
      </c>
      <c r="I434" s="22" t="s">
        <v>138</v>
      </c>
      <c r="J434" s="22" t="s">
        <v>138</v>
      </c>
      <c r="K434" s="22">
        <v>393</v>
      </c>
      <c r="L434" s="22">
        <v>8</v>
      </c>
      <c r="M434" s="22" t="s">
        <v>138</v>
      </c>
      <c r="N434" s="23" t="str">
        <f t="shared" si="42"/>
        <v>Sin dato</v>
      </c>
      <c r="O434" s="23" t="str">
        <f t="shared" si="43"/>
        <v>Sin dato</v>
      </c>
      <c r="P434" s="23" t="str">
        <f t="shared" si="44"/>
        <v>Sin dato</v>
      </c>
      <c r="Q434" s="24" t="str">
        <f t="shared" si="45"/>
        <v>N/C</v>
      </c>
      <c r="R434" s="23" t="str">
        <f t="shared" si="46"/>
        <v>N/C</v>
      </c>
      <c r="S434" s="25" t="str">
        <f t="shared" si="47"/>
        <v>No utilizable</v>
      </c>
      <c r="T434" s="26" t="str">
        <f t="shared" si="48"/>
        <v/>
      </c>
      <c r="U434" s="26">
        <f>IF(OR($S434&lt;&gt;"Utilizable",$C434&lt;&gt;SUSTITUCION!$C$13),999999,IF(v_prioridad="Potasio",$H434,IF(v_prioridad="Fósforo",$I434,IF(v_prioridad="Sodio",$J434,IF(ISNUMBER($Q434),$Q434,999999)))))</f>
        <v>999999</v>
      </c>
    </row>
    <row r="435" spans="1:21" ht="15" customHeight="1">
      <c r="A435" s="21" t="s">
        <v>1012</v>
      </c>
      <c r="B435" s="21" t="s">
        <v>1013</v>
      </c>
      <c r="C435" s="21" t="s">
        <v>988</v>
      </c>
      <c r="D435" s="21" t="s">
        <v>989</v>
      </c>
      <c r="E435" s="21" t="s">
        <v>135</v>
      </c>
      <c r="F435" s="22">
        <v>322</v>
      </c>
      <c r="G435" s="22" t="s">
        <v>138</v>
      </c>
      <c r="H435" s="22" t="s">
        <v>138</v>
      </c>
      <c r="I435" s="22" t="s">
        <v>138</v>
      </c>
      <c r="J435" s="22" t="s">
        <v>138</v>
      </c>
      <c r="K435" s="22">
        <v>322</v>
      </c>
      <c r="L435" s="22" t="s">
        <v>138</v>
      </c>
      <c r="M435" s="22" t="s">
        <v>138</v>
      </c>
      <c r="N435" s="23" t="str">
        <f t="shared" si="42"/>
        <v>Sin dato</v>
      </c>
      <c r="O435" s="23" t="str">
        <f t="shared" si="43"/>
        <v>Sin dato</v>
      </c>
      <c r="P435" s="23" t="str">
        <f t="shared" si="44"/>
        <v>Sin dato</v>
      </c>
      <c r="Q435" s="24" t="str">
        <f t="shared" si="45"/>
        <v>N/C</v>
      </c>
      <c r="R435" s="23" t="str">
        <f t="shared" si="46"/>
        <v>N/C</v>
      </c>
      <c r="S435" s="25" t="str">
        <f t="shared" si="47"/>
        <v>No utilizable</v>
      </c>
      <c r="T435" s="26" t="str">
        <f t="shared" si="48"/>
        <v/>
      </c>
      <c r="U435" s="26">
        <f>IF(OR($S435&lt;&gt;"Utilizable",$C435&lt;&gt;SUSTITUCION!$C$13),999999,IF(v_prioridad="Potasio",$H435,IF(v_prioridad="Fósforo",$I435,IF(v_prioridad="Sodio",$J435,IF(ISNUMBER($Q435),$Q435,999999)))))</f>
        <v>999999</v>
      </c>
    </row>
    <row r="436" spans="1:21" ht="15" customHeight="1">
      <c r="A436" s="21" t="s">
        <v>1014</v>
      </c>
      <c r="B436" s="21" t="s">
        <v>1015</v>
      </c>
      <c r="C436" s="21" t="s">
        <v>988</v>
      </c>
      <c r="D436" s="21" t="s">
        <v>989</v>
      </c>
      <c r="E436" s="21" t="s">
        <v>135</v>
      </c>
      <c r="F436" s="22">
        <v>381</v>
      </c>
      <c r="G436" s="22">
        <v>7.8</v>
      </c>
      <c r="H436" s="22">
        <v>15</v>
      </c>
      <c r="I436" s="22">
        <v>5</v>
      </c>
      <c r="J436" s="22">
        <v>98</v>
      </c>
      <c r="K436" s="22">
        <v>381</v>
      </c>
      <c r="L436" s="22">
        <v>7.8</v>
      </c>
      <c r="M436" s="22">
        <v>3</v>
      </c>
      <c r="N436" s="23" t="str">
        <f t="shared" si="42"/>
        <v>Bajo</v>
      </c>
      <c r="O436" s="23" t="str">
        <f t="shared" si="43"/>
        <v>Bajo</v>
      </c>
      <c r="P436" s="23" t="str">
        <f t="shared" si="44"/>
        <v>Medio</v>
      </c>
      <c r="Q436" s="24" t="str">
        <f t="shared" si="45"/>
        <v>N/C: no es fuente proteica</v>
      </c>
      <c r="R436" s="23" t="str">
        <f t="shared" si="46"/>
        <v>N/C</v>
      </c>
      <c r="S436" s="25" t="str">
        <f t="shared" si="47"/>
        <v>Utilizable</v>
      </c>
      <c r="T436" s="26" t="str">
        <f t="shared" si="48"/>
        <v>dulces|00.000.015</v>
      </c>
      <c r="U436" s="26">
        <f>IF(OR($S436&lt;&gt;"Utilizable",$C436&lt;&gt;SUSTITUCION!$C$13),999999,IF(v_prioridad="Potasio",$H436,IF(v_prioridad="Fósforo",$I436,IF(v_prioridad="Sodio",$J436,IF(ISNUMBER($Q436),$Q436,999999)))))</f>
        <v>999999</v>
      </c>
    </row>
    <row r="437" spans="1:21" ht="15" customHeight="1">
      <c r="A437" s="21" t="s">
        <v>1016</v>
      </c>
      <c r="B437" s="21" t="s">
        <v>1017</v>
      </c>
      <c r="C437" s="21" t="s">
        <v>988</v>
      </c>
      <c r="D437" s="21" t="s">
        <v>989</v>
      </c>
      <c r="E437" s="21" t="s">
        <v>135</v>
      </c>
      <c r="F437" s="22">
        <v>62</v>
      </c>
      <c r="G437" s="22">
        <v>1.2</v>
      </c>
      <c r="H437" s="22">
        <v>7</v>
      </c>
      <c r="I437" s="22">
        <v>14</v>
      </c>
      <c r="J437" s="22">
        <v>466</v>
      </c>
      <c r="K437" s="22">
        <v>62</v>
      </c>
      <c r="L437" s="22">
        <v>1.2</v>
      </c>
      <c r="M437" s="22">
        <v>2</v>
      </c>
      <c r="N437" s="23" t="str">
        <f t="shared" si="42"/>
        <v>Bajo</v>
      </c>
      <c r="O437" s="23" t="str">
        <f t="shared" si="43"/>
        <v>Bajo</v>
      </c>
      <c r="P437" s="23" t="str">
        <f t="shared" si="44"/>
        <v>Muy alto</v>
      </c>
      <c r="Q437" s="24" t="str">
        <f t="shared" si="45"/>
        <v>N/C: no es fuente proteica</v>
      </c>
      <c r="R437" s="23" t="str">
        <f t="shared" si="46"/>
        <v>N/C</v>
      </c>
      <c r="S437" s="25" t="str">
        <f t="shared" si="47"/>
        <v>Utilizable</v>
      </c>
      <c r="T437" s="26" t="str">
        <f t="shared" si="48"/>
        <v>dulces|00.000.007</v>
      </c>
      <c r="U437" s="26">
        <f>IF(OR($S437&lt;&gt;"Utilizable",$C437&lt;&gt;SUSTITUCION!$C$13),999999,IF(v_prioridad="Potasio",$H437,IF(v_prioridad="Fósforo",$I437,IF(v_prioridad="Sodio",$J437,IF(ISNUMBER($Q437),$Q437,999999)))))</f>
        <v>999999</v>
      </c>
    </row>
    <row r="438" spans="1:21" ht="15" customHeight="1">
      <c r="A438" s="21" t="s">
        <v>1018</v>
      </c>
      <c r="B438" s="21" t="s">
        <v>1019</v>
      </c>
      <c r="C438" s="21" t="s">
        <v>988</v>
      </c>
      <c r="D438" s="21" t="s">
        <v>989</v>
      </c>
      <c r="E438" s="21" t="s">
        <v>135</v>
      </c>
      <c r="F438" s="22">
        <v>8</v>
      </c>
      <c r="G438" s="22">
        <v>0.2</v>
      </c>
      <c r="H438" s="22">
        <v>1</v>
      </c>
      <c r="I438" s="22">
        <v>2</v>
      </c>
      <c r="J438" s="22">
        <v>72</v>
      </c>
      <c r="K438" s="22">
        <v>8</v>
      </c>
      <c r="L438" s="22">
        <v>0.2</v>
      </c>
      <c r="M438" s="22">
        <v>0</v>
      </c>
      <c r="N438" s="23" t="str">
        <f t="shared" si="42"/>
        <v>Bajo</v>
      </c>
      <c r="O438" s="23" t="str">
        <f t="shared" si="43"/>
        <v>Bajo</v>
      </c>
      <c r="P438" s="23" t="str">
        <f t="shared" si="44"/>
        <v>Medio</v>
      </c>
      <c r="Q438" s="24" t="str">
        <f t="shared" si="45"/>
        <v>N/C: no es fuente proteica</v>
      </c>
      <c r="R438" s="23" t="str">
        <f t="shared" si="46"/>
        <v>N/C</v>
      </c>
      <c r="S438" s="25" t="str">
        <f t="shared" si="47"/>
        <v>Utilizable</v>
      </c>
      <c r="T438" s="26" t="str">
        <f t="shared" si="48"/>
        <v>dulces|00.000.001</v>
      </c>
      <c r="U438" s="26">
        <f>IF(OR($S438&lt;&gt;"Utilizable",$C438&lt;&gt;SUSTITUCION!$C$13),999999,IF(v_prioridad="Potasio",$H438,IF(v_prioridad="Fósforo",$I438,IF(v_prioridad="Sodio",$J438,IF(ISNUMBER($Q438),$Q438,999999)))))</f>
        <v>999999</v>
      </c>
    </row>
    <row r="439" spans="1:21" ht="15" customHeight="1">
      <c r="A439" s="21" t="s">
        <v>1020</v>
      </c>
      <c r="B439" s="21" t="s">
        <v>1021</v>
      </c>
      <c r="C439" s="21" t="s">
        <v>988</v>
      </c>
      <c r="D439" s="21" t="s">
        <v>989</v>
      </c>
      <c r="E439" s="21" t="s">
        <v>135</v>
      </c>
      <c r="F439" s="22">
        <v>318</v>
      </c>
      <c r="G439" s="22">
        <v>62</v>
      </c>
      <c r="H439" s="22" t="s">
        <v>138</v>
      </c>
      <c r="I439" s="22" t="s">
        <v>138</v>
      </c>
      <c r="J439" s="22" t="s">
        <v>138</v>
      </c>
      <c r="K439" s="22">
        <v>318</v>
      </c>
      <c r="L439" s="22">
        <v>62</v>
      </c>
      <c r="M439" s="22" t="s">
        <v>138</v>
      </c>
      <c r="N439" s="23" t="str">
        <f t="shared" si="42"/>
        <v>Sin dato</v>
      </c>
      <c r="O439" s="23" t="str">
        <f t="shared" si="43"/>
        <v>Sin dato</v>
      </c>
      <c r="P439" s="23" t="str">
        <f t="shared" si="44"/>
        <v>Sin dato</v>
      </c>
      <c r="Q439" s="24" t="str">
        <f t="shared" si="45"/>
        <v>N/C</v>
      </c>
      <c r="R439" s="23" t="str">
        <f t="shared" si="46"/>
        <v>N/C</v>
      </c>
      <c r="S439" s="25" t="str">
        <f t="shared" si="47"/>
        <v>No utilizable</v>
      </c>
      <c r="T439" s="26" t="str">
        <f t="shared" si="48"/>
        <v/>
      </c>
      <c r="U439" s="26">
        <f>IF(OR($S439&lt;&gt;"Utilizable",$C439&lt;&gt;SUSTITUCION!$C$13),999999,IF(v_prioridad="Potasio",$H439,IF(v_prioridad="Fósforo",$I439,IF(v_prioridad="Sodio",$J439,IF(ISNUMBER($Q439),$Q439,999999)))))</f>
        <v>999999</v>
      </c>
    </row>
    <row r="440" spans="1:21" ht="15" customHeight="1">
      <c r="A440" s="21" t="s">
        <v>1022</v>
      </c>
      <c r="B440" s="21" t="s">
        <v>1023</v>
      </c>
      <c r="C440" s="21" t="s">
        <v>988</v>
      </c>
      <c r="D440" s="21" t="s">
        <v>989</v>
      </c>
      <c r="E440" s="21" t="s">
        <v>135</v>
      </c>
      <c r="F440" s="22">
        <v>290</v>
      </c>
      <c r="G440" s="22">
        <v>6.5</v>
      </c>
      <c r="H440" s="22">
        <v>366</v>
      </c>
      <c r="I440" s="22">
        <v>195</v>
      </c>
      <c r="J440" s="22">
        <v>130</v>
      </c>
      <c r="K440" s="22">
        <v>290</v>
      </c>
      <c r="L440" s="22">
        <v>6.5</v>
      </c>
      <c r="M440" s="22">
        <v>282</v>
      </c>
      <c r="N440" s="23" t="str">
        <f t="shared" si="42"/>
        <v>Muy alto</v>
      </c>
      <c r="O440" s="23" t="str">
        <f t="shared" si="43"/>
        <v>Muy alto</v>
      </c>
      <c r="P440" s="23" t="str">
        <f t="shared" si="44"/>
        <v>Alto</v>
      </c>
      <c r="Q440" s="24" t="str">
        <f t="shared" si="45"/>
        <v>N/C: no es fuente proteica</v>
      </c>
      <c r="R440" s="23" t="str">
        <f t="shared" si="46"/>
        <v>N/C</v>
      </c>
      <c r="S440" s="25" t="str">
        <f t="shared" si="47"/>
        <v>Utilizable</v>
      </c>
      <c r="T440" s="26" t="str">
        <f t="shared" si="48"/>
        <v>dulces|00.000.366</v>
      </c>
      <c r="U440" s="26">
        <f>IF(OR($S440&lt;&gt;"Utilizable",$C440&lt;&gt;SUSTITUCION!$C$13),999999,IF(v_prioridad="Potasio",$H440,IF(v_prioridad="Fósforo",$I440,IF(v_prioridad="Sodio",$J440,IF(ISNUMBER($Q440),$Q440,999999)))))</f>
        <v>999999</v>
      </c>
    </row>
    <row r="441" spans="1:21" ht="15" customHeight="1">
      <c r="A441" s="21" t="s">
        <v>1024</v>
      </c>
      <c r="B441" s="21" t="s">
        <v>1025</v>
      </c>
      <c r="C441" s="21" t="s">
        <v>988</v>
      </c>
      <c r="D441" s="21" t="s">
        <v>989</v>
      </c>
      <c r="E441" s="21" t="s">
        <v>135</v>
      </c>
      <c r="F441" s="22">
        <v>232</v>
      </c>
      <c r="G441" s="22">
        <v>0.4</v>
      </c>
      <c r="H441" s="22" t="s">
        <v>138</v>
      </c>
      <c r="I441" s="22" t="s">
        <v>138</v>
      </c>
      <c r="J441" s="22">
        <v>34</v>
      </c>
      <c r="K441" s="22">
        <v>232</v>
      </c>
      <c r="L441" s="22">
        <v>0.4</v>
      </c>
      <c r="M441" s="22" t="s">
        <v>138</v>
      </c>
      <c r="N441" s="23" t="str">
        <f t="shared" si="42"/>
        <v>Sin dato</v>
      </c>
      <c r="O441" s="23" t="str">
        <f t="shared" si="43"/>
        <v>Sin dato</v>
      </c>
      <c r="P441" s="23" t="str">
        <f t="shared" si="44"/>
        <v>Bajo</v>
      </c>
      <c r="Q441" s="24" t="str">
        <f t="shared" si="45"/>
        <v>N/C</v>
      </c>
      <c r="R441" s="23" t="str">
        <f t="shared" si="46"/>
        <v>N/C</v>
      </c>
      <c r="S441" s="25" t="str">
        <f t="shared" si="47"/>
        <v>No utilizable</v>
      </c>
      <c r="T441" s="26" t="str">
        <f t="shared" si="48"/>
        <v/>
      </c>
      <c r="U441" s="26">
        <f>IF(OR($S441&lt;&gt;"Utilizable",$C441&lt;&gt;SUSTITUCION!$C$13),999999,IF(v_prioridad="Potasio",$H441,IF(v_prioridad="Fósforo",$I441,IF(v_prioridad="Sodio",$J441,IF(ISNUMBER($Q441),$Q441,999999)))))</f>
        <v>999999</v>
      </c>
    </row>
    <row r="442" spans="1:21" ht="15" customHeight="1">
      <c r="A442" s="21" t="s">
        <v>1026</v>
      </c>
      <c r="B442" s="21" t="s">
        <v>1027</v>
      </c>
      <c r="C442" s="21" t="s">
        <v>988</v>
      </c>
      <c r="D442" s="21" t="s">
        <v>989</v>
      </c>
      <c r="E442" s="21" t="s">
        <v>135</v>
      </c>
      <c r="F442" s="22">
        <v>199</v>
      </c>
      <c r="G442" s="22">
        <v>0.2</v>
      </c>
      <c r="H442" s="22" t="s">
        <v>138</v>
      </c>
      <c r="I442" s="22" t="s">
        <v>138</v>
      </c>
      <c r="J442" s="22">
        <v>12</v>
      </c>
      <c r="K442" s="22">
        <v>199</v>
      </c>
      <c r="L442" s="22">
        <v>0.2</v>
      </c>
      <c r="M442" s="22" t="s">
        <v>138</v>
      </c>
      <c r="N442" s="23" t="str">
        <f t="shared" si="42"/>
        <v>Sin dato</v>
      </c>
      <c r="O442" s="23" t="str">
        <f t="shared" si="43"/>
        <v>Sin dato</v>
      </c>
      <c r="P442" s="23" t="str">
        <f t="shared" si="44"/>
        <v>Bajo</v>
      </c>
      <c r="Q442" s="24" t="str">
        <f t="shared" si="45"/>
        <v>N/C</v>
      </c>
      <c r="R442" s="23" t="str">
        <f t="shared" si="46"/>
        <v>N/C</v>
      </c>
      <c r="S442" s="25" t="str">
        <f t="shared" si="47"/>
        <v>No utilizable</v>
      </c>
      <c r="T442" s="26" t="str">
        <f t="shared" si="48"/>
        <v/>
      </c>
      <c r="U442" s="26">
        <f>IF(OR($S442&lt;&gt;"Utilizable",$C442&lt;&gt;SUSTITUCION!$C$13),999999,IF(v_prioridad="Potasio",$H442,IF(v_prioridad="Fósforo",$I442,IF(v_prioridad="Sodio",$J442,IF(ISNUMBER($Q442),$Q442,999999)))))</f>
        <v>999999</v>
      </c>
    </row>
    <row r="443" spans="1:21" ht="15" customHeight="1">
      <c r="A443" s="21" t="s">
        <v>1028</v>
      </c>
      <c r="B443" s="21" t="s">
        <v>1029</v>
      </c>
      <c r="C443" s="21" t="s">
        <v>988</v>
      </c>
      <c r="D443" s="21" t="s">
        <v>989</v>
      </c>
      <c r="E443" s="21" t="s">
        <v>135</v>
      </c>
      <c r="F443" s="22">
        <v>56</v>
      </c>
      <c r="G443" s="22">
        <v>0.7</v>
      </c>
      <c r="H443" s="22" t="s">
        <v>138</v>
      </c>
      <c r="I443" s="22" t="s">
        <v>138</v>
      </c>
      <c r="J443" s="22">
        <v>19</v>
      </c>
      <c r="K443" s="22">
        <v>56</v>
      </c>
      <c r="L443" s="22">
        <v>0.7</v>
      </c>
      <c r="M443" s="22" t="s">
        <v>138</v>
      </c>
      <c r="N443" s="23" t="str">
        <f t="shared" si="42"/>
        <v>Sin dato</v>
      </c>
      <c r="O443" s="23" t="str">
        <f t="shared" si="43"/>
        <v>Sin dato</v>
      </c>
      <c r="P443" s="23" t="str">
        <f t="shared" si="44"/>
        <v>Bajo</v>
      </c>
      <c r="Q443" s="24" t="str">
        <f t="shared" si="45"/>
        <v>N/C</v>
      </c>
      <c r="R443" s="23" t="str">
        <f t="shared" si="46"/>
        <v>N/C</v>
      </c>
      <c r="S443" s="25" t="str">
        <f t="shared" si="47"/>
        <v>No utilizable</v>
      </c>
      <c r="T443" s="26" t="str">
        <f t="shared" si="48"/>
        <v/>
      </c>
      <c r="U443" s="26">
        <f>IF(OR($S443&lt;&gt;"Utilizable",$C443&lt;&gt;SUSTITUCION!$C$13),999999,IF(v_prioridad="Potasio",$H443,IF(v_prioridad="Fósforo",$I443,IF(v_prioridad="Sodio",$J443,IF(ISNUMBER($Q443),$Q443,999999)))))</f>
        <v>999999</v>
      </c>
    </row>
    <row r="444" spans="1:21" ht="15" customHeight="1">
      <c r="A444" s="21" t="s">
        <v>1030</v>
      </c>
      <c r="B444" s="21" t="s">
        <v>1031</v>
      </c>
      <c r="C444" s="21" t="s">
        <v>988</v>
      </c>
      <c r="D444" s="21" t="s">
        <v>989</v>
      </c>
      <c r="E444" s="21" t="s">
        <v>135</v>
      </c>
      <c r="F444" s="22">
        <v>237</v>
      </c>
      <c r="G444" s="22">
        <v>0.2</v>
      </c>
      <c r="H444" s="22" t="s">
        <v>138</v>
      </c>
      <c r="I444" s="22" t="s">
        <v>138</v>
      </c>
      <c r="J444" s="22">
        <v>0</v>
      </c>
      <c r="K444" s="22">
        <v>237</v>
      </c>
      <c r="L444" s="22">
        <v>0.2</v>
      </c>
      <c r="M444" s="22" t="s">
        <v>138</v>
      </c>
      <c r="N444" s="23" t="str">
        <f t="shared" si="42"/>
        <v>Sin dato</v>
      </c>
      <c r="O444" s="23" t="str">
        <f t="shared" si="43"/>
        <v>Sin dato</v>
      </c>
      <c r="P444" s="23" t="str">
        <f t="shared" si="44"/>
        <v>Bajo</v>
      </c>
      <c r="Q444" s="24" t="str">
        <f t="shared" si="45"/>
        <v>N/C</v>
      </c>
      <c r="R444" s="23" t="str">
        <f t="shared" si="46"/>
        <v>N/C</v>
      </c>
      <c r="S444" s="25" t="str">
        <f t="shared" si="47"/>
        <v>No utilizable</v>
      </c>
      <c r="T444" s="26" t="str">
        <f t="shared" si="48"/>
        <v/>
      </c>
      <c r="U444" s="26">
        <f>IF(OR($S444&lt;&gt;"Utilizable",$C444&lt;&gt;SUSTITUCION!$C$13),999999,IF(v_prioridad="Potasio",$H444,IF(v_prioridad="Fósforo",$I444,IF(v_prioridad="Sodio",$J444,IF(ISNUMBER($Q444),$Q444,999999)))))</f>
        <v>999999</v>
      </c>
    </row>
    <row r="445" spans="1:21" ht="15" customHeight="1">
      <c r="A445" s="21" t="s">
        <v>1032</v>
      </c>
      <c r="B445" s="21" t="s">
        <v>1033</v>
      </c>
      <c r="C445" s="21" t="s">
        <v>988</v>
      </c>
      <c r="D445" s="21" t="s">
        <v>989</v>
      </c>
      <c r="E445" s="21" t="s">
        <v>135</v>
      </c>
      <c r="F445" s="22">
        <v>149</v>
      </c>
      <c r="G445" s="22">
        <v>6.2</v>
      </c>
      <c r="H445" s="22" t="s">
        <v>138</v>
      </c>
      <c r="I445" s="22">
        <v>131</v>
      </c>
      <c r="J445" s="22">
        <v>44</v>
      </c>
      <c r="K445" s="22">
        <v>149</v>
      </c>
      <c r="L445" s="22">
        <v>6.2</v>
      </c>
      <c r="M445" s="22">
        <v>170</v>
      </c>
      <c r="N445" s="23" t="str">
        <f t="shared" si="42"/>
        <v>Sin dato</v>
      </c>
      <c r="O445" s="23" t="str">
        <f t="shared" si="43"/>
        <v>Alto</v>
      </c>
      <c r="P445" s="23" t="str">
        <f t="shared" si="44"/>
        <v>Medio</v>
      </c>
      <c r="Q445" s="24" t="str">
        <f t="shared" si="45"/>
        <v>N/C: no es fuente proteica</v>
      </c>
      <c r="R445" s="23" t="str">
        <f t="shared" si="46"/>
        <v>N/C</v>
      </c>
      <c r="S445" s="25" t="str">
        <f t="shared" si="47"/>
        <v>No utilizable</v>
      </c>
      <c r="T445" s="26" t="str">
        <f t="shared" si="48"/>
        <v/>
      </c>
      <c r="U445" s="26">
        <f>IF(OR($S445&lt;&gt;"Utilizable",$C445&lt;&gt;SUSTITUCION!$C$13),999999,IF(v_prioridad="Potasio",$H445,IF(v_prioridad="Fósforo",$I445,IF(v_prioridad="Sodio",$J445,IF(ISNUMBER($Q445),$Q445,999999)))))</f>
        <v>999999</v>
      </c>
    </row>
    <row r="446" spans="1:21" ht="15" customHeight="1">
      <c r="A446" s="21" t="s">
        <v>1034</v>
      </c>
      <c r="B446" s="21" t="s">
        <v>1035</v>
      </c>
      <c r="C446" s="21" t="s">
        <v>988</v>
      </c>
      <c r="D446" s="21" t="s">
        <v>989</v>
      </c>
      <c r="E446" s="21" t="s">
        <v>135</v>
      </c>
      <c r="F446" s="22">
        <v>333</v>
      </c>
      <c r="G446" s="22">
        <v>4.9000000000000004</v>
      </c>
      <c r="H446" s="22">
        <v>88</v>
      </c>
      <c r="I446" s="22">
        <v>192</v>
      </c>
      <c r="J446" s="22">
        <v>150</v>
      </c>
      <c r="K446" s="22">
        <v>333</v>
      </c>
      <c r="L446" s="22">
        <v>4.9000000000000004</v>
      </c>
      <c r="M446" s="22">
        <v>14</v>
      </c>
      <c r="N446" s="23" t="str">
        <f t="shared" si="42"/>
        <v>Bajo</v>
      </c>
      <c r="O446" s="23" t="str">
        <f t="shared" si="43"/>
        <v>Muy alto</v>
      </c>
      <c r="P446" s="23" t="str">
        <f t="shared" si="44"/>
        <v>Alto</v>
      </c>
      <c r="Q446" s="24" t="str">
        <f t="shared" si="45"/>
        <v>N/C: no es fuente proteica</v>
      </c>
      <c r="R446" s="23" t="str">
        <f t="shared" si="46"/>
        <v>N/C</v>
      </c>
      <c r="S446" s="25" t="str">
        <f t="shared" si="47"/>
        <v>Utilizable</v>
      </c>
      <c r="T446" s="26" t="str">
        <f t="shared" si="48"/>
        <v>dulces|00.000.088</v>
      </c>
      <c r="U446" s="26">
        <f>IF(OR($S446&lt;&gt;"Utilizable",$C446&lt;&gt;SUSTITUCION!$C$13),999999,IF(v_prioridad="Potasio",$H446,IF(v_prioridad="Fósforo",$I446,IF(v_prioridad="Sodio",$J446,IF(ISNUMBER($Q446),$Q446,999999)))))</f>
        <v>999999</v>
      </c>
    </row>
    <row r="447" spans="1:21" ht="15" customHeight="1">
      <c r="A447" s="21" t="s">
        <v>1036</v>
      </c>
      <c r="B447" s="21" t="s">
        <v>1037</v>
      </c>
      <c r="C447" s="21" t="s">
        <v>988</v>
      </c>
      <c r="D447" s="21" t="s">
        <v>989</v>
      </c>
      <c r="E447" s="21" t="s">
        <v>135</v>
      </c>
      <c r="F447" s="22">
        <v>503</v>
      </c>
      <c r="G447" s="22">
        <v>4</v>
      </c>
      <c r="H447" s="22" t="s">
        <v>138</v>
      </c>
      <c r="I447" s="22" t="s">
        <v>138</v>
      </c>
      <c r="J447" s="22">
        <v>298</v>
      </c>
      <c r="K447" s="22">
        <v>503</v>
      </c>
      <c r="L447" s="22">
        <v>4</v>
      </c>
      <c r="M447" s="22" t="s">
        <v>138</v>
      </c>
      <c r="N447" s="23" t="str">
        <f t="shared" si="42"/>
        <v>Sin dato</v>
      </c>
      <c r="O447" s="23" t="str">
        <f t="shared" si="43"/>
        <v>Sin dato</v>
      </c>
      <c r="P447" s="23" t="str">
        <f t="shared" si="44"/>
        <v>Alto</v>
      </c>
      <c r="Q447" s="24" t="str">
        <f t="shared" si="45"/>
        <v>N/C</v>
      </c>
      <c r="R447" s="23" t="str">
        <f t="shared" si="46"/>
        <v>N/C</v>
      </c>
      <c r="S447" s="25" t="str">
        <f t="shared" si="47"/>
        <v>No utilizable</v>
      </c>
      <c r="T447" s="26" t="str">
        <f t="shared" si="48"/>
        <v/>
      </c>
      <c r="U447" s="26">
        <f>IF(OR($S447&lt;&gt;"Utilizable",$C447&lt;&gt;SUSTITUCION!$C$13),999999,IF(v_prioridad="Potasio",$H447,IF(v_prioridad="Fósforo",$I447,IF(v_prioridad="Sodio",$J447,IF(ISNUMBER($Q447),$Q447,999999)))))</f>
        <v>999999</v>
      </c>
    </row>
    <row r="448" spans="1:21" ht="15" customHeight="1">
      <c r="A448" s="21" t="s">
        <v>1038</v>
      </c>
      <c r="B448" s="21" t="s">
        <v>1039</v>
      </c>
      <c r="C448" s="21" t="s">
        <v>988</v>
      </c>
      <c r="D448" s="21" t="s">
        <v>989</v>
      </c>
      <c r="E448" s="21" t="s">
        <v>135</v>
      </c>
      <c r="F448" s="22">
        <v>402</v>
      </c>
      <c r="G448" s="22">
        <v>7.9</v>
      </c>
      <c r="H448" s="22">
        <v>145</v>
      </c>
      <c r="I448" s="22">
        <v>103</v>
      </c>
      <c r="J448" s="22">
        <v>35</v>
      </c>
      <c r="K448" s="22">
        <v>402</v>
      </c>
      <c r="L448" s="22">
        <v>7.9</v>
      </c>
      <c r="M448" s="22">
        <v>44</v>
      </c>
      <c r="N448" s="23" t="str">
        <f t="shared" si="42"/>
        <v>Medio</v>
      </c>
      <c r="O448" s="23" t="str">
        <f t="shared" si="43"/>
        <v>Alto</v>
      </c>
      <c r="P448" s="23" t="str">
        <f t="shared" si="44"/>
        <v>Bajo</v>
      </c>
      <c r="Q448" s="24" t="str">
        <f t="shared" si="45"/>
        <v>N/C: no es fuente proteica</v>
      </c>
      <c r="R448" s="23" t="str">
        <f t="shared" si="46"/>
        <v>N/C</v>
      </c>
      <c r="S448" s="25" t="str">
        <f t="shared" si="47"/>
        <v>Utilizable</v>
      </c>
      <c r="T448" s="26" t="str">
        <f t="shared" si="48"/>
        <v>dulces|00.000.145</v>
      </c>
      <c r="U448" s="26">
        <f>IF(OR($S448&lt;&gt;"Utilizable",$C448&lt;&gt;SUSTITUCION!$C$13),999999,IF(v_prioridad="Potasio",$H448,IF(v_prioridad="Fósforo",$I448,IF(v_prioridad="Sodio",$J448,IF(ISNUMBER($Q448),$Q448,999999)))))</f>
        <v>999999</v>
      </c>
    </row>
    <row r="449" spans="1:21" ht="15" customHeight="1">
      <c r="A449" s="21" t="s">
        <v>1040</v>
      </c>
      <c r="B449" s="21" t="s">
        <v>1041</v>
      </c>
      <c r="C449" s="21" t="s">
        <v>988</v>
      </c>
      <c r="D449" s="21" t="s">
        <v>989</v>
      </c>
      <c r="E449" s="21" t="s">
        <v>135</v>
      </c>
      <c r="F449" s="22">
        <v>268</v>
      </c>
      <c r="G449" s="22">
        <v>3.5</v>
      </c>
      <c r="H449" s="22">
        <v>89</v>
      </c>
      <c r="I449" s="22">
        <v>105</v>
      </c>
      <c r="J449" s="22">
        <v>172</v>
      </c>
      <c r="K449" s="22">
        <v>268</v>
      </c>
      <c r="L449" s="22">
        <v>3.5</v>
      </c>
      <c r="M449" s="22">
        <v>56</v>
      </c>
      <c r="N449" s="23" t="str">
        <f t="shared" si="42"/>
        <v>Bajo</v>
      </c>
      <c r="O449" s="23" t="str">
        <f t="shared" si="43"/>
        <v>Alto</v>
      </c>
      <c r="P449" s="23" t="str">
        <f t="shared" si="44"/>
        <v>Alto</v>
      </c>
      <c r="Q449" s="24" t="str">
        <f t="shared" si="45"/>
        <v>N/C: no es fuente proteica</v>
      </c>
      <c r="R449" s="23" t="str">
        <f t="shared" si="46"/>
        <v>N/C</v>
      </c>
      <c r="S449" s="25" t="str">
        <f t="shared" si="47"/>
        <v>Utilizable</v>
      </c>
      <c r="T449" s="26" t="str">
        <f t="shared" si="48"/>
        <v>dulces|00.000.089</v>
      </c>
      <c r="U449" s="26">
        <f>IF(OR($S449&lt;&gt;"Utilizable",$C449&lt;&gt;SUSTITUCION!$C$13),999999,IF(v_prioridad="Potasio",$H449,IF(v_prioridad="Fósforo",$I449,IF(v_prioridad="Sodio",$J449,IF(ISNUMBER($Q449),$Q449,999999)))))</f>
        <v>999999</v>
      </c>
    </row>
    <row r="450" spans="1:21" ht="15" customHeight="1">
      <c r="A450" s="21" t="s">
        <v>1042</v>
      </c>
      <c r="B450" s="21" t="s">
        <v>1043</v>
      </c>
      <c r="C450" s="21" t="s">
        <v>988</v>
      </c>
      <c r="D450" s="21" t="s">
        <v>989</v>
      </c>
      <c r="E450" s="21" t="s">
        <v>135</v>
      </c>
      <c r="F450" s="22">
        <v>274</v>
      </c>
      <c r="G450" s="22">
        <v>3.3</v>
      </c>
      <c r="H450" s="22">
        <v>119</v>
      </c>
      <c r="I450" s="22">
        <v>33</v>
      </c>
      <c r="J450" s="22">
        <v>135</v>
      </c>
      <c r="K450" s="22">
        <v>274</v>
      </c>
      <c r="L450" s="22">
        <v>3.3</v>
      </c>
      <c r="M450" s="22">
        <v>15</v>
      </c>
      <c r="N450" s="23" t="str">
        <f t="shared" si="42"/>
        <v>Medio</v>
      </c>
      <c r="O450" s="23" t="str">
        <f t="shared" si="43"/>
        <v>Bajo</v>
      </c>
      <c r="P450" s="23" t="str">
        <f t="shared" si="44"/>
        <v>Alto</v>
      </c>
      <c r="Q450" s="24" t="str">
        <f t="shared" si="45"/>
        <v>N/C: no es fuente proteica</v>
      </c>
      <c r="R450" s="23" t="str">
        <f t="shared" si="46"/>
        <v>N/C</v>
      </c>
      <c r="S450" s="25" t="str">
        <f t="shared" si="47"/>
        <v>Utilizable</v>
      </c>
      <c r="T450" s="26" t="str">
        <f t="shared" si="48"/>
        <v>dulces|00.000.119</v>
      </c>
      <c r="U450" s="26">
        <f>IF(OR($S450&lt;&gt;"Utilizable",$C450&lt;&gt;SUSTITUCION!$C$13),999999,IF(v_prioridad="Potasio",$H450,IF(v_prioridad="Fósforo",$I450,IF(v_prioridad="Sodio",$J450,IF(ISNUMBER($Q450),$Q450,999999)))))</f>
        <v>999999</v>
      </c>
    </row>
    <row r="451" spans="1:21" ht="15" customHeight="1">
      <c r="A451" s="21" t="s">
        <v>1044</v>
      </c>
      <c r="B451" s="21" t="s">
        <v>1045</v>
      </c>
      <c r="C451" s="21" t="s">
        <v>988</v>
      </c>
      <c r="D451" s="21" t="s">
        <v>989</v>
      </c>
      <c r="E451" s="21" t="s">
        <v>135</v>
      </c>
      <c r="F451" s="22">
        <v>338</v>
      </c>
      <c r="G451" s="22">
        <v>4.3</v>
      </c>
      <c r="H451" s="22" t="s">
        <v>138</v>
      </c>
      <c r="I451" s="22" t="s">
        <v>138</v>
      </c>
      <c r="J451" s="22">
        <v>32</v>
      </c>
      <c r="K451" s="22">
        <v>338</v>
      </c>
      <c r="L451" s="22">
        <v>4.3</v>
      </c>
      <c r="M451" s="22" t="s">
        <v>138</v>
      </c>
      <c r="N451" s="23" t="str">
        <f t="shared" si="42"/>
        <v>Sin dato</v>
      </c>
      <c r="O451" s="23" t="str">
        <f t="shared" si="43"/>
        <v>Sin dato</v>
      </c>
      <c r="P451" s="23" t="str">
        <f t="shared" si="44"/>
        <v>Bajo</v>
      </c>
      <c r="Q451" s="24" t="str">
        <f t="shared" si="45"/>
        <v>N/C</v>
      </c>
      <c r="R451" s="23" t="str">
        <f t="shared" si="46"/>
        <v>N/C</v>
      </c>
      <c r="S451" s="25" t="str">
        <f t="shared" si="47"/>
        <v>No utilizable</v>
      </c>
      <c r="T451" s="26" t="str">
        <f t="shared" si="48"/>
        <v/>
      </c>
      <c r="U451" s="26">
        <f>IF(OR($S451&lt;&gt;"Utilizable",$C451&lt;&gt;SUSTITUCION!$C$13),999999,IF(v_prioridad="Potasio",$H451,IF(v_prioridad="Fósforo",$I451,IF(v_prioridad="Sodio",$J451,IF(ISNUMBER($Q451),$Q451,999999)))))</f>
        <v>999999</v>
      </c>
    </row>
    <row r="452" spans="1:21" ht="15" customHeight="1">
      <c r="A452" s="21" t="s">
        <v>1046</v>
      </c>
      <c r="B452" s="21" t="s">
        <v>1047</v>
      </c>
      <c r="C452" s="21" t="s">
        <v>988</v>
      </c>
      <c r="D452" s="21" t="s">
        <v>989</v>
      </c>
      <c r="E452" s="21" t="s">
        <v>135</v>
      </c>
      <c r="F452" s="22">
        <v>349</v>
      </c>
      <c r="G452" s="22">
        <v>2.1</v>
      </c>
      <c r="H452" s="22">
        <v>9</v>
      </c>
      <c r="I452" s="22">
        <v>11</v>
      </c>
      <c r="J452" s="22">
        <v>40</v>
      </c>
      <c r="K452" s="22">
        <v>349</v>
      </c>
      <c r="L452" s="22">
        <v>2.1</v>
      </c>
      <c r="M452" s="22">
        <v>24</v>
      </c>
      <c r="N452" s="23" t="str">
        <f t="shared" si="42"/>
        <v>Bajo</v>
      </c>
      <c r="O452" s="23" t="str">
        <f t="shared" si="43"/>
        <v>Bajo</v>
      </c>
      <c r="P452" s="23" t="str">
        <f t="shared" si="44"/>
        <v>Bajo</v>
      </c>
      <c r="Q452" s="24" t="str">
        <f t="shared" si="45"/>
        <v>N/C: no es fuente proteica</v>
      </c>
      <c r="R452" s="23" t="str">
        <f t="shared" si="46"/>
        <v>N/C</v>
      </c>
      <c r="S452" s="25" t="str">
        <f t="shared" si="47"/>
        <v>Utilizable</v>
      </c>
      <c r="T452" s="26" t="str">
        <f t="shared" si="48"/>
        <v>dulces|00.000.009</v>
      </c>
      <c r="U452" s="26">
        <f>IF(OR($S452&lt;&gt;"Utilizable",$C452&lt;&gt;SUSTITUCION!$C$13),999999,IF(v_prioridad="Potasio",$H452,IF(v_prioridad="Fósforo",$I452,IF(v_prioridad="Sodio",$J452,IF(ISNUMBER($Q452),$Q452,999999)))))</f>
        <v>999999</v>
      </c>
    </row>
    <row r="453" spans="1:21" ht="15" customHeight="1">
      <c r="A453" s="21" t="s">
        <v>1048</v>
      </c>
      <c r="B453" s="21" t="s">
        <v>1049</v>
      </c>
      <c r="C453" s="21" t="s">
        <v>988</v>
      </c>
      <c r="D453" s="21" t="s">
        <v>989</v>
      </c>
      <c r="E453" s="21" t="s">
        <v>135</v>
      </c>
      <c r="F453" s="22">
        <v>464</v>
      </c>
      <c r="G453" s="22">
        <v>4.4000000000000004</v>
      </c>
      <c r="H453" s="22">
        <v>186</v>
      </c>
      <c r="I453" s="22">
        <v>139</v>
      </c>
      <c r="J453" s="22">
        <v>162</v>
      </c>
      <c r="K453" s="22">
        <v>464</v>
      </c>
      <c r="L453" s="22">
        <v>4.4000000000000004</v>
      </c>
      <c r="M453" s="22">
        <v>90</v>
      </c>
      <c r="N453" s="23" t="str">
        <f t="shared" si="42"/>
        <v>Medio</v>
      </c>
      <c r="O453" s="23" t="str">
        <f t="shared" si="43"/>
        <v>Alto</v>
      </c>
      <c r="P453" s="23" t="str">
        <f t="shared" si="44"/>
        <v>Alto</v>
      </c>
      <c r="Q453" s="24" t="str">
        <f t="shared" si="45"/>
        <v>N/C: no es fuente proteica</v>
      </c>
      <c r="R453" s="23" t="str">
        <f t="shared" si="46"/>
        <v>N/C</v>
      </c>
      <c r="S453" s="25" t="str">
        <f t="shared" si="47"/>
        <v>Utilizable</v>
      </c>
      <c r="T453" s="26" t="str">
        <f t="shared" si="48"/>
        <v>dulces|00.000.186</v>
      </c>
      <c r="U453" s="26">
        <f>IF(OR($S453&lt;&gt;"Utilizable",$C453&lt;&gt;SUSTITUCION!$C$13),999999,IF(v_prioridad="Potasio",$H453,IF(v_prioridad="Fósforo",$I453,IF(v_prioridad="Sodio",$J453,IF(ISNUMBER($Q453),$Q453,999999)))))</f>
        <v>999999</v>
      </c>
    </row>
    <row r="454" spans="1:21" ht="15" customHeight="1">
      <c r="A454" s="21" t="s">
        <v>1050</v>
      </c>
      <c r="B454" s="21" t="s">
        <v>1051</v>
      </c>
      <c r="C454" s="21" t="s">
        <v>1052</v>
      </c>
      <c r="D454" s="21" t="s">
        <v>1053</v>
      </c>
      <c r="E454" s="21" t="s">
        <v>135</v>
      </c>
      <c r="F454" s="22">
        <v>85</v>
      </c>
      <c r="G454" s="22">
        <v>3</v>
      </c>
      <c r="H454" s="22" t="s">
        <v>138</v>
      </c>
      <c r="I454" s="22" t="s">
        <v>138</v>
      </c>
      <c r="J454" s="22">
        <v>44</v>
      </c>
      <c r="K454" s="22">
        <v>85</v>
      </c>
      <c r="L454" s="22">
        <v>3</v>
      </c>
      <c r="M454" s="22" t="s">
        <v>138</v>
      </c>
      <c r="N454" s="23" t="str">
        <f t="shared" si="42"/>
        <v>Sin dato</v>
      </c>
      <c r="O454" s="23" t="str">
        <f t="shared" si="43"/>
        <v>Sin dato</v>
      </c>
      <c r="P454" s="23" t="str">
        <f t="shared" si="44"/>
        <v>Medio</v>
      </c>
      <c r="Q454" s="24" t="str">
        <f t="shared" si="45"/>
        <v>N/C</v>
      </c>
      <c r="R454" s="23" t="str">
        <f t="shared" si="46"/>
        <v>N/C</v>
      </c>
      <c r="S454" s="25" t="str">
        <f t="shared" si="47"/>
        <v>No utilizable</v>
      </c>
      <c r="T454" s="26" t="str">
        <f t="shared" si="48"/>
        <v/>
      </c>
      <c r="U454" s="26">
        <f>IF(OR($S454&lt;&gt;"Utilizable",$C454&lt;&gt;SUSTITUCION!$C$13),999999,IF(v_prioridad="Potasio",$H454,IF(v_prioridad="Fósforo",$I454,IF(v_prioridad="Sodio",$J454,IF(ISNUMBER($Q454),$Q454,999999)))))</f>
        <v>999999</v>
      </c>
    </row>
    <row r="455" spans="1:21" ht="15" customHeight="1">
      <c r="A455" s="21" t="s">
        <v>1054</v>
      </c>
      <c r="B455" s="21" t="s">
        <v>1055</v>
      </c>
      <c r="C455" s="21" t="s">
        <v>1052</v>
      </c>
      <c r="D455" s="21" t="s">
        <v>1053</v>
      </c>
      <c r="E455" s="21" t="s">
        <v>135</v>
      </c>
      <c r="F455" s="22">
        <v>95</v>
      </c>
      <c r="G455" s="22">
        <v>2.8</v>
      </c>
      <c r="H455" s="22" t="s">
        <v>138</v>
      </c>
      <c r="I455" s="22" t="s">
        <v>138</v>
      </c>
      <c r="J455" s="22">
        <v>130</v>
      </c>
      <c r="K455" s="22">
        <v>95</v>
      </c>
      <c r="L455" s="22">
        <v>2.8</v>
      </c>
      <c r="M455" s="22" t="s">
        <v>138</v>
      </c>
      <c r="N455" s="23" t="str">
        <f t="shared" si="42"/>
        <v>Sin dato</v>
      </c>
      <c r="O455" s="23" t="str">
        <f t="shared" si="43"/>
        <v>Sin dato</v>
      </c>
      <c r="P455" s="23" t="str">
        <f t="shared" si="44"/>
        <v>Alto</v>
      </c>
      <c r="Q455" s="24" t="str">
        <f t="shared" si="45"/>
        <v>N/C</v>
      </c>
      <c r="R455" s="23" t="str">
        <f t="shared" si="46"/>
        <v>N/C</v>
      </c>
      <c r="S455" s="25" t="str">
        <f t="shared" si="47"/>
        <v>No utilizable</v>
      </c>
      <c r="T455" s="26" t="str">
        <f t="shared" si="48"/>
        <v/>
      </c>
      <c r="U455" s="26">
        <f>IF(OR($S455&lt;&gt;"Utilizable",$C455&lt;&gt;SUSTITUCION!$C$13),999999,IF(v_prioridad="Potasio",$H455,IF(v_prioridad="Fósforo",$I455,IF(v_prioridad="Sodio",$J455,IF(ISNUMBER($Q455),$Q455,999999)))))</f>
        <v>999999</v>
      </c>
    </row>
    <row r="456" spans="1:21" ht="15" customHeight="1">
      <c r="A456" s="21" t="s">
        <v>1056</v>
      </c>
      <c r="B456" s="21" t="s">
        <v>1057</v>
      </c>
      <c r="C456" s="21" t="s">
        <v>1052</v>
      </c>
      <c r="D456" s="21" t="s">
        <v>1053</v>
      </c>
      <c r="E456" s="21" t="s">
        <v>135</v>
      </c>
      <c r="F456" s="22">
        <v>81</v>
      </c>
      <c r="G456" s="22">
        <v>3.4</v>
      </c>
      <c r="H456" s="22" t="s">
        <v>138</v>
      </c>
      <c r="I456" s="22" t="s">
        <v>138</v>
      </c>
      <c r="J456" s="22">
        <v>71</v>
      </c>
      <c r="K456" s="22">
        <v>81</v>
      </c>
      <c r="L456" s="22">
        <v>3.4</v>
      </c>
      <c r="M456" s="22" t="s">
        <v>138</v>
      </c>
      <c r="N456" s="23" t="str">
        <f t="shared" si="42"/>
        <v>Sin dato</v>
      </c>
      <c r="O456" s="23" t="str">
        <f t="shared" si="43"/>
        <v>Sin dato</v>
      </c>
      <c r="P456" s="23" t="str">
        <f t="shared" si="44"/>
        <v>Medio</v>
      </c>
      <c r="Q456" s="24" t="str">
        <f t="shared" si="45"/>
        <v>N/C</v>
      </c>
      <c r="R456" s="23" t="str">
        <f t="shared" si="46"/>
        <v>N/C</v>
      </c>
      <c r="S456" s="25" t="str">
        <f t="shared" si="47"/>
        <v>No utilizable</v>
      </c>
      <c r="T456" s="26" t="str">
        <f t="shared" si="48"/>
        <v/>
      </c>
      <c r="U456" s="26">
        <f>IF(OR($S456&lt;&gt;"Utilizable",$C456&lt;&gt;SUSTITUCION!$C$13),999999,IF(v_prioridad="Potasio",$H456,IF(v_prioridad="Fósforo",$I456,IF(v_prioridad="Sodio",$J456,IF(ISNUMBER($Q456),$Q456,999999)))))</f>
        <v>999999</v>
      </c>
    </row>
    <row r="457" spans="1:21" ht="15" customHeight="1">
      <c r="A457" s="21" t="s">
        <v>1058</v>
      </c>
      <c r="B457" s="21" t="s">
        <v>1059</v>
      </c>
      <c r="C457" s="21" t="s">
        <v>1052</v>
      </c>
      <c r="D457" s="21" t="s">
        <v>1053</v>
      </c>
      <c r="E457" s="21" t="s">
        <v>135</v>
      </c>
      <c r="F457" s="22">
        <v>390</v>
      </c>
      <c r="G457" s="22">
        <v>0</v>
      </c>
      <c r="H457" s="22" t="s">
        <v>138</v>
      </c>
      <c r="I457" s="22" t="s">
        <v>138</v>
      </c>
      <c r="J457" s="22">
        <v>958</v>
      </c>
      <c r="K457" s="22">
        <v>390</v>
      </c>
      <c r="L457" s="22">
        <v>0</v>
      </c>
      <c r="M457" s="22" t="s">
        <v>138</v>
      </c>
      <c r="N457" s="23" t="str">
        <f t="shared" ref="N457:N520" si="49">IF(NOT(ISNUMBER(H457)),"Sin dato",IF(H457&lt;=INDEX(rng_umbrales,1,2),"Bajo",IF(H457&lt;=INDEX(rng_umbrales,1,3),"Medio",IF(H457&lt;=INDEX(rng_umbrales,1,4),"Alto","Muy alto"))))</f>
        <v>Sin dato</v>
      </c>
      <c r="O457" s="23" t="str">
        <f t="shared" ref="O457:O520" si="50">IF(NOT(ISNUMBER(I457)),"Sin dato",IF(I457&lt;=INDEX(rng_umbrales,2,2),"Bajo",IF(I457&lt;=INDEX(rng_umbrales,2,3),"Medio",IF(I457&lt;=INDEX(rng_umbrales,2,4),"Alto","Muy alto"))))</f>
        <v>Sin dato</v>
      </c>
      <c r="P457" s="23" t="str">
        <f t="shared" ref="P457:P520" si="51">IF(NOT(ISNUMBER(J457)),"Sin dato",IF(J457&lt;=INDEX(rng_umbrales,3,2),"Bajo",IF(J457&lt;=INDEX(rng_umbrales,3,3),"Medio",IF(J457&lt;=INDEX(rng_umbrales,3,4),"Alto","Muy alto"))))</f>
        <v>Muy alto</v>
      </c>
      <c r="Q457" s="24" t="str">
        <f t="shared" ref="Q457:Q520" si="52">IF(OR(NOT(ISNUMBER(G457)),NOT(ISNUMBER(I457))),"N/C",IF(G457&lt;u_protMin,"N/C: no es fuente proteica",I457/G457))</f>
        <v>N/C</v>
      </c>
      <c r="R457" s="23" t="str">
        <f t="shared" ref="R457:R520" si="53">IF(NOT(ISNUMBER(Q457)),"N/C",IF(Q457&lt;=u_ppDes,"Deseable",IF(Q457&lt;=u_ppAcep,"Aceptable","Alta")))</f>
        <v>N/C</v>
      </c>
      <c r="S457" s="25" t="str">
        <f t="shared" ref="S457:S520" si="54">IF(COUNT(F457:J457)=k_cobMin,"Utilizable","No utilizable")</f>
        <v>No utilizable</v>
      </c>
      <c r="T457" s="26" t="str">
        <f t="shared" ref="T457:T520" si="55">IF(S457&lt;&gt;"Utilizable","",C457&amp;"|"&amp;TEXT(IF(v_prioridad="Potasio",H457,IF(v_prioridad="Fósforo",I457,IF(v_prioridad="Sodio",J457,IF(ISNUMBER(Q457),Q457,99999)))),"000000.00"))</f>
        <v/>
      </c>
      <c r="U457" s="26">
        <f>IF(OR($S457&lt;&gt;"Utilizable",$C457&lt;&gt;SUSTITUCION!$C$13),999999,IF(v_prioridad="Potasio",$H457,IF(v_prioridad="Fósforo",$I457,IF(v_prioridad="Sodio",$J457,IF(ISNUMBER($Q457),$Q457,999999)))))</f>
        <v>999999</v>
      </c>
    </row>
    <row r="458" spans="1:21" ht="15" customHeight="1">
      <c r="A458" s="21" t="s">
        <v>1060</v>
      </c>
      <c r="B458" s="21" t="s">
        <v>1061</v>
      </c>
      <c r="C458" s="21" t="s">
        <v>1052</v>
      </c>
      <c r="D458" s="21" t="s">
        <v>1053</v>
      </c>
      <c r="E458" s="21" t="s">
        <v>135</v>
      </c>
      <c r="F458" s="22">
        <v>144</v>
      </c>
      <c r="G458" s="22">
        <v>3.6</v>
      </c>
      <c r="H458" s="22" t="s">
        <v>138</v>
      </c>
      <c r="I458" s="22" t="s">
        <v>138</v>
      </c>
      <c r="J458" s="22">
        <v>95</v>
      </c>
      <c r="K458" s="22">
        <v>144</v>
      </c>
      <c r="L458" s="22">
        <v>3.6</v>
      </c>
      <c r="M458" s="22" t="s">
        <v>138</v>
      </c>
      <c r="N458" s="23" t="str">
        <f t="shared" si="49"/>
        <v>Sin dato</v>
      </c>
      <c r="O458" s="23" t="str">
        <f t="shared" si="50"/>
        <v>Sin dato</v>
      </c>
      <c r="P458" s="23" t="str">
        <f t="shared" si="51"/>
        <v>Medio</v>
      </c>
      <c r="Q458" s="24" t="str">
        <f t="shared" si="52"/>
        <v>N/C</v>
      </c>
      <c r="R458" s="23" t="str">
        <f t="shared" si="53"/>
        <v>N/C</v>
      </c>
      <c r="S458" s="25" t="str">
        <f t="shared" si="54"/>
        <v>No utilizable</v>
      </c>
      <c r="T458" s="26" t="str">
        <f t="shared" si="55"/>
        <v/>
      </c>
      <c r="U458" s="26">
        <f>IF(OR($S458&lt;&gt;"Utilizable",$C458&lt;&gt;SUSTITUCION!$C$13),999999,IF(v_prioridad="Potasio",$H458,IF(v_prioridad="Fósforo",$I458,IF(v_prioridad="Sodio",$J458,IF(ISNUMBER($Q458),$Q458,999999)))))</f>
        <v>999999</v>
      </c>
    </row>
    <row r="459" spans="1:21" ht="15" customHeight="1">
      <c r="A459" s="21" t="s">
        <v>1062</v>
      </c>
      <c r="B459" s="21" t="s">
        <v>1063</v>
      </c>
      <c r="C459" s="21" t="s">
        <v>1052</v>
      </c>
      <c r="D459" s="21" t="s">
        <v>1053</v>
      </c>
      <c r="E459" s="21" t="s">
        <v>135</v>
      </c>
      <c r="F459" s="22">
        <v>142</v>
      </c>
      <c r="G459" s="22" t="s">
        <v>138</v>
      </c>
      <c r="H459" s="22" t="s">
        <v>138</v>
      </c>
      <c r="I459" s="22" t="s">
        <v>138</v>
      </c>
      <c r="J459" s="22">
        <v>77</v>
      </c>
      <c r="K459" s="22">
        <v>142</v>
      </c>
      <c r="L459" s="22" t="s">
        <v>138</v>
      </c>
      <c r="M459" s="22" t="s">
        <v>138</v>
      </c>
      <c r="N459" s="23" t="str">
        <f t="shared" si="49"/>
        <v>Sin dato</v>
      </c>
      <c r="O459" s="23" t="str">
        <f t="shared" si="50"/>
        <v>Sin dato</v>
      </c>
      <c r="P459" s="23" t="str">
        <f t="shared" si="51"/>
        <v>Medio</v>
      </c>
      <c r="Q459" s="24" t="str">
        <f t="shared" si="52"/>
        <v>N/C</v>
      </c>
      <c r="R459" s="23" t="str">
        <f t="shared" si="53"/>
        <v>N/C</v>
      </c>
      <c r="S459" s="25" t="str">
        <f t="shared" si="54"/>
        <v>No utilizable</v>
      </c>
      <c r="T459" s="26" t="str">
        <f t="shared" si="55"/>
        <v/>
      </c>
      <c r="U459" s="26">
        <f>IF(OR($S459&lt;&gt;"Utilizable",$C459&lt;&gt;SUSTITUCION!$C$13),999999,IF(v_prioridad="Potasio",$H459,IF(v_prioridad="Fósforo",$I459,IF(v_prioridad="Sodio",$J459,IF(ISNUMBER($Q459),$Q459,999999)))))</f>
        <v>999999</v>
      </c>
    </row>
    <row r="460" spans="1:21" ht="15" customHeight="1">
      <c r="A460" s="21" t="s">
        <v>1064</v>
      </c>
      <c r="B460" s="21" t="s">
        <v>1065</v>
      </c>
      <c r="C460" s="21" t="s">
        <v>1066</v>
      </c>
      <c r="D460" s="21" t="s">
        <v>1067</v>
      </c>
      <c r="E460" s="21" t="s">
        <v>135</v>
      </c>
      <c r="F460" s="22">
        <v>66</v>
      </c>
      <c r="G460" s="22">
        <v>1.2</v>
      </c>
      <c r="H460" s="22" t="s">
        <v>138</v>
      </c>
      <c r="I460" s="22" t="s">
        <v>138</v>
      </c>
      <c r="J460" s="22">
        <v>34</v>
      </c>
      <c r="K460" s="22">
        <v>66</v>
      </c>
      <c r="L460" s="22">
        <v>1.2</v>
      </c>
      <c r="M460" s="22" t="s">
        <v>138</v>
      </c>
      <c r="N460" s="23" t="str">
        <f t="shared" si="49"/>
        <v>Sin dato</v>
      </c>
      <c r="O460" s="23" t="str">
        <f t="shared" si="50"/>
        <v>Sin dato</v>
      </c>
      <c r="P460" s="23" t="str">
        <f t="shared" si="51"/>
        <v>Bajo</v>
      </c>
      <c r="Q460" s="24" t="str">
        <f t="shared" si="52"/>
        <v>N/C</v>
      </c>
      <c r="R460" s="23" t="str">
        <f t="shared" si="53"/>
        <v>N/C</v>
      </c>
      <c r="S460" s="25" t="str">
        <f t="shared" si="54"/>
        <v>No utilizable</v>
      </c>
      <c r="T460" s="26" t="str">
        <f t="shared" si="55"/>
        <v/>
      </c>
      <c r="U460" s="26">
        <f>IF(OR($S460&lt;&gt;"Utilizable",$C460&lt;&gt;SUSTITUCION!$C$13),999999,IF(v_prioridad="Potasio",$H460,IF(v_prioridad="Fósforo",$I460,IF(v_prioridad="Sodio",$J460,IF(ISNUMBER($Q460),$Q460,999999)))))</f>
        <v>999999</v>
      </c>
    </row>
    <row r="461" spans="1:21" ht="15" customHeight="1">
      <c r="A461" s="21" t="s">
        <v>1068</v>
      </c>
      <c r="B461" s="21" t="s">
        <v>1069</v>
      </c>
      <c r="C461" s="21" t="s">
        <v>1066</v>
      </c>
      <c r="D461" s="21" t="s">
        <v>1067</v>
      </c>
      <c r="E461" s="21" t="s">
        <v>135</v>
      </c>
      <c r="F461" s="22">
        <v>22</v>
      </c>
      <c r="G461" s="22">
        <v>0.4</v>
      </c>
      <c r="H461" s="22">
        <v>103</v>
      </c>
      <c r="I461" s="22">
        <v>8</v>
      </c>
      <c r="J461" s="22">
        <v>1</v>
      </c>
      <c r="K461" s="22">
        <v>22</v>
      </c>
      <c r="L461" s="22">
        <v>0.4</v>
      </c>
      <c r="M461" s="22">
        <v>6</v>
      </c>
      <c r="N461" s="23" t="str">
        <f t="shared" si="49"/>
        <v>Medio</v>
      </c>
      <c r="O461" s="23" t="str">
        <f t="shared" si="50"/>
        <v>Bajo</v>
      </c>
      <c r="P461" s="23" t="str">
        <f t="shared" si="51"/>
        <v>Bajo</v>
      </c>
      <c r="Q461" s="24" t="str">
        <f t="shared" si="52"/>
        <v>N/C: no es fuente proteica</v>
      </c>
      <c r="R461" s="23" t="str">
        <f t="shared" si="53"/>
        <v>N/C</v>
      </c>
      <c r="S461" s="25" t="str">
        <f t="shared" si="54"/>
        <v>Utilizable</v>
      </c>
      <c r="T461" s="26" t="str">
        <f t="shared" si="55"/>
        <v>Jugos y Néctares|00.000.103</v>
      </c>
      <c r="U461" s="26">
        <f>IF(OR($S461&lt;&gt;"Utilizable",$C461&lt;&gt;SUSTITUCION!$C$13),999999,IF(v_prioridad="Potasio",$H461,IF(v_prioridad="Fósforo",$I461,IF(v_prioridad="Sodio",$J461,IF(ISNUMBER($Q461),$Q461,999999)))))</f>
        <v>999999</v>
      </c>
    </row>
    <row r="462" spans="1:21" ht="15" customHeight="1">
      <c r="A462" s="21" t="s">
        <v>1070</v>
      </c>
      <c r="B462" s="21" t="s">
        <v>1071</v>
      </c>
      <c r="C462" s="21" t="s">
        <v>1066</v>
      </c>
      <c r="D462" s="21" t="s">
        <v>1067</v>
      </c>
      <c r="E462" s="21" t="s">
        <v>135</v>
      </c>
      <c r="F462" s="22">
        <v>43</v>
      </c>
      <c r="G462" s="22">
        <v>0.5</v>
      </c>
      <c r="H462" s="22">
        <v>178</v>
      </c>
      <c r="I462" s="22">
        <v>14</v>
      </c>
      <c r="J462" s="22">
        <v>1</v>
      </c>
      <c r="K462" s="22">
        <v>43</v>
      </c>
      <c r="L462" s="22">
        <v>0.5</v>
      </c>
      <c r="M462" s="22">
        <v>18</v>
      </c>
      <c r="N462" s="23" t="str">
        <f t="shared" si="49"/>
        <v>Medio</v>
      </c>
      <c r="O462" s="23" t="str">
        <f t="shared" si="50"/>
        <v>Bajo</v>
      </c>
      <c r="P462" s="23" t="str">
        <f t="shared" si="51"/>
        <v>Bajo</v>
      </c>
      <c r="Q462" s="24" t="str">
        <f t="shared" si="52"/>
        <v>N/C: no es fuente proteica</v>
      </c>
      <c r="R462" s="23" t="str">
        <f t="shared" si="53"/>
        <v>N/C</v>
      </c>
      <c r="S462" s="25" t="str">
        <f t="shared" si="54"/>
        <v>Utilizable</v>
      </c>
      <c r="T462" s="26" t="str">
        <f t="shared" si="55"/>
        <v>Jugos y Néctares|00.000.178</v>
      </c>
      <c r="U462" s="26">
        <f>IF(OR($S462&lt;&gt;"Utilizable",$C462&lt;&gt;SUSTITUCION!$C$13),999999,IF(v_prioridad="Potasio",$H462,IF(v_prioridad="Fósforo",$I462,IF(v_prioridad="Sodio",$J462,IF(ISNUMBER($Q462),$Q462,999999)))))</f>
        <v>999999</v>
      </c>
    </row>
    <row r="463" spans="1:21" ht="15" customHeight="1">
      <c r="A463" s="21" t="s">
        <v>1072</v>
      </c>
      <c r="B463" s="21" t="s">
        <v>1073</v>
      </c>
      <c r="C463" s="21" t="s">
        <v>1066</v>
      </c>
      <c r="D463" s="21" t="s">
        <v>1067</v>
      </c>
      <c r="E463" s="21" t="s">
        <v>135</v>
      </c>
      <c r="F463" s="22">
        <v>45</v>
      </c>
      <c r="G463" s="22">
        <v>0</v>
      </c>
      <c r="H463" s="22" t="s">
        <v>138</v>
      </c>
      <c r="I463" s="22" t="s">
        <v>138</v>
      </c>
      <c r="J463" s="22">
        <v>14</v>
      </c>
      <c r="K463" s="22">
        <v>45</v>
      </c>
      <c r="L463" s="22">
        <v>0</v>
      </c>
      <c r="M463" s="22" t="s">
        <v>138</v>
      </c>
      <c r="N463" s="23" t="str">
        <f t="shared" si="49"/>
        <v>Sin dato</v>
      </c>
      <c r="O463" s="23" t="str">
        <f t="shared" si="50"/>
        <v>Sin dato</v>
      </c>
      <c r="P463" s="23" t="str">
        <f t="shared" si="51"/>
        <v>Bajo</v>
      </c>
      <c r="Q463" s="24" t="str">
        <f t="shared" si="52"/>
        <v>N/C</v>
      </c>
      <c r="R463" s="23" t="str">
        <f t="shared" si="53"/>
        <v>N/C</v>
      </c>
      <c r="S463" s="25" t="str">
        <f t="shared" si="54"/>
        <v>No utilizable</v>
      </c>
      <c r="T463" s="26" t="str">
        <f t="shared" si="55"/>
        <v/>
      </c>
      <c r="U463" s="26">
        <f>IF(OR($S463&lt;&gt;"Utilizable",$C463&lt;&gt;SUSTITUCION!$C$13),999999,IF(v_prioridad="Potasio",$H463,IF(v_prioridad="Fósforo",$I463,IF(v_prioridad="Sodio",$J463,IF(ISNUMBER($Q463),$Q463,999999)))))</f>
        <v>999999</v>
      </c>
    </row>
    <row r="464" spans="1:21" ht="15" customHeight="1">
      <c r="A464" s="21" t="s">
        <v>1074</v>
      </c>
      <c r="B464" s="21" t="s">
        <v>1075</v>
      </c>
      <c r="C464" s="21" t="s">
        <v>1066</v>
      </c>
      <c r="D464" s="21" t="s">
        <v>1067</v>
      </c>
      <c r="E464" s="21" t="s">
        <v>135</v>
      </c>
      <c r="F464" s="22">
        <v>45</v>
      </c>
      <c r="G464" s="22">
        <v>0.7</v>
      </c>
      <c r="H464" s="22">
        <v>200</v>
      </c>
      <c r="I464" s="22">
        <v>17</v>
      </c>
      <c r="J464" s="22">
        <v>1</v>
      </c>
      <c r="K464" s="22">
        <v>45</v>
      </c>
      <c r="L464" s="22">
        <v>0.7</v>
      </c>
      <c r="M464" s="22">
        <v>11</v>
      </c>
      <c r="N464" s="23" t="str">
        <f t="shared" si="49"/>
        <v>Medio</v>
      </c>
      <c r="O464" s="23" t="str">
        <f t="shared" si="50"/>
        <v>Bajo</v>
      </c>
      <c r="P464" s="23" t="str">
        <f t="shared" si="51"/>
        <v>Bajo</v>
      </c>
      <c r="Q464" s="24" t="str">
        <f t="shared" si="52"/>
        <v>N/C: no es fuente proteica</v>
      </c>
      <c r="R464" s="23" t="str">
        <f t="shared" si="53"/>
        <v>N/C</v>
      </c>
      <c r="S464" s="25" t="str">
        <f t="shared" si="54"/>
        <v>Utilizable</v>
      </c>
      <c r="T464" s="26" t="str">
        <f t="shared" si="55"/>
        <v>Jugos y Néctares|00.000.200</v>
      </c>
      <c r="U464" s="26">
        <f>IF(OR($S464&lt;&gt;"Utilizable",$C464&lt;&gt;SUSTITUCION!$C$13),999999,IF(v_prioridad="Potasio",$H464,IF(v_prioridad="Fósforo",$I464,IF(v_prioridad="Sodio",$J464,IF(ISNUMBER($Q464),$Q464,999999)))))</f>
        <v>999999</v>
      </c>
    </row>
    <row r="465" spans="1:21" ht="15" customHeight="1">
      <c r="A465" s="21" t="s">
        <v>1076</v>
      </c>
      <c r="B465" s="21" t="s">
        <v>1077</v>
      </c>
      <c r="C465" s="21" t="s">
        <v>1066</v>
      </c>
      <c r="D465" s="21" t="s">
        <v>1067</v>
      </c>
      <c r="E465" s="21" t="s">
        <v>135</v>
      </c>
      <c r="F465" s="22">
        <v>39</v>
      </c>
      <c r="G465" s="22">
        <v>0.5</v>
      </c>
      <c r="H465" s="22">
        <v>162</v>
      </c>
      <c r="I465" s="22">
        <v>8</v>
      </c>
      <c r="J465" s="22">
        <v>1</v>
      </c>
      <c r="K465" s="22">
        <v>39</v>
      </c>
      <c r="L465" s="22">
        <v>0.5</v>
      </c>
      <c r="M465" s="22">
        <v>10</v>
      </c>
      <c r="N465" s="23" t="str">
        <f t="shared" si="49"/>
        <v>Medio</v>
      </c>
      <c r="O465" s="23" t="str">
        <f t="shared" si="50"/>
        <v>Bajo</v>
      </c>
      <c r="P465" s="23" t="str">
        <f t="shared" si="51"/>
        <v>Bajo</v>
      </c>
      <c r="Q465" s="24" t="str">
        <f t="shared" si="52"/>
        <v>N/C: no es fuente proteica</v>
      </c>
      <c r="R465" s="23" t="str">
        <f t="shared" si="53"/>
        <v>N/C</v>
      </c>
      <c r="S465" s="25" t="str">
        <f t="shared" si="54"/>
        <v>Utilizable</v>
      </c>
      <c r="T465" s="26" t="str">
        <f t="shared" si="55"/>
        <v>Jugos y Néctares|00.000.162</v>
      </c>
      <c r="U465" s="26">
        <f>IF(OR($S465&lt;&gt;"Utilizable",$C465&lt;&gt;SUSTITUCION!$C$13),999999,IF(v_prioridad="Potasio",$H465,IF(v_prioridad="Fósforo",$I465,IF(v_prioridad="Sodio",$J465,IF(ISNUMBER($Q465),$Q465,999999)))))</f>
        <v>999999</v>
      </c>
    </row>
    <row r="466" spans="1:21" ht="15" customHeight="1">
      <c r="A466" s="21" t="s">
        <v>1078</v>
      </c>
      <c r="B466" s="21" t="s">
        <v>1079</v>
      </c>
      <c r="C466" s="21" t="s">
        <v>1066</v>
      </c>
      <c r="D466" s="21" t="s">
        <v>1067</v>
      </c>
      <c r="E466" s="21" t="s">
        <v>135</v>
      </c>
      <c r="F466" s="22">
        <v>0</v>
      </c>
      <c r="G466" s="22">
        <v>0.2</v>
      </c>
      <c r="H466" s="22" t="s">
        <v>138</v>
      </c>
      <c r="I466" s="22" t="s">
        <v>138</v>
      </c>
      <c r="J466" s="22">
        <v>6</v>
      </c>
      <c r="K466" s="22">
        <v>0</v>
      </c>
      <c r="L466" s="22">
        <v>0.2</v>
      </c>
      <c r="M466" s="22" t="s">
        <v>138</v>
      </c>
      <c r="N466" s="23" t="str">
        <f t="shared" si="49"/>
        <v>Sin dato</v>
      </c>
      <c r="O466" s="23" t="str">
        <f t="shared" si="50"/>
        <v>Sin dato</v>
      </c>
      <c r="P466" s="23" t="str">
        <f t="shared" si="51"/>
        <v>Bajo</v>
      </c>
      <c r="Q466" s="24" t="str">
        <f t="shared" si="52"/>
        <v>N/C</v>
      </c>
      <c r="R466" s="23" t="str">
        <f t="shared" si="53"/>
        <v>N/C</v>
      </c>
      <c r="S466" s="25" t="str">
        <f t="shared" si="54"/>
        <v>No utilizable</v>
      </c>
      <c r="T466" s="26" t="str">
        <f t="shared" si="55"/>
        <v/>
      </c>
      <c r="U466" s="26">
        <f>IF(OR($S466&lt;&gt;"Utilizable",$C466&lt;&gt;SUSTITUCION!$C$13),999999,IF(v_prioridad="Potasio",$H466,IF(v_prioridad="Fósforo",$I466,IF(v_prioridad="Sodio",$J466,IF(ISNUMBER($Q466),$Q466,999999)))))</f>
        <v>999999</v>
      </c>
    </row>
    <row r="467" spans="1:21" ht="15" customHeight="1">
      <c r="A467" s="21" t="s">
        <v>1080</v>
      </c>
      <c r="B467" s="21" t="s">
        <v>1081</v>
      </c>
      <c r="C467" s="21" t="s">
        <v>1066</v>
      </c>
      <c r="D467" s="21" t="s">
        <v>1067</v>
      </c>
      <c r="E467" s="21" t="s">
        <v>135</v>
      </c>
      <c r="F467" s="22">
        <v>54</v>
      </c>
      <c r="G467" s="22">
        <v>0.1</v>
      </c>
      <c r="H467" s="22" t="s">
        <v>138</v>
      </c>
      <c r="I467" s="22" t="s">
        <v>138</v>
      </c>
      <c r="J467" s="22">
        <v>8</v>
      </c>
      <c r="K467" s="22">
        <v>54</v>
      </c>
      <c r="L467" s="22">
        <v>0.1</v>
      </c>
      <c r="M467" s="22" t="s">
        <v>138</v>
      </c>
      <c r="N467" s="23" t="str">
        <f t="shared" si="49"/>
        <v>Sin dato</v>
      </c>
      <c r="O467" s="23" t="str">
        <f t="shared" si="50"/>
        <v>Sin dato</v>
      </c>
      <c r="P467" s="23" t="str">
        <f t="shared" si="51"/>
        <v>Bajo</v>
      </c>
      <c r="Q467" s="24" t="str">
        <f t="shared" si="52"/>
        <v>N/C</v>
      </c>
      <c r="R467" s="23" t="str">
        <f t="shared" si="53"/>
        <v>N/C</v>
      </c>
      <c r="S467" s="25" t="str">
        <f t="shared" si="54"/>
        <v>No utilizable</v>
      </c>
      <c r="T467" s="26" t="str">
        <f t="shared" si="55"/>
        <v/>
      </c>
      <c r="U467" s="26">
        <f>IF(OR($S467&lt;&gt;"Utilizable",$C467&lt;&gt;SUSTITUCION!$C$13),999999,IF(v_prioridad="Potasio",$H467,IF(v_prioridad="Fósforo",$I467,IF(v_prioridad="Sodio",$J467,IF(ISNUMBER($Q467),$Q467,999999)))))</f>
        <v>999999</v>
      </c>
    </row>
    <row r="468" spans="1:21" ht="15" customHeight="1">
      <c r="A468" s="21" t="s">
        <v>1082</v>
      </c>
      <c r="B468" s="21" t="s">
        <v>1083</v>
      </c>
      <c r="C468" s="21" t="s">
        <v>1066</v>
      </c>
      <c r="D468" s="21" t="s">
        <v>1067</v>
      </c>
      <c r="E468" s="21" t="s">
        <v>135</v>
      </c>
      <c r="F468" s="22">
        <v>24</v>
      </c>
      <c r="G468" s="22">
        <v>0.3</v>
      </c>
      <c r="H468" s="22" t="s">
        <v>138</v>
      </c>
      <c r="I468" s="22" t="s">
        <v>138</v>
      </c>
      <c r="J468" s="22">
        <v>20</v>
      </c>
      <c r="K468" s="22">
        <v>24</v>
      </c>
      <c r="L468" s="22">
        <v>0.3</v>
      </c>
      <c r="M468" s="22" t="s">
        <v>138</v>
      </c>
      <c r="N468" s="23" t="str">
        <f t="shared" si="49"/>
        <v>Sin dato</v>
      </c>
      <c r="O468" s="23" t="str">
        <f t="shared" si="50"/>
        <v>Sin dato</v>
      </c>
      <c r="P468" s="23" t="str">
        <f t="shared" si="51"/>
        <v>Bajo</v>
      </c>
      <c r="Q468" s="24" t="str">
        <f t="shared" si="52"/>
        <v>N/C</v>
      </c>
      <c r="R468" s="23" t="str">
        <f t="shared" si="53"/>
        <v>N/C</v>
      </c>
      <c r="S468" s="25" t="str">
        <f t="shared" si="54"/>
        <v>No utilizable</v>
      </c>
      <c r="T468" s="26" t="str">
        <f t="shared" si="55"/>
        <v/>
      </c>
      <c r="U468" s="26">
        <f>IF(OR($S468&lt;&gt;"Utilizable",$C468&lt;&gt;SUSTITUCION!$C$13),999999,IF(v_prioridad="Potasio",$H468,IF(v_prioridad="Fósforo",$I468,IF(v_prioridad="Sodio",$J468,IF(ISNUMBER($Q468),$Q468,999999)))))</f>
        <v>999999</v>
      </c>
    </row>
    <row r="469" spans="1:21" ht="15" customHeight="1">
      <c r="A469" s="21" t="s">
        <v>1084</v>
      </c>
      <c r="B469" s="21" t="s">
        <v>1085</v>
      </c>
      <c r="C469" s="21" t="s">
        <v>1066</v>
      </c>
      <c r="D469" s="21" t="s">
        <v>1067</v>
      </c>
      <c r="E469" s="21" t="s">
        <v>135</v>
      </c>
      <c r="F469" s="22">
        <v>57</v>
      </c>
      <c r="G469" s="22">
        <v>0.1</v>
      </c>
      <c r="H469" s="22" t="s">
        <v>138</v>
      </c>
      <c r="I469" s="22" t="s">
        <v>138</v>
      </c>
      <c r="J469" s="22">
        <v>8</v>
      </c>
      <c r="K469" s="22">
        <v>57</v>
      </c>
      <c r="L469" s="22">
        <v>0.1</v>
      </c>
      <c r="M469" s="22" t="s">
        <v>138</v>
      </c>
      <c r="N469" s="23" t="str">
        <f t="shared" si="49"/>
        <v>Sin dato</v>
      </c>
      <c r="O469" s="23" t="str">
        <f t="shared" si="50"/>
        <v>Sin dato</v>
      </c>
      <c r="P469" s="23" t="str">
        <f t="shared" si="51"/>
        <v>Bajo</v>
      </c>
      <c r="Q469" s="24" t="str">
        <f t="shared" si="52"/>
        <v>N/C</v>
      </c>
      <c r="R469" s="23" t="str">
        <f t="shared" si="53"/>
        <v>N/C</v>
      </c>
      <c r="S469" s="25" t="str">
        <f t="shared" si="54"/>
        <v>No utilizable</v>
      </c>
      <c r="T469" s="26" t="str">
        <f t="shared" si="55"/>
        <v/>
      </c>
      <c r="U469" s="26">
        <f>IF(OR($S469&lt;&gt;"Utilizable",$C469&lt;&gt;SUSTITUCION!$C$13),999999,IF(v_prioridad="Potasio",$H469,IF(v_prioridad="Fósforo",$I469,IF(v_prioridad="Sodio",$J469,IF(ISNUMBER($Q469),$Q469,999999)))))</f>
        <v>999999</v>
      </c>
    </row>
    <row r="470" spans="1:21" ht="15" customHeight="1">
      <c r="A470" s="21" t="s">
        <v>1086</v>
      </c>
      <c r="B470" s="21" t="s">
        <v>1087</v>
      </c>
      <c r="C470" s="21" t="s">
        <v>1066</v>
      </c>
      <c r="D470" s="21" t="s">
        <v>1067</v>
      </c>
      <c r="E470" s="21" t="s">
        <v>135</v>
      </c>
      <c r="F470" s="22">
        <v>43</v>
      </c>
      <c r="G470" s="22">
        <v>0.1</v>
      </c>
      <c r="H470" s="22" t="s">
        <v>138</v>
      </c>
      <c r="I470" s="22" t="s">
        <v>138</v>
      </c>
      <c r="J470" s="22">
        <v>10</v>
      </c>
      <c r="K470" s="22">
        <v>43</v>
      </c>
      <c r="L470" s="22">
        <v>0.1</v>
      </c>
      <c r="M470" s="22" t="s">
        <v>138</v>
      </c>
      <c r="N470" s="23" t="str">
        <f t="shared" si="49"/>
        <v>Sin dato</v>
      </c>
      <c r="O470" s="23" t="str">
        <f t="shared" si="50"/>
        <v>Sin dato</v>
      </c>
      <c r="P470" s="23" t="str">
        <f t="shared" si="51"/>
        <v>Bajo</v>
      </c>
      <c r="Q470" s="24" t="str">
        <f t="shared" si="52"/>
        <v>N/C</v>
      </c>
      <c r="R470" s="23" t="str">
        <f t="shared" si="53"/>
        <v>N/C</v>
      </c>
      <c r="S470" s="25" t="str">
        <f t="shared" si="54"/>
        <v>No utilizable</v>
      </c>
      <c r="T470" s="26" t="str">
        <f t="shared" si="55"/>
        <v/>
      </c>
      <c r="U470" s="26">
        <f>IF(OR($S470&lt;&gt;"Utilizable",$C470&lt;&gt;SUSTITUCION!$C$13),999999,IF(v_prioridad="Potasio",$H470,IF(v_prioridad="Fósforo",$I470,IF(v_prioridad="Sodio",$J470,IF(ISNUMBER($Q470),$Q470,999999)))))</f>
        <v>999999</v>
      </c>
    </row>
    <row r="471" spans="1:21" ht="15" customHeight="1">
      <c r="A471" s="21" t="s">
        <v>1088</v>
      </c>
      <c r="B471" s="21" t="s">
        <v>1089</v>
      </c>
      <c r="C471" s="21" t="s">
        <v>1066</v>
      </c>
      <c r="D471" s="21" t="s">
        <v>1067</v>
      </c>
      <c r="E471" s="21" t="s">
        <v>135</v>
      </c>
      <c r="F471" s="22">
        <v>45</v>
      </c>
      <c r="G471" s="22">
        <v>0.2</v>
      </c>
      <c r="H471" s="22" t="s">
        <v>138</v>
      </c>
      <c r="I471" s="22" t="s">
        <v>138</v>
      </c>
      <c r="J471" s="22">
        <v>1</v>
      </c>
      <c r="K471" s="22">
        <v>45</v>
      </c>
      <c r="L471" s="22">
        <v>0.2</v>
      </c>
      <c r="M471" s="22" t="s">
        <v>138</v>
      </c>
      <c r="N471" s="23" t="str">
        <f t="shared" si="49"/>
        <v>Sin dato</v>
      </c>
      <c r="O471" s="23" t="str">
        <f t="shared" si="50"/>
        <v>Sin dato</v>
      </c>
      <c r="P471" s="23" t="str">
        <f t="shared" si="51"/>
        <v>Bajo</v>
      </c>
      <c r="Q471" s="24" t="str">
        <f t="shared" si="52"/>
        <v>N/C</v>
      </c>
      <c r="R471" s="23" t="str">
        <f t="shared" si="53"/>
        <v>N/C</v>
      </c>
      <c r="S471" s="25" t="str">
        <f t="shared" si="54"/>
        <v>No utilizable</v>
      </c>
      <c r="T471" s="26" t="str">
        <f t="shared" si="55"/>
        <v/>
      </c>
      <c r="U471" s="26">
        <f>IF(OR($S471&lt;&gt;"Utilizable",$C471&lt;&gt;SUSTITUCION!$C$13),999999,IF(v_prioridad="Potasio",$H471,IF(v_prioridad="Fósforo",$I471,IF(v_prioridad="Sodio",$J471,IF(ISNUMBER($Q471),$Q471,999999)))))</f>
        <v>999999</v>
      </c>
    </row>
    <row r="472" spans="1:21" ht="15" customHeight="1">
      <c r="A472" s="21" t="s">
        <v>1090</v>
      </c>
      <c r="B472" s="21" t="s">
        <v>1091</v>
      </c>
      <c r="C472" s="21" t="s">
        <v>1066</v>
      </c>
      <c r="D472" s="21" t="s">
        <v>1067</v>
      </c>
      <c r="E472" s="21" t="s">
        <v>135</v>
      </c>
      <c r="F472" s="22">
        <v>9</v>
      </c>
      <c r="G472" s="22" t="s">
        <v>138</v>
      </c>
      <c r="H472" s="22" t="s">
        <v>138</v>
      </c>
      <c r="I472" s="22" t="s">
        <v>138</v>
      </c>
      <c r="J472" s="22">
        <v>12</v>
      </c>
      <c r="K472" s="22">
        <v>9</v>
      </c>
      <c r="L472" s="22" t="s">
        <v>138</v>
      </c>
      <c r="M472" s="22" t="s">
        <v>138</v>
      </c>
      <c r="N472" s="23" t="str">
        <f t="shared" si="49"/>
        <v>Sin dato</v>
      </c>
      <c r="O472" s="23" t="str">
        <f t="shared" si="50"/>
        <v>Sin dato</v>
      </c>
      <c r="P472" s="23" t="str">
        <f t="shared" si="51"/>
        <v>Bajo</v>
      </c>
      <c r="Q472" s="24" t="str">
        <f t="shared" si="52"/>
        <v>N/C</v>
      </c>
      <c r="R472" s="23" t="str">
        <f t="shared" si="53"/>
        <v>N/C</v>
      </c>
      <c r="S472" s="25" t="str">
        <f t="shared" si="54"/>
        <v>No utilizable</v>
      </c>
      <c r="T472" s="26" t="str">
        <f t="shared" si="55"/>
        <v/>
      </c>
      <c r="U472" s="26">
        <f>IF(OR($S472&lt;&gt;"Utilizable",$C472&lt;&gt;SUSTITUCION!$C$13),999999,IF(v_prioridad="Potasio",$H472,IF(v_prioridad="Fósforo",$I472,IF(v_prioridad="Sodio",$J472,IF(ISNUMBER($Q472),$Q472,999999)))))</f>
        <v>999999</v>
      </c>
    </row>
    <row r="473" spans="1:21" ht="15" customHeight="1">
      <c r="A473" s="21" t="s">
        <v>1092</v>
      </c>
      <c r="B473" s="21" t="s">
        <v>1093</v>
      </c>
      <c r="C473" s="21" t="s">
        <v>1066</v>
      </c>
      <c r="D473" s="21" t="s">
        <v>1067</v>
      </c>
      <c r="E473" s="21" t="s">
        <v>135</v>
      </c>
      <c r="F473" s="22">
        <v>53</v>
      </c>
      <c r="G473" s="22">
        <v>0.4</v>
      </c>
      <c r="H473" s="22" t="s">
        <v>138</v>
      </c>
      <c r="I473" s="22" t="s">
        <v>138</v>
      </c>
      <c r="J473" s="22">
        <v>35</v>
      </c>
      <c r="K473" s="22">
        <v>53</v>
      </c>
      <c r="L473" s="22">
        <v>0.4</v>
      </c>
      <c r="M473" s="22" t="s">
        <v>138</v>
      </c>
      <c r="N473" s="23" t="str">
        <f t="shared" si="49"/>
        <v>Sin dato</v>
      </c>
      <c r="O473" s="23" t="str">
        <f t="shared" si="50"/>
        <v>Sin dato</v>
      </c>
      <c r="P473" s="23" t="str">
        <f t="shared" si="51"/>
        <v>Bajo</v>
      </c>
      <c r="Q473" s="24" t="str">
        <f t="shared" si="52"/>
        <v>N/C</v>
      </c>
      <c r="R473" s="23" t="str">
        <f t="shared" si="53"/>
        <v>N/C</v>
      </c>
      <c r="S473" s="25" t="str">
        <f t="shared" si="54"/>
        <v>No utilizable</v>
      </c>
      <c r="T473" s="26" t="str">
        <f t="shared" si="55"/>
        <v/>
      </c>
      <c r="U473" s="26">
        <f>IF(OR($S473&lt;&gt;"Utilizable",$C473&lt;&gt;SUSTITUCION!$C$13),999999,IF(v_prioridad="Potasio",$H473,IF(v_prioridad="Fósforo",$I473,IF(v_prioridad="Sodio",$J473,IF(ISNUMBER($Q473),$Q473,999999)))))</f>
        <v>999999</v>
      </c>
    </row>
    <row r="474" spans="1:21" ht="15" customHeight="1">
      <c r="A474" s="21" t="s">
        <v>1094</v>
      </c>
      <c r="B474" s="21" t="s">
        <v>1095</v>
      </c>
      <c r="C474" s="21" t="s">
        <v>1096</v>
      </c>
      <c r="D474" s="21" t="s">
        <v>1097</v>
      </c>
      <c r="E474" s="21" t="s">
        <v>135</v>
      </c>
      <c r="F474" s="22">
        <v>366</v>
      </c>
      <c r="G474" s="22">
        <v>0</v>
      </c>
      <c r="H474" s="22" t="s">
        <v>138</v>
      </c>
      <c r="I474" s="22" t="s">
        <v>138</v>
      </c>
      <c r="J474" s="22">
        <v>1500</v>
      </c>
      <c r="K474" s="22">
        <v>366</v>
      </c>
      <c r="L474" s="22">
        <v>0</v>
      </c>
      <c r="M474" s="22" t="s">
        <v>138</v>
      </c>
      <c r="N474" s="23" t="str">
        <f t="shared" si="49"/>
        <v>Sin dato</v>
      </c>
      <c r="O474" s="23" t="str">
        <f t="shared" si="50"/>
        <v>Sin dato</v>
      </c>
      <c r="P474" s="23" t="str">
        <f t="shared" si="51"/>
        <v>Muy alto</v>
      </c>
      <c r="Q474" s="24" t="str">
        <f t="shared" si="52"/>
        <v>N/C</v>
      </c>
      <c r="R474" s="23" t="str">
        <f t="shared" si="53"/>
        <v>N/C</v>
      </c>
      <c r="S474" s="25" t="str">
        <f t="shared" si="54"/>
        <v>No utilizable</v>
      </c>
      <c r="T474" s="26" t="str">
        <f t="shared" si="55"/>
        <v/>
      </c>
      <c r="U474" s="26">
        <f>IF(OR($S474&lt;&gt;"Utilizable",$C474&lt;&gt;SUSTITUCION!$C$13),999999,IF(v_prioridad="Potasio",$H474,IF(v_prioridad="Fósforo",$I474,IF(v_prioridad="Sodio",$J474,IF(ISNUMBER($Q474),$Q474,999999)))))</f>
        <v>999999</v>
      </c>
    </row>
    <row r="475" spans="1:21" ht="15" customHeight="1">
      <c r="A475" s="21" t="s">
        <v>1098</v>
      </c>
      <c r="B475" s="21" t="s">
        <v>1099</v>
      </c>
      <c r="C475" s="21" t="s">
        <v>1096</v>
      </c>
      <c r="D475" s="21" t="s">
        <v>1097</v>
      </c>
      <c r="E475" s="21" t="s">
        <v>135</v>
      </c>
      <c r="F475" s="22">
        <v>12</v>
      </c>
      <c r="G475" s="22">
        <v>0.3</v>
      </c>
      <c r="H475" s="22" t="s">
        <v>138</v>
      </c>
      <c r="I475" s="22" t="s">
        <v>138</v>
      </c>
      <c r="J475" s="22" t="s">
        <v>138</v>
      </c>
      <c r="K475" s="22">
        <v>12</v>
      </c>
      <c r="L475" s="22">
        <v>0.3</v>
      </c>
      <c r="M475" s="22" t="s">
        <v>138</v>
      </c>
      <c r="N475" s="23" t="str">
        <f t="shared" si="49"/>
        <v>Sin dato</v>
      </c>
      <c r="O475" s="23" t="str">
        <f t="shared" si="50"/>
        <v>Sin dato</v>
      </c>
      <c r="P475" s="23" t="str">
        <f t="shared" si="51"/>
        <v>Sin dato</v>
      </c>
      <c r="Q475" s="24" t="str">
        <f t="shared" si="52"/>
        <v>N/C</v>
      </c>
      <c r="R475" s="23" t="str">
        <f t="shared" si="53"/>
        <v>N/C</v>
      </c>
      <c r="S475" s="25" t="str">
        <f t="shared" si="54"/>
        <v>No utilizable</v>
      </c>
      <c r="T475" s="26" t="str">
        <f t="shared" si="55"/>
        <v/>
      </c>
      <c r="U475" s="26">
        <f>IF(OR($S475&lt;&gt;"Utilizable",$C475&lt;&gt;SUSTITUCION!$C$13),999999,IF(v_prioridad="Potasio",$H475,IF(v_prioridad="Fósforo",$I475,IF(v_prioridad="Sodio",$J475,IF(ISNUMBER($Q475),$Q475,999999)))))</f>
        <v>999999</v>
      </c>
    </row>
    <row r="476" spans="1:21" ht="15" customHeight="1">
      <c r="A476" s="21" t="s">
        <v>1100</v>
      </c>
      <c r="B476" s="21" t="s">
        <v>1101</v>
      </c>
      <c r="C476" s="21" t="s">
        <v>1096</v>
      </c>
      <c r="D476" s="21" t="s">
        <v>1097</v>
      </c>
      <c r="E476" s="21" t="s">
        <v>135</v>
      </c>
      <c r="F476" s="22">
        <v>125</v>
      </c>
      <c r="G476" s="22">
        <v>0</v>
      </c>
      <c r="H476" s="22" t="s">
        <v>138</v>
      </c>
      <c r="I476" s="22" t="s">
        <v>138</v>
      </c>
      <c r="J476" s="22" t="s">
        <v>138</v>
      </c>
      <c r="K476" s="22">
        <v>125</v>
      </c>
      <c r="L476" s="22">
        <v>0</v>
      </c>
      <c r="M476" s="22" t="s">
        <v>138</v>
      </c>
      <c r="N476" s="23" t="str">
        <f t="shared" si="49"/>
        <v>Sin dato</v>
      </c>
      <c r="O476" s="23" t="str">
        <f t="shared" si="50"/>
        <v>Sin dato</v>
      </c>
      <c r="P476" s="23" t="str">
        <f t="shared" si="51"/>
        <v>Sin dato</v>
      </c>
      <c r="Q476" s="24" t="str">
        <f t="shared" si="52"/>
        <v>N/C</v>
      </c>
      <c r="R476" s="23" t="str">
        <f t="shared" si="53"/>
        <v>N/C</v>
      </c>
      <c r="S476" s="25" t="str">
        <f t="shared" si="54"/>
        <v>No utilizable</v>
      </c>
      <c r="T476" s="26" t="str">
        <f t="shared" si="55"/>
        <v/>
      </c>
      <c r="U476" s="26">
        <f>IF(OR($S476&lt;&gt;"Utilizable",$C476&lt;&gt;SUSTITUCION!$C$13),999999,IF(v_prioridad="Potasio",$H476,IF(v_prioridad="Fósforo",$I476,IF(v_prioridad="Sodio",$J476,IF(ISNUMBER($Q476),$Q476,999999)))))</f>
        <v>999999</v>
      </c>
    </row>
    <row r="477" spans="1:21" ht="15" customHeight="1">
      <c r="A477" s="21" t="s">
        <v>1102</v>
      </c>
      <c r="B477" s="21" t="s">
        <v>1103</v>
      </c>
      <c r="C477" s="21" t="s">
        <v>1096</v>
      </c>
      <c r="D477" s="21" t="s">
        <v>1097</v>
      </c>
      <c r="E477" s="21" t="s">
        <v>135</v>
      </c>
      <c r="F477" s="22">
        <v>12</v>
      </c>
      <c r="G477" s="22">
        <v>0</v>
      </c>
      <c r="H477" s="22" t="s">
        <v>138</v>
      </c>
      <c r="I477" s="22" t="s">
        <v>138</v>
      </c>
      <c r="J477" s="22" t="s">
        <v>138</v>
      </c>
      <c r="K477" s="22">
        <v>12</v>
      </c>
      <c r="L477" s="22">
        <v>0</v>
      </c>
      <c r="M477" s="22" t="s">
        <v>138</v>
      </c>
      <c r="N477" s="23" t="str">
        <f t="shared" si="49"/>
        <v>Sin dato</v>
      </c>
      <c r="O477" s="23" t="str">
        <f t="shared" si="50"/>
        <v>Sin dato</v>
      </c>
      <c r="P477" s="23" t="str">
        <f t="shared" si="51"/>
        <v>Sin dato</v>
      </c>
      <c r="Q477" s="24" t="str">
        <f t="shared" si="52"/>
        <v>N/C</v>
      </c>
      <c r="R477" s="23" t="str">
        <f t="shared" si="53"/>
        <v>N/C</v>
      </c>
      <c r="S477" s="25" t="str">
        <f t="shared" si="54"/>
        <v>No utilizable</v>
      </c>
      <c r="T477" s="26" t="str">
        <f t="shared" si="55"/>
        <v/>
      </c>
      <c r="U477" s="26">
        <f>IF(OR($S477&lt;&gt;"Utilizable",$C477&lt;&gt;SUSTITUCION!$C$13),999999,IF(v_prioridad="Potasio",$H477,IF(v_prioridad="Fósforo",$I477,IF(v_prioridad="Sodio",$J477,IF(ISNUMBER($Q477),$Q477,999999)))))</f>
        <v>999999</v>
      </c>
    </row>
    <row r="478" spans="1:21" ht="15" customHeight="1">
      <c r="A478" s="21" t="s">
        <v>1104</v>
      </c>
      <c r="B478" s="21" t="s">
        <v>1105</v>
      </c>
      <c r="C478" s="21" t="s">
        <v>1106</v>
      </c>
      <c r="D478" s="21" t="s">
        <v>1107</v>
      </c>
      <c r="E478" s="21" t="s">
        <v>135</v>
      </c>
      <c r="F478" s="22">
        <v>0</v>
      </c>
      <c r="G478" s="22">
        <v>0</v>
      </c>
      <c r="H478" s="22">
        <v>0</v>
      </c>
      <c r="I478" s="22">
        <v>0</v>
      </c>
      <c r="J478" s="22">
        <v>0</v>
      </c>
      <c r="K478" s="22">
        <v>0</v>
      </c>
      <c r="L478" s="22">
        <v>0</v>
      </c>
      <c r="M478" s="22">
        <v>1</v>
      </c>
      <c r="N478" s="23" t="str">
        <f t="shared" si="49"/>
        <v>Bajo</v>
      </c>
      <c r="O478" s="23" t="str">
        <f t="shared" si="50"/>
        <v>Bajo</v>
      </c>
      <c r="P478" s="23" t="str">
        <f t="shared" si="51"/>
        <v>Bajo</v>
      </c>
      <c r="Q478" s="24" t="str">
        <f t="shared" si="52"/>
        <v>N/C: no es fuente proteica</v>
      </c>
      <c r="R478" s="23" t="str">
        <f t="shared" si="53"/>
        <v>N/C</v>
      </c>
      <c r="S478" s="25" t="str">
        <f t="shared" si="54"/>
        <v>Utilizable</v>
      </c>
      <c r="T478" s="26" t="str">
        <f t="shared" si="55"/>
        <v>bebidas|00.000.000</v>
      </c>
      <c r="U478" s="26">
        <f>IF(OR($S478&lt;&gt;"Utilizable",$C478&lt;&gt;SUSTITUCION!$C$13),999999,IF(v_prioridad="Potasio",$H478,IF(v_prioridad="Fósforo",$I478,IF(v_prioridad="Sodio",$J478,IF(ISNUMBER($Q478),$Q478,999999)))))</f>
        <v>999999</v>
      </c>
    </row>
    <row r="479" spans="1:21" ht="15" customHeight="1">
      <c r="A479" s="21" t="s">
        <v>1108</v>
      </c>
      <c r="B479" s="21" t="s">
        <v>1109</v>
      </c>
      <c r="C479" s="21" t="s">
        <v>1106</v>
      </c>
      <c r="D479" s="21" t="s">
        <v>1107</v>
      </c>
      <c r="E479" s="21" t="s">
        <v>135</v>
      </c>
      <c r="F479" s="22">
        <v>0</v>
      </c>
      <c r="G479" s="22">
        <v>0</v>
      </c>
      <c r="H479" s="22">
        <v>0</v>
      </c>
      <c r="I479" s="22">
        <v>0</v>
      </c>
      <c r="J479" s="22">
        <v>11</v>
      </c>
      <c r="K479" s="22">
        <v>0</v>
      </c>
      <c r="L479" s="22">
        <v>0</v>
      </c>
      <c r="M479" s="22">
        <v>1</v>
      </c>
      <c r="N479" s="23" t="str">
        <f t="shared" si="49"/>
        <v>Bajo</v>
      </c>
      <c r="O479" s="23" t="str">
        <f t="shared" si="50"/>
        <v>Bajo</v>
      </c>
      <c r="P479" s="23" t="str">
        <f t="shared" si="51"/>
        <v>Bajo</v>
      </c>
      <c r="Q479" s="24" t="str">
        <f t="shared" si="52"/>
        <v>N/C: no es fuente proteica</v>
      </c>
      <c r="R479" s="23" t="str">
        <f t="shared" si="53"/>
        <v>N/C</v>
      </c>
      <c r="S479" s="25" t="str">
        <f t="shared" si="54"/>
        <v>Utilizable</v>
      </c>
      <c r="T479" s="26" t="str">
        <f t="shared" si="55"/>
        <v>bebidas|00.000.000</v>
      </c>
      <c r="U479" s="26">
        <f>IF(OR($S479&lt;&gt;"Utilizable",$C479&lt;&gt;SUSTITUCION!$C$13),999999,IF(v_prioridad="Potasio",$H479,IF(v_prioridad="Fósforo",$I479,IF(v_prioridad="Sodio",$J479,IF(ISNUMBER($Q479),$Q479,999999)))))</f>
        <v>999999</v>
      </c>
    </row>
    <row r="480" spans="1:21" ht="15" customHeight="1">
      <c r="A480" s="21" t="s">
        <v>1110</v>
      </c>
      <c r="B480" s="21" t="s">
        <v>1111</v>
      </c>
      <c r="C480" s="21" t="s">
        <v>1106</v>
      </c>
      <c r="D480" s="21" t="s">
        <v>1107</v>
      </c>
      <c r="E480" s="21" t="s">
        <v>135</v>
      </c>
      <c r="F480" s="22">
        <v>42</v>
      </c>
      <c r="G480" s="22">
        <v>0.5</v>
      </c>
      <c r="H480" s="22" t="s">
        <v>138</v>
      </c>
      <c r="I480" s="22" t="s">
        <v>138</v>
      </c>
      <c r="J480" s="22">
        <v>6</v>
      </c>
      <c r="K480" s="22">
        <v>42</v>
      </c>
      <c r="L480" s="22">
        <v>0.5</v>
      </c>
      <c r="M480" s="22">
        <v>0</v>
      </c>
      <c r="N480" s="23" t="str">
        <f t="shared" si="49"/>
        <v>Sin dato</v>
      </c>
      <c r="O480" s="23" t="str">
        <f t="shared" si="50"/>
        <v>Sin dato</v>
      </c>
      <c r="P480" s="23" t="str">
        <f t="shared" si="51"/>
        <v>Bajo</v>
      </c>
      <c r="Q480" s="24" t="str">
        <f t="shared" si="52"/>
        <v>N/C</v>
      </c>
      <c r="R480" s="23" t="str">
        <f t="shared" si="53"/>
        <v>N/C</v>
      </c>
      <c r="S480" s="25" t="str">
        <f t="shared" si="54"/>
        <v>No utilizable</v>
      </c>
      <c r="T480" s="26" t="str">
        <f t="shared" si="55"/>
        <v/>
      </c>
      <c r="U480" s="26">
        <f>IF(OR($S480&lt;&gt;"Utilizable",$C480&lt;&gt;SUSTITUCION!$C$13),999999,IF(v_prioridad="Potasio",$H480,IF(v_prioridad="Fósforo",$I480,IF(v_prioridad="Sodio",$J480,IF(ISNUMBER($Q480),$Q480,999999)))))</f>
        <v>999999</v>
      </c>
    </row>
    <row r="481" spans="1:21" ht="15" customHeight="1">
      <c r="A481" s="21" t="s">
        <v>1112</v>
      </c>
      <c r="B481" s="21" t="s">
        <v>1113</v>
      </c>
      <c r="C481" s="21" t="s">
        <v>1106</v>
      </c>
      <c r="D481" s="21" t="s">
        <v>1107</v>
      </c>
      <c r="E481" s="21" t="s">
        <v>135</v>
      </c>
      <c r="F481" s="22">
        <v>0</v>
      </c>
      <c r="G481" s="22">
        <v>0</v>
      </c>
      <c r="H481" s="22">
        <v>0</v>
      </c>
      <c r="I481" s="22">
        <v>0</v>
      </c>
      <c r="J481" s="22">
        <v>11</v>
      </c>
      <c r="K481" s="22">
        <v>0</v>
      </c>
      <c r="L481" s="22">
        <v>0</v>
      </c>
      <c r="M481" s="22">
        <v>6</v>
      </c>
      <c r="N481" s="23" t="str">
        <f t="shared" si="49"/>
        <v>Bajo</v>
      </c>
      <c r="O481" s="23" t="str">
        <f t="shared" si="50"/>
        <v>Bajo</v>
      </c>
      <c r="P481" s="23" t="str">
        <f t="shared" si="51"/>
        <v>Bajo</v>
      </c>
      <c r="Q481" s="24" t="str">
        <f t="shared" si="52"/>
        <v>N/C: no es fuente proteica</v>
      </c>
      <c r="R481" s="23" t="str">
        <f t="shared" si="53"/>
        <v>N/C</v>
      </c>
      <c r="S481" s="25" t="str">
        <f t="shared" si="54"/>
        <v>Utilizable</v>
      </c>
      <c r="T481" s="26" t="str">
        <f t="shared" si="55"/>
        <v>bebidas|00.000.000</v>
      </c>
      <c r="U481" s="26">
        <f>IF(OR($S481&lt;&gt;"Utilizable",$C481&lt;&gt;SUSTITUCION!$C$13),999999,IF(v_prioridad="Potasio",$H481,IF(v_prioridad="Fósforo",$I481,IF(v_prioridad="Sodio",$J481,IF(ISNUMBER($Q481),$Q481,999999)))))</f>
        <v>999999</v>
      </c>
    </row>
    <row r="482" spans="1:21" ht="15" customHeight="1">
      <c r="A482" s="21" t="s">
        <v>1114</v>
      </c>
      <c r="B482" s="21" t="s">
        <v>1115</v>
      </c>
      <c r="C482" s="21" t="s">
        <v>1106</v>
      </c>
      <c r="D482" s="21" t="s">
        <v>1107</v>
      </c>
      <c r="E482" s="21" t="s">
        <v>135</v>
      </c>
      <c r="F482" s="22">
        <v>46</v>
      </c>
      <c r="G482" s="22">
        <v>0</v>
      </c>
      <c r="H482" s="22">
        <v>0</v>
      </c>
      <c r="I482" s="22">
        <v>0</v>
      </c>
      <c r="J482" s="22">
        <v>2</v>
      </c>
      <c r="K482" s="22">
        <v>46</v>
      </c>
      <c r="L482" s="22">
        <v>0</v>
      </c>
      <c r="M482" s="22">
        <v>2</v>
      </c>
      <c r="N482" s="23" t="str">
        <f t="shared" si="49"/>
        <v>Bajo</v>
      </c>
      <c r="O482" s="23" t="str">
        <f t="shared" si="50"/>
        <v>Bajo</v>
      </c>
      <c r="P482" s="23" t="str">
        <f t="shared" si="51"/>
        <v>Bajo</v>
      </c>
      <c r="Q482" s="24" t="str">
        <f t="shared" si="52"/>
        <v>N/C: no es fuente proteica</v>
      </c>
      <c r="R482" s="23" t="str">
        <f t="shared" si="53"/>
        <v>N/C</v>
      </c>
      <c r="S482" s="25" t="str">
        <f t="shared" si="54"/>
        <v>Utilizable</v>
      </c>
      <c r="T482" s="26" t="str">
        <f t="shared" si="55"/>
        <v>bebidas|00.000.000</v>
      </c>
      <c r="U482" s="26">
        <f>IF(OR($S482&lt;&gt;"Utilizable",$C482&lt;&gt;SUSTITUCION!$C$13),999999,IF(v_prioridad="Potasio",$H482,IF(v_prioridad="Fósforo",$I482,IF(v_prioridad="Sodio",$J482,IF(ISNUMBER($Q482),$Q482,999999)))))</f>
        <v>999999</v>
      </c>
    </row>
    <row r="483" spans="1:21" ht="15" customHeight="1">
      <c r="A483" s="21" t="s">
        <v>1116</v>
      </c>
      <c r="B483" s="21" t="s">
        <v>1117</v>
      </c>
      <c r="C483" s="21" t="s">
        <v>1106</v>
      </c>
      <c r="D483" s="21" t="s">
        <v>1107</v>
      </c>
      <c r="E483" s="21" t="s">
        <v>135</v>
      </c>
      <c r="F483" s="22">
        <v>48</v>
      </c>
      <c r="G483" s="22">
        <v>0</v>
      </c>
      <c r="H483" s="22">
        <v>0</v>
      </c>
      <c r="I483" s="22">
        <v>2</v>
      </c>
      <c r="J483" s="22">
        <v>12</v>
      </c>
      <c r="K483" s="22">
        <v>48</v>
      </c>
      <c r="L483" s="22">
        <v>0</v>
      </c>
      <c r="M483" s="22">
        <v>0</v>
      </c>
      <c r="N483" s="23" t="str">
        <f t="shared" si="49"/>
        <v>Bajo</v>
      </c>
      <c r="O483" s="23" t="str">
        <f t="shared" si="50"/>
        <v>Bajo</v>
      </c>
      <c r="P483" s="23" t="str">
        <f t="shared" si="51"/>
        <v>Bajo</v>
      </c>
      <c r="Q483" s="24" t="str">
        <f t="shared" si="52"/>
        <v>N/C: no es fuente proteica</v>
      </c>
      <c r="R483" s="23" t="str">
        <f t="shared" si="53"/>
        <v>N/C</v>
      </c>
      <c r="S483" s="25" t="str">
        <f t="shared" si="54"/>
        <v>Utilizable</v>
      </c>
      <c r="T483" s="26" t="str">
        <f t="shared" si="55"/>
        <v>bebidas|00.000.000</v>
      </c>
      <c r="U483" s="26">
        <f>IF(OR($S483&lt;&gt;"Utilizable",$C483&lt;&gt;SUSTITUCION!$C$13),999999,IF(v_prioridad="Potasio",$H483,IF(v_prioridad="Fósforo",$I483,IF(v_prioridad="Sodio",$J483,IF(ISNUMBER($Q483),$Q483,999999)))))</f>
        <v>999999</v>
      </c>
    </row>
    <row r="484" spans="1:21" ht="15" customHeight="1">
      <c r="A484" s="21" t="s">
        <v>1118</v>
      </c>
      <c r="B484" s="21" t="s">
        <v>1119</v>
      </c>
      <c r="C484" s="21" t="s">
        <v>1106</v>
      </c>
      <c r="D484" s="21" t="s">
        <v>1107</v>
      </c>
      <c r="E484" s="21" t="s">
        <v>135</v>
      </c>
      <c r="F484" s="22">
        <v>40</v>
      </c>
      <c r="G484" s="22">
        <v>0.1</v>
      </c>
      <c r="H484" s="22">
        <v>2</v>
      </c>
      <c r="I484" s="22">
        <v>1</v>
      </c>
      <c r="J484" s="22">
        <v>9</v>
      </c>
      <c r="K484" s="22">
        <v>40</v>
      </c>
      <c r="L484" s="22">
        <v>0.1</v>
      </c>
      <c r="M484" s="22">
        <v>5</v>
      </c>
      <c r="N484" s="23" t="str">
        <f t="shared" si="49"/>
        <v>Bajo</v>
      </c>
      <c r="O484" s="23" t="str">
        <f t="shared" si="50"/>
        <v>Bajo</v>
      </c>
      <c r="P484" s="23" t="str">
        <f t="shared" si="51"/>
        <v>Bajo</v>
      </c>
      <c r="Q484" s="24" t="str">
        <f t="shared" si="52"/>
        <v>N/C: no es fuente proteica</v>
      </c>
      <c r="R484" s="23" t="str">
        <f t="shared" si="53"/>
        <v>N/C</v>
      </c>
      <c r="S484" s="25" t="str">
        <f t="shared" si="54"/>
        <v>Utilizable</v>
      </c>
      <c r="T484" s="26" t="str">
        <f t="shared" si="55"/>
        <v>bebidas|00.000.002</v>
      </c>
      <c r="U484" s="26">
        <f>IF(OR($S484&lt;&gt;"Utilizable",$C484&lt;&gt;SUSTITUCION!$C$13),999999,IF(v_prioridad="Potasio",$H484,IF(v_prioridad="Fósforo",$I484,IF(v_prioridad="Sodio",$J484,IF(ISNUMBER($Q484),$Q484,999999)))))</f>
        <v>999999</v>
      </c>
    </row>
    <row r="485" spans="1:21" ht="15" customHeight="1">
      <c r="A485" s="21" t="s">
        <v>1120</v>
      </c>
      <c r="B485" s="21" t="s">
        <v>1121</v>
      </c>
      <c r="C485" s="21" t="s">
        <v>1106</v>
      </c>
      <c r="D485" s="21" t="s">
        <v>1107</v>
      </c>
      <c r="E485" s="21" t="s">
        <v>135</v>
      </c>
      <c r="F485" s="22">
        <v>1</v>
      </c>
      <c r="G485" s="22">
        <v>0.1</v>
      </c>
      <c r="H485" s="22">
        <v>1</v>
      </c>
      <c r="I485" s="22">
        <v>0</v>
      </c>
      <c r="J485" s="22">
        <v>8</v>
      </c>
      <c r="K485" s="22">
        <v>1</v>
      </c>
      <c r="L485" s="22">
        <v>0.1</v>
      </c>
      <c r="M485" s="22">
        <v>2</v>
      </c>
      <c r="N485" s="23" t="str">
        <f t="shared" si="49"/>
        <v>Bajo</v>
      </c>
      <c r="O485" s="23" t="str">
        <f t="shared" si="50"/>
        <v>Bajo</v>
      </c>
      <c r="P485" s="23" t="str">
        <f t="shared" si="51"/>
        <v>Bajo</v>
      </c>
      <c r="Q485" s="24" t="str">
        <f t="shared" si="52"/>
        <v>N/C: no es fuente proteica</v>
      </c>
      <c r="R485" s="23" t="str">
        <f t="shared" si="53"/>
        <v>N/C</v>
      </c>
      <c r="S485" s="25" t="str">
        <f t="shared" si="54"/>
        <v>Utilizable</v>
      </c>
      <c r="T485" s="26" t="str">
        <f t="shared" si="55"/>
        <v>bebidas|00.000.001</v>
      </c>
      <c r="U485" s="26">
        <f>IF(OR($S485&lt;&gt;"Utilizable",$C485&lt;&gt;SUSTITUCION!$C$13),999999,IF(v_prioridad="Potasio",$H485,IF(v_prioridad="Fósforo",$I485,IF(v_prioridad="Sodio",$J485,IF(ISNUMBER($Q485),$Q485,999999)))))</f>
        <v>999999</v>
      </c>
    </row>
    <row r="486" spans="1:21" ht="15" customHeight="1">
      <c r="A486" s="21" t="s">
        <v>1122</v>
      </c>
      <c r="B486" s="21" t="s">
        <v>1123</v>
      </c>
      <c r="C486" s="21" t="s">
        <v>1106</v>
      </c>
      <c r="D486" s="21" t="s">
        <v>1107</v>
      </c>
      <c r="E486" s="21" t="s">
        <v>135</v>
      </c>
      <c r="F486" s="22">
        <v>32</v>
      </c>
      <c r="G486" s="22">
        <v>0</v>
      </c>
      <c r="H486" s="22" t="s">
        <v>138</v>
      </c>
      <c r="I486" s="22" t="s">
        <v>138</v>
      </c>
      <c r="J486" s="22">
        <v>32</v>
      </c>
      <c r="K486" s="22">
        <v>32</v>
      </c>
      <c r="L486" s="22">
        <v>0</v>
      </c>
      <c r="M486" s="22">
        <v>5</v>
      </c>
      <c r="N486" s="23" t="str">
        <f t="shared" si="49"/>
        <v>Sin dato</v>
      </c>
      <c r="O486" s="23" t="str">
        <f t="shared" si="50"/>
        <v>Sin dato</v>
      </c>
      <c r="P486" s="23" t="str">
        <f t="shared" si="51"/>
        <v>Bajo</v>
      </c>
      <c r="Q486" s="24" t="str">
        <f t="shared" si="52"/>
        <v>N/C</v>
      </c>
      <c r="R486" s="23" t="str">
        <f t="shared" si="53"/>
        <v>N/C</v>
      </c>
      <c r="S486" s="25" t="str">
        <f t="shared" si="54"/>
        <v>No utilizable</v>
      </c>
      <c r="T486" s="26" t="str">
        <f t="shared" si="55"/>
        <v/>
      </c>
      <c r="U486" s="26">
        <f>IF(OR($S486&lt;&gt;"Utilizable",$C486&lt;&gt;SUSTITUCION!$C$13),999999,IF(v_prioridad="Potasio",$H486,IF(v_prioridad="Fósforo",$I486,IF(v_prioridad="Sodio",$J486,IF(ISNUMBER($Q486),$Q486,999999)))))</f>
        <v>999999</v>
      </c>
    </row>
    <row r="487" spans="1:21" ht="15" customHeight="1">
      <c r="A487" s="21" t="s">
        <v>1124</v>
      </c>
      <c r="B487" s="21" t="s">
        <v>1125</v>
      </c>
      <c r="C487" s="21" t="s">
        <v>1106</v>
      </c>
      <c r="D487" s="21" t="s">
        <v>1107</v>
      </c>
      <c r="E487" s="21" t="s">
        <v>135</v>
      </c>
      <c r="F487" s="22">
        <v>24</v>
      </c>
      <c r="G487" s="22">
        <v>0</v>
      </c>
      <c r="H487" s="22">
        <v>18</v>
      </c>
      <c r="I487" s="22" t="s">
        <v>138</v>
      </c>
      <c r="J487" s="22">
        <v>49</v>
      </c>
      <c r="K487" s="22">
        <v>24</v>
      </c>
      <c r="L487" s="22">
        <v>0</v>
      </c>
      <c r="M487" s="22">
        <v>1</v>
      </c>
      <c r="N487" s="23" t="str">
        <f t="shared" si="49"/>
        <v>Bajo</v>
      </c>
      <c r="O487" s="23" t="str">
        <f t="shared" si="50"/>
        <v>Sin dato</v>
      </c>
      <c r="P487" s="23" t="str">
        <f t="shared" si="51"/>
        <v>Medio</v>
      </c>
      <c r="Q487" s="24" t="str">
        <f t="shared" si="52"/>
        <v>N/C</v>
      </c>
      <c r="R487" s="23" t="str">
        <f t="shared" si="53"/>
        <v>N/C</v>
      </c>
      <c r="S487" s="25" t="str">
        <f t="shared" si="54"/>
        <v>No utilizable</v>
      </c>
      <c r="T487" s="26" t="str">
        <f t="shared" si="55"/>
        <v/>
      </c>
      <c r="U487" s="26">
        <f>IF(OR($S487&lt;&gt;"Utilizable",$C487&lt;&gt;SUSTITUCION!$C$13),999999,IF(v_prioridad="Potasio",$H487,IF(v_prioridad="Fósforo",$I487,IF(v_prioridad="Sodio",$J487,IF(ISNUMBER($Q487),$Q487,999999)))))</f>
        <v>999999</v>
      </c>
    </row>
    <row r="488" spans="1:21" ht="15" customHeight="1">
      <c r="A488" s="21" t="s">
        <v>1126</v>
      </c>
      <c r="B488" s="21" t="s">
        <v>1127</v>
      </c>
      <c r="C488" s="21" t="s">
        <v>1128</v>
      </c>
      <c r="D488" s="21" t="s">
        <v>1129</v>
      </c>
      <c r="E488" s="21" t="s">
        <v>135</v>
      </c>
      <c r="F488" s="22">
        <v>43</v>
      </c>
      <c r="G488" s="22">
        <v>0.5</v>
      </c>
      <c r="H488" s="22">
        <v>4</v>
      </c>
      <c r="I488" s="22">
        <v>4</v>
      </c>
      <c r="J488" s="22">
        <v>6</v>
      </c>
      <c r="K488" s="22">
        <v>43</v>
      </c>
      <c r="L488" s="22">
        <v>0.5</v>
      </c>
      <c r="M488" s="22">
        <v>27</v>
      </c>
      <c r="N488" s="23" t="str">
        <f t="shared" si="49"/>
        <v>Bajo</v>
      </c>
      <c r="O488" s="23" t="str">
        <f t="shared" si="50"/>
        <v>Bajo</v>
      </c>
      <c r="P488" s="23" t="str">
        <f t="shared" si="51"/>
        <v>Bajo</v>
      </c>
      <c r="Q488" s="24" t="str">
        <f t="shared" si="52"/>
        <v>N/C: no es fuente proteica</v>
      </c>
      <c r="R488" s="23" t="str">
        <f t="shared" si="53"/>
        <v>N/C</v>
      </c>
      <c r="S488" s="25" t="str">
        <f t="shared" si="54"/>
        <v>Utilizable</v>
      </c>
      <c r="T488" s="26" t="str">
        <f t="shared" si="55"/>
        <v>alcoholes|00.000.004</v>
      </c>
      <c r="U488" s="26">
        <f>IF(OR($S488&lt;&gt;"Utilizable",$C488&lt;&gt;SUSTITUCION!$C$13),999999,IF(v_prioridad="Potasio",$H488,IF(v_prioridad="Fósforo",$I488,IF(v_prioridad="Sodio",$J488,IF(ISNUMBER($Q488),$Q488,999999)))))</f>
        <v>999999</v>
      </c>
    </row>
    <row r="489" spans="1:21" ht="15" customHeight="1">
      <c r="A489" s="21" t="s">
        <v>1130</v>
      </c>
      <c r="B489" s="21" t="s">
        <v>1131</v>
      </c>
      <c r="C489" s="21" t="s">
        <v>1128</v>
      </c>
      <c r="D489" s="21" t="s">
        <v>1129</v>
      </c>
      <c r="E489" s="21" t="s">
        <v>135</v>
      </c>
      <c r="F489" s="22" t="s">
        <v>138</v>
      </c>
      <c r="G489" s="22" t="s">
        <v>138</v>
      </c>
      <c r="H489" s="22">
        <v>6</v>
      </c>
      <c r="I489" s="22" t="s">
        <v>138</v>
      </c>
      <c r="J489" s="22" t="s">
        <v>138</v>
      </c>
      <c r="K489" s="22" t="s">
        <v>138</v>
      </c>
      <c r="L489" s="22" t="s">
        <v>138</v>
      </c>
      <c r="M489" s="22" t="s">
        <v>138</v>
      </c>
      <c r="N489" s="23" t="str">
        <f t="shared" si="49"/>
        <v>Bajo</v>
      </c>
      <c r="O489" s="23" t="str">
        <f t="shared" si="50"/>
        <v>Sin dato</v>
      </c>
      <c r="P489" s="23" t="str">
        <f t="shared" si="51"/>
        <v>Sin dato</v>
      </c>
      <c r="Q489" s="24" t="str">
        <f t="shared" si="52"/>
        <v>N/C</v>
      </c>
      <c r="R489" s="23" t="str">
        <f t="shared" si="53"/>
        <v>N/C</v>
      </c>
      <c r="S489" s="25" t="str">
        <f t="shared" si="54"/>
        <v>No utilizable</v>
      </c>
      <c r="T489" s="26" t="str">
        <f t="shared" si="55"/>
        <v/>
      </c>
      <c r="U489" s="26">
        <f>IF(OR($S489&lt;&gt;"Utilizable",$C489&lt;&gt;SUSTITUCION!$C$13),999999,IF(v_prioridad="Potasio",$H489,IF(v_prioridad="Fósforo",$I489,IF(v_prioridad="Sodio",$J489,IF(ISNUMBER($Q489),$Q489,999999)))))</f>
        <v>999999</v>
      </c>
    </row>
    <row r="490" spans="1:21" ht="15" customHeight="1">
      <c r="A490" s="21" t="s">
        <v>1132</v>
      </c>
      <c r="B490" s="21" t="s">
        <v>1133</v>
      </c>
      <c r="C490" s="21" t="s">
        <v>1128</v>
      </c>
      <c r="D490" s="21" t="s">
        <v>1129</v>
      </c>
      <c r="E490" s="21" t="s">
        <v>135</v>
      </c>
      <c r="F490" s="22" t="s">
        <v>138</v>
      </c>
      <c r="G490" s="22">
        <v>0.1</v>
      </c>
      <c r="H490" s="22">
        <v>8</v>
      </c>
      <c r="I490" s="22">
        <v>1</v>
      </c>
      <c r="J490" s="22">
        <v>0</v>
      </c>
      <c r="K490" s="22" t="s">
        <v>138</v>
      </c>
      <c r="L490" s="22">
        <v>0.1</v>
      </c>
      <c r="M490" s="22">
        <v>30</v>
      </c>
      <c r="N490" s="23" t="str">
        <f t="shared" si="49"/>
        <v>Bajo</v>
      </c>
      <c r="O490" s="23" t="str">
        <f t="shared" si="50"/>
        <v>Bajo</v>
      </c>
      <c r="P490" s="23" t="str">
        <f t="shared" si="51"/>
        <v>Bajo</v>
      </c>
      <c r="Q490" s="24" t="str">
        <f t="shared" si="52"/>
        <v>N/C: no es fuente proteica</v>
      </c>
      <c r="R490" s="23" t="str">
        <f t="shared" si="53"/>
        <v>N/C</v>
      </c>
      <c r="S490" s="25" t="str">
        <f t="shared" si="54"/>
        <v>No utilizable</v>
      </c>
      <c r="T490" s="26" t="str">
        <f t="shared" si="55"/>
        <v/>
      </c>
      <c r="U490" s="26">
        <f>IF(OR($S490&lt;&gt;"Utilizable",$C490&lt;&gt;SUSTITUCION!$C$13),999999,IF(v_prioridad="Potasio",$H490,IF(v_prioridad="Fósforo",$I490,IF(v_prioridad="Sodio",$J490,IF(ISNUMBER($Q490),$Q490,999999)))))</f>
        <v>999999</v>
      </c>
    </row>
    <row r="491" spans="1:21" ht="15" customHeight="1">
      <c r="A491" s="21" t="s">
        <v>1134</v>
      </c>
      <c r="B491" s="21" t="s">
        <v>1135</v>
      </c>
      <c r="C491" s="21" t="s">
        <v>1128</v>
      </c>
      <c r="D491" s="21" t="s">
        <v>1129</v>
      </c>
      <c r="E491" s="21" t="s">
        <v>135</v>
      </c>
      <c r="F491" s="22" t="s">
        <v>138</v>
      </c>
      <c r="G491" s="22">
        <v>0</v>
      </c>
      <c r="H491" s="22">
        <v>5</v>
      </c>
      <c r="I491" s="22">
        <v>0</v>
      </c>
      <c r="J491" s="22">
        <v>0</v>
      </c>
      <c r="K491" s="22" t="s">
        <v>138</v>
      </c>
      <c r="L491" s="22">
        <v>0</v>
      </c>
      <c r="M491" s="22">
        <v>0</v>
      </c>
      <c r="N491" s="23" t="str">
        <f t="shared" si="49"/>
        <v>Bajo</v>
      </c>
      <c r="O491" s="23" t="str">
        <f t="shared" si="50"/>
        <v>Bajo</v>
      </c>
      <c r="P491" s="23" t="str">
        <f t="shared" si="51"/>
        <v>Bajo</v>
      </c>
      <c r="Q491" s="24" t="str">
        <f t="shared" si="52"/>
        <v>N/C: no es fuente proteica</v>
      </c>
      <c r="R491" s="23" t="str">
        <f t="shared" si="53"/>
        <v>N/C</v>
      </c>
      <c r="S491" s="25" t="str">
        <f t="shared" si="54"/>
        <v>No utilizable</v>
      </c>
      <c r="T491" s="26" t="str">
        <f t="shared" si="55"/>
        <v/>
      </c>
      <c r="U491" s="26">
        <f>IF(OR($S491&lt;&gt;"Utilizable",$C491&lt;&gt;SUSTITUCION!$C$13),999999,IF(v_prioridad="Potasio",$H491,IF(v_prioridad="Fósforo",$I491,IF(v_prioridad="Sodio",$J491,IF(ISNUMBER($Q491),$Q491,999999)))))</f>
        <v>999999</v>
      </c>
    </row>
    <row r="492" spans="1:21" ht="15" customHeight="1">
      <c r="A492" s="21" t="s">
        <v>1136</v>
      </c>
      <c r="B492" s="21" t="s">
        <v>1137</v>
      </c>
      <c r="C492" s="21" t="s">
        <v>1128</v>
      </c>
      <c r="D492" s="21" t="s">
        <v>1129</v>
      </c>
      <c r="E492" s="21" t="s">
        <v>135</v>
      </c>
      <c r="F492" s="22" t="s">
        <v>138</v>
      </c>
      <c r="G492" s="22">
        <v>0</v>
      </c>
      <c r="H492" s="22">
        <v>11</v>
      </c>
      <c r="I492" s="22" t="s">
        <v>138</v>
      </c>
      <c r="J492" s="22" t="s">
        <v>138</v>
      </c>
      <c r="K492" s="22" t="s">
        <v>138</v>
      </c>
      <c r="L492" s="22">
        <v>0</v>
      </c>
      <c r="M492" s="22" t="s">
        <v>138</v>
      </c>
      <c r="N492" s="23" t="str">
        <f t="shared" si="49"/>
        <v>Bajo</v>
      </c>
      <c r="O492" s="23" t="str">
        <f t="shared" si="50"/>
        <v>Sin dato</v>
      </c>
      <c r="P492" s="23" t="str">
        <f t="shared" si="51"/>
        <v>Sin dato</v>
      </c>
      <c r="Q492" s="24" t="str">
        <f t="shared" si="52"/>
        <v>N/C</v>
      </c>
      <c r="R492" s="23" t="str">
        <f t="shared" si="53"/>
        <v>N/C</v>
      </c>
      <c r="S492" s="25" t="str">
        <f t="shared" si="54"/>
        <v>No utilizable</v>
      </c>
      <c r="T492" s="26" t="str">
        <f t="shared" si="55"/>
        <v/>
      </c>
      <c r="U492" s="26">
        <f>IF(OR($S492&lt;&gt;"Utilizable",$C492&lt;&gt;SUSTITUCION!$C$13),999999,IF(v_prioridad="Potasio",$H492,IF(v_prioridad="Fósforo",$I492,IF(v_prioridad="Sodio",$J492,IF(ISNUMBER($Q492),$Q492,999999)))))</f>
        <v>999999</v>
      </c>
    </row>
    <row r="493" spans="1:21" ht="15" customHeight="1">
      <c r="A493" s="21" t="s">
        <v>1138</v>
      </c>
      <c r="B493" s="21" t="s">
        <v>1139</v>
      </c>
      <c r="C493" s="21" t="s">
        <v>1128</v>
      </c>
      <c r="D493" s="21" t="s">
        <v>1129</v>
      </c>
      <c r="E493" s="21" t="s">
        <v>135</v>
      </c>
      <c r="F493" s="22" t="s">
        <v>138</v>
      </c>
      <c r="G493" s="22">
        <v>0</v>
      </c>
      <c r="H493" s="22" t="s">
        <v>138</v>
      </c>
      <c r="I493" s="22">
        <v>1</v>
      </c>
      <c r="J493" s="22" t="s">
        <v>138</v>
      </c>
      <c r="K493" s="22" t="s">
        <v>138</v>
      </c>
      <c r="L493" s="22">
        <v>0</v>
      </c>
      <c r="M493" s="22" t="s">
        <v>138</v>
      </c>
      <c r="N493" s="23" t="str">
        <f t="shared" si="49"/>
        <v>Sin dato</v>
      </c>
      <c r="O493" s="23" t="str">
        <f t="shared" si="50"/>
        <v>Bajo</v>
      </c>
      <c r="P493" s="23" t="str">
        <f t="shared" si="51"/>
        <v>Sin dato</v>
      </c>
      <c r="Q493" s="24" t="str">
        <f t="shared" si="52"/>
        <v>N/C: no es fuente proteica</v>
      </c>
      <c r="R493" s="23" t="str">
        <f t="shared" si="53"/>
        <v>N/C</v>
      </c>
      <c r="S493" s="25" t="str">
        <f t="shared" si="54"/>
        <v>No utilizable</v>
      </c>
      <c r="T493" s="26" t="str">
        <f t="shared" si="55"/>
        <v/>
      </c>
      <c r="U493" s="26">
        <f>IF(OR($S493&lt;&gt;"Utilizable",$C493&lt;&gt;SUSTITUCION!$C$13),999999,IF(v_prioridad="Potasio",$H493,IF(v_prioridad="Fósforo",$I493,IF(v_prioridad="Sodio",$J493,IF(ISNUMBER($Q493),$Q493,999999)))))</f>
        <v>999999</v>
      </c>
    </row>
    <row r="494" spans="1:21" ht="15" customHeight="1">
      <c r="A494" s="21" t="s">
        <v>1140</v>
      </c>
      <c r="B494" s="21" t="s">
        <v>1141</v>
      </c>
      <c r="C494" s="21" t="s">
        <v>1128</v>
      </c>
      <c r="D494" s="21" t="s">
        <v>1129</v>
      </c>
      <c r="E494" s="21" t="s">
        <v>135</v>
      </c>
      <c r="F494" s="22" t="s">
        <v>138</v>
      </c>
      <c r="G494" s="22">
        <v>0</v>
      </c>
      <c r="H494" s="22" t="s">
        <v>138</v>
      </c>
      <c r="I494" s="22">
        <v>4</v>
      </c>
      <c r="J494" s="22" t="s">
        <v>138</v>
      </c>
      <c r="K494" s="22" t="s">
        <v>138</v>
      </c>
      <c r="L494" s="22">
        <v>0</v>
      </c>
      <c r="M494" s="22" t="s">
        <v>138</v>
      </c>
      <c r="N494" s="23" t="str">
        <f t="shared" si="49"/>
        <v>Sin dato</v>
      </c>
      <c r="O494" s="23" t="str">
        <f t="shared" si="50"/>
        <v>Bajo</v>
      </c>
      <c r="P494" s="23" t="str">
        <f t="shared" si="51"/>
        <v>Sin dato</v>
      </c>
      <c r="Q494" s="24" t="str">
        <f t="shared" si="52"/>
        <v>N/C: no es fuente proteica</v>
      </c>
      <c r="R494" s="23" t="str">
        <f t="shared" si="53"/>
        <v>N/C</v>
      </c>
      <c r="S494" s="25" t="str">
        <f t="shared" si="54"/>
        <v>No utilizable</v>
      </c>
      <c r="T494" s="26" t="str">
        <f t="shared" si="55"/>
        <v/>
      </c>
      <c r="U494" s="26">
        <f>IF(OR($S494&lt;&gt;"Utilizable",$C494&lt;&gt;SUSTITUCION!$C$13),999999,IF(v_prioridad="Potasio",$H494,IF(v_prioridad="Fósforo",$I494,IF(v_prioridad="Sodio",$J494,IF(ISNUMBER($Q494),$Q494,999999)))))</f>
        <v>999999</v>
      </c>
    </row>
    <row r="495" spans="1:21" ht="15" customHeight="1">
      <c r="A495" s="21" t="s">
        <v>1142</v>
      </c>
      <c r="B495" s="21" t="s">
        <v>1143</v>
      </c>
      <c r="C495" s="21" t="s">
        <v>1128</v>
      </c>
      <c r="D495" s="21" t="s">
        <v>1129</v>
      </c>
      <c r="E495" s="21" t="s">
        <v>135</v>
      </c>
      <c r="F495" s="22" t="s">
        <v>138</v>
      </c>
      <c r="G495" s="22">
        <v>0</v>
      </c>
      <c r="H495" s="22">
        <v>0</v>
      </c>
      <c r="I495" s="22">
        <v>0</v>
      </c>
      <c r="J495" s="22">
        <v>0</v>
      </c>
      <c r="K495" s="22" t="s">
        <v>138</v>
      </c>
      <c r="L495" s="22">
        <v>0</v>
      </c>
      <c r="M495" s="22">
        <v>1</v>
      </c>
      <c r="N495" s="23" t="str">
        <f t="shared" si="49"/>
        <v>Bajo</v>
      </c>
      <c r="O495" s="23" t="str">
        <f t="shared" si="50"/>
        <v>Bajo</v>
      </c>
      <c r="P495" s="23" t="str">
        <f t="shared" si="51"/>
        <v>Bajo</v>
      </c>
      <c r="Q495" s="24" t="str">
        <f t="shared" si="52"/>
        <v>N/C: no es fuente proteica</v>
      </c>
      <c r="R495" s="23" t="str">
        <f t="shared" si="53"/>
        <v>N/C</v>
      </c>
      <c r="S495" s="25" t="str">
        <f t="shared" si="54"/>
        <v>No utilizable</v>
      </c>
      <c r="T495" s="26" t="str">
        <f t="shared" si="55"/>
        <v/>
      </c>
      <c r="U495" s="26">
        <f>IF(OR($S495&lt;&gt;"Utilizable",$C495&lt;&gt;SUSTITUCION!$C$13),999999,IF(v_prioridad="Potasio",$H495,IF(v_prioridad="Fósforo",$I495,IF(v_prioridad="Sodio",$J495,IF(ISNUMBER($Q495),$Q495,999999)))))</f>
        <v>999999</v>
      </c>
    </row>
    <row r="496" spans="1:21" ht="15" customHeight="1">
      <c r="A496" s="21" t="s">
        <v>1144</v>
      </c>
      <c r="B496" s="21" t="s">
        <v>1145</v>
      </c>
      <c r="C496" s="21" t="s">
        <v>1128</v>
      </c>
      <c r="D496" s="21" t="s">
        <v>1129</v>
      </c>
      <c r="E496" s="21" t="s">
        <v>135</v>
      </c>
      <c r="F496" s="22" t="s">
        <v>138</v>
      </c>
      <c r="G496" s="22">
        <v>0</v>
      </c>
      <c r="H496" s="22">
        <v>1</v>
      </c>
      <c r="I496" s="22">
        <v>0</v>
      </c>
      <c r="J496" s="22">
        <v>0</v>
      </c>
      <c r="K496" s="22" t="s">
        <v>138</v>
      </c>
      <c r="L496" s="22">
        <v>0</v>
      </c>
      <c r="M496" s="22">
        <v>1</v>
      </c>
      <c r="N496" s="23" t="str">
        <f t="shared" si="49"/>
        <v>Bajo</v>
      </c>
      <c r="O496" s="23" t="str">
        <f t="shared" si="50"/>
        <v>Bajo</v>
      </c>
      <c r="P496" s="23" t="str">
        <f t="shared" si="51"/>
        <v>Bajo</v>
      </c>
      <c r="Q496" s="24" t="str">
        <f t="shared" si="52"/>
        <v>N/C: no es fuente proteica</v>
      </c>
      <c r="R496" s="23" t="str">
        <f t="shared" si="53"/>
        <v>N/C</v>
      </c>
      <c r="S496" s="25" t="str">
        <f t="shared" si="54"/>
        <v>No utilizable</v>
      </c>
      <c r="T496" s="26" t="str">
        <f t="shared" si="55"/>
        <v/>
      </c>
      <c r="U496" s="26">
        <f>IF(OR($S496&lt;&gt;"Utilizable",$C496&lt;&gt;SUSTITUCION!$C$13),999999,IF(v_prioridad="Potasio",$H496,IF(v_prioridad="Fósforo",$I496,IF(v_prioridad="Sodio",$J496,IF(ISNUMBER($Q496),$Q496,999999)))))</f>
        <v>999999</v>
      </c>
    </row>
    <row r="497" spans="1:21" ht="15" customHeight="1">
      <c r="A497" s="21" t="s">
        <v>1146</v>
      </c>
      <c r="B497" s="21" t="s">
        <v>1147</v>
      </c>
      <c r="C497" s="21" t="s">
        <v>1128</v>
      </c>
      <c r="D497" s="21" t="s">
        <v>1129</v>
      </c>
      <c r="E497" s="21" t="s">
        <v>135</v>
      </c>
      <c r="F497" s="22" t="s">
        <v>138</v>
      </c>
      <c r="G497" s="22">
        <v>0</v>
      </c>
      <c r="H497" s="22">
        <v>1</v>
      </c>
      <c r="I497" s="22">
        <v>0</v>
      </c>
      <c r="J497" s="22">
        <v>0</v>
      </c>
      <c r="K497" s="22" t="s">
        <v>138</v>
      </c>
      <c r="L497" s="22">
        <v>0</v>
      </c>
      <c r="M497" s="22">
        <v>1</v>
      </c>
      <c r="N497" s="23" t="str">
        <f t="shared" si="49"/>
        <v>Bajo</v>
      </c>
      <c r="O497" s="23" t="str">
        <f t="shared" si="50"/>
        <v>Bajo</v>
      </c>
      <c r="P497" s="23" t="str">
        <f t="shared" si="51"/>
        <v>Bajo</v>
      </c>
      <c r="Q497" s="24" t="str">
        <f t="shared" si="52"/>
        <v>N/C: no es fuente proteica</v>
      </c>
      <c r="R497" s="23" t="str">
        <f t="shared" si="53"/>
        <v>N/C</v>
      </c>
      <c r="S497" s="25" t="str">
        <f t="shared" si="54"/>
        <v>No utilizable</v>
      </c>
      <c r="T497" s="26" t="str">
        <f t="shared" si="55"/>
        <v/>
      </c>
      <c r="U497" s="26">
        <f>IF(OR($S497&lt;&gt;"Utilizable",$C497&lt;&gt;SUSTITUCION!$C$13),999999,IF(v_prioridad="Potasio",$H497,IF(v_prioridad="Fósforo",$I497,IF(v_prioridad="Sodio",$J497,IF(ISNUMBER($Q497),$Q497,999999)))))</f>
        <v>999999</v>
      </c>
    </row>
    <row r="498" spans="1:21" ht="15" customHeight="1">
      <c r="A498" s="21" t="s">
        <v>1148</v>
      </c>
      <c r="B498" s="21" t="s">
        <v>1149</v>
      </c>
      <c r="C498" s="21" t="s">
        <v>1128</v>
      </c>
      <c r="D498" s="21" t="s">
        <v>1129</v>
      </c>
      <c r="E498" s="21" t="s">
        <v>135</v>
      </c>
      <c r="F498" s="22" t="s">
        <v>138</v>
      </c>
      <c r="G498" s="22">
        <v>0.1</v>
      </c>
      <c r="H498" s="22">
        <v>5</v>
      </c>
      <c r="I498" s="22">
        <v>9</v>
      </c>
      <c r="J498" s="22">
        <v>0</v>
      </c>
      <c r="K498" s="22" t="s">
        <v>138</v>
      </c>
      <c r="L498" s="22">
        <v>0.1</v>
      </c>
      <c r="M498" s="22">
        <v>71</v>
      </c>
      <c r="N498" s="23" t="str">
        <f t="shared" si="49"/>
        <v>Bajo</v>
      </c>
      <c r="O498" s="23" t="str">
        <f t="shared" si="50"/>
        <v>Bajo</v>
      </c>
      <c r="P498" s="23" t="str">
        <f t="shared" si="51"/>
        <v>Bajo</v>
      </c>
      <c r="Q498" s="24" t="str">
        <f t="shared" si="52"/>
        <v>N/C: no es fuente proteica</v>
      </c>
      <c r="R498" s="23" t="str">
        <f t="shared" si="53"/>
        <v>N/C</v>
      </c>
      <c r="S498" s="25" t="str">
        <f t="shared" si="54"/>
        <v>No utilizable</v>
      </c>
      <c r="T498" s="26" t="str">
        <f t="shared" si="55"/>
        <v/>
      </c>
      <c r="U498" s="26">
        <f>IF(OR($S498&lt;&gt;"Utilizable",$C498&lt;&gt;SUSTITUCION!$C$13),999999,IF(v_prioridad="Potasio",$H498,IF(v_prioridad="Fósforo",$I498,IF(v_prioridad="Sodio",$J498,IF(ISNUMBER($Q498),$Q498,999999)))))</f>
        <v>999999</v>
      </c>
    </row>
    <row r="499" spans="1:21" ht="15" customHeight="1">
      <c r="A499" s="21" t="s">
        <v>1150</v>
      </c>
      <c r="B499" s="21" t="s">
        <v>1151</v>
      </c>
      <c r="C499" s="21" t="s">
        <v>1128</v>
      </c>
      <c r="D499" s="21" t="s">
        <v>1129</v>
      </c>
      <c r="E499" s="21" t="s">
        <v>135</v>
      </c>
      <c r="F499" s="22" t="s">
        <v>138</v>
      </c>
      <c r="G499" s="22">
        <v>0.1</v>
      </c>
      <c r="H499" s="22">
        <v>4</v>
      </c>
      <c r="I499" s="22">
        <v>8</v>
      </c>
      <c r="J499" s="22">
        <v>0</v>
      </c>
      <c r="K499" s="22" t="s">
        <v>138</v>
      </c>
      <c r="L499" s="22">
        <v>0.1</v>
      </c>
      <c r="M499" s="22">
        <v>127</v>
      </c>
      <c r="N499" s="23" t="str">
        <f t="shared" si="49"/>
        <v>Bajo</v>
      </c>
      <c r="O499" s="23" t="str">
        <f t="shared" si="50"/>
        <v>Bajo</v>
      </c>
      <c r="P499" s="23" t="str">
        <f t="shared" si="51"/>
        <v>Bajo</v>
      </c>
      <c r="Q499" s="24" t="str">
        <f t="shared" si="52"/>
        <v>N/C: no es fuente proteica</v>
      </c>
      <c r="R499" s="23" t="str">
        <f t="shared" si="53"/>
        <v>N/C</v>
      </c>
      <c r="S499" s="25" t="str">
        <f t="shared" si="54"/>
        <v>No utilizable</v>
      </c>
      <c r="T499" s="26" t="str">
        <f t="shared" si="55"/>
        <v/>
      </c>
      <c r="U499" s="26">
        <f>IF(OR($S499&lt;&gt;"Utilizable",$C499&lt;&gt;SUSTITUCION!$C$13),999999,IF(v_prioridad="Potasio",$H499,IF(v_prioridad="Fósforo",$I499,IF(v_prioridad="Sodio",$J499,IF(ISNUMBER($Q499),$Q499,999999)))))</f>
        <v>999999</v>
      </c>
    </row>
    <row r="500" spans="1:21" ht="15" customHeight="1">
      <c r="A500" s="21" t="s">
        <v>1152</v>
      </c>
      <c r="B500" s="21" t="s">
        <v>1153</v>
      </c>
      <c r="C500" s="21" t="s">
        <v>1128</v>
      </c>
      <c r="D500" s="21" t="s">
        <v>1129</v>
      </c>
      <c r="E500" s="21" t="s">
        <v>135</v>
      </c>
      <c r="F500" s="22" t="s">
        <v>138</v>
      </c>
      <c r="G500" s="22">
        <v>0.1</v>
      </c>
      <c r="H500" s="22" t="s">
        <v>138</v>
      </c>
      <c r="I500" s="22" t="s">
        <v>138</v>
      </c>
      <c r="J500" s="22" t="s">
        <v>138</v>
      </c>
      <c r="K500" s="22" t="s">
        <v>138</v>
      </c>
      <c r="L500" s="22">
        <v>0.1</v>
      </c>
      <c r="M500" s="22" t="s">
        <v>138</v>
      </c>
      <c r="N500" s="23" t="str">
        <f t="shared" si="49"/>
        <v>Sin dato</v>
      </c>
      <c r="O500" s="23" t="str">
        <f t="shared" si="50"/>
        <v>Sin dato</v>
      </c>
      <c r="P500" s="23" t="str">
        <f t="shared" si="51"/>
        <v>Sin dato</v>
      </c>
      <c r="Q500" s="24" t="str">
        <f t="shared" si="52"/>
        <v>N/C</v>
      </c>
      <c r="R500" s="23" t="str">
        <f t="shared" si="53"/>
        <v>N/C</v>
      </c>
      <c r="S500" s="25" t="str">
        <f t="shared" si="54"/>
        <v>No utilizable</v>
      </c>
      <c r="T500" s="26" t="str">
        <f t="shared" si="55"/>
        <v/>
      </c>
      <c r="U500" s="26">
        <f>IF(OR($S500&lt;&gt;"Utilizable",$C500&lt;&gt;SUSTITUCION!$C$13),999999,IF(v_prioridad="Potasio",$H500,IF(v_prioridad="Fósforo",$I500,IF(v_prioridad="Sodio",$J500,IF(ISNUMBER($Q500),$Q500,999999)))))</f>
        <v>999999</v>
      </c>
    </row>
    <row r="501" spans="1:21" ht="15" customHeight="1">
      <c r="A501" s="21" t="s">
        <v>1154</v>
      </c>
      <c r="B501" s="21" t="s">
        <v>1155</v>
      </c>
      <c r="C501" s="21" t="s">
        <v>1156</v>
      </c>
      <c r="D501" s="21" t="s">
        <v>1157</v>
      </c>
      <c r="E501" s="21" t="s">
        <v>135</v>
      </c>
      <c r="F501" s="22">
        <v>500</v>
      </c>
      <c r="G501" s="22">
        <v>5.7</v>
      </c>
      <c r="H501" s="22" t="s">
        <v>138</v>
      </c>
      <c r="I501" s="22" t="s">
        <v>138</v>
      </c>
      <c r="J501" s="22">
        <v>354</v>
      </c>
      <c r="K501" s="22">
        <v>500</v>
      </c>
      <c r="L501" s="22">
        <v>5.7</v>
      </c>
      <c r="M501" s="22" t="s">
        <v>138</v>
      </c>
      <c r="N501" s="23" t="str">
        <f t="shared" si="49"/>
        <v>Sin dato</v>
      </c>
      <c r="O501" s="23" t="str">
        <f t="shared" si="50"/>
        <v>Sin dato</v>
      </c>
      <c r="P501" s="23" t="str">
        <f t="shared" si="51"/>
        <v>Alto</v>
      </c>
      <c r="Q501" s="24" t="str">
        <f t="shared" si="52"/>
        <v>N/C</v>
      </c>
      <c r="R501" s="23" t="str">
        <f t="shared" si="53"/>
        <v>N/C</v>
      </c>
      <c r="S501" s="25" t="str">
        <f t="shared" si="54"/>
        <v>No utilizable</v>
      </c>
      <c r="T501" s="26" t="str">
        <f t="shared" si="55"/>
        <v/>
      </c>
      <c r="U501" s="26">
        <f>IF(OR($S501&lt;&gt;"Utilizable",$C501&lt;&gt;SUSTITUCION!$C$13),999999,IF(v_prioridad="Potasio",$H501,IF(v_prioridad="Fósforo",$I501,IF(v_prioridad="Sodio",$J501,IF(ISNUMBER($Q501),$Q501,999999)))))</f>
        <v>999999</v>
      </c>
    </row>
    <row r="502" spans="1:21" ht="15" customHeight="1">
      <c r="A502" s="21" t="s">
        <v>1158</v>
      </c>
      <c r="B502" s="21" t="s">
        <v>1159</v>
      </c>
      <c r="C502" s="21" t="s">
        <v>1156</v>
      </c>
      <c r="D502" s="21" t="s">
        <v>1157</v>
      </c>
      <c r="E502" s="21" t="s">
        <v>135</v>
      </c>
      <c r="F502" s="22">
        <v>485</v>
      </c>
      <c r="G502" s="22">
        <v>6.4</v>
      </c>
      <c r="H502" s="22" t="s">
        <v>138</v>
      </c>
      <c r="I502" s="22" t="s">
        <v>138</v>
      </c>
      <c r="J502" s="22">
        <v>418</v>
      </c>
      <c r="K502" s="22">
        <v>485</v>
      </c>
      <c r="L502" s="22">
        <v>6.4</v>
      </c>
      <c r="M502" s="22" t="s">
        <v>138</v>
      </c>
      <c r="N502" s="23" t="str">
        <f t="shared" si="49"/>
        <v>Sin dato</v>
      </c>
      <c r="O502" s="23" t="str">
        <f t="shared" si="50"/>
        <v>Sin dato</v>
      </c>
      <c r="P502" s="23" t="str">
        <f t="shared" si="51"/>
        <v>Muy alto</v>
      </c>
      <c r="Q502" s="24" t="str">
        <f t="shared" si="52"/>
        <v>N/C</v>
      </c>
      <c r="R502" s="23" t="str">
        <f t="shared" si="53"/>
        <v>N/C</v>
      </c>
      <c r="S502" s="25" t="str">
        <f t="shared" si="54"/>
        <v>No utilizable</v>
      </c>
      <c r="T502" s="26" t="str">
        <f t="shared" si="55"/>
        <v/>
      </c>
      <c r="U502" s="26">
        <f>IF(OR($S502&lt;&gt;"Utilizable",$C502&lt;&gt;SUSTITUCION!$C$13),999999,IF(v_prioridad="Potasio",$H502,IF(v_prioridad="Fósforo",$I502,IF(v_prioridad="Sodio",$J502,IF(ISNUMBER($Q502),$Q502,999999)))))</f>
        <v>999999</v>
      </c>
    </row>
    <row r="503" spans="1:21" ht="15" customHeight="1">
      <c r="A503" s="21" t="s">
        <v>1160</v>
      </c>
      <c r="B503" s="21" t="s">
        <v>1161</v>
      </c>
      <c r="C503" s="21" t="s">
        <v>1156</v>
      </c>
      <c r="D503" s="21" t="s">
        <v>1157</v>
      </c>
      <c r="E503" s="21" t="s">
        <v>135</v>
      </c>
      <c r="F503" s="22">
        <v>510</v>
      </c>
      <c r="G503" s="22">
        <v>6.2</v>
      </c>
      <c r="H503" s="22" t="s">
        <v>138</v>
      </c>
      <c r="I503" s="22" t="s">
        <v>138</v>
      </c>
      <c r="J503" s="22">
        <v>468</v>
      </c>
      <c r="K503" s="22">
        <v>510</v>
      </c>
      <c r="L503" s="22">
        <v>6.2</v>
      </c>
      <c r="M503" s="22" t="s">
        <v>138</v>
      </c>
      <c r="N503" s="23" t="str">
        <f t="shared" si="49"/>
        <v>Sin dato</v>
      </c>
      <c r="O503" s="23" t="str">
        <f t="shared" si="50"/>
        <v>Sin dato</v>
      </c>
      <c r="P503" s="23" t="str">
        <f t="shared" si="51"/>
        <v>Muy alto</v>
      </c>
      <c r="Q503" s="24" t="str">
        <f t="shared" si="52"/>
        <v>N/C</v>
      </c>
      <c r="R503" s="23" t="str">
        <f t="shared" si="53"/>
        <v>N/C</v>
      </c>
      <c r="S503" s="25" t="str">
        <f t="shared" si="54"/>
        <v>No utilizable</v>
      </c>
      <c r="T503" s="26" t="str">
        <f t="shared" si="55"/>
        <v/>
      </c>
      <c r="U503" s="26">
        <f>IF(OR($S503&lt;&gt;"Utilizable",$C503&lt;&gt;SUSTITUCION!$C$13),999999,IF(v_prioridad="Potasio",$H503,IF(v_prioridad="Fósforo",$I503,IF(v_prioridad="Sodio",$J503,IF(ISNUMBER($Q503),$Q503,999999)))))</f>
        <v>999999</v>
      </c>
    </row>
    <row r="504" spans="1:21" ht="15" customHeight="1">
      <c r="A504" s="21" t="s">
        <v>1162</v>
      </c>
      <c r="B504" s="21" t="s">
        <v>1163</v>
      </c>
      <c r="C504" s="21" t="s">
        <v>1164</v>
      </c>
      <c r="D504" s="21" t="s">
        <v>1165</v>
      </c>
      <c r="E504" s="21" t="s">
        <v>135</v>
      </c>
      <c r="F504" s="22">
        <v>418</v>
      </c>
      <c r="G504" s="22">
        <v>19.8</v>
      </c>
      <c r="H504" s="22">
        <v>560</v>
      </c>
      <c r="I504" s="22">
        <v>273</v>
      </c>
      <c r="J504" s="22">
        <v>1603</v>
      </c>
      <c r="K504" s="22">
        <v>418</v>
      </c>
      <c r="L504" s="22">
        <v>19.8</v>
      </c>
      <c r="M504" s="22">
        <v>308</v>
      </c>
      <c r="N504" s="23" t="str">
        <f t="shared" si="49"/>
        <v>Muy alto</v>
      </c>
      <c r="O504" s="23" t="str">
        <f t="shared" si="50"/>
        <v>Muy alto</v>
      </c>
      <c r="P504" s="23" t="str">
        <f t="shared" si="51"/>
        <v>Muy alto</v>
      </c>
      <c r="Q504" s="24">
        <f t="shared" si="52"/>
        <v>13.787878787878787</v>
      </c>
      <c r="R504" s="23" t="str">
        <f t="shared" si="53"/>
        <v>Aceptable</v>
      </c>
      <c r="S504" s="25" t="str">
        <f t="shared" si="54"/>
        <v>Utilizable</v>
      </c>
      <c r="T504" s="26" t="str">
        <f t="shared" si="55"/>
        <v>Salsas|00.000.560</v>
      </c>
      <c r="U504" s="26">
        <f>IF(OR($S504&lt;&gt;"Utilizable",$C504&lt;&gt;SUSTITUCION!$C$13),999999,IF(v_prioridad="Potasio",$H504,IF(v_prioridad="Fósforo",$I504,IF(v_prioridad="Sodio",$J504,IF(ISNUMBER($Q504),$Q504,999999)))))</f>
        <v>999999</v>
      </c>
    </row>
    <row r="505" spans="1:21" ht="15" customHeight="1">
      <c r="A505" s="21" t="s">
        <v>1166</v>
      </c>
      <c r="B505" s="21" t="s">
        <v>1167</v>
      </c>
      <c r="C505" s="21" t="s">
        <v>1164</v>
      </c>
      <c r="D505" s="21" t="s">
        <v>1165</v>
      </c>
      <c r="E505" s="21" t="s">
        <v>135</v>
      </c>
      <c r="F505" s="22">
        <v>12</v>
      </c>
      <c r="G505" s="22">
        <v>0.8</v>
      </c>
      <c r="H505" s="22">
        <v>232</v>
      </c>
      <c r="I505" s="22">
        <v>20</v>
      </c>
      <c r="J505" s="22">
        <v>1027</v>
      </c>
      <c r="K505" s="22">
        <v>12</v>
      </c>
      <c r="L505" s="22">
        <v>0.8</v>
      </c>
      <c r="M505" s="22">
        <v>33</v>
      </c>
      <c r="N505" s="23" t="str">
        <f t="shared" si="49"/>
        <v>Alto</v>
      </c>
      <c r="O505" s="23" t="str">
        <f t="shared" si="50"/>
        <v>Bajo</v>
      </c>
      <c r="P505" s="23" t="str">
        <f t="shared" si="51"/>
        <v>Muy alto</v>
      </c>
      <c r="Q505" s="24" t="str">
        <f t="shared" si="52"/>
        <v>N/C: no es fuente proteica</v>
      </c>
      <c r="R505" s="23" t="str">
        <f t="shared" si="53"/>
        <v>N/C</v>
      </c>
      <c r="S505" s="25" t="str">
        <f t="shared" si="54"/>
        <v>Utilizable</v>
      </c>
      <c r="T505" s="26" t="str">
        <f t="shared" si="55"/>
        <v>Salsas|00.000.232</v>
      </c>
      <c r="U505" s="26">
        <f>IF(OR($S505&lt;&gt;"Utilizable",$C505&lt;&gt;SUSTITUCION!$C$13),999999,IF(v_prioridad="Potasio",$H505,IF(v_prioridad="Fósforo",$I505,IF(v_prioridad="Sodio",$J505,IF(ISNUMBER($Q505),$Q505,999999)))))</f>
        <v>999999</v>
      </c>
    </row>
    <row r="506" spans="1:21" ht="15" customHeight="1">
      <c r="A506" s="21" t="s">
        <v>1168</v>
      </c>
      <c r="B506" s="21" t="s">
        <v>1169</v>
      </c>
      <c r="C506" s="21" t="s">
        <v>1164</v>
      </c>
      <c r="D506" s="21" t="s">
        <v>1165</v>
      </c>
      <c r="E506" s="21" t="s">
        <v>135</v>
      </c>
      <c r="F506" s="22">
        <v>105</v>
      </c>
      <c r="G506" s="22">
        <v>3.8</v>
      </c>
      <c r="H506" s="22">
        <v>163</v>
      </c>
      <c r="I506" s="22">
        <v>101</v>
      </c>
      <c r="J506" s="22">
        <v>328</v>
      </c>
      <c r="K506" s="22">
        <v>105</v>
      </c>
      <c r="L506" s="22">
        <v>3.8</v>
      </c>
      <c r="M506" s="22">
        <v>128</v>
      </c>
      <c r="N506" s="23" t="str">
        <f t="shared" si="49"/>
        <v>Medio</v>
      </c>
      <c r="O506" s="23" t="str">
        <f t="shared" si="50"/>
        <v>Alto</v>
      </c>
      <c r="P506" s="23" t="str">
        <f t="shared" si="51"/>
        <v>Alto</v>
      </c>
      <c r="Q506" s="24" t="str">
        <f t="shared" si="52"/>
        <v>N/C: no es fuente proteica</v>
      </c>
      <c r="R506" s="23" t="str">
        <f t="shared" si="53"/>
        <v>N/C</v>
      </c>
      <c r="S506" s="25" t="str">
        <f t="shared" si="54"/>
        <v>Utilizable</v>
      </c>
      <c r="T506" s="26" t="str">
        <f t="shared" si="55"/>
        <v>Salsas|00.000.163</v>
      </c>
      <c r="U506" s="26">
        <f>IF(OR($S506&lt;&gt;"Utilizable",$C506&lt;&gt;SUSTITUCION!$C$13),999999,IF(v_prioridad="Potasio",$H506,IF(v_prioridad="Fósforo",$I506,IF(v_prioridad="Sodio",$J506,IF(ISNUMBER($Q506),$Q506,999999)))))</f>
        <v>999999</v>
      </c>
    </row>
    <row r="507" spans="1:21" ht="15" customHeight="1">
      <c r="A507" s="21" t="s">
        <v>1170</v>
      </c>
      <c r="B507" s="21" t="s">
        <v>1171</v>
      </c>
      <c r="C507" s="21" t="s">
        <v>1164</v>
      </c>
      <c r="D507" s="21" t="s">
        <v>1165</v>
      </c>
      <c r="E507" s="21" t="s">
        <v>135</v>
      </c>
      <c r="F507" s="22">
        <v>24</v>
      </c>
      <c r="G507" s="22">
        <v>1.4</v>
      </c>
      <c r="H507" s="22">
        <v>297</v>
      </c>
      <c r="I507" s="22">
        <v>27</v>
      </c>
      <c r="J507" s="22">
        <v>474</v>
      </c>
      <c r="K507" s="22">
        <v>24</v>
      </c>
      <c r="L507" s="22">
        <v>1.4</v>
      </c>
      <c r="M507" s="22">
        <v>10</v>
      </c>
      <c r="N507" s="23" t="str">
        <f t="shared" si="49"/>
        <v>Alto</v>
      </c>
      <c r="O507" s="23" t="str">
        <f t="shared" si="50"/>
        <v>Bajo</v>
      </c>
      <c r="P507" s="23" t="str">
        <f t="shared" si="51"/>
        <v>Muy alto</v>
      </c>
      <c r="Q507" s="24" t="str">
        <f t="shared" si="52"/>
        <v>N/C: no es fuente proteica</v>
      </c>
      <c r="R507" s="23" t="str">
        <f t="shared" si="53"/>
        <v>N/C</v>
      </c>
      <c r="S507" s="25" t="str">
        <f t="shared" si="54"/>
        <v>Utilizable</v>
      </c>
      <c r="T507" s="26" t="str">
        <f t="shared" si="55"/>
        <v>Salsas|00.000.297</v>
      </c>
      <c r="U507" s="26">
        <f>IF(OR($S507&lt;&gt;"Utilizable",$C507&lt;&gt;SUSTITUCION!$C$13),999999,IF(v_prioridad="Potasio",$H507,IF(v_prioridad="Fósforo",$I507,IF(v_prioridad="Sodio",$J507,IF(ISNUMBER($Q507),$Q507,999999)))))</f>
        <v>999999</v>
      </c>
    </row>
    <row r="508" spans="1:21" ht="15" customHeight="1">
      <c r="A508" s="21" t="s">
        <v>1172</v>
      </c>
      <c r="B508" s="21" t="s">
        <v>1173</v>
      </c>
      <c r="C508" s="21" t="s">
        <v>1164</v>
      </c>
      <c r="D508" s="21" t="s">
        <v>1165</v>
      </c>
      <c r="E508" s="21" t="s">
        <v>135</v>
      </c>
      <c r="F508" s="22">
        <v>21</v>
      </c>
      <c r="G508" s="22">
        <v>1.6</v>
      </c>
      <c r="H508" s="22">
        <v>413</v>
      </c>
      <c r="I508" s="22">
        <v>39</v>
      </c>
      <c r="J508" s="22">
        <v>551</v>
      </c>
      <c r="K508" s="22">
        <v>21</v>
      </c>
      <c r="L508" s="22">
        <v>1.6</v>
      </c>
      <c r="M508" s="22">
        <v>10</v>
      </c>
      <c r="N508" s="23" t="str">
        <f t="shared" si="49"/>
        <v>Muy alto</v>
      </c>
      <c r="O508" s="23" t="str">
        <f t="shared" si="50"/>
        <v>Bajo</v>
      </c>
      <c r="P508" s="23" t="str">
        <f t="shared" si="51"/>
        <v>Muy alto</v>
      </c>
      <c r="Q508" s="24" t="str">
        <f t="shared" si="52"/>
        <v>N/C: no es fuente proteica</v>
      </c>
      <c r="R508" s="23" t="str">
        <f t="shared" si="53"/>
        <v>N/C</v>
      </c>
      <c r="S508" s="25" t="str">
        <f t="shared" si="54"/>
        <v>Utilizable</v>
      </c>
      <c r="T508" s="26" t="str">
        <f t="shared" si="55"/>
        <v>Salsas|00.000.413</v>
      </c>
      <c r="U508" s="26">
        <f>IF(OR($S508&lt;&gt;"Utilizable",$C508&lt;&gt;SUSTITUCION!$C$13),999999,IF(v_prioridad="Potasio",$H508,IF(v_prioridad="Fósforo",$I508,IF(v_prioridad="Sodio",$J508,IF(ISNUMBER($Q508),$Q508,999999)))))</f>
        <v>999999</v>
      </c>
    </row>
    <row r="509" spans="1:21" ht="15" customHeight="1">
      <c r="A509" s="21" t="s">
        <v>1174</v>
      </c>
      <c r="B509" s="21" t="s">
        <v>1175</v>
      </c>
      <c r="C509" s="21" t="s">
        <v>1164</v>
      </c>
      <c r="D509" s="21" t="s">
        <v>1165</v>
      </c>
      <c r="E509" s="21" t="s">
        <v>135</v>
      </c>
      <c r="F509" s="22">
        <v>211</v>
      </c>
      <c r="G509" s="22">
        <v>1</v>
      </c>
      <c r="H509" s="22">
        <v>68</v>
      </c>
      <c r="I509" s="22">
        <v>14</v>
      </c>
      <c r="J509" s="22">
        <v>667</v>
      </c>
      <c r="K509" s="22">
        <v>211</v>
      </c>
      <c r="L509" s="22">
        <v>1</v>
      </c>
      <c r="M509" s="22">
        <v>26</v>
      </c>
      <c r="N509" s="23" t="str">
        <f t="shared" si="49"/>
        <v>Bajo</v>
      </c>
      <c r="O509" s="23" t="str">
        <f t="shared" si="50"/>
        <v>Bajo</v>
      </c>
      <c r="P509" s="23" t="str">
        <f t="shared" si="51"/>
        <v>Muy alto</v>
      </c>
      <c r="Q509" s="24" t="str">
        <f t="shared" si="52"/>
        <v>N/C: no es fuente proteica</v>
      </c>
      <c r="R509" s="23" t="str">
        <f t="shared" si="53"/>
        <v>N/C</v>
      </c>
      <c r="S509" s="25" t="str">
        <f t="shared" si="54"/>
        <v>Utilizable</v>
      </c>
      <c r="T509" s="26" t="str">
        <f t="shared" si="55"/>
        <v>Salsas|00.000.068</v>
      </c>
      <c r="U509" s="26">
        <f>IF(OR($S509&lt;&gt;"Utilizable",$C509&lt;&gt;SUSTITUCION!$C$13),999999,IF(v_prioridad="Potasio",$H509,IF(v_prioridad="Fósforo",$I509,IF(v_prioridad="Sodio",$J509,IF(ISNUMBER($Q509),$Q509,999999)))))</f>
        <v>999999</v>
      </c>
    </row>
    <row r="510" spans="1:21" ht="15" customHeight="1">
      <c r="A510" s="21" t="s">
        <v>1176</v>
      </c>
      <c r="B510" s="21" t="s">
        <v>1177</v>
      </c>
      <c r="C510" s="21" t="s">
        <v>1164</v>
      </c>
      <c r="D510" s="21" t="s">
        <v>1165</v>
      </c>
      <c r="E510" s="21" t="s">
        <v>135</v>
      </c>
      <c r="F510" s="22">
        <v>89</v>
      </c>
      <c r="G510" s="22">
        <v>5.9</v>
      </c>
      <c r="H510" s="22">
        <v>225</v>
      </c>
      <c r="I510" s="22">
        <v>154</v>
      </c>
      <c r="J510" s="22">
        <v>3833</v>
      </c>
      <c r="K510" s="22">
        <v>89</v>
      </c>
      <c r="L510" s="22">
        <v>5.9</v>
      </c>
      <c r="M510" s="22">
        <v>25</v>
      </c>
      <c r="N510" s="23" t="str">
        <f t="shared" si="49"/>
        <v>Alto</v>
      </c>
      <c r="O510" s="23" t="str">
        <f t="shared" si="50"/>
        <v>Alto</v>
      </c>
      <c r="P510" s="23" t="str">
        <f t="shared" si="51"/>
        <v>Muy alto</v>
      </c>
      <c r="Q510" s="24" t="str">
        <f t="shared" si="52"/>
        <v>N/C: no es fuente proteica</v>
      </c>
      <c r="R510" s="23" t="str">
        <f t="shared" si="53"/>
        <v>N/C</v>
      </c>
      <c r="S510" s="25" t="str">
        <f t="shared" si="54"/>
        <v>Utilizable</v>
      </c>
      <c r="T510" s="26" t="str">
        <f t="shared" si="55"/>
        <v>Salsas|00.000.225</v>
      </c>
      <c r="U510" s="26">
        <f>IF(OR($S510&lt;&gt;"Utilizable",$C510&lt;&gt;SUSTITUCION!$C$13),999999,IF(v_prioridad="Potasio",$H510,IF(v_prioridad="Fósforo",$I510,IF(v_prioridad="Sodio",$J510,IF(ISNUMBER($Q510),$Q510,999999)))))</f>
        <v>999999</v>
      </c>
    </row>
    <row r="511" spans="1:21" ht="15" customHeight="1">
      <c r="A511" s="21" t="s">
        <v>1178</v>
      </c>
      <c r="B511" s="21" t="s">
        <v>1179</v>
      </c>
      <c r="C511" s="21" t="s">
        <v>1164</v>
      </c>
      <c r="D511" s="21" t="s">
        <v>1165</v>
      </c>
      <c r="E511" s="21" t="s">
        <v>135</v>
      </c>
      <c r="F511" s="22">
        <v>36</v>
      </c>
      <c r="G511" s="22">
        <v>1.1000000000000001</v>
      </c>
      <c r="H511" s="22">
        <v>259</v>
      </c>
      <c r="I511" s="22">
        <v>41</v>
      </c>
      <c r="J511" s="22">
        <v>500</v>
      </c>
      <c r="K511" s="22">
        <v>36</v>
      </c>
      <c r="L511" s="22">
        <v>1.1000000000000001</v>
      </c>
      <c r="M511" s="22">
        <v>9</v>
      </c>
      <c r="N511" s="23" t="str">
        <f t="shared" si="49"/>
        <v>Alto</v>
      </c>
      <c r="O511" s="23" t="str">
        <f t="shared" si="50"/>
        <v>Bajo</v>
      </c>
      <c r="P511" s="23" t="str">
        <f t="shared" si="51"/>
        <v>Muy alto</v>
      </c>
      <c r="Q511" s="24" t="str">
        <f t="shared" si="52"/>
        <v>N/C: no es fuente proteica</v>
      </c>
      <c r="R511" s="23" t="str">
        <f t="shared" si="53"/>
        <v>N/C</v>
      </c>
      <c r="S511" s="25" t="str">
        <f t="shared" si="54"/>
        <v>Utilizable</v>
      </c>
      <c r="T511" s="26" t="str">
        <f t="shared" si="55"/>
        <v>Salsas|00.000.259</v>
      </c>
      <c r="U511" s="26">
        <f>IF(OR($S511&lt;&gt;"Utilizable",$C511&lt;&gt;SUSTITUCION!$C$13),999999,IF(v_prioridad="Potasio",$H511,IF(v_prioridad="Fósforo",$I511,IF(v_prioridad="Sodio",$J511,IF(ISNUMBER($Q511),$Q511,999999)))))</f>
        <v>999999</v>
      </c>
    </row>
    <row r="512" spans="1:21" ht="15" customHeight="1">
      <c r="A512" s="21" t="s">
        <v>1180</v>
      </c>
      <c r="B512" s="21" t="s">
        <v>1181</v>
      </c>
      <c r="C512" s="21" t="s">
        <v>1182</v>
      </c>
      <c r="D512" s="21" t="s">
        <v>1183</v>
      </c>
      <c r="E512" s="21" t="s">
        <v>135</v>
      </c>
      <c r="F512" s="22">
        <v>331</v>
      </c>
      <c r="G512" s="22">
        <v>16.600000000000001</v>
      </c>
      <c r="H512" s="22">
        <v>1193</v>
      </c>
      <c r="I512" s="22">
        <v>414</v>
      </c>
      <c r="J512" s="22">
        <v>60</v>
      </c>
      <c r="K512" s="22">
        <v>331</v>
      </c>
      <c r="L512" s="22">
        <v>16.600000000000001</v>
      </c>
      <c r="M512" s="22">
        <v>79</v>
      </c>
      <c r="N512" s="23" t="str">
        <f t="shared" si="49"/>
        <v>Muy alto</v>
      </c>
      <c r="O512" s="23" t="str">
        <f t="shared" si="50"/>
        <v>Muy alto</v>
      </c>
      <c r="P512" s="23" t="str">
        <f t="shared" si="51"/>
        <v>Medio</v>
      </c>
      <c r="Q512" s="24">
        <f t="shared" si="52"/>
        <v>24.939759036144576</v>
      </c>
      <c r="R512" s="23" t="str">
        <f t="shared" si="53"/>
        <v>Alta</v>
      </c>
      <c r="S512" s="25" t="str">
        <f t="shared" si="54"/>
        <v>Utilizable</v>
      </c>
      <c r="T512" s="26" t="str">
        <f t="shared" si="55"/>
        <v>Especias|00.001.193</v>
      </c>
      <c r="U512" s="26">
        <f>IF(OR($S512&lt;&gt;"Utilizable",$C512&lt;&gt;SUSTITUCION!$C$13),999999,IF(v_prioridad="Potasio",$H512,IF(v_prioridad="Fósforo",$I512,IF(v_prioridad="Sodio",$J512,IF(ISNUMBER($Q512),$Q512,999999)))))</f>
        <v>999999</v>
      </c>
    </row>
    <row r="513" spans="1:21" ht="15" customHeight="1">
      <c r="A513" s="21" t="s">
        <v>1184</v>
      </c>
      <c r="B513" s="21" t="s">
        <v>1185</v>
      </c>
      <c r="C513" s="21" t="s">
        <v>1182</v>
      </c>
      <c r="D513" s="21" t="s">
        <v>1183</v>
      </c>
      <c r="E513" s="21" t="s">
        <v>135</v>
      </c>
      <c r="F513" s="22">
        <v>23</v>
      </c>
      <c r="G513" s="22">
        <v>3.2</v>
      </c>
      <c r="H513" s="22">
        <v>295</v>
      </c>
      <c r="I513" s="22">
        <v>56</v>
      </c>
      <c r="J513" s="22">
        <v>4</v>
      </c>
      <c r="K513" s="22">
        <v>23</v>
      </c>
      <c r="L513" s="22">
        <v>3.2</v>
      </c>
      <c r="M513" s="22">
        <v>177</v>
      </c>
      <c r="N513" s="23" t="str">
        <f t="shared" si="49"/>
        <v>Alto</v>
      </c>
      <c r="O513" s="23" t="str">
        <f t="shared" si="50"/>
        <v>Medio</v>
      </c>
      <c r="P513" s="23" t="str">
        <f t="shared" si="51"/>
        <v>Bajo</v>
      </c>
      <c r="Q513" s="24" t="str">
        <f t="shared" si="52"/>
        <v>N/C: no es fuente proteica</v>
      </c>
      <c r="R513" s="23" t="str">
        <f t="shared" si="53"/>
        <v>N/C</v>
      </c>
      <c r="S513" s="25" t="str">
        <f t="shared" si="54"/>
        <v>Utilizable</v>
      </c>
      <c r="T513" s="26" t="str">
        <f t="shared" si="55"/>
        <v>Especias|00.000.295</v>
      </c>
      <c r="U513" s="26">
        <f>IF(OR($S513&lt;&gt;"Utilizable",$C513&lt;&gt;SUSTITUCION!$C$13),999999,IF(v_prioridad="Potasio",$H513,IF(v_prioridad="Fósforo",$I513,IF(v_prioridad="Sodio",$J513,IF(ISNUMBER($Q513),$Q513,999999)))))</f>
        <v>999999</v>
      </c>
    </row>
    <row r="514" spans="1:21" ht="15" customHeight="1">
      <c r="A514" s="21" t="s">
        <v>1186</v>
      </c>
      <c r="B514" s="21" t="s">
        <v>1187</v>
      </c>
      <c r="C514" s="21" t="s">
        <v>1182</v>
      </c>
      <c r="D514" s="21" t="s">
        <v>1183</v>
      </c>
      <c r="E514" s="21" t="s">
        <v>135</v>
      </c>
      <c r="F514" s="22">
        <v>233</v>
      </c>
      <c r="G514" s="22">
        <v>23</v>
      </c>
      <c r="H514" s="22">
        <v>2630</v>
      </c>
      <c r="I514" s="22">
        <v>274</v>
      </c>
      <c r="J514" s="22">
        <v>76</v>
      </c>
      <c r="K514" s="22">
        <v>233</v>
      </c>
      <c r="L514" s="22">
        <v>23</v>
      </c>
      <c r="M514" s="22">
        <v>2240</v>
      </c>
      <c r="N514" s="23" t="str">
        <f t="shared" si="49"/>
        <v>Muy alto</v>
      </c>
      <c r="O514" s="23" t="str">
        <f t="shared" si="50"/>
        <v>Muy alto</v>
      </c>
      <c r="P514" s="23" t="str">
        <f t="shared" si="51"/>
        <v>Medio</v>
      </c>
      <c r="Q514" s="24">
        <f t="shared" si="52"/>
        <v>11.913043478260869</v>
      </c>
      <c r="R514" s="23" t="str">
        <f t="shared" si="53"/>
        <v>Deseable</v>
      </c>
      <c r="S514" s="25" t="str">
        <f t="shared" si="54"/>
        <v>Utilizable</v>
      </c>
      <c r="T514" s="26" t="str">
        <f t="shared" si="55"/>
        <v>Especias|00.002.630</v>
      </c>
      <c r="U514" s="26">
        <f>IF(OR($S514&lt;&gt;"Utilizable",$C514&lt;&gt;SUSTITUCION!$C$13),999999,IF(v_prioridad="Potasio",$H514,IF(v_prioridad="Fósforo",$I514,IF(v_prioridad="Sodio",$J514,IF(ISNUMBER($Q514),$Q514,999999)))))</f>
        <v>999999</v>
      </c>
    </row>
    <row r="515" spans="1:21" ht="15" customHeight="1">
      <c r="A515" s="21" t="s">
        <v>1188</v>
      </c>
      <c r="B515" s="21" t="s">
        <v>1189</v>
      </c>
      <c r="C515" s="21" t="s">
        <v>1182</v>
      </c>
      <c r="D515" s="21" t="s">
        <v>1183</v>
      </c>
      <c r="E515" s="21" t="s">
        <v>135</v>
      </c>
      <c r="F515" s="22">
        <v>310</v>
      </c>
      <c r="G515" s="22">
        <v>11.4</v>
      </c>
      <c r="H515" s="22">
        <v>1724</v>
      </c>
      <c r="I515" s="22">
        <v>252</v>
      </c>
      <c r="J515" s="22">
        <v>148</v>
      </c>
      <c r="K515" s="22">
        <v>310</v>
      </c>
      <c r="L515" s="22">
        <v>11.4</v>
      </c>
      <c r="M515" s="22">
        <v>111</v>
      </c>
      <c r="N515" s="23" t="str">
        <f t="shared" si="49"/>
        <v>Muy alto</v>
      </c>
      <c r="O515" s="23" t="str">
        <f t="shared" si="50"/>
        <v>Muy alto</v>
      </c>
      <c r="P515" s="23" t="str">
        <f t="shared" si="51"/>
        <v>Alto</v>
      </c>
      <c r="Q515" s="24">
        <f t="shared" si="52"/>
        <v>22.105263157894736</v>
      </c>
      <c r="R515" s="23" t="str">
        <f t="shared" si="53"/>
        <v>Alta</v>
      </c>
      <c r="S515" s="25" t="str">
        <f t="shared" si="54"/>
        <v>Utilizable</v>
      </c>
      <c r="T515" s="26" t="str">
        <f t="shared" si="55"/>
        <v>Especias|00.001.724</v>
      </c>
      <c r="U515" s="26">
        <f>IF(OR($S515&lt;&gt;"Utilizable",$C515&lt;&gt;SUSTITUCION!$C$13),999999,IF(v_prioridad="Potasio",$H515,IF(v_prioridad="Fósforo",$I515,IF(v_prioridad="Sodio",$J515,IF(ISNUMBER($Q515),$Q515,999999)))))</f>
        <v>999999</v>
      </c>
    </row>
    <row r="516" spans="1:21" ht="15" customHeight="1">
      <c r="A516" s="21" t="s">
        <v>1190</v>
      </c>
      <c r="B516" s="21" t="s">
        <v>1191</v>
      </c>
      <c r="C516" s="21" t="s">
        <v>1182</v>
      </c>
      <c r="D516" s="21" t="s">
        <v>1183</v>
      </c>
      <c r="E516" s="21" t="s">
        <v>135</v>
      </c>
      <c r="F516" s="22">
        <v>247</v>
      </c>
      <c r="G516" s="22">
        <v>4</v>
      </c>
      <c r="H516" s="22">
        <v>431</v>
      </c>
      <c r="I516" s="22">
        <v>64</v>
      </c>
      <c r="J516" s="22">
        <v>10</v>
      </c>
      <c r="K516" s="22">
        <v>247</v>
      </c>
      <c r="L516" s="22">
        <v>4</v>
      </c>
      <c r="M516" s="22">
        <v>1002</v>
      </c>
      <c r="N516" s="23" t="str">
        <f t="shared" si="49"/>
        <v>Muy alto</v>
      </c>
      <c r="O516" s="23" t="str">
        <f t="shared" si="50"/>
        <v>Medio</v>
      </c>
      <c r="P516" s="23" t="str">
        <f t="shared" si="51"/>
        <v>Bajo</v>
      </c>
      <c r="Q516" s="24" t="str">
        <f t="shared" si="52"/>
        <v>N/C: no es fuente proteica</v>
      </c>
      <c r="R516" s="23" t="str">
        <f t="shared" si="53"/>
        <v>N/C</v>
      </c>
      <c r="S516" s="25" t="str">
        <f t="shared" si="54"/>
        <v>Utilizable</v>
      </c>
      <c r="T516" s="26" t="str">
        <f t="shared" si="55"/>
        <v>Especias|00.000.431</v>
      </c>
      <c r="U516" s="26">
        <f>IF(OR($S516&lt;&gt;"Utilizable",$C516&lt;&gt;SUSTITUCION!$C$13),999999,IF(v_prioridad="Potasio",$H516,IF(v_prioridad="Fósforo",$I516,IF(v_prioridad="Sodio",$J516,IF(ISNUMBER($Q516),$Q516,999999)))))</f>
        <v>999999</v>
      </c>
    </row>
    <row r="517" spans="1:21" ht="15" customHeight="1">
      <c r="A517" s="21" t="s">
        <v>1192</v>
      </c>
      <c r="B517" s="21" t="s">
        <v>1193</v>
      </c>
      <c r="C517" s="21" t="s">
        <v>1182</v>
      </c>
      <c r="D517" s="21" t="s">
        <v>1183</v>
      </c>
      <c r="E517" s="21" t="s">
        <v>135</v>
      </c>
      <c r="F517" s="22">
        <v>311</v>
      </c>
      <c r="G517" s="22">
        <v>10.8</v>
      </c>
      <c r="H517" s="22" t="s">
        <v>138</v>
      </c>
      <c r="I517" s="22">
        <v>178</v>
      </c>
      <c r="J517" s="22">
        <v>18</v>
      </c>
      <c r="K517" s="22">
        <v>311</v>
      </c>
      <c r="L517" s="22">
        <v>10.8</v>
      </c>
      <c r="M517" s="22">
        <v>383</v>
      </c>
      <c r="N517" s="23" t="str">
        <f t="shared" si="49"/>
        <v>Sin dato</v>
      </c>
      <c r="O517" s="23" t="str">
        <f t="shared" si="50"/>
        <v>Muy alto</v>
      </c>
      <c r="P517" s="23" t="str">
        <f t="shared" si="51"/>
        <v>Bajo</v>
      </c>
      <c r="Q517" s="24">
        <f t="shared" si="52"/>
        <v>16.481481481481481</v>
      </c>
      <c r="R517" s="23" t="str">
        <f t="shared" si="53"/>
        <v>Alta</v>
      </c>
      <c r="S517" s="25" t="str">
        <f t="shared" si="54"/>
        <v>No utilizable</v>
      </c>
      <c r="T517" s="26" t="str">
        <f t="shared" si="55"/>
        <v/>
      </c>
      <c r="U517" s="26">
        <f>IF(OR($S517&lt;&gt;"Utilizable",$C517&lt;&gt;SUSTITUCION!$C$13),999999,IF(v_prioridad="Potasio",$H517,IF(v_prioridad="Fósforo",$I517,IF(v_prioridad="Sodio",$J517,IF(ISNUMBER($Q517),$Q517,999999)))))</f>
        <v>999999</v>
      </c>
    </row>
    <row r="518" spans="1:21" ht="15" customHeight="1">
      <c r="A518" s="21" t="s">
        <v>1194</v>
      </c>
      <c r="B518" s="21" t="s">
        <v>1195</v>
      </c>
      <c r="C518" s="21" t="s">
        <v>1182</v>
      </c>
      <c r="D518" s="21" t="s">
        <v>1183</v>
      </c>
      <c r="E518" s="21" t="s">
        <v>135</v>
      </c>
      <c r="F518" s="22">
        <v>341</v>
      </c>
      <c r="G518" s="22">
        <v>10.4</v>
      </c>
      <c r="H518" s="22">
        <v>119</v>
      </c>
      <c r="I518" s="22">
        <v>322</v>
      </c>
      <c r="J518" s="22">
        <v>73</v>
      </c>
      <c r="K518" s="22">
        <v>341</v>
      </c>
      <c r="L518" s="22">
        <v>10.4</v>
      </c>
      <c r="M518" s="22">
        <v>384</v>
      </c>
      <c r="N518" s="23" t="str">
        <f t="shared" si="49"/>
        <v>Medio</v>
      </c>
      <c r="O518" s="23" t="str">
        <f t="shared" si="50"/>
        <v>Muy alto</v>
      </c>
      <c r="P518" s="23" t="str">
        <f t="shared" si="51"/>
        <v>Medio</v>
      </c>
      <c r="Q518" s="24">
        <f t="shared" si="52"/>
        <v>30.96153846153846</v>
      </c>
      <c r="R518" s="23" t="str">
        <f t="shared" si="53"/>
        <v>Alta</v>
      </c>
      <c r="S518" s="25" t="str">
        <f t="shared" si="54"/>
        <v>Utilizable</v>
      </c>
      <c r="T518" s="26" t="str">
        <f t="shared" si="55"/>
        <v>Especias|00.000.119</v>
      </c>
      <c r="U518" s="26">
        <f>IF(OR($S518&lt;&gt;"Utilizable",$C518&lt;&gt;SUSTITUCION!$C$13),999999,IF(v_prioridad="Potasio",$H518,IF(v_prioridad="Fósforo",$I518,IF(v_prioridad="Sodio",$J518,IF(ISNUMBER($Q518),$Q518,999999)))))</f>
        <v>999999</v>
      </c>
    </row>
    <row r="519" spans="1:21" ht="15" customHeight="1">
      <c r="A519" s="21" t="s">
        <v>1196</v>
      </c>
      <c r="B519" s="21" t="s">
        <v>1197</v>
      </c>
      <c r="C519" s="21" t="s">
        <v>1182</v>
      </c>
      <c r="D519" s="21" t="s">
        <v>1183</v>
      </c>
      <c r="E519" s="21" t="s">
        <v>135</v>
      </c>
      <c r="F519" s="22">
        <v>24</v>
      </c>
      <c r="G519" s="22">
        <v>6</v>
      </c>
      <c r="H519" s="22">
        <v>985</v>
      </c>
      <c r="I519" s="22">
        <v>104</v>
      </c>
      <c r="J519" s="22">
        <v>277</v>
      </c>
      <c r="K519" s="22">
        <v>24</v>
      </c>
      <c r="L519" s="22">
        <v>6</v>
      </c>
      <c r="M519" s="22">
        <v>632</v>
      </c>
      <c r="N519" s="23" t="str">
        <f t="shared" si="49"/>
        <v>Muy alto</v>
      </c>
      <c r="O519" s="23" t="str">
        <f t="shared" si="50"/>
        <v>Alto</v>
      </c>
      <c r="P519" s="23" t="str">
        <f t="shared" si="51"/>
        <v>Alto</v>
      </c>
      <c r="Q519" s="24" t="str">
        <f t="shared" si="52"/>
        <v>N/C: no es fuente proteica</v>
      </c>
      <c r="R519" s="23" t="str">
        <f t="shared" si="53"/>
        <v>N/C</v>
      </c>
      <c r="S519" s="25" t="str">
        <f t="shared" si="54"/>
        <v>Utilizable</v>
      </c>
      <c r="T519" s="26" t="str">
        <f t="shared" si="55"/>
        <v>Especias|00.000.985</v>
      </c>
      <c r="U519" s="26">
        <f>IF(OR($S519&lt;&gt;"Utilizable",$C519&lt;&gt;SUSTITUCION!$C$13),999999,IF(v_prioridad="Potasio",$H519,IF(v_prioridad="Fósforo",$I519,IF(v_prioridad="Sodio",$J519,IF(ISNUMBER($Q519),$Q519,999999)))))</f>
        <v>999999</v>
      </c>
    </row>
    <row r="520" spans="1:21" ht="15" customHeight="1">
      <c r="A520" s="21" t="s">
        <v>1198</v>
      </c>
      <c r="B520" s="21" t="s">
        <v>1199</v>
      </c>
      <c r="C520" s="21" t="s">
        <v>1182</v>
      </c>
      <c r="D520" s="21" t="s">
        <v>1183</v>
      </c>
      <c r="E520" s="21" t="s">
        <v>135</v>
      </c>
      <c r="F520" s="22">
        <v>342</v>
      </c>
      <c r="G520" s="22">
        <v>9.6999999999999993</v>
      </c>
      <c r="H520" s="22">
        <v>1020</v>
      </c>
      <c r="I520" s="22">
        <v>29</v>
      </c>
      <c r="J520" s="22">
        <v>27</v>
      </c>
      <c r="K520" s="22">
        <v>342</v>
      </c>
      <c r="L520" s="22">
        <v>9.6999999999999993</v>
      </c>
      <c r="M520" s="22">
        <v>168</v>
      </c>
      <c r="N520" s="23" t="str">
        <f t="shared" si="49"/>
        <v>Muy alto</v>
      </c>
      <c r="O520" s="23" t="str">
        <f t="shared" si="50"/>
        <v>Bajo</v>
      </c>
      <c r="P520" s="23" t="str">
        <f t="shared" si="51"/>
        <v>Bajo</v>
      </c>
      <c r="Q520" s="24" t="str">
        <f t="shared" si="52"/>
        <v>N/C: no es fuente proteica</v>
      </c>
      <c r="R520" s="23" t="str">
        <f t="shared" si="53"/>
        <v>N/C</v>
      </c>
      <c r="S520" s="25" t="str">
        <f t="shared" si="54"/>
        <v>Utilizable</v>
      </c>
      <c r="T520" s="26" t="str">
        <f t="shared" si="55"/>
        <v>Especias|00.001.020</v>
      </c>
      <c r="U520" s="26">
        <f>IF(OR($S520&lt;&gt;"Utilizable",$C520&lt;&gt;SUSTITUCION!$C$13),999999,IF(v_prioridad="Potasio",$H520,IF(v_prioridad="Fósforo",$I520,IF(v_prioridad="Sodio",$J520,IF(ISNUMBER($Q520),$Q520,999999)))))</f>
        <v>999999</v>
      </c>
    </row>
    <row r="521" spans="1:21" ht="15" customHeight="1">
      <c r="A521" s="21" t="s">
        <v>1200</v>
      </c>
      <c r="B521" s="21" t="s">
        <v>1201</v>
      </c>
      <c r="C521" s="21" t="s">
        <v>1182</v>
      </c>
      <c r="D521" s="21" t="s">
        <v>1183</v>
      </c>
      <c r="E521" s="21" t="s">
        <v>135</v>
      </c>
      <c r="F521" s="22">
        <v>325</v>
      </c>
      <c r="G521" s="22">
        <v>14.3</v>
      </c>
      <c r="H521" s="22">
        <v>2080</v>
      </c>
      <c r="I521" s="22">
        <v>367</v>
      </c>
      <c r="J521" s="22">
        <v>52</v>
      </c>
      <c r="K521" s="22">
        <v>325</v>
      </c>
      <c r="L521" s="22">
        <v>14.3</v>
      </c>
      <c r="M521" s="22">
        <v>525</v>
      </c>
      <c r="N521" s="23" t="str">
        <f t="shared" ref="N521:N584" si="56">IF(NOT(ISNUMBER(H521)),"Sin dato",IF(H521&lt;=INDEX(rng_umbrales,1,2),"Bajo",IF(H521&lt;=INDEX(rng_umbrales,1,3),"Medio",IF(H521&lt;=INDEX(rng_umbrales,1,4),"Alto","Muy alto"))))</f>
        <v>Muy alto</v>
      </c>
      <c r="O521" s="23" t="str">
        <f t="shared" ref="O521:O584" si="57">IF(NOT(ISNUMBER(I521)),"Sin dato",IF(I521&lt;=INDEX(rng_umbrales,2,2),"Bajo",IF(I521&lt;=INDEX(rng_umbrales,2,3),"Medio",IF(I521&lt;=INDEX(rng_umbrales,2,4),"Alto","Muy alto"))))</f>
        <v>Muy alto</v>
      </c>
      <c r="P521" s="23" t="str">
        <f t="shared" ref="P521:P584" si="58">IF(NOT(ISNUMBER(J521)),"Sin dato",IF(J521&lt;=INDEX(rng_umbrales,3,2),"Bajo",IF(J521&lt;=INDEX(rng_umbrales,3,3),"Medio",IF(J521&lt;=INDEX(rng_umbrales,3,4),"Alto","Muy alto"))))</f>
        <v>Medio</v>
      </c>
      <c r="Q521" s="24">
        <f t="shared" ref="Q521:Q584" si="59">IF(OR(NOT(ISNUMBER(G521)),NOT(ISNUMBER(I521))),"N/C",IF(G521&lt;u_protMin,"N/C: no es fuente proteica",I521/G521))</f>
        <v>25.664335664335663</v>
      </c>
      <c r="R521" s="23" t="str">
        <f t="shared" ref="R521:R584" si="60">IF(NOT(ISNUMBER(Q521)),"N/C",IF(Q521&lt;=u_ppDes,"Deseable",IF(Q521&lt;=u_ppAcep,"Aceptable","Alta")))</f>
        <v>Alta</v>
      </c>
      <c r="S521" s="25" t="str">
        <f t="shared" ref="S521:S584" si="61">IF(COUNT(F521:J521)=k_cobMin,"Utilizable","No utilizable")</f>
        <v>Utilizable</v>
      </c>
      <c r="T521" s="26" t="str">
        <f t="shared" ref="T521:T584" si="62">IF(S521&lt;&gt;"Utilizable","",C521&amp;"|"&amp;TEXT(IF(v_prioridad="Potasio",H521,IF(v_prioridad="Fósforo",I521,IF(v_prioridad="Sodio",J521,IF(ISNUMBER(Q521),Q521,99999)))),"000000.00"))</f>
        <v>Especias|00.002.080</v>
      </c>
      <c r="U521" s="26">
        <f>IF(OR($S521&lt;&gt;"Utilizable",$C521&lt;&gt;SUSTITUCION!$C$13),999999,IF(v_prioridad="Potasio",$H521,IF(v_prioridad="Fósforo",$I521,IF(v_prioridad="Sodio",$J521,IF(ISNUMBER($Q521),$Q521,999999)))))</f>
        <v>999999</v>
      </c>
    </row>
    <row r="522" spans="1:21" ht="15" customHeight="1">
      <c r="A522" s="21" t="s">
        <v>1202</v>
      </c>
      <c r="B522" s="21" t="s">
        <v>1203</v>
      </c>
      <c r="C522" s="21" t="s">
        <v>1182</v>
      </c>
      <c r="D522" s="21" t="s">
        <v>1183</v>
      </c>
      <c r="E522" s="21" t="s">
        <v>135</v>
      </c>
      <c r="F522" s="22">
        <v>43</v>
      </c>
      <c r="G522" s="22">
        <v>3.5</v>
      </c>
      <c r="H522" s="22">
        <v>738</v>
      </c>
      <c r="I522" s="22">
        <v>66</v>
      </c>
      <c r="J522" s="22">
        <v>61</v>
      </c>
      <c r="K522" s="22">
        <v>43</v>
      </c>
      <c r="L522" s="22">
        <v>3.5</v>
      </c>
      <c r="M522" s="22">
        <v>208</v>
      </c>
      <c r="N522" s="23" t="str">
        <f t="shared" si="56"/>
        <v>Muy alto</v>
      </c>
      <c r="O522" s="23" t="str">
        <f t="shared" si="57"/>
        <v>Medio</v>
      </c>
      <c r="P522" s="23" t="str">
        <f t="shared" si="58"/>
        <v>Medio</v>
      </c>
      <c r="Q522" s="24" t="str">
        <f t="shared" si="59"/>
        <v>N/C: no es fuente proteica</v>
      </c>
      <c r="R522" s="23" t="str">
        <f t="shared" si="60"/>
        <v>N/C</v>
      </c>
      <c r="S522" s="25" t="str">
        <f t="shared" si="61"/>
        <v>Utilizable</v>
      </c>
      <c r="T522" s="26" t="str">
        <f t="shared" si="62"/>
        <v>Especias|00.000.738</v>
      </c>
      <c r="U522" s="26">
        <f>IF(OR($S522&lt;&gt;"Utilizable",$C522&lt;&gt;SUSTITUCION!$C$13),999999,IF(v_prioridad="Potasio",$H522,IF(v_prioridad="Fósforo",$I522,IF(v_prioridad="Sodio",$J522,IF(ISNUMBER($Q522),$Q522,999999)))))</f>
        <v>999999</v>
      </c>
    </row>
    <row r="523" spans="1:21" ht="15" customHeight="1">
      <c r="A523" s="21" t="s">
        <v>1204</v>
      </c>
      <c r="B523" s="21" t="s">
        <v>1205</v>
      </c>
      <c r="C523" s="21" t="s">
        <v>1182</v>
      </c>
      <c r="D523" s="21" t="s">
        <v>1183</v>
      </c>
      <c r="E523" s="21" t="s">
        <v>135</v>
      </c>
      <c r="F523" s="22">
        <v>253</v>
      </c>
      <c r="G523" s="22">
        <v>20</v>
      </c>
      <c r="H523" s="22">
        <v>3308</v>
      </c>
      <c r="I523" s="22">
        <v>543</v>
      </c>
      <c r="J523" s="22">
        <v>208</v>
      </c>
      <c r="K523" s="22">
        <v>253</v>
      </c>
      <c r="L523" s="22">
        <v>20</v>
      </c>
      <c r="M523" s="22">
        <v>1784</v>
      </c>
      <c r="N523" s="23" t="str">
        <f t="shared" si="56"/>
        <v>Muy alto</v>
      </c>
      <c r="O523" s="23" t="str">
        <f t="shared" si="57"/>
        <v>Muy alto</v>
      </c>
      <c r="P523" s="23" t="str">
        <f t="shared" si="58"/>
        <v>Alto</v>
      </c>
      <c r="Q523" s="24">
        <f t="shared" si="59"/>
        <v>27.15</v>
      </c>
      <c r="R523" s="23" t="str">
        <f t="shared" si="60"/>
        <v>Alta</v>
      </c>
      <c r="S523" s="25" t="str">
        <f t="shared" si="61"/>
        <v>Utilizable</v>
      </c>
      <c r="T523" s="26" t="str">
        <f t="shared" si="62"/>
        <v>Especias|00.003.308</v>
      </c>
      <c r="U523" s="26">
        <f>IF(OR($S523&lt;&gt;"Utilizable",$C523&lt;&gt;SUSTITUCION!$C$13),999999,IF(v_prioridad="Potasio",$H523,IF(v_prioridad="Fósforo",$I523,IF(v_prioridad="Sodio",$J523,IF(ISNUMBER($Q523),$Q523,999999)))))</f>
        <v>999999</v>
      </c>
    </row>
    <row r="524" spans="1:21" ht="15" customHeight="1">
      <c r="A524" s="21" t="s">
        <v>1206</v>
      </c>
      <c r="B524" s="21" t="s">
        <v>1207</v>
      </c>
      <c r="C524" s="21" t="s">
        <v>1182</v>
      </c>
      <c r="D524" s="21" t="s">
        <v>1183</v>
      </c>
      <c r="E524" s="21" t="s">
        <v>135</v>
      </c>
      <c r="F524" s="22">
        <v>295</v>
      </c>
      <c r="G524" s="22">
        <v>22.8</v>
      </c>
      <c r="H524" s="22">
        <v>3020</v>
      </c>
      <c r="I524" s="22">
        <v>313</v>
      </c>
      <c r="J524" s="22">
        <v>62</v>
      </c>
      <c r="K524" s="22">
        <v>295</v>
      </c>
      <c r="L524" s="22">
        <v>22.8</v>
      </c>
      <c r="M524" s="22">
        <v>1139</v>
      </c>
      <c r="N524" s="23" t="str">
        <f t="shared" si="56"/>
        <v>Muy alto</v>
      </c>
      <c r="O524" s="23" t="str">
        <f t="shared" si="57"/>
        <v>Muy alto</v>
      </c>
      <c r="P524" s="23" t="str">
        <f t="shared" si="58"/>
        <v>Medio</v>
      </c>
      <c r="Q524" s="24">
        <f t="shared" si="59"/>
        <v>13.728070175438596</v>
      </c>
      <c r="R524" s="23" t="str">
        <f t="shared" si="60"/>
        <v>Aceptable</v>
      </c>
      <c r="S524" s="25" t="str">
        <f t="shared" si="61"/>
        <v>Utilizable</v>
      </c>
      <c r="T524" s="26" t="str">
        <f t="shared" si="62"/>
        <v>Especias|00.003.020</v>
      </c>
      <c r="U524" s="26">
        <f>IF(OR($S524&lt;&gt;"Utilizable",$C524&lt;&gt;SUSTITUCION!$C$13),999999,IF(v_prioridad="Potasio",$H524,IF(v_prioridad="Fósforo",$I524,IF(v_prioridad="Sodio",$J524,IF(ISNUMBER($Q524),$Q524,999999)))))</f>
        <v>999999</v>
      </c>
    </row>
    <row r="525" spans="1:21" ht="15" customHeight="1">
      <c r="A525" s="21" t="s">
        <v>1208</v>
      </c>
      <c r="B525" s="21" t="s">
        <v>1209</v>
      </c>
      <c r="C525" s="21" t="s">
        <v>1182</v>
      </c>
      <c r="D525" s="21" t="s">
        <v>1183</v>
      </c>
      <c r="E525" s="21" t="s">
        <v>135</v>
      </c>
      <c r="F525" s="22">
        <v>70</v>
      </c>
      <c r="G525" s="22">
        <v>3.8</v>
      </c>
      <c r="H525" s="22">
        <v>569</v>
      </c>
      <c r="I525" s="22">
        <v>73</v>
      </c>
      <c r="J525" s="22">
        <v>31</v>
      </c>
      <c r="K525" s="22">
        <v>70</v>
      </c>
      <c r="L525" s="22">
        <v>3.8</v>
      </c>
      <c r="M525" s="22">
        <v>243</v>
      </c>
      <c r="N525" s="23" t="str">
        <f t="shared" si="56"/>
        <v>Muy alto</v>
      </c>
      <c r="O525" s="23" t="str">
        <f t="shared" si="57"/>
        <v>Medio</v>
      </c>
      <c r="P525" s="23" t="str">
        <f t="shared" si="58"/>
        <v>Bajo</v>
      </c>
      <c r="Q525" s="24" t="str">
        <f t="shared" si="59"/>
        <v>N/C: no es fuente proteica</v>
      </c>
      <c r="R525" s="23" t="str">
        <f t="shared" si="60"/>
        <v>N/C</v>
      </c>
      <c r="S525" s="25" t="str">
        <f t="shared" si="61"/>
        <v>Utilizable</v>
      </c>
      <c r="T525" s="26" t="str">
        <f t="shared" si="62"/>
        <v>Especias|00.000.569</v>
      </c>
      <c r="U525" s="26">
        <f>IF(OR($S525&lt;&gt;"Utilizable",$C525&lt;&gt;SUSTITUCION!$C$13),999999,IF(v_prioridad="Potasio",$H525,IF(v_prioridad="Fósforo",$I525,IF(v_prioridad="Sodio",$J525,IF(ISNUMBER($Q525),$Q525,999999)))))</f>
        <v>999999</v>
      </c>
    </row>
    <row r="526" spans="1:21" ht="15" customHeight="1">
      <c r="A526" s="21" t="s">
        <v>1210</v>
      </c>
      <c r="B526" s="21" t="s">
        <v>1211</v>
      </c>
      <c r="C526" s="21" t="s">
        <v>1182</v>
      </c>
      <c r="D526" s="21" t="s">
        <v>1183</v>
      </c>
      <c r="E526" s="21" t="s">
        <v>135</v>
      </c>
      <c r="F526" s="22">
        <v>335</v>
      </c>
      <c r="G526" s="22">
        <v>9</v>
      </c>
      <c r="H526" s="22">
        <v>1320</v>
      </c>
      <c r="I526" s="22">
        <v>168</v>
      </c>
      <c r="J526" s="22" t="s">
        <v>138</v>
      </c>
      <c r="K526" s="22">
        <v>335</v>
      </c>
      <c r="L526" s="22">
        <v>9</v>
      </c>
      <c r="M526" s="22">
        <v>114</v>
      </c>
      <c r="N526" s="23" t="str">
        <f t="shared" si="56"/>
        <v>Muy alto</v>
      </c>
      <c r="O526" s="23" t="str">
        <f t="shared" si="57"/>
        <v>Alto</v>
      </c>
      <c r="P526" s="23" t="str">
        <f t="shared" si="58"/>
        <v>Sin dato</v>
      </c>
      <c r="Q526" s="24" t="str">
        <f t="shared" si="59"/>
        <v>N/C: no es fuente proteica</v>
      </c>
      <c r="R526" s="23" t="str">
        <f t="shared" si="60"/>
        <v>N/C</v>
      </c>
      <c r="S526" s="25" t="str">
        <f t="shared" si="61"/>
        <v>No utilizable</v>
      </c>
      <c r="T526" s="26" t="str">
        <f t="shared" si="62"/>
        <v/>
      </c>
      <c r="U526" s="26">
        <f>IF(OR($S526&lt;&gt;"Utilizable",$C526&lt;&gt;SUSTITUCION!$C$13),999999,IF(v_prioridad="Potasio",$H526,IF(v_prioridad="Fósforo",$I526,IF(v_prioridad="Sodio",$J526,IF(ISNUMBER($Q526),$Q526,999999)))))</f>
        <v>999999</v>
      </c>
    </row>
    <row r="527" spans="1:21" ht="15" customHeight="1">
      <c r="A527" s="21" t="s">
        <v>1212</v>
      </c>
      <c r="B527" s="21" t="s">
        <v>1213</v>
      </c>
      <c r="C527" s="21" t="s">
        <v>1182</v>
      </c>
      <c r="D527" s="21" t="s">
        <v>1183</v>
      </c>
      <c r="E527" s="21" t="s">
        <v>135</v>
      </c>
      <c r="F527" s="22">
        <v>313</v>
      </c>
      <c r="G527" s="22">
        <v>7.6</v>
      </c>
      <c r="H527" s="22">
        <v>529</v>
      </c>
      <c r="I527" s="22">
        <v>113</v>
      </c>
      <c r="J527" s="22">
        <v>23</v>
      </c>
      <c r="K527" s="22">
        <v>313</v>
      </c>
      <c r="L527" s="22">
        <v>7.6</v>
      </c>
      <c r="M527" s="22">
        <v>834</v>
      </c>
      <c r="N527" s="23" t="str">
        <f t="shared" si="56"/>
        <v>Muy alto</v>
      </c>
      <c r="O527" s="23" t="str">
        <f t="shared" si="57"/>
        <v>Alto</v>
      </c>
      <c r="P527" s="23" t="str">
        <f t="shared" si="58"/>
        <v>Bajo</v>
      </c>
      <c r="Q527" s="24" t="str">
        <f t="shared" si="59"/>
        <v>N/C: no es fuente proteica</v>
      </c>
      <c r="R527" s="23" t="str">
        <f t="shared" si="60"/>
        <v>N/C</v>
      </c>
      <c r="S527" s="25" t="str">
        <f t="shared" si="61"/>
        <v>Utilizable</v>
      </c>
      <c r="T527" s="26" t="str">
        <f t="shared" si="62"/>
        <v>Especias|00.000.529</v>
      </c>
      <c r="U527" s="26">
        <f>IF(OR($S527&lt;&gt;"Utilizable",$C527&lt;&gt;SUSTITUCION!$C$13),999999,IF(v_prioridad="Potasio",$H527,IF(v_prioridad="Fósforo",$I527,IF(v_prioridad="Sodio",$J527,IF(ISNUMBER($Q527),$Q527,999999)))))</f>
        <v>999999</v>
      </c>
    </row>
    <row r="528" spans="1:21" ht="15" customHeight="1">
      <c r="A528" s="21" t="s">
        <v>1214</v>
      </c>
      <c r="B528" s="21" t="s">
        <v>1215</v>
      </c>
      <c r="C528" s="21" t="s">
        <v>1182</v>
      </c>
      <c r="D528" s="21" t="s">
        <v>1183</v>
      </c>
      <c r="E528" s="21" t="s">
        <v>135</v>
      </c>
      <c r="F528" s="22">
        <v>363</v>
      </c>
      <c r="G528" s="22">
        <v>9.6</v>
      </c>
      <c r="H528" s="22" t="s">
        <v>138</v>
      </c>
      <c r="I528" s="22" t="s">
        <v>138</v>
      </c>
      <c r="J528" s="22">
        <v>227</v>
      </c>
      <c r="K528" s="22">
        <v>363</v>
      </c>
      <c r="L528" s="22">
        <v>9.6</v>
      </c>
      <c r="M528" s="22" t="s">
        <v>138</v>
      </c>
      <c r="N528" s="23" t="str">
        <f t="shared" si="56"/>
        <v>Sin dato</v>
      </c>
      <c r="O528" s="23" t="str">
        <f t="shared" si="57"/>
        <v>Sin dato</v>
      </c>
      <c r="P528" s="23" t="str">
        <f t="shared" si="58"/>
        <v>Alto</v>
      </c>
      <c r="Q528" s="24" t="str">
        <f t="shared" si="59"/>
        <v>N/C</v>
      </c>
      <c r="R528" s="23" t="str">
        <f t="shared" si="60"/>
        <v>N/C</v>
      </c>
      <c r="S528" s="25" t="str">
        <f t="shared" si="61"/>
        <v>No utilizable</v>
      </c>
      <c r="T528" s="26" t="str">
        <f t="shared" si="62"/>
        <v/>
      </c>
      <c r="U528" s="26">
        <f>IF(OR($S528&lt;&gt;"Utilizable",$C528&lt;&gt;SUSTITUCION!$C$13),999999,IF(v_prioridad="Potasio",$H528,IF(v_prioridad="Fósforo",$I528,IF(v_prioridad="Sodio",$J528,IF(ISNUMBER($Q528),$Q528,999999)))))</f>
        <v>999999</v>
      </c>
    </row>
    <row r="529" spans="1:21" ht="15" customHeight="1">
      <c r="A529" s="21" t="s">
        <v>1216</v>
      </c>
      <c r="B529" s="21" t="s">
        <v>1217</v>
      </c>
      <c r="C529" s="21" t="s">
        <v>1182</v>
      </c>
      <c r="D529" s="21" t="s">
        <v>1183</v>
      </c>
      <c r="E529" s="21" t="s">
        <v>135</v>
      </c>
      <c r="F529" s="22">
        <v>23</v>
      </c>
      <c r="G529" s="22">
        <v>1.5</v>
      </c>
      <c r="H529" s="22" t="s">
        <v>138</v>
      </c>
      <c r="I529" s="22" t="s">
        <v>138</v>
      </c>
      <c r="J529" s="22">
        <v>2</v>
      </c>
      <c r="K529" s="22">
        <v>23</v>
      </c>
      <c r="L529" s="22">
        <v>1.5</v>
      </c>
      <c r="M529" s="22" t="s">
        <v>138</v>
      </c>
      <c r="N529" s="23" t="str">
        <f t="shared" si="56"/>
        <v>Sin dato</v>
      </c>
      <c r="O529" s="23" t="str">
        <f t="shared" si="57"/>
        <v>Sin dato</v>
      </c>
      <c r="P529" s="23" t="str">
        <f t="shared" si="58"/>
        <v>Bajo</v>
      </c>
      <c r="Q529" s="24" t="str">
        <f t="shared" si="59"/>
        <v>N/C</v>
      </c>
      <c r="R529" s="23" t="str">
        <f t="shared" si="60"/>
        <v>N/C</v>
      </c>
      <c r="S529" s="25" t="str">
        <f t="shared" si="61"/>
        <v>No utilizable</v>
      </c>
      <c r="T529" s="26" t="str">
        <f t="shared" si="62"/>
        <v/>
      </c>
      <c r="U529" s="26">
        <f>IF(OR($S529&lt;&gt;"Utilizable",$C529&lt;&gt;SUSTITUCION!$C$13),999999,IF(v_prioridad="Potasio",$H529,IF(v_prioridad="Fósforo",$I529,IF(v_prioridad="Sodio",$J529,IF(ISNUMBER($Q529),$Q529,999999)))))</f>
        <v>999999</v>
      </c>
    </row>
    <row r="530" spans="1:21" ht="15" customHeight="1">
      <c r="A530" s="21" t="s">
        <v>1218</v>
      </c>
      <c r="B530" s="21" t="s">
        <v>1219</v>
      </c>
      <c r="C530" s="21" t="s">
        <v>1182</v>
      </c>
      <c r="D530" s="21" t="s">
        <v>1183</v>
      </c>
      <c r="E530" s="21" t="s">
        <v>135</v>
      </c>
      <c r="F530" s="22">
        <v>44</v>
      </c>
      <c r="G530" s="22">
        <v>3.3</v>
      </c>
      <c r="H530" s="22">
        <v>458</v>
      </c>
      <c r="I530" s="22">
        <v>60</v>
      </c>
      <c r="J530" s="22">
        <v>30</v>
      </c>
      <c r="K530" s="22">
        <v>44</v>
      </c>
      <c r="L530" s="22">
        <v>3.3</v>
      </c>
      <c r="M530" s="22">
        <v>199</v>
      </c>
      <c r="N530" s="23" t="str">
        <f t="shared" si="56"/>
        <v>Muy alto</v>
      </c>
      <c r="O530" s="23" t="str">
        <f t="shared" si="57"/>
        <v>Medio</v>
      </c>
      <c r="P530" s="23" t="str">
        <f t="shared" si="58"/>
        <v>Bajo</v>
      </c>
      <c r="Q530" s="24" t="str">
        <f t="shared" si="59"/>
        <v>N/C: no es fuente proteica</v>
      </c>
      <c r="R530" s="23" t="str">
        <f t="shared" si="60"/>
        <v>N/C</v>
      </c>
      <c r="S530" s="25" t="str">
        <f t="shared" si="61"/>
        <v>Utilizable</v>
      </c>
      <c r="T530" s="26" t="str">
        <f t="shared" si="62"/>
        <v>Especias|00.000.458</v>
      </c>
      <c r="U530" s="26">
        <f>IF(OR($S530&lt;&gt;"Utilizable",$C530&lt;&gt;SUSTITUCION!$C$13),999999,IF(v_prioridad="Potasio",$H530,IF(v_prioridad="Fósforo",$I530,IF(v_prioridad="Sodio",$J530,IF(ISNUMBER($Q530),$Q530,999999)))))</f>
        <v>999999</v>
      </c>
    </row>
    <row r="531" spans="1:21" ht="15" customHeight="1">
      <c r="A531" s="21" t="s">
        <v>1220</v>
      </c>
      <c r="B531" s="21" t="s">
        <v>1221</v>
      </c>
      <c r="C531" s="21" t="s">
        <v>1182</v>
      </c>
      <c r="D531" s="21" t="s">
        <v>1183</v>
      </c>
      <c r="E531" s="21" t="s">
        <v>135</v>
      </c>
      <c r="F531" s="22">
        <v>285</v>
      </c>
      <c r="G531" s="22">
        <v>19.899999999999999</v>
      </c>
      <c r="H531" s="22">
        <v>1924</v>
      </c>
      <c r="I531" s="22">
        <v>276</v>
      </c>
      <c r="J531" s="22">
        <v>344</v>
      </c>
      <c r="K531" s="22">
        <v>285</v>
      </c>
      <c r="L531" s="22">
        <v>19.899999999999999</v>
      </c>
      <c r="M531" s="22">
        <v>1438</v>
      </c>
      <c r="N531" s="23" t="str">
        <f t="shared" si="56"/>
        <v>Muy alto</v>
      </c>
      <c r="O531" s="23" t="str">
        <f t="shared" si="57"/>
        <v>Muy alto</v>
      </c>
      <c r="P531" s="23" t="str">
        <f t="shared" si="58"/>
        <v>Alto</v>
      </c>
      <c r="Q531" s="24">
        <f t="shared" si="59"/>
        <v>13.869346733668342</v>
      </c>
      <c r="R531" s="23" t="str">
        <f t="shared" si="60"/>
        <v>Aceptable</v>
      </c>
      <c r="S531" s="25" t="str">
        <f t="shared" si="61"/>
        <v>Utilizable</v>
      </c>
      <c r="T531" s="26" t="str">
        <f t="shared" si="62"/>
        <v>Especias|00.001.924</v>
      </c>
      <c r="U531" s="26">
        <f>IF(OR($S531&lt;&gt;"Utilizable",$C531&lt;&gt;SUSTITUCION!$C$13),999999,IF(v_prioridad="Potasio",$H531,IF(v_prioridad="Fósforo",$I531,IF(v_prioridad="Sodio",$J531,IF(ISNUMBER($Q531),$Q531,999999)))))</f>
        <v>999999</v>
      </c>
    </row>
    <row r="532" spans="1:21" ht="15" customHeight="1">
      <c r="A532" s="21" t="s">
        <v>1222</v>
      </c>
      <c r="B532" s="21" t="s">
        <v>1223</v>
      </c>
      <c r="C532" s="21" t="s">
        <v>1182</v>
      </c>
      <c r="D532" s="21" t="s">
        <v>1183</v>
      </c>
      <c r="E532" s="21" t="s">
        <v>135</v>
      </c>
      <c r="F532" s="22">
        <v>156</v>
      </c>
      <c r="G532" s="22">
        <v>10.199999999999999</v>
      </c>
      <c r="H532" s="22" t="s">
        <v>138</v>
      </c>
      <c r="I532" s="22" t="s">
        <v>138</v>
      </c>
      <c r="J532" s="22">
        <v>7440</v>
      </c>
      <c r="K532" s="22">
        <v>156</v>
      </c>
      <c r="L532" s="22">
        <v>10.199999999999999</v>
      </c>
      <c r="M532" s="22" t="s">
        <v>138</v>
      </c>
      <c r="N532" s="23" t="str">
        <f t="shared" si="56"/>
        <v>Sin dato</v>
      </c>
      <c r="O532" s="23" t="str">
        <f t="shared" si="57"/>
        <v>Sin dato</v>
      </c>
      <c r="P532" s="23" t="str">
        <f t="shared" si="58"/>
        <v>Muy alto</v>
      </c>
      <c r="Q532" s="24" t="str">
        <f t="shared" si="59"/>
        <v>N/C</v>
      </c>
      <c r="R532" s="23" t="str">
        <f t="shared" si="60"/>
        <v>N/C</v>
      </c>
      <c r="S532" s="25" t="str">
        <f t="shared" si="61"/>
        <v>No utilizable</v>
      </c>
      <c r="T532" s="26" t="str">
        <f t="shared" si="62"/>
        <v/>
      </c>
      <c r="U532" s="26">
        <f>IF(OR($S532&lt;&gt;"Utilizable",$C532&lt;&gt;SUSTITUCION!$C$13),999999,IF(v_prioridad="Potasio",$H532,IF(v_prioridad="Fósforo",$I532,IF(v_prioridad="Sodio",$J532,IF(ISNUMBER($Q532),$Q532,999999)))))</f>
        <v>999999</v>
      </c>
    </row>
    <row r="533" spans="1:21" ht="15" customHeight="1">
      <c r="A533" s="21" t="s">
        <v>1224</v>
      </c>
      <c r="B533" s="21" t="s">
        <v>1225</v>
      </c>
      <c r="C533" s="21" t="s">
        <v>1182</v>
      </c>
      <c r="D533" s="21" t="s">
        <v>1183</v>
      </c>
      <c r="E533" s="21" t="s">
        <v>135</v>
      </c>
      <c r="F533" s="22">
        <v>525</v>
      </c>
      <c r="G533" s="22">
        <v>5.8</v>
      </c>
      <c r="H533" s="22">
        <v>350</v>
      </c>
      <c r="I533" s="22">
        <v>213</v>
      </c>
      <c r="J533" s="22">
        <v>16</v>
      </c>
      <c r="K533" s="22">
        <v>525</v>
      </c>
      <c r="L533" s="22">
        <v>5.8</v>
      </c>
      <c r="M533" s="22">
        <v>184</v>
      </c>
      <c r="N533" s="23" t="str">
        <f t="shared" si="56"/>
        <v>Muy alto</v>
      </c>
      <c r="O533" s="23" t="str">
        <f t="shared" si="57"/>
        <v>Muy alto</v>
      </c>
      <c r="P533" s="23" t="str">
        <f t="shared" si="58"/>
        <v>Bajo</v>
      </c>
      <c r="Q533" s="24" t="str">
        <f t="shared" si="59"/>
        <v>N/C: no es fuente proteica</v>
      </c>
      <c r="R533" s="23" t="str">
        <f t="shared" si="60"/>
        <v>N/C</v>
      </c>
      <c r="S533" s="25" t="str">
        <f t="shared" si="61"/>
        <v>Utilizable</v>
      </c>
      <c r="T533" s="26" t="str">
        <f t="shared" si="62"/>
        <v>Especias|00.000.350</v>
      </c>
      <c r="U533" s="26">
        <f>IF(OR($S533&lt;&gt;"Utilizable",$C533&lt;&gt;SUSTITUCION!$C$13),999999,IF(v_prioridad="Potasio",$H533,IF(v_prioridad="Fósforo",$I533,IF(v_prioridad="Sodio",$J533,IF(ISNUMBER($Q533),$Q533,999999)))))</f>
        <v>999999</v>
      </c>
    </row>
    <row r="534" spans="1:21" ht="15" customHeight="1">
      <c r="A534" s="21" t="s">
        <v>1226</v>
      </c>
      <c r="B534" s="21" t="s">
        <v>1227</v>
      </c>
      <c r="C534" s="21" t="s">
        <v>1182</v>
      </c>
      <c r="D534" s="21" t="s">
        <v>1183</v>
      </c>
      <c r="E534" s="21" t="s">
        <v>135</v>
      </c>
      <c r="F534" s="22">
        <v>265</v>
      </c>
      <c r="G534" s="22">
        <v>9</v>
      </c>
      <c r="H534" s="22">
        <v>1260</v>
      </c>
      <c r="I534" s="22">
        <v>148</v>
      </c>
      <c r="J534" s="22">
        <v>25</v>
      </c>
      <c r="K534" s="22">
        <v>265</v>
      </c>
      <c r="L534" s="22">
        <v>9</v>
      </c>
      <c r="M534" s="22">
        <v>1597</v>
      </c>
      <c r="N534" s="23" t="str">
        <f t="shared" si="56"/>
        <v>Muy alto</v>
      </c>
      <c r="O534" s="23" t="str">
        <f t="shared" si="57"/>
        <v>Alto</v>
      </c>
      <c r="P534" s="23" t="str">
        <f t="shared" si="58"/>
        <v>Bajo</v>
      </c>
      <c r="Q534" s="24" t="str">
        <f t="shared" si="59"/>
        <v>N/C: no es fuente proteica</v>
      </c>
      <c r="R534" s="23" t="str">
        <f t="shared" si="60"/>
        <v>N/C</v>
      </c>
      <c r="S534" s="25" t="str">
        <f t="shared" si="61"/>
        <v>Utilizable</v>
      </c>
      <c r="T534" s="26" t="str">
        <f t="shared" si="62"/>
        <v>Especias|00.001.260</v>
      </c>
      <c r="U534" s="26">
        <f>IF(OR($S534&lt;&gt;"Utilizable",$C534&lt;&gt;SUSTITUCION!$C$13),999999,IF(v_prioridad="Potasio",$H534,IF(v_prioridad="Fósforo",$I534,IF(v_prioridad="Sodio",$J534,IF(ISNUMBER($Q534),$Q534,999999)))))</f>
        <v>999999</v>
      </c>
    </row>
    <row r="535" spans="1:21" ht="15" customHeight="1">
      <c r="A535" s="21" t="s">
        <v>1228</v>
      </c>
      <c r="B535" s="21" t="s">
        <v>1229</v>
      </c>
      <c r="C535" s="21" t="s">
        <v>1182</v>
      </c>
      <c r="D535" s="21" t="s">
        <v>1183</v>
      </c>
      <c r="E535" s="21" t="s">
        <v>135</v>
      </c>
      <c r="F535" s="22">
        <v>282</v>
      </c>
      <c r="G535" s="22">
        <v>14.1</v>
      </c>
      <c r="H535" s="22">
        <v>2280</v>
      </c>
      <c r="I535" s="22">
        <v>314</v>
      </c>
      <c r="J535" s="22">
        <v>68</v>
      </c>
      <c r="K535" s="22">
        <v>282</v>
      </c>
      <c r="L535" s="22">
        <v>14.1</v>
      </c>
      <c r="M535" s="22">
        <v>229</v>
      </c>
      <c r="N535" s="23" t="str">
        <f t="shared" si="56"/>
        <v>Muy alto</v>
      </c>
      <c r="O535" s="23" t="str">
        <f t="shared" si="57"/>
        <v>Muy alto</v>
      </c>
      <c r="P535" s="23" t="str">
        <f t="shared" si="58"/>
        <v>Medio</v>
      </c>
      <c r="Q535" s="24">
        <f t="shared" si="59"/>
        <v>22.269503546099291</v>
      </c>
      <c r="R535" s="23" t="str">
        <f t="shared" si="60"/>
        <v>Alta</v>
      </c>
      <c r="S535" s="25" t="str">
        <f t="shared" si="61"/>
        <v>Utilizable</v>
      </c>
      <c r="T535" s="26" t="str">
        <f t="shared" si="62"/>
        <v>Especias|00.002.280</v>
      </c>
      <c r="U535" s="26">
        <f>IF(OR($S535&lt;&gt;"Utilizable",$C535&lt;&gt;SUSTITUCION!$C$13),999999,IF(v_prioridad="Potasio",$H535,IF(v_prioridad="Fósforo",$I535,IF(v_prioridad="Sodio",$J535,IF(ISNUMBER($Q535),$Q535,999999)))))</f>
        <v>999999</v>
      </c>
    </row>
    <row r="536" spans="1:21" ht="15" customHeight="1">
      <c r="A536" s="21" t="s">
        <v>1230</v>
      </c>
      <c r="B536" s="21" t="s">
        <v>1231</v>
      </c>
      <c r="C536" s="21" t="s">
        <v>1182</v>
      </c>
      <c r="D536" s="21" t="s">
        <v>1183</v>
      </c>
      <c r="E536" s="21" t="s">
        <v>135</v>
      </c>
      <c r="F536" s="22">
        <v>249</v>
      </c>
      <c r="G536" s="22">
        <v>8.3000000000000007</v>
      </c>
      <c r="H536" s="22" t="s">
        <v>138</v>
      </c>
      <c r="I536" s="22" t="s">
        <v>138</v>
      </c>
      <c r="J536" s="22">
        <v>42</v>
      </c>
      <c r="K536" s="22">
        <v>249</v>
      </c>
      <c r="L536" s="22">
        <v>8.3000000000000007</v>
      </c>
      <c r="M536" s="22" t="s">
        <v>138</v>
      </c>
      <c r="N536" s="23" t="str">
        <f t="shared" si="56"/>
        <v>Sin dato</v>
      </c>
      <c r="O536" s="23" t="str">
        <f t="shared" si="57"/>
        <v>Sin dato</v>
      </c>
      <c r="P536" s="23" t="str">
        <f t="shared" si="58"/>
        <v>Medio</v>
      </c>
      <c r="Q536" s="24" t="str">
        <f t="shared" si="59"/>
        <v>N/C</v>
      </c>
      <c r="R536" s="23" t="str">
        <f t="shared" si="60"/>
        <v>N/C</v>
      </c>
      <c r="S536" s="25" t="str">
        <f t="shared" si="61"/>
        <v>No utilizable</v>
      </c>
      <c r="T536" s="26" t="str">
        <f t="shared" si="62"/>
        <v/>
      </c>
      <c r="U536" s="26">
        <f>IF(OR($S536&lt;&gt;"Utilizable",$C536&lt;&gt;SUSTITUCION!$C$13),999999,IF(v_prioridad="Potasio",$H536,IF(v_prioridad="Fósforo",$I536,IF(v_prioridad="Sodio",$J536,IF(ISNUMBER($Q536),$Q536,999999)))))</f>
        <v>999999</v>
      </c>
    </row>
    <row r="537" spans="1:21" ht="15" customHeight="1">
      <c r="A537" s="21" t="s">
        <v>1232</v>
      </c>
      <c r="B537" s="21" t="s">
        <v>1233</v>
      </c>
      <c r="C537" s="21" t="s">
        <v>1182</v>
      </c>
      <c r="D537" s="21" t="s">
        <v>1183</v>
      </c>
      <c r="E537" s="21" t="s">
        <v>135</v>
      </c>
      <c r="F537" s="22">
        <v>36</v>
      </c>
      <c r="G537" s="22">
        <v>2.9</v>
      </c>
      <c r="H537" s="22">
        <v>554</v>
      </c>
      <c r="I537" s="22">
        <v>58</v>
      </c>
      <c r="J537" s="22">
        <v>8</v>
      </c>
      <c r="K537" s="22">
        <v>36</v>
      </c>
      <c r="L537" s="22">
        <v>2.9</v>
      </c>
      <c r="M537" s="22">
        <v>138</v>
      </c>
      <c r="N537" s="23" t="str">
        <f t="shared" si="56"/>
        <v>Muy alto</v>
      </c>
      <c r="O537" s="23" t="str">
        <f t="shared" si="57"/>
        <v>Medio</v>
      </c>
      <c r="P537" s="23" t="str">
        <f t="shared" si="58"/>
        <v>Bajo</v>
      </c>
      <c r="Q537" s="24" t="str">
        <f t="shared" si="59"/>
        <v>N/C: no es fuente proteica</v>
      </c>
      <c r="R537" s="23" t="str">
        <f t="shared" si="60"/>
        <v>N/C</v>
      </c>
      <c r="S537" s="25" t="str">
        <f t="shared" si="61"/>
        <v>Utilizable</v>
      </c>
      <c r="T537" s="26" t="str">
        <f t="shared" si="62"/>
        <v>Especias|00.000.554</v>
      </c>
      <c r="U537" s="26">
        <f>IF(OR($S537&lt;&gt;"Utilizable",$C537&lt;&gt;SUSTITUCION!$C$13),999999,IF(v_prioridad="Potasio",$H537,IF(v_prioridad="Fósforo",$I537,IF(v_prioridad="Sodio",$J537,IF(ISNUMBER($Q537),$Q537,999999)))))</f>
        <v>999999</v>
      </c>
    </row>
    <row r="538" spans="1:21" ht="15" customHeight="1">
      <c r="A538" s="21" t="s">
        <v>1234</v>
      </c>
      <c r="B538" s="21" t="s">
        <v>1235</v>
      </c>
      <c r="C538" s="21" t="s">
        <v>1182</v>
      </c>
      <c r="D538" s="21" t="s">
        <v>1183</v>
      </c>
      <c r="E538" s="21" t="s">
        <v>135</v>
      </c>
      <c r="F538" s="22">
        <v>292</v>
      </c>
      <c r="G538" s="22">
        <v>26.6</v>
      </c>
      <c r="H538" s="22">
        <v>2683</v>
      </c>
      <c r="I538" s="22">
        <v>436</v>
      </c>
      <c r="J538" s="22">
        <v>452</v>
      </c>
      <c r="K538" s="22">
        <v>292</v>
      </c>
      <c r="L538" s="22">
        <v>26.6</v>
      </c>
      <c r="M538" s="22">
        <v>140</v>
      </c>
      <c r="N538" s="23" t="str">
        <f t="shared" si="56"/>
        <v>Muy alto</v>
      </c>
      <c r="O538" s="23" t="str">
        <f t="shared" si="57"/>
        <v>Muy alto</v>
      </c>
      <c r="P538" s="23" t="str">
        <f t="shared" si="58"/>
        <v>Muy alto</v>
      </c>
      <c r="Q538" s="24">
        <f t="shared" si="59"/>
        <v>16.390977443609021</v>
      </c>
      <c r="R538" s="23" t="str">
        <f t="shared" si="60"/>
        <v>Alta</v>
      </c>
      <c r="S538" s="25" t="str">
        <f t="shared" si="61"/>
        <v>Utilizable</v>
      </c>
      <c r="T538" s="26" t="str">
        <f t="shared" si="62"/>
        <v>Especias|00.002.683</v>
      </c>
      <c r="U538" s="26">
        <f>IF(OR($S538&lt;&gt;"Utilizable",$C538&lt;&gt;SUSTITUCION!$C$13),999999,IF(v_prioridad="Potasio",$H538,IF(v_prioridad="Fósforo",$I538,IF(v_prioridad="Sodio",$J538,IF(ISNUMBER($Q538),$Q538,999999)))))</f>
        <v>999999</v>
      </c>
    </row>
    <row r="539" spans="1:21" ht="15" customHeight="1">
      <c r="A539" s="21" t="s">
        <v>1236</v>
      </c>
      <c r="B539" s="21" t="s">
        <v>1237</v>
      </c>
      <c r="C539" s="21" t="s">
        <v>1182</v>
      </c>
      <c r="D539" s="21" t="s">
        <v>1183</v>
      </c>
      <c r="E539" s="21" t="s">
        <v>135</v>
      </c>
      <c r="F539" s="22">
        <v>296</v>
      </c>
      <c r="G539" s="22">
        <v>10.4</v>
      </c>
      <c r="H539" s="22">
        <v>73</v>
      </c>
      <c r="I539" s="22">
        <v>176</v>
      </c>
      <c r="J539" s="22">
        <v>5</v>
      </c>
      <c r="K539" s="22">
        <v>296</v>
      </c>
      <c r="L539" s="22">
        <v>10.4</v>
      </c>
      <c r="M539" s="22">
        <v>265</v>
      </c>
      <c r="N539" s="23" t="str">
        <f t="shared" si="56"/>
        <v>Bajo</v>
      </c>
      <c r="O539" s="23" t="str">
        <f t="shared" si="57"/>
        <v>Muy alto</v>
      </c>
      <c r="P539" s="23" t="str">
        <f t="shared" si="58"/>
        <v>Bajo</v>
      </c>
      <c r="Q539" s="24">
        <f t="shared" si="59"/>
        <v>16.923076923076923</v>
      </c>
      <c r="R539" s="23" t="str">
        <f t="shared" si="60"/>
        <v>Alta</v>
      </c>
      <c r="S539" s="25" t="str">
        <f t="shared" si="61"/>
        <v>Utilizable</v>
      </c>
      <c r="T539" s="26" t="str">
        <f t="shared" si="62"/>
        <v>Especias|00.000.073</v>
      </c>
      <c r="U539" s="26">
        <f>IF(OR($S539&lt;&gt;"Utilizable",$C539&lt;&gt;SUSTITUCION!$C$13),999999,IF(v_prioridad="Potasio",$H539,IF(v_prioridad="Fósforo",$I539,IF(v_prioridad="Sodio",$J539,IF(ISNUMBER($Q539),$Q539,999999)))))</f>
        <v>999999</v>
      </c>
    </row>
    <row r="540" spans="1:21" ht="15" customHeight="1">
      <c r="A540" s="21" t="s">
        <v>1238</v>
      </c>
      <c r="B540" s="21" t="s">
        <v>1239</v>
      </c>
      <c r="C540" s="21" t="s">
        <v>1182</v>
      </c>
      <c r="D540" s="21" t="s">
        <v>1183</v>
      </c>
      <c r="E540" s="21" t="s">
        <v>135</v>
      </c>
      <c r="F540" s="22">
        <v>251</v>
      </c>
      <c r="G540" s="22">
        <v>10.4</v>
      </c>
      <c r="H540" s="22">
        <v>1829</v>
      </c>
      <c r="I540" s="22">
        <v>158</v>
      </c>
      <c r="J540" s="22">
        <v>20</v>
      </c>
      <c r="K540" s="22">
        <v>251</v>
      </c>
      <c r="L540" s="22">
        <v>10.4</v>
      </c>
      <c r="M540" s="22">
        <v>443</v>
      </c>
      <c r="N540" s="23" t="str">
        <f t="shared" si="56"/>
        <v>Muy alto</v>
      </c>
      <c r="O540" s="23" t="str">
        <f t="shared" si="57"/>
        <v>Alto</v>
      </c>
      <c r="P540" s="23" t="str">
        <f t="shared" si="58"/>
        <v>Bajo</v>
      </c>
      <c r="Q540" s="24">
        <f t="shared" si="59"/>
        <v>15.192307692307692</v>
      </c>
      <c r="R540" s="23" t="str">
        <f t="shared" si="60"/>
        <v>Aceptable</v>
      </c>
      <c r="S540" s="25" t="str">
        <f t="shared" si="61"/>
        <v>Utilizable</v>
      </c>
      <c r="T540" s="26" t="str">
        <f t="shared" si="62"/>
        <v>Especias|00.001.829</v>
      </c>
      <c r="U540" s="26">
        <f>IF(OR($S540&lt;&gt;"Utilizable",$C540&lt;&gt;SUSTITUCION!$C$13),999999,IF(v_prioridad="Potasio",$H540,IF(v_prioridad="Fósforo",$I540,IF(v_prioridad="Sodio",$J540,IF(ISNUMBER($Q540),$Q540,999999)))))</f>
        <v>999999</v>
      </c>
    </row>
    <row r="541" spans="1:21" ht="15" customHeight="1">
      <c r="A541" s="21" t="s">
        <v>1240</v>
      </c>
      <c r="B541" s="21" t="s">
        <v>1241</v>
      </c>
      <c r="C541" s="21" t="s">
        <v>1182</v>
      </c>
      <c r="D541" s="21" t="s">
        <v>1183</v>
      </c>
      <c r="E541" s="21" t="s">
        <v>135</v>
      </c>
      <c r="F541" s="22">
        <v>318</v>
      </c>
      <c r="G541" s="22">
        <v>12</v>
      </c>
      <c r="H541" s="22">
        <v>2014</v>
      </c>
      <c r="I541" s="22">
        <v>293</v>
      </c>
      <c r="J541" s="22">
        <v>30</v>
      </c>
      <c r="K541" s="22">
        <v>318</v>
      </c>
      <c r="L541" s="22">
        <v>12</v>
      </c>
      <c r="M541" s="22">
        <v>148</v>
      </c>
      <c r="N541" s="23" t="str">
        <f t="shared" si="56"/>
        <v>Muy alto</v>
      </c>
      <c r="O541" s="23" t="str">
        <f t="shared" si="57"/>
        <v>Muy alto</v>
      </c>
      <c r="P541" s="23" t="str">
        <f t="shared" si="58"/>
        <v>Bajo</v>
      </c>
      <c r="Q541" s="24">
        <f t="shared" si="59"/>
        <v>24.416666666666668</v>
      </c>
      <c r="R541" s="23" t="str">
        <f t="shared" si="60"/>
        <v>Alta</v>
      </c>
      <c r="S541" s="25" t="str">
        <f t="shared" si="61"/>
        <v>Utilizable</v>
      </c>
      <c r="T541" s="26" t="str">
        <f t="shared" si="62"/>
        <v>Especias|00.002.014</v>
      </c>
      <c r="U541" s="26">
        <f>IF(OR($S541&lt;&gt;"Utilizable",$C541&lt;&gt;SUSTITUCION!$C$13),999999,IF(v_prioridad="Potasio",$H541,IF(v_prioridad="Fósforo",$I541,IF(v_prioridad="Sodio",$J541,IF(ISNUMBER($Q541),$Q541,999999)))))</f>
        <v>999999</v>
      </c>
    </row>
    <row r="542" spans="1:21" ht="15" customHeight="1">
      <c r="A542" s="21" t="s">
        <v>1242</v>
      </c>
      <c r="B542" s="21" t="s">
        <v>1243</v>
      </c>
      <c r="C542" s="21" t="s">
        <v>1182</v>
      </c>
      <c r="D542" s="21" t="s">
        <v>1183</v>
      </c>
      <c r="E542" s="21" t="s">
        <v>135</v>
      </c>
      <c r="F542" s="22">
        <v>131</v>
      </c>
      <c r="G542" s="22">
        <v>3.3</v>
      </c>
      <c r="H542" s="22">
        <v>668</v>
      </c>
      <c r="I542" s="22">
        <v>66</v>
      </c>
      <c r="J542" s="22">
        <v>26</v>
      </c>
      <c r="K542" s="22">
        <v>131</v>
      </c>
      <c r="L542" s="22">
        <v>3.3</v>
      </c>
      <c r="M542" s="22">
        <v>317</v>
      </c>
      <c r="N542" s="23" t="str">
        <f t="shared" si="56"/>
        <v>Muy alto</v>
      </c>
      <c r="O542" s="23" t="str">
        <f t="shared" si="57"/>
        <v>Medio</v>
      </c>
      <c r="P542" s="23" t="str">
        <f t="shared" si="58"/>
        <v>Bajo</v>
      </c>
      <c r="Q542" s="24" t="str">
        <f t="shared" si="59"/>
        <v>N/C: no es fuente proteica</v>
      </c>
      <c r="R542" s="23" t="str">
        <f t="shared" si="60"/>
        <v>N/C</v>
      </c>
      <c r="S542" s="25" t="str">
        <f t="shared" si="61"/>
        <v>Utilizable</v>
      </c>
      <c r="T542" s="26" t="str">
        <f t="shared" si="62"/>
        <v>Especias|00.000.668</v>
      </c>
      <c r="U542" s="26">
        <f>IF(OR($S542&lt;&gt;"Utilizable",$C542&lt;&gt;SUSTITUCION!$C$13),999999,IF(v_prioridad="Potasio",$H542,IF(v_prioridad="Fósforo",$I542,IF(v_prioridad="Sodio",$J542,IF(ISNUMBER($Q542),$Q542,999999)))))</f>
        <v>999999</v>
      </c>
    </row>
    <row r="543" spans="1:21" ht="15" customHeight="1">
      <c r="A543" s="21" t="s">
        <v>1244</v>
      </c>
      <c r="B543" s="21" t="s">
        <v>1245</v>
      </c>
      <c r="C543" s="21" t="s">
        <v>1182</v>
      </c>
      <c r="D543" s="21" t="s">
        <v>1183</v>
      </c>
      <c r="E543" s="21" t="s">
        <v>135</v>
      </c>
      <c r="F543" s="22">
        <v>316</v>
      </c>
      <c r="G543" s="22">
        <v>4.9000000000000004</v>
      </c>
      <c r="H543" s="22">
        <v>950</v>
      </c>
      <c r="I543" s="22">
        <v>70</v>
      </c>
      <c r="J543" s="22">
        <v>50</v>
      </c>
      <c r="K543" s="22">
        <v>316</v>
      </c>
      <c r="L543" s="22">
        <v>4.9000000000000004</v>
      </c>
      <c r="M543" s="22">
        <v>1280</v>
      </c>
      <c r="N543" s="23" t="str">
        <f t="shared" si="56"/>
        <v>Muy alto</v>
      </c>
      <c r="O543" s="23" t="str">
        <f t="shared" si="57"/>
        <v>Medio</v>
      </c>
      <c r="P543" s="23" t="str">
        <f t="shared" si="58"/>
        <v>Medio</v>
      </c>
      <c r="Q543" s="24" t="str">
        <f t="shared" si="59"/>
        <v>N/C: no es fuente proteica</v>
      </c>
      <c r="R543" s="23" t="str">
        <f t="shared" si="60"/>
        <v>N/C</v>
      </c>
      <c r="S543" s="25" t="str">
        <f t="shared" si="61"/>
        <v>Utilizable</v>
      </c>
      <c r="T543" s="26" t="str">
        <f t="shared" si="62"/>
        <v>Especias|00.000.950</v>
      </c>
      <c r="U543" s="26">
        <f>IF(OR($S543&lt;&gt;"Utilizable",$C543&lt;&gt;SUSTITUCION!$C$13),999999,IF(v_prioridad="Potasio",$H543,IF(v_prioridad="Fósforo",$I543,IF(v_prioridad="Sodio",$J543,IF(ISNUMBER($Q543),$Q543,999999)))))</f>
        <v>999999</v>
      </c>
    </row>
    <row r="544" spans="1:21" ht="15" customHeight="1">
      <c r="A544" s="21" t="s">
        <v>1246</v>
      </c>
      <c r="B544" s="21" t="s">
        <v>1247</v>
      </c>
      <c r="C544" s="21" t="s">
        <v>1182</v>
      </c>
      <c r="D544" s="21" t="s">
        <v>1183</v>
      </c>
      <c r="E544" s="21" t="s">
        <v>135</v>
      </c>
      <c r="F544" s="22" t="s">
        <v>138</v>
      </c>
      <c r="G544" s="22">
        <v>0</v>
      </c>
      <c r="H544" s="22">
        <v>114</v>
      </c>
      <c r="I544" s="22" t="s">
        <v>138</v>
      </c>
      <c r="J544" s="22">
        <v>35983</v>
      </c>
      <c r="K544" s="22" t="s">
        <v>138</v>
      </c>
      <c r="L544" s="22">
        <v>0</v>
      </c>
      <c r="M544" s="22" t="s">
        <v>138</v>
      </c>
      <c r="N544" s="23" t="str">
        <f t="shared" si="56"/>
        <v>Medio</v>
      </c>
      <c r="O544" s="23" t="str">
        <f t="shared" si="57"/>
        <v>Sin dato</v>
      </c>
      <c r="P544" s="23" t="str">
        <f t="shared" si="58"/>
        <v>Muy alto</v>
      </c>
      <c r="Q544" s="24" t="str">
        <f t="shared" si="59"/>
        <v>N/C</v>
      </c>
      <c r="R544" s="23" t="str">
        <f t="shared" si="60"/>
        <v>N/C</v>
      </c>
      <c r="S544" s="25" t="str">
        <f t="shared" si="61"/>
        <v>No utilizable</v>
      </c>
      <c r="T544" s="26" t="str">
        <f t="shared" si="62"/>
        <v/>
      </c>
      <c r="U544" s="26">
        <f>IF(OR($S544&lt;&gt;"Utilizable",$C544&lt;&gt;SUSTITUCION!$C$13),999999,IF(v_prioridad="Potasio",$H544,IF(v_prioridad="Fósforo",$I544,IF(v_prioridad="Sodio",$J544,IF(ISNUMBER($Q544),$Q544,999999)))))</f>
        <v>999999</v>
      </c>
    </row>
    <row r="545" spans="1:21" ht="15" customHeight="1">
      <c r="A545" s="21" t="s">
        <v>1248</v>
      </c>
      <c r="B545" s="21" t="s">
        <v>1249</v>
      </c>
      <c r="C545" s="21" t="s">
        <v>1182</v>
      </c>
      <c r="D545" s="21" t="s">
        <v>1183</v>
      </c>
      <c r="E545" s="21" t="s">
        <v>135</v>
      </c>
      <c r="F545" s="22" t="s">
        <v>138</v>
      </c>
      <c r="G545" s="22">
        <v>0</v>
      </c>
      <c r="H545" s="22">
        <v>8</v>
      </c>
      <c r="I545" s="22">
        <v>0</v>
      </c>
      <c r="J545" s="22">
        <v>38758</v>
      </c>
      <c r="K545" s="22" t="s">
        <v>138</v>
      </c>
      <c r="L545" s="22">
        <v>0</v>
      </c>
      <c r="M545" s="22">
        <v>24</v>
      </c>
      <c r="N545" s="23" t="str">
        <f t="shared" si="56"/>
        <v>Bajo</v>
      </c>
      <c r="O545" s="23" t="str">
        <f t="shared" si="57"/>
        <v>Bajo</v>
      </c>
      <c r="P545" s="23" t="str">
        <f t="shared" si="58"/>
        <v>Muy alto</v>
      </c>
      <c r="Q545" s="24" t="str">
        <f t="shared" si="59"/>
        <v>N/C: no es fuente proteica</v>
      </c>
      <c r="R545" s="23" t="str">
        <f t="shared" si="60"/>
        <v>N/C</v>
      </c>
      <c r="S545" s="25" t="str">
        <f t="shared" si="61"/>
        <v>No utilizable</v>
      </c>
      <c r="T545" s="26" t="str">
        <f t="shared" si="62"/>
        <v/>
      </c>
      <c r="U545" s="26">
        <f>IF(OR($S545&lt;&gt;"Utilizable",$C545&lt;&gt;SUSTITUCION!$C$13),999999,IF(v_prioridad="Potasio",$H545,IF(v_prioridad="Fósforo",$I545,IF(v_prioridad="Sodio",$J545,IF(ISNUMBER($Q545),$Q545,999999)))))</f>
        <v>999999</v>
      </c>
    </row>
    <row r="546" spans="1:21" ht="15" customHeight="1">
      <c r="A546" s="21" t="s">
        <v>1250</v>
      </c>
      <c r="B546" s="21" t="s">
        <v>1251</v>
      </c>
      <c r="C546" s="21" t="s">
        <v>1182</v>
      </c>
      <c r="D546" s="21" t="s">
        <v>1183</v>
      </c>
      <c r="E546" s="21" t="s">
        <v>135</v>
      </c>
      <c r="F546" s="22">
        <v>525</v>
      </c>
      <c r="G546" s="22">
        <v>18</v>
      </c>
      <c r="H546" s="22">
        <v>719</v>
      </c>
      <c r="I546" s="22">
        <v>870</v>
      </c>
      <c r="J546" s="22">
        <v>26</v>
      </c>
      <c r="K546" s="22">
        <v>525</v>
      </c>
      <c r="L546" s="22">
        <v>18</v>
      </c>
      <c r="M546" s="22">
        <v>1438</v>
      </c>
      <c r="N546" s="23" t="str">
        <f t="shared" si="56"/>
        <v>Muy alto</v>
      </c>
      <c r="O546" s="23" t="str">
        <f t="shared" si="57"/>
        <v>Muy alto</v>
      </c>
      <c r="P546" s="23" t="str">
        <f t="shared" si="58"/>
        <v>Bajo</v>
      </c>
      <c r="Q546" s="24">
        <f t="shared" si="59"/>
        <v>48.333333333333336</v>
      </c>
      <c r="R546" s="23" t="str">
        <f t="shared" si="60"/>
        <v>Alta</v>
      </c>
      <c r="S546" s="25" t="str">
        <f t="shared" si="61"/>
        <v>Utilizable</v>
      </c>
      <c r="T546" s="26" t="str">
        <f t="shared" si="62"/>
        <v>Especias|00.000.719</v>
      </c>
      <c r="U546" s="26">
        <f>IF(OR($S546&lt;&gt;"Utilizable",$C546&lt;&gt;SUSTITUCION!$C$13),999999,IF(v_prioridad="Potasio",$H546,IF(v_prioridad="Fósforo",$I546,IF(v_prioridad="Sodio",$J546,IF(ISNUMBER($Q546),$Q546,999999)))))</f>
        <v>999999</v>
      </c>
    </row>
    <row r="547" spans="1:21" ht="15" customHeight="1">
      <c r="A547" s="21" t="s">
        <v>1252</v>
      </c>
      <c r="B547" s="21" t="s">
        <v>1253</v>
      </c>
      <c r="C547" s="21" t="s">
        <v>1182</v>
      </c>
      <c r="D547" s="21" t="s">
        <v>1183</v>
      </c>
      <c r="E547" s="21" t="s">
        <v>135</v>
      </c>
      <c r="F547" s="22">
        <v>375</v>
      </c>
      <c r="G547" s="22">
        <v>17.8</v>
      </c>
      <c r="H547" s="22">
        <v>1788</v>
      </c>
      <c r="I547" s="22">
        <v>499</v>
      </c>
      <c r="J547" s="22">
        <v>168</v>
      </c>
      <c r="K547" s="22">
        <v>375</v>
      </c>
      <c r="L547" s="22">
        <v>17.8</v>
      </c>
      <c r="M547" s="22">
        <v>931</v>
      </c>
      <c r="N547" s="23" t="str">
        <f t="shared" si="56"/>
        <v>Muy alto</v>
      </c>
      <c r="O547" s="23" t="str">
        <f t="shared" si="57"/>
        <v>Muy alto</v>
      </c>
      <c r="P547" s="23" t="str">
        <f t="shared" si="58"/>
        <v>Alto</v>
      </c>
      <c r="Q547" s="24">
        <f t="shared" si="59"/>
        <v>28.033707865168537</v>
      </c>
      <c r="R547" s="23" t="str">
        <f t="shared" si="60"/>
        <v>Alta</v>
      </c>
      <c r="S547" s="25" t="str">
        <f t="shared" si="61"/>
        <v>Utilizable</v>
      </c>
      <c r="T547" s="26" t="str">
        <f t="shared" si="62"/>
        <v>Especias|00.001.788</v>
      </c>
      <c r="U547" s="26">
        <f>IF(OR($S547&lt;&gt;"Utilizable",$C547&lt;&gt;SUSTITUCION!$C$13),999999,IF(v_prioridad="Potasio",$H547,IF(v_prioridad="Fósforo",$I547,IF(v_prioridad="Sodio",$J547,IF(ISNUMBER($Q547),$Q547,999999)))))</f>
        <v>999999</v>
      </c>
    </row>
    <row r="548" spans="1:21" ht="15" customHeight="1">
      <c r="A548" s="21" t="s">
        <v>1254</v>
      </c>
      <c r="B548" s="21" t="s">
        <v>1255</v>
      </c>
      <c r="C548" s="21" t="s">
        <v>1182</v>
      </c>
      <c r="D548" s="21" t="s">
        <v>1183</v>
      </c>
      <c r="E548" s="21" t="s">
        <v>135</v>
      </c>
      <c r="F548" s="22">
        <v>345</v>
      </c>
      <c r="G548" s="22">
        <v>15.8</v>
      </c>
      <c r="H548" s="22">
        <v>1694</v>
      </c>
      <c r="I548" s="22">
        <v>487</v>
      </c>
      <c r="J548" s="22">
        <v>80</v>
      </c>
      <c r="K548" s="22">
        <v>345</v>
      </c>
      <c r="L548" s="22">
        <v>15.8</v>
      </c>
      <c r="M548" s="22">
        <v>1196</v>
      </c>
      <c r="N548" s="23" t="str">
        <f t="shared" si="56"/>
        <v>Muy alto</v>
      </c>
      <c r="O548" s="23" t="str">
        <f t="shared" si="57"/>
        <v>Muy alto</v>
      </c>
      <c r="P548" s="23" t="str">
        <f t="shared" si="58"/>
        <v>Medio</v>
      </c>
      <c r="Q548" s="24">
        <f t="shared" si="59"/>
        <v>30.822784810126581</v>
      </c>
      <c r="R548" s="23" t="str">
        <f t="shared" si="60"/>
        <v>Alta</v>
      </c>
      <c r="S548" s="25" t="str">
        <f t="shared" si="61"/>
        <v>Utilizable</v>
      </c>
      <c r="T548" s="26" t="str">
        <f t="shared" si="62"/>
        <v>Especias|00.001.694</v>
      </c>
      <c r="U548" s="26">
        <f>IF(OR($S548&lt;&gt;"Utilizable",$C548&lt;&gt;SUSTITUCION!$C$13),999999,IF(v_prioridad="Potasio",$H548,IF(v_prioridad="Fósforo",$I548,IF(v_prioridad="Sodio",$J548,IF(ISNUMBER($Q548),$Q548,999999)))))</f>
        <v>999999</v>
      </c>
    </row>
    <row r="549" spans="1:21" ht="15" customHeight="1">
      <c r="A549" s="21" t="s">
        <v>1256</v>
      </c>
      <c r="B549" s="21" t="s">
        <v>1257</v>
      </c>
      <c r="C549" s="21" t="s">
        <v>1182</v>
      </c>
      <c r="D549" s="21" t="s">
        <v>1183</v>
      </c>
      <c r="E549" s="21" t="s">
        <v>135</v>
      </c>
      <c r="F549" s="22">
        <v>508</v>
      </c>
      <c r="G549" s="22">
        <v>26.1</v>
      </c>
      <c r="H549" s="22">
        <v>738</v>
      </c>
      <c r="I549" s="22">
        <v>828</v>
      </c>
      <c r="J549" s="22">
        <v>13</v>
      </c>
      <c r="K549" s="22">
        <v>508</v>
      </c>
      <c r="L549" s="22">
        <v>26.1</v>
      </c>
      <c r="M549" s="22">
        <v>266</v>
      </c>
      <c r="N549" s="23" t="str">
        <f t="shared" si="56"/>
        <v>Muy alto</v>
      </c>
      <c r="O549" s="23" t="str">
        <f t="shared" si="57"/>
        <v>Muy alto</v>
      </c>
      <c r="P549" s="23" t="str">
        <f t="shared" si="58"/>
        <v>Bajo</v>
      </c>
      <c r="Q549" s="24">
        <f t="shared" si="59"/>
        <v>31.72413793103448</v>
      </c>
      <c r="R549" s="23" t="str">
        <f t="shared" si="60"/>
        <v>Alta</v>
      </c>
      <c r="S549" s="25" t="str">
        <f t="shared" si="61"/>
        <v>Utilizable</v>
      </c>
      <c r="T549" s="26" t="str">
        <f t="shared" si="62"/>
        <v>Especias|00.000.738</v>
      </c>
      <c r="U549" s="26">
        <f>IF(OR($S549&lt;&gt;"Utilizable",$C549&lt;&gt;SUSTITUCION!$C$13),999999,IF(v_prioridad="Potasio",$H549,IF(v_prioridad="Fósforo",$I549,IF(v_prioridad="Sodio",$J549,IF(ISNUMBER($Q549),$Q549,999999)))))</f>
        <v>999999</v>
      </c>
    </row>
    <row r="550" spans="1:21" ht="15" customHeight="1">
      <c r="A550" s="21" t="s">
        <v>1258</v>
      </c>
      <c r="B550" s="21" t="s">
        <v>1259</v>
      </c>
      <c r="C550" s="21" t="s">
        <v>1182</v>
      </c>
      <c r="D550" s="21" t="s">
        <v>1183</v>
      </c>
      <c r="E550" s="21" t="s">
        <v>135</v>
      </c>
      <c r="F550" s="22">
        <v>101</v>
      </c>
      <c r="G550" s="22">
        <v>5.6</v>
      </c>
      <c r="H550" s="22">
        <v>609</v>
      </c>
      <c r="I550" s="22">
        <v>106</v>
      </c>
      <c r="J550" s="22">
        <v>9</v>
      </c>
      <c r="K550" s="22">
        <v>101</v>
      </c>
      <c r="L550" s="22">
        <v>5.6</v>
      </c>
      <c r="M550" s="22">
        <v>405</v>
      </c>
      <c r="N550" s="23" t="str">
        <f t="shared" si="56"/>
        <v>Muy alto</v>
      </c>
      <c r="O550" s="23" t="str">
        <f t="shared" si="57"/>
        <v>Alto</v>
      </c>
      <c r="P550" s="23" t="str">
        <f t="shared" si="58"/>
        <v>Bajo</v>
      </c>
      <c r="Q550" s="24" t="str">
        <f t="shared" si="59"/>
        <v>N/C: no es fuente proteica</v>
      </c>
      <c r="R550" s="23" t="str">
        <f t="shared" si="60"/>
        <v>N/C</v>
      </c>
      <c r="S550" s="25" t="str">
        <f t="shared" si="61"/>
        <v>Utilizable</v>
      </c>
      <c r="T550" s="26" t="str">
        <f t="shared" si="62"/>
        <v>Especias|00.000.609</v>
      </c>
      <c r="U550" s="26">
        <f>IF(OR($S550&lt;&gt;"Utilizable",$C550&lt;&gt;SUSTITUCION!$C$13),999999,IF(v_prioridad="Potasio",$H550,IF(v_prioridad="Fósforo",$I550,IF(v_prioridad="Sodio",$J550,IF(ISNUMBER($Q550),$Q550,999999)))))</f>
        <v>999999</v>
      </c>
    </row>
    <row r="551" spans="1:21" ht="15" customHeight="1">
      <c r="A551" s="21" t="s">
        <v>1260</v>
      </c>
      <c r="B551" s="21" t="s">
        <v>1261</v>
      </c>
      <c r="C551" s="21" t="s">
        <v>1182</v>
      </c>
      <c r="D551" s="21" t="s">
        <v>1183</v>
      </c>
      <c r="E551" s="21" t="s">
        <v>135</v>
      </c>
      <c r="F551" s="22">
        <v>276</v>
      </c>
      <c r="G551" s="22">
        <v>9.1</v>
      </c>
      <c r="H551" s="22">
        <v>814</v>
      </c>
      <c r="I551" s="22">
        <v>201</v>
      </c>
      <c r="J551" s="22">
        <v>29</v>
      </c>
      <c r="K551" s="22">
        <v>276</v>
      </c>
      <c r="L551" s="22">
        <v>9.1</v>
      </c>
      <c r="M551" s="22">
        <v>1890</v>
      </c>
      <c r="N551" s="23" t="str">
        <f t="shared" si="56"/>
        <v>Muy alto</v>
      </c>
      <c r="O551" s="23" t="str">
        <f t="shared" si="57"/>
        <v>Muy alto</v>
      </c>
      <c r="P551" s="23" t="str">
        <f t="shared" si="58"/>
        <v>Bajo</v>
      </c>
      <c r="Q551" s="24" t="str">
        <f t="shared" si="59"/>
        <v>N/C: no es fuente proteica</v>
      </c>
      <c r="R551" s="23" t="str">
        <f t="shared" si="60"/>
        <v>N/C</v>
      </c>
      <c r="S551" s="25" t="str">
        <f t="shared" si="61"/>
        <v>Utilizable</v>
      </c>
      <c r="T551" s="26" t="str">
        <f t="shared" si="62"/>
        <v>Especias|00.000.814</v>
      </c>
      <c r="U551" s="26">
        <f>IF(OR($S551&lt;&gt;"Utilizable",$C551&lt;&gt;SUSTITUCION!$C$13),999999,IF(v_prioridad="Potasio",$H551,IF(v_prioridad="Fósforo",$I551,IF(v_prioridad="Sodio",$J551,IF(ISNUMBER($Q551),$Q551,999999)))))</f>
        <v>999999</v>
      </c>
    </row>
    <row r="552" spans="1:21" ht="15" customHeight="1">
      <c r="A552" s="21" t="s">
        <v>1262</v>
      </c>
      <c r="B552" s="21" t="s">
        <v>1263</v>
      </c>
      <c r="C552" s="21" t="s">
        <v>1264</v>
      </c>
      <c r="D552" s="21" t="s">
        <v>1265</v>
      </c>
      <c r="E552" s="21" t="s">
        <v>135</v>
      </c>
      <c r="F552" s="22">
        <v>153</v>
      </c>
      <c r="G552" s="22">
        <v>0.1</v>
      </c>
      <c r="H552" s="22" t="s">
        <v>138</v>
      </c>
      <c r="I552" s="22" t="s">
        <v>138</v>
      </c>
      <c r="J552" s="22">
        <v>20</v>
      </c>
      <c r="K552" s="22">
        <v>153</v>
      </c>
      <c r="L552" s="22">
        <v>0.1</v>
      </c>
      <c r="M552" s="22" t="s">
        <v>138</v>
      </c>
      <c r="N552" s="23" t="str">
        <f t="shared" si="56"/>
        <v>Sin dato</v>
      </c>
      <c r="O552" s="23" t="str">
        <f t="shared" si="57"/>
        <v>Sin dato</v>
      </c>
      <c r="P552" s="23" t="str">
        <f t="shared" si="58"/>
        <v>Bajo</v>
      </c>
      <c r="Q552" s="24" t="str">
        <f t="shared" si="59"/>
        <v>N/C</v>
      </c>
      <c r="R552" s="23" t="str">
        <f t="shared" si="60"/>
        <v>N/C</v>
      </c>
      <c r="S552" s="25" t="str">
        <f t="shared" si="61"/>
        <v>No utilizable</v>
      </c>
      <c r="T552" s="26" t="str">
        <f t="shared" si="62"/>
        <v/>
      </c>
      <c r="U552" s="26">
        <f>IF(OR($S552&lt;&gt;"Utilizable",$C552&lt;&gt;SUSTITUCION!$C$13),999999,IF(v_prioridad="Potasio",$H552,IF(v_prioridad="Fósforo",$I552,IF(v_prioridad="Sodio",$J552,IF(ISNUMBER($Q552),$Q552,999999)))))</f>
        <v>999999</v>
      </c>
    </row>
    <row r="553" spans="1:21" ht="15" customHeight="1">
      <c r="A553" s="21" t="s">
        <v>1266</v>
      </c>
      <c r="B553" s="21" t="s">
        <v>1267</v>
      </c>
      <c r="C553" s="21" t="s">
        <v>1264</v>
      </c>
      <c r="D553" s="21" t="s">
        <v>1265</v>
      </c>
      <c r="E553" s="21" t="s">
        <v>135</v>
      </c>
      <c r="F553" s="22">
        <v>371</v>
      </c>
      <c r="G553" s="22">
        <v>0.4</v>
      </c>
      <c r="H553" s="22" t="s">
        <v>138</v>
      </c>
      <c r="I553" s="22">
        <v>0.8</v>
      </c>
      <c r="J553" s="22">
        <v>177</v>
      </c>
      <c r="K553" s="22">
        <v>371</v>
      </c>
      <c r="L553" s="22">
        <v>0.4</v>
      </c>
      <c r="M553" s="22">
        <v>8</v>
      </c>
      <c r="N553" s="23" t="str">
        <f t="shared" si="56"/>
        <v>Sin dato</v>
      </c>
      <c r="O553" s="23" t="str">
        <f t="shared" si="57"/>
        <v>Bajo</v>
      </c>
      <c r="P553" s="23" t="str">
        <f t="shared" si="58"/>
        <v>Alto</v>
      </c>
      <c r="Q553" s="24" t="str">
        <f t="shared" si="59"/>
        <v>N/C: no es fuente proteica</v>
      </c>
      <c r="R553" s="23" t="str">
        <f t="shared" si="60"/>
        <v>N/C</v>
      </c>
      <c r="S553" s="25" t="str">
        <f t="shared" si="61"/>
        <v>No utilizable</v>
      </c>
      <c r="T553" s="26" t="str">
        <f t="shared" si="62"/>
        <v/>
      </c>
      <c r="U553" s="26">
        <f>IF(OR($S553&lt;&gt;"Utilizable",$C553&lt;&gt;SUSTITUCION!$C$13),999999,IF(v_prioridad="Potasio",$H553,IF(v_prioridad="Fósforo",$I553,IF(v_prioridad="Sodio",$J553,IF(ISNUMBER($Q553),$Q553,999999)))))</f>
        <v>999999</v>
      </c>
    </row>
    <row r="554" spans="1:21" ht="15" customHeight="1">
      <c r="A554" s="21" t="s">
        <v>1268</v>
      </c>
      <c r="B554" s="21" t="s">
        <v>1269</v>
      </c>
      <c r="C554" s="21" t="s">
        <v>1264</v>
      </c>
      <c r="D554" s="21" t="s">
        <v>1265</v>
      </c>
      <c r="E554" s="21" t="s">
        <v>135</v>
      </c>
      <c r="F554" s="22">
        <v>49</v>
      </c>
      <c r="G554" s="22">
        <v>0.1</v>
      </c>
      <c r="H554" s="22" t="s">
        <v>138</v>
      </c>
      <c r="I554" s="22" t="s">
        <v>138</v>
      </c>
      <c r="J554" s="22">
        <v>70</v>
      </c>
      <c r="K554" s="22">
        <v>49</v>
      </c>
      <c r="L554" s="22">
        <v>0.1</v>
      </c>
      <c r="M554" s="22" t="s">
        <v>138</v>
      </c>
      <c r="N554" s="23" t="str">
        <f t="shared" si="56"/>
        <v>Sin dato</v>
      </c>
      <c r="O554" s="23" t="str">
        <f t="shared" si="57"/>
        <v>Sin dato</v>
      </c>
      <c r="P554" s="23" t="str">
        <f t="shared" si="58"/>
        <v>Medio</v>
      </c>
      <c r="Q554" s="24" t="str">
        <f t="shared" si="59"/>
        <v>N/C</v>
      </c>
      <c r="R554" s="23" t="str">
        <f t="shared" si="60"/>
        <v>N/C</v>
      </c>
      <c r="S554" s="25" t="str">
        <f t="shared" si="61"/>
        <v>No utilizable</v>
      </c>
      <c r="T554" s="26" t="str">
        <f t="shared" si="62"/>
        <v/>
      </c>
      <c r="U554" s="26">
        <f>IF(OR($S554&lt;&gt;"Utilizable",$C554&lt;&gt;SUSTITUCION!$C$13),999999,IF(v_prioridad="Potasio",$H554,IF(v_prioridad="Fósforo",$I554,IF(v_prioridad="Sodio",$J554,IF(ISNUMBER($Q554),$Q554,999999)))))</f>
        <v>999999</v>
      </c>
    </row>
    <row r="555" spans="1:21" ht="15" customHeight="1">
      <c r="A555" s="21" t="s">
        <v>1270</v>
      </c>
      <c r="B555" s="21" t="s">
        <v>1271</v>
      </c>
      <c r="C555" s="21" t="s">
        <v>1264</v>
      </c>
      <c r="D555" s="21" t="s">
        <v>1265</v>
      </c>
      <c r="E555" s="21" t="s">
        <v>135</v>
      </c>
      <c r="F555" s="22">
        <v>15</v>
      </c>
      <c r="G555" s="22">
        <v>0</v>
      </c>
      <c r="H555" s="22" t="s">
        <v>138</v>
      </c>
      <c r="I555" s="22" t="s">
        <v>138</v>
      </c>
      <c r="J555" s="22">
        <v>0</v>
      </c>
      <c r="K555" s="22">
        <v>15</v>
      </c>
      <c r="L555" s="22">
        <v>0</v>
      </c>
      <c r="M555" s="22" t="s">
        <v>138</v>
      </c>
      <c r="N555" s="23" t="str">
        <f t="shared" si="56"/>
        <v>Sin dato</v>
      </c>
      <c r="O555" s="23" t="str">
        <f t="shared" si="57"/>
        <v>Sin dato</v>
      </c>
      <c r="P555" s="23" t="str">
        <f t="shared" si="58"/>
        <v>Bajo</v>
      </c>
      <c r="Q555" s="24" t="str">
        <f t="shared" si="59"/>
        <v>N/C</v>
      </c>
      <c r="R555" s="23" t="str">
        <f t="shared" si="60"/>
        <v>N/C</v>
      </c>
      <c r="S555" s="25" t="str">
        <f t="shared" si="61"/>
        <v>No utilizable</v>
      </c>
      <c r="T555" s="26" t="str">
        <f t="shared" si="62"/>
        <v/>
      </c>
      <c r="U555" s="26">
        <f>IF(OR($S555&lt;&gt;"Utilizable",$C555&lt;&gt;SUSTITUCION!$C$13),999999,IF(v_prioridad="Potasio",$H555,IF(v_prioridad="Fósforo",$I555,IF(v_prioridad="Sodio",$J555,IF(ISNUMBER($Q555),$Q555,999999)))))</f>
        <v>999999</v>
      </c>
    </row>
    <row r="556" spans="1:21" ht="15" customHeight="1">
      <c r="A556" s="21" t="s">
        <v>1272</v>
      </c>
      <c r="B556" s="21" t="s">
        <v>1273</v>
      </c>
      <c r="C556" s="21" t="s">
        <v>1274</v>
      </c>
      <c r="D556" s="21" t="s">
        <v>1275</v>
      </c>
      <c r="E556" s="21" t="s">
        <v>135</v>
      </c>
      <c r="F556" s="22">
        <v>109</v>
      </c>
      <c r="G556" s="22">
        <v>19.899999999999999</v>
      </c>
      <c r="H556" s="22" t="s">
        <v>138</v>
      </c>
      <c r="I556" s="22" t="s">
        <v>138</v>
      </c>
      <c r="J556" s="22">
        <v>388</v>
      </c>
      <c r="K556" s="22">
        <v>109</v>
      </c>
      <c r="L556" s="22">
        <v>19.899999999999999</v>
      </c>
      <c r="M556" s="22" t="s">
        <v>138</v>
      </c>
      <c r="N556" s="23" t="str">
        <f t="shared" si="56"/>
        <v>Sin dato</v>
      </c>
      <c r="O556" s="23" t="str">
        <f t="shared" si="57"/>
        <v>Sin dato</v>
      </c>
      <c r="P556" s="23" t="str">
        <f t="shared" si="58"/>
        <v>Alto</v>
      </c>
      <c r="Q556" s="24" t="str">
        <f t="shared" si="59"/>
        <v>N/C</v>
      </c>
      <c r="R556" s="23" t="str">
        <f t="shared" si="60"/>
        <v>N/C</v>
      </c>
      <c r="S556" s="25" t="str">
        <f t="shared" si="61"/>
        <v>No utilizable</v>
      </c>
      <c r="T556" s="26" t="str">
        <f t="shared" si="62"/>
        <v/>
      </c>
      <c r="U556" s="26">
        <f>IF(OR($S556&lt;&gt;"Utilizable",$C556&lt;&gt;SUSTITUCION!$C$13),999999,IF(v_prioridad="Potasio",$H556,IF(v_prioridad="Fósforo",$I556,IF(v_prioridad="Sodio",$J556,IF(ISNUMBER($Q556),$Q556,999999)))))</f>
        <v>999999</v>
      </c>
    </row>
    <row r="557" spans="1:21" ht="15" customHeight="1">
      <c r="A557" s="21" t="s">
        <v>1276</v>
      </c>
      <c r="B557" s="21" t="s">
        <v>1277</v>
      </c>
      <c r="C557" s="21" t="s">
        <v>1274</v>
      </c>
      <c r="D557" s="21" t="s">
        <v>1275</v>
      </c>
      <c r="E557" s="21" t="s">
        <v>135</v>
      </c>
      <c r="F557" s="22">
        <v>30</v>
      </c>
      <c r="G557" s="22">
        <v>1.5</v>
      </c>
      <c r="H557" s="22" t="s">
        <v>138</v>
      </c>
      <c r="I557" s="22" t="s">
        <v>138</v>
      </c>
      <c r="J557" s="22">
        <v>35</v>
      </c>
      <c r="K557" s="22">
        <v>30</v>
      </c>
      <c r="L557" s="22">
        <v>1.5</v>
      </c>
      <c r="M557" s="22" t="s">
        <v>138</v>
      </c>
      <c r="N557" s="23" t="str">
        <f t="shared" si="56"/>
        <v>Sin dato</v>
      </c>
      <c r="O557" s="23" t="str">
        <f t="shared" si="57"/>
        <v>Sin dato</v>
      </c>
      <c r="P557" s="23" t="str">
        <f t="shared" si="58"/>
        <v>Bajo</v>
      </c>
      <c r="Q557" s="24" t="str">
        <f t="shared" si="59"/>
        <v>N/C</v>
      </c>
      <c r="R557" s="23" t="str">
        <f t="shared" si="60"/>
        <v>N/C</v>
      </c>
      <c r="S557" s="25" t="str">
        <f t="shared" si="61"/>
        <v>No utilizable</v>
      </c>
      <c r="T557" s="26" t="str">
        <f t="shared" si="62"/>
        <v/>
      </c>
      <c r="U557" s="26">
        <f>IF(OR($S557&lt;&gt;"Utilizable",$C557&lt;&gt;SUSTITUCION!$C$13),999999,IF(v_prioridad="Potasio",$H557,IF(v_prioridad="Fósforo",$I557,IF(v_prioridad="Sodio",$J557,IF(ISNUMBER($Q557),$Q557,999999)))))</f>
        <v>999999</v>
      </c>
    </row>
    <row r="558" spans="1:21" ht="15" customHeight="1">
      <c r="A558" s="21" t="s">
        <v>1278</v>
      </c>
      <c r="B558" s="21" t="s">
        <v>1279</v>
      </c>
      <c r="C558" s="21" t="s">
        <v>1274</v>
      </c>
      <c r="D558" s="21" t="s">
        <v>1275</v>
      </c>
      <c r="E558" s="21" t="s">
        <v>135</v>
      </c>
      <c r="F558" s="22">
        <v>151</v>
      </c>
      <c r="G558" s="22">
        <v>23.8</v>
      </c>
      <c r="H558" s="22" t="s">
        <v>138</v>
      </c>
      <c r="I558" s="22" t="s">
        <v>138</v>
      </c>
      <c r="J558" s="22">
        <v>385</v>
      </c>
      <c r="K558" s="22">
        <v>151</v>
      </c>
      <c r="L558" s="22">
        <v>23.8</v>
      </c>
      <c r="M558" s="22" t="s">
        <v>138</v>
      </c>
      <c r="N558" s="23" t="str">
        <f t="shared" si="56"/>
        <v>Sin dato</v>
      </c>
      <c r="O558" s="23" t="str">
        <f t="shared" si="57"/>
        <v>Sin dato</v>
      </c>
      <c r="P558" s="23" t="str">
        <f t="shared" si="58"/>
        <v>Alto</v>
      </c>
      <c r="Q558" s="24" t="str">
        <f t="shared" si="59"/>
        <v>N/C</v>
      </c>
      <c r="R558" s="23" t="str">
        <f t="shared" si="60"/>
        <v>N/C</v>
      </c>
      <c r="S558" s="25" t="str">
        <f t="shared" si="61"/>
        <v>No utilizable</v>
      </c>
      <c r="T558" s="26" t="str">
        <f t="shared" si="62"/>
        <v/>
      </c>
      <c r="U558" s="26">
        <f>IF(OR($S558&lt;&gt;"Utilizable",$C558&lt;&gt;SUSTITUCION!$C$13),999999,IF(v_prioridad="Potasio",$H558,IF(v_prioridad="Fósforo",$I558,IF(v_prioridad="Sodio",$J558,IF(ISNUMBER($Q558),$Q558,999999)))))</f>
        <v>999999</v>
      </c>
    </row>
    <row r="559" spans="1:21" ht="15" customHeight="1">
      <c r="A559" s="21" t="s">
        <v>1280</v>
      </c>
      <c r="B559" s="21" t="s">
        <v>1281</v>
      </c>
      <c r="C559" s="21" t="s">
        <v>1274</v>
      </c>
      <c r="D559" s="21" t="s">
        <v>1275</v>
      </c>
      <c r="E559" s="21" t="s">
        <v>135</v>
      </c>
      <c r="F559" s="22">
        <v>22</v>
      </c>
      <c r="G559" s="22">
        <v>0.3</v>
      </c>
      <c r="H559" s="22" t="s">
        <v>138</v>
      </c>
      <c r="I559" s="22" t="s">
        <v>138</v>
      </c>
      <c r="J559" s="22">
        <v>361</v>
      </c>
      <c r="K559" s="22">
        <v>22</v>
      </c>
      <c r="L559" s="22">
        <v>0.3</v>
      </c>
      <c r="M559" s="22" t="s">
        <v>138</v>
      </c>
      <c r="N559" s="23" t="str">
        <f t="shared" si="56"/>
        <v>Sin dato</v>
      </c>
      <c r="O559" s="23" t="str">
        <f t="shared" si="57"/>
        <v>Sin dato</v>
      </c>
      <c r="P559" s="23" t="str">
        <f t="shared" si="58"/>
        <v>Alto</v>
      </c>
      <c r="Q559" s="24" t="str">
        <f t="shared" si="59"/>
        <v>N/C</v>
      </c>
      <c r="R559" s="23" t="str">
        <f t="shared" si="60"/>
        <v>N/C</v>
      </c>
      <c r="S559" s="25" t="str">
        <f t="shared" si="61"/>
        <v>No utilizable</v>
      </c>
      <c r="T559" s="26" t="str">
        <f t="shared" si="62"/>
        <v/>
      </c>
      <c r="U559" s="26">
        <f>IF(OR($S559&lt;&gt;"Utilizable",$C559&lt;&gt;SUSTITUCION!$C$13),999999,IF(v_prioridad="Potasio",$H559,IF(v_prioridad="Fósforo",$I559,IF(v_prioridad="Sodio",$J559,IF(ISNUMBER($Q559),$Q559,999999)))))</f>
        <v>999999</v>
      </c>
    </row>
    <row r="560" spans="1:21" ht="15" customHeight="1">
      <c r="A560" s="21" t="s">
        <v>1282</v>
      </c>
      <c r="B560" s="21" t="s">
        <v>1283</v>
      </c>
      <c r="C560" s="21" t="s">
        <v>1274</v>
      </c>
      <c r="D560" s="21" t="s">
        <v>1275</v>
      </c>
      <c r="E560" s="21" t="s">
        <v>135</v>
      </c>
      <c r="F560" s="22">
        <v>90</v>
      </c>
      <c r="G560" s="22">
        <v>3.3</v>
      </c>
      <c r="H560" s="22" t="s">
        <v>138</v>
      </c>
      <c r="I560" s="22" t="s">
        <v>138</v>
      </c>
      <c r="J560" s="22">
        <v>339</v>
      </c>
      <c r="K560" s="22">
        <v>90</v>
      </c>
      <c r="L560" s="22">
        <v>3.3</v>
      </c>
      <c r="M560" s="22" t="s">
        <v>138</v>
      </c>
      <c r="N560" s="23" t="str">
        <f t="shared" si="56"/>
        <v>Sin dato</v>
      </c>
      <c r="O560" s="23" t="str">
        <f t="shared" si="57"/>
        <v>Sin dato</v>
      </c>
      <c r="P560" s="23" t="str">
        <f t="shared" si="58"/>
        <v>Alto</v>
      </c>
      <c r="Q560" s="24" t="str">
        <f t="shared" si="59"/>
        <v>N/C</v>
      </c>
      <c r="R560" s="23" t="str">
        <f t="shared" si="60"/>
        <v>N/C</v>
      </c>
      <c r="S560" s="25" t="str">
        <f t="shared" si="61"/>
        <v>No utilizable</v>
      </c>
      <c r="T560" s="26" t="str">
        <f t="shared" si="62"/>
        <v/>
      </c>
      <c r="U560" s="26">
        <f>IF(OR($S560&lt;&gt;"Utilizable",$C560&lt;&gt;SUSTITUCION!$C$13),999999,IF(v_prioridad="Potasio",$H560,IF(v_prioridad="Fósforo",$I560,IF(v_prioridad="Sodio",$J560,IF(ISNUMBER($Q560),$Q560,999999)))))</f>
        <v>999999</v>
      </c>
    </row>
    <row r="561" spans="1:21" ht="15" customHeight="1">
      <c r="A561" s="21" t="s">
        <v>1284</v>
      </c>
      <c r="B561" s="21" t="s">
        <v>1285</v>
      </c>
      <c r="C561" s="21" t="s">
        <v>1274</v>
      </c>
      <c r="D561" s="21" t="s">
        <v>1275</v>
      </c>
      <c r="E561" s="21" t="s">
        <v>135</v>
      </c>
      <c r="F561" s="22">
        <v>96</v>
      </c>
      <c r="G561" s="22">
        <v>1.1000000000000001</v>
      </c>
      <c r="H561" s="22" t="s">
        <v>138</v>
      </c>
      <c r="I561" s="22" t="s">
        <v>138</v>
      </c>
      <c r="J561" s="22">
        <v>29</v>
      </c>
      <c r="K561" s="22">
        <v>96</v>
      </c>
      <c r="L561" s="22">
        <v>1.1000000000000001</v>
      </c>
      <c r="M561" s="22" t="s">
        <v>138</v>
      </c>
      <c r="N561" s="23" t="str">
        <f t="shared" si="56"/>
        <v>Sin dato</v>
      </c>
      <c r="O561" s="23" t="str">
        <f t="shared" si="57"/>
        <v>Sin dato</v>
      </c>
      <c r="P561" s="23" t="str">
        <f t="shared" si="58"/>
        <v>Bajo</v>
      </c>
      <c r="Q561" s="24" t="str">
        <f t="shared" si="59"/>
        <v>N/C</v>
      </c>
      <c r="R561" s="23" t="str">
        <f t="shared" si="60"/>
        <v>N/C</v>
      </c>
      <c r="S561" s="25" t="str">
        <f t="shared" si="61"/>
        <v>No utilizable</v>
      </c>
      <c r="T561" s="26" t="str">
        <f t="shared" si="62"/>
        <v/>
      </c>
      <c r="U561" s="26">
        <f>IF(OR($S561&lt;&gt;"Utilizable",$C561&lt;&gt;SUSTITUCION!$C$13),999999,IF(v_prioridad="Potasio",$H561,IF(v_prioridad="Fósforo",$I561,IF(v_prioridad="Sodio",$J561,IF(ISNUMBER($Q561),$Q561,999999)))))</f>
        <v>999999</v>
      </c>
    </row>
    <row r="562" spans="1:21" ht="15" customHeight="1">
      <c r="A562" s="21" t="s">
        <v>1286</v>
      </c>
      <c r="B562" s="21" t="s">
        <v>1287</v>
      </c>
      <c r="C562" s="21" t="s">
        <v>1274</v>
      </c>
      <c r="D562" s="21" t="s">
        <v>1275</v>
      </c>
      <c r="E562" s="21" t="s">
        <v>135</v>
      </c>
      <c r="F562" s="22">
        <v>50</v>
      </c>
      <c r="G562" s="22">
        <v>0.2</v>
      </c>
      <c r="H562" s="22" t="s">
        <v>138</v>
      </c>
      <c r="I562" s="22" t="s">
        <v>138</v>
      </c>
      <c r="J562" s="22" t="s">
        <v>138</v>
      </c>
      <c r="K562" s="22">
        <v>50</v>
      </c>
      <c r="L562" s="22">
        <v>0.2</v>
      </c>
      <c r="M562" s="22">
        <v>6.9</v>
      </c>
      <c r="N562" s="23" t="str">
        <f t="shared" si="56"/>
        <v>Sin dato</v>
      </c>
      <c r="O562" s="23" t="str">
        <f t="shared" si="57"/>
        <v>Sin dato</v>
      </c>
      <c r="P562" s="23" t="str">
        <f t="shared" si="58"/>
        <v>Sin dato</v>
      </c>
      <c r="Q562" s="24" t="str">
        <f t="shared" si="59"/>
        <v>N/C</v>
      </c>
      <c r="R562" s="23" t="str">
        <f t="shared" si="60"/>
        <v>N/C</v>
      </c>
      <c r="S562" s="25" t="str">
        <f t="shared" si="61"/>
        <v>No utilizable</v>
      </c>
      <c r="T562" s="26" t="str">
        <f t="shared" si="62"/>
        <v/>
      </c>
      <c r="U562" s="26">
        <f>IF(OR($S562&lt;&gt;"Utilizable",$C562&lt;&gt;SUSTITUCION!$C$13),999999,IF(v_prioridad="Potasio",$H562,IF(v_prioridad="Fósforo",$I562,IF(v_prioridad="Sodio",$J562,IF(ISNUMBER($Q562),$Q562,999999)))))</f>
        <v>999999</v>
      </c>
    </row>
    <row r="563" spans="1:21" ht="15" customHeight="1">
      <c r="A563" s="21" t="s">
        <v>1288</v>
      </c>
      <c r="B563" s="21" t="s">
        <v>1289</v>
      </c>
      <c r="C563" s="21" t="s">
        <v>1274</v>
      </c>
      <c r="D563" s="21" t="s">
        <v>1275</v>
      </c>
      <c r="E563" s="21" t="s">
        <v>135</v>
      </c>
      <c r="F563" s="22">
        <v>58</v>
      </c>
      <c r="G563" s="22">
        <v>0.4</v>
      </c>
      <c r="H563" s="22" t="s">
        <v>138</v>
      </c>
      <c r="I563" s="22" t="s">
        <v>138</v>
      </c>
      <c r="J563" s="22" t="s">
        <v>138</v>
      </c>
      <c r="K563" s="22">
        <v>58</v>
      </c>
      <c r="L563" s="22">
        <v>0.4</v>
      </c>
      <c r="M563" s="22">
        <v>6.5</v>
      </c>
      <c r="N563" s="23" t="str">
        <f t="shared" si="56"/>
        <v>Sin dato</v>
      </c>
      <c r="O563" s="23" t="str">
        <f t="shared" si="57"/>
        <v>Sin dato</v>
      </c>
      <c r="P563" s="23" t="str">
        <f t="shared" si="58"/>
        <v>Sin dato</v>
      </c>
      <c r="Q563" s="24" t="str">
        <f t="shared" si="59"/>
        <v>N/C</v>
      </c>
      <c r="R563" s="23" t="str">
        <f t="shared" si="60"/>
        <v>N/C</v>
      </c>
      <c r="S563" s="25" t="str">
        <f t="shared" si="61"/>
        <v>No utilizable</v>
      </c>
      <c r="T563" s="26" t="str">
        <f t="shared" si="62"/>
        <v/>
      </c>
      <c r="U563" s="26">
        <f>IF(OR($S563&lt;&gt;"Utilizable",$C563&lt;&gt;SUSTITUCION!$C$13),999999,IF(v_prioridad="Potasio",$H563,IF(v_prioridad="Fósforo",$I563,IF(v_prioridad="Sodio",$J563,IF(ISNUMBER($Q563),$Q563,999999)))))</f>
        <v>999999</v>
      </c>
    </row>
    <row r="564" spans="1:21" ht="15" customHeight="1">
      <c r="A564" s="21" t="s">
        <v>1290</v>
      </c>
      <c r="B564" s="21" t="s">
        <v>1291</v>
      </c>
      <c r="C564" s="21" t="s">
        <v>1274</v>
      </c>
      <c r="D564" s="21" t="s">
        <v>1275</v>
      </c>
      <c r="E564" s="21" t="s">
        <v>135</v>
      </c>
      <c r="F564" s="22">
        <v>64</v>
      </c>
      <c r="G564" s="22" t="s">
        <v>138</v>
      </c>
      <c r="H564" s="22" t="s">
        <v>138</v>
      </c>
      <c r="I564" s="22" t="s">
        <v>138</v>
      </c>
      <c r="J564" s="22">
        <v>35</v>
      </c>
      <c r="K564" s="22">
        <v>64</v>
      </c>
      <c r="L564" s="22" t="s">
        <v>138</v>
      </c>
      <c r="M564" s="22" t="s">
        <v>138</v>
      </c>
      <c r="N564" s="23" t="str">
        <f t="shared" si="56"/>
        <v>Sin dato</v>
      </c>
      <c r="O564" s="23" t="str">
        <f t="shared" si="57"/>
        <v>Sin dato</v>
      </c>
      <c r="P564" s="23" t="str">
        <f t="shared" si="58"/>
        <v>Bajo</v>
      </c>
      <c r="Q564" s="24" t="str">
        <f t="shared" si="59"/>
        <v>N/C</v>
      </c>
      <c r="R564" s="23" t="str">
        <f t="shared" si="60"/>
        <v>N/C</v>
      </c>
      <c r="S564" s="25" t="str">
        <f t="shared" si="61"/>
        <v>No utilizable</v>
      </c>
      <c r="T564" s="26" t="str">
        <f t="shared" si="62"/>
        <v/>
      </c>
      <c r="U564" s="26">
        <f>IF(OR($S564&lt;&gt;"Utilizable",$C564&lt;&gt;SUSTITUCION!$C$13),999999,IF(v_prioridad="Potasio",$H564,IF(v_prioridad="Fósforo",$I564,IF(v_prioridad="Sodio",$J564,IF(ISNUMBER($Q564),$Q564,999999)))))</f>
        <v>999999</v>
      </c>
    </row>
    <row r="565" spans="1:21" ht="15" customHeight="1">
      <c r="A565" s="21" t="s">
        <v>1292</v>
      </c>
      <c r="B565" s="21" t="s">
        <v>1293</v>
      </c>
      <c r="C565" s="21" t="s">
        <v>1274</v>
      </c>
      <c r="D565" s="21" t="s">
        <v>1275</v>
      </c>
      <c r="E565" s="21" t="s">
        <v>135</v>
      </c>
      <c r="F565" s="22">
        <v>61</v>
      </c>
      <c r="G565" s="22">
        <v>0.3</v>
      </c>
      <c r="H565" s="22" t="s">
        <v>138</v>
      </c>
      <c r="I565" s="22" t="s">
        <v>138</v>
      </c>
      <c r="J565" s="22" t="s">
        <v>138</v>
      </c>
      <c r="K565" s="22">
        <v>61</v>
      </c>
      <c r="L565" s="22">
        <v>0.3</v>
      </c>
      <c r="M565" s="22" t="s">
        <v>138</v>
      </c>
      <c r="N565" s="23" t="str">
        <f t="shared" si="56"/>
        <v>Sin dato</v>
      </c>
      <c r="O565" s="23" t="str">
        <f t="shared" si="57"/>
        <v>Sin dato</v>
      </c>
      <c r="P565" s="23" t="str">
        <f t="shared" si="58"/>
        <v>Sin dato</v>
      </c>
      <c r="Q565" s="24" t="str">
        <f t="shared" si="59"/>
        <v>N/C</v>
      </c>
      <c r="R565" s="23" t="str">
        <f t="shared" si="60"/>
        <v>N/C</v>
      </c>
      <c r="S565" s="25" t="str">
        <f t="shared" si="61"/>
        <v>No utilizable</v>
      </c>
      <c r="T565" s="26" t="str">
        <f t="shared" si="62"/>
        <v/>
      </c>
      <c r="U565" s="26">
        <f>IF(OR($S565&lt;&gt;"Utilizable",$C565&lt;&gt;SUSTITUCION!$C$13),999999,IF(v_prioridad="Potasio",$H565,IF(v_prioridad="Fósforo",$I565,IF(v_prioridad="Sodio",$J565,IF(ISNUMBER($Q565),$Q565,999999)))))</f>
        <v>999999</v>
      </c>
    </row>
    <row r="566" spans="1:21" ht="15" customHeight="1">
      <c r="A566" s="21" t="s">
        <v>1294</v>
      </c>
      <c r="B566" s="21" t="s">
        <v>1295</v>
      </c>
      <c r="C566" s="21" t="s">
        <v>1274</v>
      </c>
      <c r="D566" s="21" t="s">
        <v>1275</v>
      </c>
      <c r="E566" s="21" t="s">
        <v>135</v>
      </c>
      <c r="F566" s="22">
        <v>24</v>
      </c>
      <c r="G566" s="22">
        <v>12.2</v>
      </c>
      <c r="H566" s="22" t="s">
        <v>138</v>
      </c>
      <c r="I566" s="22" t="s">
        <v>138</v>
      </c>
      <c r="J566" s="22">
        <v>216</v>
      </c>
      <c r="K566" s="22">
        <v>24</v>
      </c>
      <c r="L566" s="22">
        <v>12.2</v>
      </c>
      <c r="M566" s="22" t="s">
        <v>138</v>
      </c>
      <c r="N566" s="23" t="str">
        <f t="shared" si="56"/>
        <v>Sin dato</v>
      </c>
      <c r="O566" s="23" t="str">
        <f t="shared" si="57"/>
        <v>Sin dato</v>
      </c>
      <c r="P566" s="23" t="str">
        <f t="shared" si="58"/>
        <v>Alto</v>
      </c>
      <c r="Q566" s="24" t="str">
        <f t="shared" si="59"/>
        <v>N/C</v>
      </c>
      <c r="R566" s="23" t="str">
        <f t="shared" si="60"/>
        <v>N/C</v>
      </c>
      <c r="S566" s="25" t="str">
        <f t="shared" si="61"/>
        <v>No utilizable</v>
      </c>
      <c r="T566" s="26" t="str">
        <f t="shared" si="62"/>
        <v/>
      </c>
      <c r="U566" s="26">
        <f>IF(OR($S566&lt;&gt;"Utilizable",$C566&lt;&gt;SUSTITUCION!$C$13),999999,IF(v_prioridad="Potasio",$H566,IF(v_prioridad="Fósforo",$I566,IF(v_prioridad="Sodio",$J566,IF(ISNUMBER($Q566),$Q566,999999)))))</f>
        <v>999999</v>
      </c>
    </row>
    <row r="567" spans="1:21" ht="15" customHeight="1">
      <c r="A567" s="21" t="s">
        <v>1296</v>
      </c>
      <c r="B567" s="21" t="s">
        <v>1297</v>
      </c>
      <c r="C567" s="21" t="s">
        <v>1274</v>
      </c>
      <c r="D567" s="21" t="s">
        <v>1275</v>
      </c>
      <c r="E567" s="21" t="s">
        <v>135</v>
      </c>
      <c r="F567" s="22">
        <v>87</v>
      </c>
      <c r="G567" s="22">
        <v>21.8</v>
      </c>
      <c r="H567" s="22" t="s">
        <v>138</v>
      </c>
      <c r="I567" s="22" t="s">
        <v>138</v>
      </c>
      <c r="J567" s="22">
        <v>358</v>
      </c>
      <c r="K567" s="22">
        <v>87</v>
      </c>
      <c r="L567" s="22">
        <v>21.8</v>
      </c>
      <c r="M567" s="22" t="s">
        <v>138</v>
      </c>
      <c r="N567" s="23" t="str">
        <f t="shared" si="56"/>
        <v>Sin dato</v>
      </c>
      <c r="O567" s="23" t="str">
        <f t="shared" si="57"/>
        <v>Sin dato</v>
      </c>
      <c r="P567" s="23" t="str">
        <f t="shared" si="58"/>
        <v>Alto</v>
      </c>
      <c r="Q567" s="24" t="str">
        <f t="shared" si="59"/>
        <v>N/C</v>
      </c>
      <c r="R567" s="23" t="str">
        <f t="shared" si="60"/>
        <v>N/C</v>
      </c>
      <c r="S567" s="25" t="str">
        <f t="shared" si="61"/>
        <v>No utilizable</v>
      </c>
      <c r="T567" s="26" t="str">
        <f t="shared" si="62"/>
        <v/>
      </c>
      <c r="U567" s="26">
        <f>IF(OR($S567&lt;&gt;"Utilizable",$C567&lt;&gt;SUSTITUCION!$C$13),999999,IF(v_prioridad="Potasio",$H567,IF(v_prioridad="Fósforo",$I567,IF(v_prioridad="Sodio",$J567,IF(ISNUMBER($Q567),$Q567,999999)))))</f>
        <v>999999</v>
      </c>
    </row>
    <row r="568" spans="1:21" ht="15" customHeight="1">
      <c r="A568" s="21" t="s">
        <v>1298</v>
      </c>
      <c r="B568" s="21" t="s">
        <v>1299</v>
      </c>
      <c r="C568" s="21" t="s">
        <v>1274</v>
      </c>
      <c r="D568" s="21" t="s">
        <v>1275</v>
      </c>
      <c r="E568" s="21" t="s">
        <v>135</v>
      </c>
      <c r="F568" s="22">
        <v>121</v>
      </c>
      <c r="G568" s="22">
        <v>0.6</v>
      </c>
      <c r="H568" s="22" t="s">
        <v>138</v>
      </c>
      <c r="I568" s="22" t="s">
        <v>138</v>
      </c>
      <c r="J568" s="22">
        <v>268</v>
      </c>
      <c r="K568" s="22">
        <v>121</v>
      </c>
      <c r="L568" s="22">
        <v>0.6</v>
      </c>
      <c r="M568" s="22" t="s">
        <v>138</v>
      </c>
      <c r="N568" s="23" t="str">
        <f t="shared" si="56"/>
        <v>Sin dato</v>
      </c>
      <c r="O568" s="23" t="str">
        <f t="shared" si="57"/>
        <v>Sin dato</v>
      </c>
      <c r="P568" s="23" t="str">
        <f t="shared" si="58"/>
        <v>Alto</v>
      </c>
      <c r="Q568" s="24" t="str">
        <f t="shared" si="59"/>
        <v>N/C</v>
      </c>
      <c r="R568" s="23" t="str">
        <f t="shared" si="60"/>
        <v>N/C</v>
      </c>
      <c r="S568" s="25" t="str">
        <f t="shared" si="61"/>
        <v>No utilizable</v>
      </c>
      <c r="T568" s="26" t="str">
        <f t="shared" si="62"/>
        <v/>
      </c>
      <c r="U568" s="26">
        <f>IF(OR($S568&lt;&gt;"Utilizable",$C568&lt;&gt;SUSTITUCION!$C$13),999999,IF(v_prioridad="Potasio",$H568,IF(v_prioridad="Fósforo",$I568,IF(v_prioridad="Sodio",$J568,IF(ISNUMBER($Q568),$Q568,999999)))))</f>
        <v>999999</v>
      </c>
    </row>
    <row r="569" spans="1:21" ht="15" customHeight="1">
      <c r="A569" s="21" t="s">
        <v>1300</v>
      </c>
      <c r="B569" s="21" t="s">
        <v>1301</v>
      </c>
      <c r="C569" s="21" t="s">
        <v>1274</v>
      </c>
      <c r="D569" s="21" t="s">
        <v>1275</v>
      </c>
      <c r="E569" s="21" t="s">
        <v>135</v>
      </c>
      <c r="F569" s="22">
        <v>16</v>
      </c>
      <c r="G569" s="22" t="s">
        <v>138</v>
      </c>
      <c r="H569" s="22" t="s">
        <v>138</v>
      </c>
      <c r="I569" s="22" t="s">
        <v>138</v>
      </c>
      <c r="J569" s="22" t="s">
        <v>138</v>
      </c>
      <c r="K569" s="22">
        <v>16</v>
      </c>
      <c r="L569" s="22" t="s">
        <v>138</v>
      </c>
      <c r="M569" s="22" t="s">
        <v>138</v>
      </c>
      <c r="N569" s="23" t="str">
        <f t="shared" si="56"/>
        <v>Sin dato</v>
      </c>
      <c r="O569" s="23" t="str">
        <f t="shared" si="57"/>
        <v>Sin dato</v>
      </c>
      <c r="P569" s="23" t="str">
        <f t="shared" si="58"/>
        <v>Sin dato</v>
      </c>
      <c r="Q569" s="24" t="str">
        <f t="shared" si="59"/>
        <v>N/C</v>
      </c>
      <c r="R569" s="23" t="str">
        <f t="shared" si="60"/>
        <v>N/C</v>
      </c>
      <c r="S569" s="25" t="str">
        <f t="shared" si="61"/>
        <v>No utilizable</v>
      </c>
      <c r="T569" s="26" t="str">
        <f t="shared" si="62"/>
        <v/>
      </c>
      <c r="U569" s="26">
        <f>IF(OR($S569&lt;&gt;"Utilizable",$C569&lt;&gt;SUSTITUCION!$C$13),999999,IF(v_prioridad="Potasio",$H569,IF(v_prioridad="Fósforo",$I569,IF(v_prioridad="Sodio",$J569,IF(ISNUMBER($Q569),$Q569,999999)))))</f>
        <v>999999</v>
      </c>
    </row>
    <row r="570" spans="1:21" ht="15" customHeight="1">
      <c r="A570" s="21" t="s">
        <v>1302</v>
      </c>
      <c r="B570" s="21" t="s">
        <v>1303</v>
      </c>
      <c r="C570" s="21" t="s">
        <v>1274</v>
      </c>
      <c r="D570" s="21" t="s">
        <v>1275</v>
      </c>
      <c r="E570" s="21" t="s">
        <v>135</v>
      </c>
      <c r="F570" s="22">
        <v>55</v>
      </c>
      <c r="G570" s="22">
        <v>2.2999999999999998</v>
      </c>
      <c r="H570" s="22" t="s">
        <v>138</v>
      </c>
      <c r="I570" s="22" t="s">
        <v>138</v>
      </c>
      <c r="J570" s="22">
        <v>17</v>
      </c>
      <c r="K570" s="22">
        <v>55</v>
      </c>
      <c r="L570" s="22">
        <v>2.2999999999999998</v>
      </c>
      <c r="M570" s="22" t="s">
        <v>138</v>
      </c>
      <c r="N570" s="23" t="str">
        <f t="shared" si="56"/>
        <v>Sin dato</v>
      </c>
      <c r="O570" s="23" t="str">
        <f t="shared" si="57"/>
        <v>Sin dato</v>
      </c>
      <c r="P570" s="23" t="str">
        <f t="shared" si="58"/>
        <v>Bajo</v>
      </c>
      <c r="Q570" s="24" t="str">
        <f t="shared" si="59"/>
        <v>N/C</v>
      </c>
      <c r="R570" s="23" t="str">
        <f t="shared" si="60"/>
        <v>N/C</v>
      </c>
      <c r="S570" s="25" t="str">
        <f t="shared" si="61"/>
        <v>No utilizable</v>
      </c>
      <c r="T570" s="26" t="str">
        <f t="shared" si="62"/>
        <v/>
      </c>
      <c r="U570" s="26">
        <f>IF(OR($S570&lt;&gt;"Utilizable",$C570&lt;&gt;SUSTITUCION!$C$13),999999,IF(v_prioridad="Potasio",$H570,IF(v_prioridad="Fósforo",$I570,IF(v_prioridad="Sodio",$J570,IF(ISNUMBER($Q570),$Q570,999999)))))</f>
        <v>999999</v>
      </c>
    </row>
    <row r="571" spans="1:21" ht="15" customHeight="1">
      <c r="A571" s="21" t="s">
        <v>1304</v>
      </c>
      <c r="B571" s="21" t="s">
        <v>1305</v>
      </c>
      <c r="C571" s="21" t="s">
        <v>1274</v>
      </c>
      <c r="D571" s="21" t="s">
        <v>1275</v>
      </c>
      <c r="E571" s="21" t="s">
        <v>135</v>
      </c>
      <c r="F571" s="22">
        <v>226</v>
      </c>
      <c r="G571" s="22">
        <v>5.3</v>
      </c>
      <c r="H571" s="22" t="s">
        <v>138</v>
      </c>
      <c r="I571" s="22" t="s">
        <v>138</v>
      </c>
      <c r="J571" s="22" t="s">
        <v>138</v>
      </c>
      <c r="K571" s="22">
        <v>226</v>
      </c>
      <c r="L571" s="22">
        <v>5.3</v>
      </c>
      <c r="M571" s="22" t="s">
        <v>138</v>
      </c>
      <c r="N571" s="23" t="str">
        <f t="shared" si="56"/>
        <v>Sin dato</v>
      </c>
      <c r="O571" s="23" t="str">
        <f t="shared" si="57"/>
        <v>Sin dato</v>
      </c>
      <c r="P571" s="23" t="str">
        <f t="shared" si="58"/>
        <v>Sin dato</v>
      </c>
      <c r="Q571" s="24" t="str">
        <f t="shared" si="59"/>
        <v>N/C</v>
      </c>
      <c r="R571" s="23" t="str">
        <f t="shared" si="60"/>
        <v>N/C</v>
      </c>
      <c r="S571" s="25" t="str">
        <f t="shared" si="61"/>
        <v>No utilizable</v>
      </c>
      <c r="T571" s="26" t="str">
        <f t="shared" si="62"/>
        <v/>
      </c>
      <c r="U571" s="26">
        <f>IF(OR($S571&lt;&gt;"Utilizable",$C571&lt;&gt;SUSTITUCION!$C$13),999999,IF(v_prioridad="Potasio",$H571,IF(v_prioridad="Fósforo",$I571,IF(v_prioridad="Sodio",$J571,IF(ISNUMBER($Q571),$Q571,999999)))))</f>
        <v>999999</v>
      </c>
    </row>
    <row r="572" spans="1:21" ht="15" customHeight="1">
      <c r="A572" s="21" t="s">
        <v>1306</v>
      </c>
      <c r="B572" s="21" t="s">
        <v>1307</v>
      </c>
      <c r="C572" s="21" t="s">
        <v>1274</v>
      </c>
      <c r="D572" s="21" t="s">
        <v>1275</v>
      </c>
      <c r="E572" s="21" t="s">
        <v>135</v>
      </c>
      <c r="F572" s="22">
        <v>54</v>
      </c>
      <c r="G572" s="22">
        <v>2</v>
      </c>
      <c r="H572" s="22" t="s">
        <v>138</v>
      </c>
      <c r="I572" s="22" t="s">
        <v>138</v>
      </c>
      <c r="J572" s="22">
        <v>369</v>
      </c>
      <c r="K572" s="22">
        <v>54</v>
      </c>
      <c r="L572" s="22">
        <v>2</v>
      </c>
      <c r="M572" s="22" t="s">
        <v>138</v>
      </c>
      <c r="N572" s="23" t="str">
        <f t="shared" si="56"/>
        <v>Sin dato</v>
      </c>
      <c r="O572" s="23" t="str">
        <f t="shared" si="57"/>
        <v>Sin dato</v>
      </c>
      <c r="P572" s="23" t="str">
        <f t="shared" si="58"/>
        <v>Alto</v>
      </c>
      <c r="Q572" s="24" t="str">
        <f t="shared" si="59"/>
        <v>N/C</v>
      </c>
      <c r="R572" s="23" t="str">
        <f t="shared" si="60"/>
        <v>N/C</v>
      </c>
      <c r="S572" s="25" t="str">
        <f t="shared" si="61"/>
        <v>No utilizable</v>
      </c>
      <c r="T572" s="26" t="str">
        <f t="shared" si="62"/>
        <v/>
      </c>
      <c r="U572" s="26">
        <f>IF(OR($S572&lt;&gt;"Utilizable",$C572&lt;&gt;SUSTITUCION!$C$13),999999,IF(v_prioridad="Potasio",$H572,IF(v_prioridad="Fósforo",$I572,IF(v_prioridad="Sodio",$J572,IF(ISNUMBER($Q572),$Q572,999999)))))</f>
        <v>999999</v>
      </c>
    </row>
    <row r="573" spans="1:21" ht="15" customHeight="1">
      <c r="A573" s="21" t="s">
        <v>1308</v>
      </c>
      <c r="B573" s="21" t="s">
        <v>1309</v>
      </c>
      <c r="C573" s="21" t="s">
        <v>1310</v>
      </c>
      <c r="D573" s="21" t="s">
        <v>1311</v>
      </c>
      <c r="E573" s="21" t="s">
        <v>135</v>
      </c>
      <c r="F573" s="22">
        <v>400</v>
      </c>
      <c r="G573" s="22">
        <v>18</v>
      </c>
      <c r="H573" s="22" t="s">
        <v>138</v>
      </c>
      <c r="I573" s="22">
        <v>300</v>
      </c>
      <c r="J573" s="22">
        <v>540</v>
      </c>
      <c r="K573" s="22">
        <v>400</v>
      </c>
      <c r="L573" s="22">
        <v>18</v>
      </c>
      <c r="M573" s="22">
        <v>1000</v>
      </c>
      <c r="N573" s="23" t="str">
        <f t="shared" si="56"/>
        <v>Sin dato</v>
      </c>
      <c r="O573" s="23" t="str">
        <f t="shared" si="57"/>
        <v>Muy alto</v>
      </c>
      <c r="P573" s="23" t="str">
        <f t="shared" si="58"/>
        <v>Muy alto</v>
      </c>
      <c r="Q573" s="24">
        <f t="shared" si="59"/>
        <v>16.666666666666668</v>
      </c>
      <c r="R573" s="23" t="str">
        <f t="shared" si="60"/>
        <v>Alta</v>
      </c>
      <c r="S573" s="25" t="str">
        <f t="shared" si="61"/>
        <v>No utilizable</v>
      </c>
      <c r="T573" s="26" t="str">
        <f t="shared" si="62"/>
        <v/>
      </c>
      <c r="U573" s="26">
        <f>IF(OR($S573&lt;&gt;"Utilizable",$C573&lt;&gt;SUSTITUCION!$C$13),999999,IF(v_prioridad="Potasio",$H573,IF(v_prioridad="Fósforo",$I573,IF(v_prioridad="Sodio",$J573,IF(ISNUMBER($Q573),$Q573,999999)))))</f>
        <v>999999</v>
      </c>
    </row>
    <row r="574" spans="1:21" ht="15" customHeight="1">
      <c r="A574" s="21" t="s">
        <v>1312</v>
      </c>
      <c r="B574" s="21" t="s">
        <v>1313</v>
      </c>
      <c r="C574" s="21" t="s">
        <v>1310</v>
      </c>
      <c r="D574" s="21" t="s">
        <v>1311</v>
      </c>
      <c r="E574" s="21" t="s">
        <v>135</v>
      </c>
      <c r="F574" s="22">
        <v>400</v>
      </c>
      <c r="G574" s="22">
        <v>13</v>
      </c>
      <c r="H574" s="22" t="s">
        <v>138</v>
      </c>
      <c r="I574" s="22">
        <v>400</v>
      </c>
      <c r="J574" s="22">
        <v>247</v>
      </c>
      <c r="K574" s="22">
        <v>400</v>
      </c>
      <c r="L574" s="22">
        <v>13</v>
      </c>
      <c r="M574" s="22">
        <v>400</v>
      </c>
      <c r="N574" s="23" t="str">
        <f t="shared" si="56"/>
        <v>Sin dato</v>
      </c>
      <c r="O574" s="23" t="str">
        <f t="shared" si="57"/>
        <v>Muy alto</v>
      </c>
      <c r="P574" s="23" t="str">
        <f t="shared" si="58"/>
        <v>Alto</v>
      </c>
      <c r="Q574" s="24">
        <f t="shared" si="59"/>
        <v>30.76923076923077</v>
      </c>
      <c r="R574" s="23" t="str">
        <f t="shared" si="60"/>
        <v>Alta</v>
      </c>
      <c r="S574" s="25" t="str">
        <f t="shared" si="61"/>
        <v>No utilizable</v>
      </c>
      <c r="T574" s="26" t="str">
        <f t="shared" si="62"/>
        <v/>
      </c>
      <c r="U574" s="26">
        <f>IF(OR($S574&lt;&gt;"Utilizable",$C574&lt;&gt;SUSTITUCION!$C$13),999999,IF(v_prioridad="Potasio",$H574,IF(v_prioridad="Fósforo",$I574,IF(v_prioridad="Sodio",$J574,IF(ISNUMBER($Q574),$Q574,999999)))))</f>
        <v>999999</v>
      </c>
    </row>
    <row r="575" spans="1:21" ht="15" customHeight="1">
      <c r="A575" s="21" t="s">
        <v>1314</v>
      </c>
      <c r="B575" s="21" t="s">
        <v>1315</v>
      </c>
      <c r="C575" s="21" t="s">
        <v>1310</v>
      </c>
      <c r="D575" s="21" t="s">
        <v>1311</v>
      </c>
      <c r="E575" s="21" t="s">
        <v>135</v>
      </c>
      <c r="F575" s="22">
        <v>400</v>
      </c>
      <c r="G575" s="22">
        <v>13</v>
      </c>
      <c r="H575" s="22" t="s">
        <v>138</v>
      </c>
      <c r="I575" s="22">
        <v>400</v>
      </c>
      <c r="J575" s="22">
        <v>197</v>
      </c>
      <c r="K575" s="22">
        <v>400</v>
      </c>
      <c r="L575" s="22">
        <v>13</v>
      </c>
      <c r="M575" s="22">
        <v>400</v>
      </c>
      <c r="N575" s="23" t="str">
        <f t="shared" si="56"/>
        <v>Sin dato</v>
      </c>
      <c r="O575" s="23" t="str">
        <f t="shared" si="57"/>
        <v>Muy alto</v>
      </c>
      <c r="P575" s="23" t="str">
        <f t="shared" si="58"/>
        <v>Alto</v>
      </c>
      <c r="Q575" s="24">
        <f t="shared" si="59"/>
        <v>30.76923076923077</v>
      </c>
      <c r="R575" s="23" t="str">
        <f t="shared" si="60"/>
        <v>Alta</v>
      </c>
      <c r="S575" s="25" t="str">
        <f t="shared" si="61"/>
        <v>No utilizable</v>
      </c>
      <c r="T575" s="26" t="str">
        <f t="shared" si="62"/>
        <v/>
      </c>
      <c r="U575" s="26">
        <f>IF(OR($S575&lt;&gt;"Utilizable",$C575&lt;&gt;SUSTITUCION!$C$13),999999,IF(v_prioridad="Potasio",$H575,IF(v_prioridad="Fósforo",$I575,IF(v_prioridad="Sodio",$J575,IF(ISNUMBER($Q575),$Q575,999999)))))</f>
        <v>999999</v>
      </c>
    </row>
    <row r="576" spans="1:21" ht="15" customHeight="1">
      <c r="A576" s="21" t="s">
        <v>1316</v>
      </c>
      <c r="B576" s="21" t="s">
        <v>1317</v>
      </c>
      <c r="C576" s="21" t="s">
        <v>1310</v>
      </c>
      <c r="D576" s="21" t="s">
        <v>1311</v>
      </c>
      <c r="E576" s="21" t="s">
        <v>135</v>
      </c>
      <c r="F576" s="22">
        <v>400</v>
      </c>
      <c r="G576" s="22">
        <v>13</v>
      </c>
      <c r="H576" s="22" t="s">
        <v>138</v>
      </c>
      <c r="I576" s="22">
        <v>400</v>
      </c>
      <c r="J576" s="22">
        <v>240</v>
      </c>
      <c r="K576" s="22">
        <v>400</v>
      </c>
      <c r="L576" s="22">
        <v>13</v>
      </c>
      <c r="M576" s="22">
        <v>400</v>
      </c>
      <c r="N576" s="23" t="str">
        <f t="shared" si="56"/>
        <v>Sin dato</v>
      </c>
      <c r="O576" s="23" t="str">
        <f t="shared" si="57"/>
        <v>Muy alto</v>
      </c>
      <c r="P576" s="23" t="str">
        <f t="shared" si="58"/>
        <v>Alto</v>
      </c>
      <c r="Q576" s="24">
        <f t="shared" si="59"/>
        <v>30.76923076923077</v>
      </c>
      <c r="R576" s="23" t="str">
        <f t="shared" si="60"/>
        <v>Alta</v>
      </c>
      <c r="S576" s="25" t="str">
        <f t="shared" si="61"/>
        <v>No utilizable</v>
      </c>
      <c r="T576" s="26" t="str">
        <f t="shared" si="62"/>
        <v/>
      </c>
      <c r="U576" s="26">
        <f>IF(OR($S576&lt;&gt;"Utilizable",$C576&lt;&gt;SUSTITUCION!$C$13),999999,IF(v_prioridad="Potasio",$H576,IF(v_prioridad="Fósforo",$I576,IF(v_prioridad="Sodio",$J576,IF(ISNUMBER($Q576),$Q576,999999)))))</f>
        <v>999999</v>
      </c>
    </row>
    <row r="577" spans="1:21" ht="15" customHeight="1">
      <c r="A577" s="21" t="s">
        <v>1318</v>
      </c>
      <c r="B577" s="21" t="s">
        <v>1319</v>
      </c>
      <c r="C577" s="21" t="s">
        <v>1310</v>
      </c>
      <c r="D577" s="21" t="s">
        <v>1311</v>
      </c>
      <c r="E577" s="21" t="s">
        <v>135</v>
      </c>
      <c r="F577" s="22">
        <v>400</v>
      </c>
      <c r="G577" s="22">
        <v>13</v>
      </c>
      <c r="H577" s="22" t="s">
        <v>138</v>
      </c>
      <c r="I577" s="22">
        <v>400</v>
      </c>
      <c r="J577" s="22">
        <v>241</v>
      </c>
      <c r="K577" s="22">
        <v>400</v>
      </c>
      <c r="L577" s="22">
        <v>13</v>
      </c>
      <c r="M577" s="22">
        <v>400</v>
      </c>
      <c r="N577" s="23" t="str">
        <f t="shared" si="56"/>
        <v>Sin dato</v>
      </c>
      <c r="O577" s="23" t="str">
        <f t="shared" si="57"/>
        <v>Muy alto</v>
      </c>
      <c r="P577" s="23" t="str">
        <f t="shared" si="58"/>
        <v>Alto</v>
      </c>
      <c r="Q577" s="24">
        <f t="shared" si="59"/>
        <v>30.76923076923077</v>
      </c>
      <c r="R577" s="23" t="str">
        <f t="shared" si="60"/>
        <v>Alta</v>
      </c>
      <c r="S577" s="25" t="str">
        <f t="shared" si="61"/>
        <v>No utilizable</v>
      </c>
      <c r="T577" s="26" t="str">
        <f t="shared" si="62"/>
        <v/>
      </c>
      <c r="U577" s="26">
        <f>IF(OR($S577&lt;&gt;"Utilizable",$C577&lt;&gt;SUSTITUCION!$C$13),999999,IF(v_prioridad="Potasio",$H577,IF(v_prioridad="Fósforo",$I577,IF(v_prioridad="Sodio",$J577,IF(ISNUMBER($Q577),$Q577,999999)))))</f>
        <v>999999</v>
      </c>
    </row>
    <row r="578" spans="1:21" ht="15" customHeight="1">
      <c r="A578" s="21" t="s">
        <v>1320</v>
      </c>
      <c r="B578" s="21" t="s">
        <v>1321</v>
      </c>
      <c r="C578" s="21" t="s">
        <v>1310</v>
      </c>
      <c r="D578" s="21" t="s">
        <v>1311</v>
      </c>
      <c r="E578" s="21" t="s">
        <v>135</v>
      </c>
      <c r="F578" s="22">
        <v>510</v>
      </c>
      <c r="G578" s="22">
        <v>7.5</v>
      </c>
      <c r="H578" s="22">
        <v>760</v>
      </c>
      <c r="I578" s="22">
        <v>455</v>
      </c>
      <c r="J578" s="22">
        <v>215</v>
      </c>
      <c r="K578" s="22">
        <v>510</v>
      </c>
      <c r="L578" s="22">
        <v>7.5</v>
      </c>
      <c r="M578" s="22">
        <v>650</v>
      </c>
      <c r="N578" s="23" t="str">
        <f t="shared" si="56"/>
        <v>Muy alto</v>
      </c>
      <c r="O578" s="23" t="str">
        <f t="shared" si="57"/>
        <v>Muy alto</v>
      </c>
      <c r="P578" s="23" t="str">
        <f t="shared" si="58"/>
        <v>Alto</v>
      </c>
      <c r="Q578" s="24" t="str">
        <f t="shared" si="59"/>
        <v>N/C: no es fuente proteica</v>
      </c>
      <c r="R578" s="23" t="str">
        <f t="shared" si="60"/>
        <v>N/C</v>
      </c>
      <c r="S578" s="25" t="str">
        <f t="shared" si="61"/>
        <v>Utilizable</v>
      </c>
      <c r="T578" s="26" t="str">
        <f t="shared" si="62"/>
        <v>Alimentos con formulaciones Especiales|00.000.760</v>
      </c>
      <c r="U578" s="26">
        <f>IF(OR($S578&lt;&gt;"Utilizable",$C578&lt;&gt;SUSTITUCION!$C$13),999999,IF(v_prioridad="Potasio",$H578,IF(v_prioridad="Fósforo",$I578,IF(v_prioridad="Sodio",$J578,IF(ISNUMBER($Q578),$Q578,999999)))))</f>
        <v>999999</v>
      </c>
    </row>
    <row r="579" spans="1:21" ht="15" customHeight="1">
      <c r="A579" s="21" t="s">
        <v>1322</v>
      </c>
      <c r="B579" s="21" t="s">
        <v>1323</v>
      </c>
      <c r="C579" s="21" t="s">
        <v>1310</v>
      </c>
      <c r="D579" s="21" t="s">
        <v>1311</v>
      </c>
      <c r="E579" s="21" t="s">
        <v>135</v>
      </c>
      <c r="F579" s="22">
        <v>440</v>
      </c>
      <c r="G579" s="22">
        <v>15</v>
      </c>
      <c r="H579" s="22">
        <v>1800</v>
      </c>
      <c r="I579" s="22">
        <v>1020</v>
      </c>
      <c r="J579" s="22">
        <v>1175</v>
      </c>
      <c r="K579" s="22">
        <v>440</v>
      </c>
      <c r="L579" s="22">
        <v>15</v>
      </c>
      <c r="M579" s="22">
        <v>1150</v>
      </c>
      <c r="N579" s="23" t="str">
        <f t="shared" si="56"/>
        <v>Muy alto</v>
      </c>
      <c r="O579" s="23" t="str">
        <f t="shared" si="57"/>
        <v>Muy alto</v>
      </c>
      <c r="P579" s="23" t="str">
        <f t="shared" si="58"/>
        <v>Muy alto</v>
      </c>
      <c r="Q579" s="24">
        <f t="shared" si="59"/>
        <v>68</v>
      </c>
      <c r="R579" s="23" t="str">
        <f t="shared" si="60"/>
        <v>Alta</v>
      </c>
      <c r="S579" s="25" t="str">
        <f t="shared" si="61"/>
        <v>Utilizable</v>
      </c>
      <c r="T579" s="26" t="str">
        <f t="shared" si="62"/>
        <v>Alimentos con formulaciones Especiales|00.001.800</v>
      </c>
      <c r="U579" s="26">
        <f>IF(OR($S579&lt;&gt;"Utilizable",$C579&lt;&gt;SUSTITUCION!$C$13),999999,IF(v_prioridad="Potasio",$H579,IF(v_prioridad="Fósforo",$I579,IF(v_prioridad="Sodio",$J579,IF(ISNUMBER($Q579),$Q579,999999)))))</f>
        <v>999999</v>
      </c>
    </row>
    <row r="580" spans="1:21" ht="15" customHeight="1">
      <c r="A580" s="21" t="s">
        <v>1324</v>
      </c>
      <c r="B580" s="21" t="s">
        <v>1325</v>
      </c>
      <c r="C580" s="21" t="s">
        <v>1310</v>
      </c>
      <c r="D580" s="21" t="s">
        <v>1311</v>
      </c>
      <c r="E580" s="21" t="s">
        <v>135</v>
      </c>
      <c r="F580" s="22">
        <v>360</v>
      </c>
      <c r="G580" s="22">
        <v>25</v>
      </c>
      <c r="H580" s="22">
        <v>10</v>
      </c>
      <c r="I580" s="22">
        <v>5</v>
      </c>
      <c r="J580" s="22">
        <v>10</v>
      </c>
      <c r="K580" s="22">
        <v>360</v>
      </c>
      <c r="L580" s="22">
        <v>25</v>
      </c>
      <c r="M580" s="22">
        <v>5</v>
      </c>
      <c r="N580" s="23" t="str">
        <f t="shared" si="56"/>
        <v>Bajo</v>
      </c>
      <c r="O580" s="23" t="str">
        <f t="shared" si="57"/>
        <v>Bajo</v>
      </c>
      <c r="P580" s="23" t="str">
        <f t="shared" si="58"/>
        <v>Bajo</v>
      </c>
      <c r="Q580" s="24">
        <f t="shared" si="59"/>
        <v>0.2</v>
      </c>
      <c r="R580" s="23" t="str">
        <f t="shared" si="60"/>
        <v>Deseable</v>
      </c>
      <c r="S580" s="25" t="str">
        <f t="shared" si="61"/>
        <v>Utilizable</v>
      </c>
      <c r="T580" s="26" t="str">
        <f t="shared" si="62"/>
        <v>Alimentos con formulaciones Especiales|00.000.010</v>
      </c>
      <c r="U580" s="26">
        <f>IF(OR($S580&lt;&gt;"Utilizable",$C580&lt;&gt;SUSTITUCION!$C$13),999999,IF(v_prioridad="Potasio",$H580,IF(v_prioridad="Fósforo",$I580,IF(v_prioridad="Sodio",$J580,IF(ISNUMBER($Q580),$Q580,999999)))))</f>
        <v>999999</v>
      </c>
    </row>
    <row r="581" spans="1:21" ht="15" customHeight="1">
      <c r="A581" s="21" t="s">
        <v>1326</v>
      </c>
      <c r="B581" s="21" t="s">
        <v>1327</v>
      </c>
      <c r="C581" s="21" t="s">
        <v>1310</v>
      </c>
      <c r="D581" s="21" t="s">
        <v>1311</v>
      </c>
      <c r="E581" s="21" t="s">
        <v>135</v>
      </c>
      <c r="F581" s="22">
        <v>316</v>
      </c>
      <c r="G581" s="22">
        <v>79</v>
      </c>
      <c r="H581" s="22" t="s">
        <v>138</v>
      </c>
      <c r="I581" s="22" t="s">
        <v>138</v>
      </c>
      <c r="J581" s="22" t="s">
        <v>138</v>
      </c>
      <c r="K581" s="22">
        <v>316</v>
      </c>
      <c r="L581" s="22">
        <v>79</v>
      </c>
      <c r="M581" s="22" t="s">
        <v>138</v>
      </c>
      <c r="N581" s="23" t="str">
        <f t="shared" si="56"/>
        <v>Sin dato</v>
      </c>
      <c r="O581" s="23" t="str">
        <f t="shared" si="57"/>
        <v>Sin dato</v>
      </c>
      <c r="P581" s="23" t="str">
        <f t="shared" si="58"/>
        <v>Sin dato</v>
      </c>
      <c r="Q581" s="24" t="str">
        <f t="shared" si="59"/>
        <v>N/C</v>
      </c>
      <c r="R581" s="23" t="str">
        <f t="shared" si="60"/>
        <v>N/C</v>
      </c>
      <c r="S581" s="25" t="str">
        <f t="shared" si="61"/>
        <v>No utilizable</v>
      </c>
      <c r="T581" s="26" t="str">
        <f t="shared" si="62"/>
        <v/>
      </c>
      <c r="U581" s="26">
        <f>IF(OR($S581&lt;&gt;"Utilizable",$C581&lt;&gt;SUSTITUCION!$C$13),999999,IF(v_prioridad="Potasio",$H581,IF(v_prioridad="Fósforo",$I581,IF(v_prioridad="Sodio",$J581,IF(ISNUMBER($Q581),$Q581,999999)))))</f>
        <v>999999</v>
      </c>
    </row>
    <row r="582" spans="1:21" ht="15" customHeight="1">
      <c r="A582" s="21" t="s">
        <v>1328</v>
      </c>
      <c r="B582" s="21" t="s">
        <v>1329</v>
      </c>
      <c r="C582" s="21" t="s">
        <v>1310</v>
      </c>
      <c r="D582" s="21" t="s">
        <v>1311</v>
      </c>
      <c r="E582" s="21" t="s">
        <v>135</v>
      </c>
      <c r="F582" s="22">
        <v>466</v>
      </c>
      <c r="G582" s="22">
        <v>13.1</v>
      </c>
      <c r="H582" s="22">
        <v>501</v>
      </c>
      <c r="I582" s="22">
        <v>300</v>
      </c>
      <c r="J582" s="22">
        <v>191</v>
      </c>
      <c r="K582" s="22">
        <v>466</v>
      </c>
      <c r="L582" s="22">
        <v>13.1</v>
      </c>
      <c r="M582" s="22">
        <v>410</v>
      </c>
      <c r="N582" s="23" t="str">
        <f t="shared" si="56"/>
        <v>Muy alto</v>
      </c>
      <c r="O582" s="23" t="str">
        <f t="shared" si="57"/>
        <v>Muy alto</v>
      </c>
      <c r="P582" s="23" t="str">
        <f t="shared" si="58"/>
        <v>Alto</v>
      </c>
      <c r="Q582" s="24">
        <f t="shared" si="59"/>
        <v>22.900763358778626</v>
      </c>
      <c r="R582" s="23" t="str">
        <f t="shared" si="60"/>
        <v>Alta</v>
      </c>
      <c r="S582" s="25" t="str">
        <f t="shared" si="61"/>
        <v>Utilizable</v>
      </c>
      <c r="T582" s="26" t="str">
        <f t="shared" si="62"/>
        <v>Alimentos con formulaciones Especiales|00.000.501</v>
      </c>
      <c r="U582" s="26">
        <f>IF(OR($S582&lt;&gt;"Utilizable",$C582&lt;&gt;SUSTITUCION!$C$13),999999,IF(v_prioridad="Potasio",$H582,IF(v_prioridad="Fósforo",$I582,IF(v_prioridad="Sodio",$J582,IF(ISNUMBER($Q582),$Q582,999999)))))</f>
        <v>999999</v>
      </c>
    </row>
    <row r="583" spans="1:21" ht="15" customHeight="1">
      <c r="A583" s="21" t="s">
        <v>1330</v>
      </c>
      <c r="B583" s="21" t="s">
        <v>1331</v>
      </c>
      <c r="C583" s="21" t="s">
        <v>1310</v>
      </c>
      <c r="D583" s="21" t="s">
        <v>1311</v>
      </c>
      <c r="E583" s="21" t="s">
        <v>135</v>
      </c>
      <c r="F583" s="22">
        <v>480</v>
      </c>
      <c r="G583" s="22">
        <v>15</v>
      </c>
      <c r="H583" s="22">
        <v>675</v>
      </c>
      <c r="I583" s="22">
        <v>400</v>
      </c>
      <c r="J583" s="22">
        <v>190</v>
      </c>
      <c r="K583" s="22">
        <v>480</v>
      </c>
      <c r="L583" s="22">
        <v>15</v>
      </c>
      <c r="M583" s="22">
        <v>575</v>
      </c>
      <c r="N583" s="23" t="str">
        <f t="shared" si="56"/>
        <v>Muy alto</v>
      </c>
      <c r="O583" s="23" t="str">
        <f t="shared" si="57"/>
        <v>Muy alto</v>
      </c>
      <c r="P583" s="23" t="str">
        <f t="shared" si="58"/>
        <v>Alto</v>
      </c>
      <c r="Q583" s="24">
        <f t="shared" si="59"/>
        <v>26.666666666666668</v>
      </c>
      <c r="R583" s="23" t="str">
        <f t="shared" si="60"/>
        <v>Alta</v>
      </c>
      <c r="S583" s="25" t="str">
        <f t="shared" si="61"/>
        <v>Utilizable</v>
      </c>
      <c r="T583" s="26" t="str">
        <f t="shared" si="62"/>
        <v>Alimentos con formulaciones Especiales|00.000.675</v>
      </c>
      <c r="U583" s="26">
        <f>IF(OR($S583&lt;&gt;"Utilizable",$C583&lt;&gt;SUSTITUCION!$C$13),999999,IF(v_prioridad="Potasio",$H583,IF(v_prioridad="Fósforo",$I583,IF(v_prioridad="Sodio",$J583,IF(ISNUMBER($Q583),$Q583,999999)))))</f>
        <v>999999</v>
      </c>
    </row>
    <row r="584" spans="1:21" ht="15" customHeight="1">
      <c r="A584" s="21" t="s">
        <v>1332</v>
      </c>
      <c r="B584" s="21" t="s">
        <v>1333</v>
      </c>
      <c r="C584" s="21" t="s">
        <v>1310</v>
      </c>
      <c r="D584" s="21" t="s">
        <v>1311</v>
      </c>
      <c r="E584" s="21" t="s">
        <v>135</v>
      </c>
      <c r="F584" s="22">
        <v>410</v>
      </c>
      <c r="G584" s="22">
        <v>30</v>
      </c>
      <c r="H584" s="22">
        <v>1370</v>
      </c>
      <c r="I584" s="22">
        <v>760</v>
      </c>
      <c r="J584" s="22">
        <v>880</v>
      </c>
      <c r="K584" s="22">
        <v>410</v>
      </c>
      <c r="L584" s="22">
        <v>30</v>
      </c>
      <c r="M584" s="22">
        <v>880</v>
      </c>
      <c r="N584" s="23" t="str">
        <f t="shared" si="56"/>
        <v>Muy alto</v>
      </c>
      <c r="O584" s="23" t="str">
        <f t="shared" si="57"/>
        <v>Muy alto</v>
      </c>
      <c r="P584" s="23" t="str">
        <f t="shared" si="58"/>
        <v>Muy alto</v>
      </c>
      <c r="Q584" s="24">
        <f t="shared" si="59"/>
        <v>25.333333333333332</v>
      </c>
      <c r="R584" s="23" t="str">
        <f t="shared" si="60"/>
        <v>Alta</v>
      </c>
      <c r="S584" s="25" t="str">
        <f t="shared" si="61"/>
        <v>Utilizable</v>
      </c>
      <c r="T584" s="26" t="str">
        <f t="shared" si="62"/>
        <v>Alimentos con formulaciones Especiales|00.001.370</v>
      </c>
      <c r="U584" s="26">
        <f>IF(OR($S584&lt;&gt;"Utilizable",$C584&lt;&gt;SUSTITUCION!$C$13),999999,IF(v_prioridad="Potasio",$H584,IF(v_prioridad="Fósforo",$I584,IF(v_prioridad="Sodio",$J584,IF(ISNUMBER($Q584),$Q584,999999)))))</f>
        <v>999999</v>
      </c>
    </row>
    <row r="585" spans="1:21" ht="15" customHeight="1">
      <c r="A585" s="21" t="s">
        <v>1334</v>
      </c>
      <c r="B585" s="21" t="s">
        <v>1335</v>
      </c>
      <c r="C585" s="21" t="s">
        <v>1310</v>
      </c>
      <c r="D585" s="21" t="s">
        <v>1311</v>
      </c>
      <c r="E585" s="21" t="s">
        <v>135</v>
      </c>
      <c r="F585" s="22">
        <v>457</v>
      </c>
      <c r="G585" s="22">
        <v>13.1</v>
      </c>
      <c r="H585" s="22">
        <v>501</v>
      </c>
      <c r="I585" s="22">
        <v>300</v>
      </c>
      <c r="J585" s="22">
        <v>191</v>
      </c>
      <c r="K585" s="22">
        <v>457</v>
      </c>
      <c r="L585" s="22">
        <v>13.1</v>
      </c>
      <c r="M585" s="22">
        <v>410</v>
      </c>
      <c r="N585" s="23" t="str">
        <f t="shared" ref="N585:N626" si="63">IF(NOT(ISNUMBER(H585)),"Sin dato",IF(H585&lt;=INDEX(rng_umbrales,1,2),"Bajo",IF(H585&lt;=INDEX(rng_umbrales,1,3),"Medio",IF(H585&lt;=INDEX(rng_umbrales,1,4),"Alto","Muy alto"))))</f>
        <v>Muy alto</v>
      </c>
      <c r="O585" s="23" t="str">
        <f t="shared" ref="O585:O626" si="64">IF(NOT(ISNUMBER(I585)),"Sin dato",IF(I585&lt;=INDEX(rng_umbrales,2,2),"Bajo",IF(I585&lt;=INDEX(rng_umbrales,2,3),"Medio",IF(I585&lt;=INDEX(rng_umbrales,2,4),"Alto","Muy alto"))))</f>
        <v>Muy alto</v>
      </c>
      <c r="P585" s="23" t="str">
        <f t="shared" ref="P585:P626" si="65">IF(NOT(ISNUMBER(J585)),"Sin dato",IF(J585&lt;=INDEX(rng_umbrales,3,2),"Bajo",IF(J585&lt;=INDEX(rng_umbrales,3,3),"Medio",IF(J585&lt;=INDEX(rng_umbrales,3,4),"Alto","Muy alto"))))</f>
        <v>Alto</v>
      </c>
      <c r="Q585" s="24">
        <f t="shared" ref="Q585:Q626" si="66">IF(OR(NOT(ISNUMBER(G585)),NOT(ISNUMBER(I585))),"N/C",IF(G585&lt;u_protMin,"N/C: no es fuente proteica",I585/G585))</f>
        <v>22.900763358778626</v>
      </c>
      <c r="R585" s="23" t="str">
        <f t="shared" ref="R585:R648" si="67">IF(NOT(ISNUMBER(Q585)),"N/C",IF(Q585&lt;=u_ppDes,"Deseable",IF(Q585&lt;=u_ppAcep,"Aceptable","Alta")))</f>
        <v>Alta</v>
      </c>
      <c r="S585" s="25" t="str">
        <f t="shared" ref="S585:S626" si="68">IF(COUNT(F585:J585)=k_cobMin,"Utilizable","No utilizable")</f>
        <v>Utilizable</v>
      </c>
      <c r="T585" s="26" t="str">
        <f t="shared" ref="T585:T648" si="69">IF(S585&lt;&gt;"Utilizable","",C585&amp;"|"&amp;TEXT(IF(v_prioridad="Potasio",H585,IF(v_prioridad="Fósforo",I585,IF(v_prioridad="Sodio",J585,IF(ISNUMBER(Q585),Q585,99999)))),"000000.00"))</f>
        <v>Alimentos con formulaciones Especiales|00.000.501</v>
      </c>
      <c r="U585" s="26">
        <f>IF(OR($S585&lt;&gt;"Utilizable",$C585&lt;&gt;SUSTITUCION!$C$13),999999,IF(v_prioridad="Potasio",$H585,IF(v_prioridad="Fósforo",$I585,IF(v_prioridad="Sodio",$J585,IF(ISNUMBER($Q585),$Q585,999999)))))</f>
        <v>999999</v>
      </c>
    </row>
    <row r="586" spans="1:21" ht="15" customHeight="1">
      <c r="A586" s="21" t="s">
        <v>1336</v>
      </c>
      <c r="B586" s="21" t="s">
        <v>1337</v>
      </c>
      <c r="C586" s="21" t="s">
        <v>1310</v>
      </c>
      <c r="D586" s="21" t="s">
        <v>1311</v>
      </c>
      <c r="E586" s="21" t="s">
        <v>135</v>
      </c>
      <c r="F586" s="22">
        <v>480</v>
      </c>
      <c r="G586" s="22">
        <v>15</v>
      </c>
      <c r="H586" s="22">
        <v>770</v>
      </c>
      <c r="I586" s="22">
        <v>459</v>
      </c>
      <c r="J586" s="22">
        <v>226</v>
      </c>
      <c r="K586" s="22">
        <v>480</v>
      </c>
      <c r="L586" s="22">
        <v>15</v>
      </c>
      <c r="M586" s="22">
        <v>696</v>
      </c>
      <c r="N586" s="23" t="str">
        <f t="shared" si="63"/>
        <v>Muy alto</v>
      </c>
      <c r="O586" s="23" t="str">
        <f t="shared" si="64"/>
        <v>Muy alto</v>
      </c>
      <c r="P586" s="23" t="str">
        <f t="shared" si="65"/>
        <v>Alto</v>
      </c>
      <c r="Q586" s="24">
        <f t="shared" si="66"/>
        <v>30.6</v>
      </c>
      <c r="R586" s="23" t="str">
        <f t="shared" si="67"/>
        <v>Alta</v>
      </c>
      <c r="S586" s="25" t="str">
        <f t="shared" si="68"/>
        <v>Utilizable</v>
      </c>
      <c r="T586" s="26" t="str">
        <f t="shared" si="69"/>
        <v>Alimentos con formulaciones Especiales|00.000.770</v>
      </c>
      <c r="U586" s="26">
        <f>IF(OR($S586&lt;&gt;"Utilizable",$C586&lt;&gt;SUSTITUCION!$C$13),999999,IF(v_prioridad="Potasio",$H586,IF(v_prioridad="Fósforo",$I586,IF(v_prioridad="Sodio",$J586,IF(ISNUMBER($Q586),$Q586,999999)))))</f>
        <v>999999</v>
      </c>
    </row>
    <row r="587" spans="1:21" ht="15" customHeight="1">
      <c r="A587" s="21" t="s">
        <v>1338</v>
      </c>
      <c r="B587" s="21" t="s">
        <v>1339</v>
      </c>
      <c r="C587" s="21" t="s">
        <v>1310</v>
      </c>
      <c r="D587" s="21" t="s">
        <v>1311</v>
      </c>
      <c r="E587" s="21" t="s">
        <v>135</v>
      </c>
      <c r="F587" s="22">
        <v>410</v>
      </c>
      <c r="G587" s="22">
        <v>30</v>
      </c>
      <c r="H587" s="22">
        <v>50</v>
      </c>
      <c r="I587" s="22">
        <v>947</v>
      </c>
      <c r="J587" s="22">
        <v>58</v>
      </c>
      <c r="K587" s="22">
        <v>410</v>
      </c>
      <c r="L587" s="22">
        <v>30</v>
      </c>
      <c r="M587" s="22">
        <v>1126</v>
      </c>
      <c r="N587" s="23" t="str">
        <f t="shared" si="63"/>
        <v>Bajo</v>
      </c>
      <c r="O587" s="23" t="str">
        <f t="shared" si="64"/>
        <v>Muy alto</v>
      </c>
      <c r="P587" s="23" t="str">
        <f t="shared" si="65"/>
        <v>Medio</v>
      </c>
      <c r="Q587" s="24">
        <f t="shared" si="66"/>
        <v>31.566666666666666</v>
      </c>
      <c r="R587" s="23" t="str">
        <f t="shared" si="67"/>
        <v>Alta</v>
      </c>
      <c r="S587" s="25" t="str">
        <f t="shared" si="68"/>
        <v>Utilizable</v>
      </c>
      <c r="T587" s="26" t="str">
        <f t="shared" si="69"/>
        <v>Alimentos con formulaciones Especiales|00.000.050</v>
      </c>
      <c r="U587" s="26">
        <f>IF(OR($S587&lt;&gt;"Utilizable",$C587&lt;&gt;SUSTITUCION!$C$13),999999,IF(v_prioridad="Potasio",$H587,IF(v_prioridad="Fósforo",$I587,IF(v_prioridad="Sodio",$J587,IF(ISNUMBER($Q587),$Q587,999999)))))</f>
        <v>999999</v>
      </c>
    </row>
    <row r="588" spans="1:21" ht="15" customHeight="1">
      <c r="A588" s="21" t="s">
        <v>1340</v>
      </c>
      <c r="B588" s="21" t="s">
        <v>1341</v>
      </c>
      <c r="C588" s="21" t="s">
        <v>1310</v>
      </c>
      <c r="D588" s="21" t="s">
        <v>1311</v>
      </c>
      <c r="E588" s="21" t="s">
        <v>135</v>
      </c>
      <c r="F588" s="22">
        <v>490</v>
      </c>
      <c r="G588" s="22">
        <v>16</v>
      </c>
      <c r="H588" s="22" t="s">
        <v>138</v>
      </c>
      <c r="I588" s="22">
        <v>375</v>
      </c>
      <c r="J588" s="22">
        <v>246</v>
      </c>
      <c r="K588" s="22">
        <v>490</v>
      </c>
      <c r="L588" s="22">
        <v>16</v>
      </c>
      <c r="M588" s="22">
        <v>559</v>
      </c>
      <c r="N588" s="23" t="str">
        <f t="shared" si="63"/>
        <v>Sin dato</v>
      </c>
      <c r="O588" s="23" t="str">
        <f t="shared" si="64"/>
        <v>Muy alto</v>
      </c>
      <c r="P588" s="23" t="str">
        <f t="shared" si="65"/>
        <v>Alto</v>
      </c>
      <c r="Q588" s="24">
        <f t="shared" si="66"/>
        <v>23.4375</v>
      </c>
      <c r="R588" s="23" t="str">
        <f t="shared" si="67"/>
        <v>Alta</v>
      </c>
      <c r="S588" s="25" t="str">
        <f t="shared" si="68"/>
        <v>No utilizable</v>
      </c>
      <c r="T588" s="26" t="str">
        <f t="shared" si="69"/>
        <v/>
      </c>
      <c r="U588" s="26">
        <f>IF(OR($S588&lt;&gt;"Utilizable",$C588&lt;&gt;SUSTITUCION!$C$13),999999,IF(v_prioridad="Potasio",$H588,IF(v_prioridad="Fósforo",$I588,IF(v_prioridad="Sodio",$J588,IF(ISNUMBER($Q588),$Q588,999999)))))</f>
        <v>999999</v>
      </c>
    </row>
    <row r="589" spans="1:21" ht="15" customHeight="1">
      <c r="A589" s="21" t="s">
        <v>1342</v>
      </c>
      <c r="B589" s="21" t="s">
        <v>1343</v>
      </c>
      <c r="C589" s="21" t="s">
        <v>1310</v>
      </c>
      <c r="D589" s="21" t="s">
        <v>1311</v>
      </c>
      <c r="E589" s="21" t="s">
        <v>135</v>
      </c>
      <c r="F589" s="22">
        <v>524</v>
      </c>
      <c r="G589" s="22">
        <v>14</v>
      </c>
      <c r="H589" s="22">
        <v>504</v>
      </c>
      <c r="I589" s="22">
        <v>300</v>
      </c>
      <c r="J589" s="22">
        <v>193</v>
      </c>
      <c r="K589" s="22">
        <v>524</v>
      </c>
      <c r="L589" s="22">
        <v>14</v>
      </c>
      <c r="M589" s="22">
        <v>521</v>
      </c>
      <c r="N589" s="23" t="str">
        <f t="shared" si="63"/>
        <v>Muy alto</v>
      </c>
      <c r="O589" s="23" t="str">
        <f t="shared" si="64"/>
        <v>Muy alto</v>
      </c>
      <c r="P589" s="23" t="str">
        <f t="shared" si="65"/>
        <v>Alto</v>
      </c>
      <c r="Q589" s="24">
        <f t="shared" si="66"/>
        <v>21.428571428571427</v>
      </c>
      <c r="R589" s="23" t="str">
        <f t="shared" si="67"/>
        <v>Alta</v>
      </c>
      <c r="S589" s="25" t="str">
        <f t="shared" si="68"/>
        <v>Utilizable</v>
      </c>
      <c r="T589" s="26" t="str">
        <f t="shared" si="69"/>
        <v>Alimentos con formulaciones Especiales|00.000.504</v>
      </c>
      <c r="U589" s="26">
        <f>IF(OR($S589&lt;&gt;"Utilizable",$C589&lt;&gt;SUSTITUCION!$C$13),999999,IF(v_prioridad="Potasio",$H589,IF(v_prioridad="Fósforo",$I589,IF(v_prioridad="Sodio",$J589,IF(ISNUMBER($Q589),$Q589,999999)))))</f>
        <v>999999</v>
      </c>
    </row>
    <row r="590" spans="1:21" ht="15" customHeight="1">
      <c r="A590" s="21" t="s">
        <v>1344</v>
      </c>
      <c r="B590" s="21" t="s">
        <v>1345</v>
      </c>
      <c r="C590" s="21" t="s">
        <v>1310</v>
      </c>
      <c r="D590" s="21" t="s">
        <v>1311</v>
      </c>
      <c r="E590" s="21" t="s">
        <v>135</v>
      </c>
      <c r="F590" s="22">
        <v>498</v>
      </c>
      <c r="G590" s="22">
        <v>14.4</v>
      </c>
      <c r="H590" s="22">
        <v>514</v>
      </c>
      <c r="I590" s="22">
        <v>377</v>
      </c>
      <c r="J590" s="22">
        <v>269</v>
      </c>
      <c r="K590" s="22">
        <v>498</v>
      </c>
      <c r="L590" s="22">
        <v>14.4</v>
      </c>
      <c r="M590" s="22">
        <v>648</v>
      </c>
      <c r="N590" s="23" t="str">
        <f t="shared" si="63"/>
        <v>Muy alto</v>
      </c>
      <c r="O590" s="23" t="str">
        <f t="shared" si="64"/>
        <v>Muy alto</v>
      </c>
      <c r="P590" s="23" t="str">
        <f t="shared" si="65"/>
        <v>Alto</v>
      </c>
      <c r="Q590" s="24">
        <f t="shared" si="66"/>
        <v>26.180555555555554</v>
      </c>
      <c r="R590" s="23" t="str">
        <f t="shared" si="67"/>
        <v>Alta</v>
      </c>
      <c r="S590" s="25" t="str">
        <f t="shared" si="68"/>
        <v>Utilizable</v>
      </c>
      <c r="T590" s="26" t="str">
        <f t="shared" si="69"/>
        <v>Alimentos con formulaciones Especiales|00.000.514</v>
      </c>
      <c r="U590" s="26">
        <f>IF(OR($S590&lt;&gt;"Utilizable",$C590&lt;&gt;SUSTITUCION!$C$13),999999,IF(v_prioridad="Potasio",$H590,IF(v_prioridad="Fósforo",$I590,IF(v_prioridad="Sodio",$J590,IF(ISNUMBER($Q590),$Q590,999999)))))</f>
        <v>999999</v>
      </c>
    </row>
    <row r="591" spans="1:21" ht="15" customHeight="1">
      <c r="A591" s="21" t="s">
        <v>1346</v>
      </c>
      <c r="B591" s="21" t="s">
        <v>1347</v>
      </c>
      <c r="C591" s="21" t="s">
        <v>1310</v>
      </c>
      <c r="D591" s="21" t="s">
        <v>1311</v>
      </c>
      <c r="E591" s="21" t="s">
        <v>135</v>
      </c>
      <c r="F591" s="22">
        <v>454</v>
      </c>
      <c r="G591" s="22">
        <v>19.399999999999999</v>
      </c>
      <c r="H591" s="22" t="s">
        <v>138</v>
      </c>
      <c r="I591" s="22">
        <v>644</v>
      </c>
      <c r="J591" s="22">
        <v>207</v>
      </c>
      <c r="K591" s="22">
        <v>454</v>
      </c>
      <c r="L591" s="22">
        <v>19.399999999999999</v>
      </c>
      <c r="M591" s="22">
        <v>1066</v>
      </c>
      <c r="N591" s="23" t="str">
        <f t="shared" si="63"/>
        <v>Sin dato</v>
      </c>
      <c r="O591" s="23" t="str">
        <f t="shared" si="64"/>
        <v>Muy alto</v>
      </c>
      <c r="P591" s="23" t="str">
        <f t="shared" si="65"/>
        <v>Alto</v>
      </c>
      <c r="Q591" s="24">
        <f t="shared" si="66"/>
        <v>33.195876288659797</v>
      </c>
      <c r="R591" s="23" t="str">
        <f t="shared" si="67"/>
        <v>Alta</v>
      </c>
      <c r="S591" s="25" t="str">
        <f t="shared" si="68"/>
        <v>No utilizable</v>
      </c>
      <c r="T591" s="26" t="str">
        <f t="shared" si="69"/>
        <v/>
      </c>
      <c r="U591" s="26">
        <f>IF(OR($S591&lt;&gt;"Utilizable",$C591&lt;&gt;SUSTITUCION!$C$13),999999,IF(v_prioridad="Potasio",$H591,IF(v_prioridad="Fósforo",$I591,IF(v_prioridad="Sodio",$J591,IF(ISNUMBER($Q591),$Q591,999999)))))</f>
        <v>999999</v>
      </c>
    </row>
    <row r="592" spans="1:21" ht="15" customHeight="1">
      <c r="A592" s="21" t="s">
        <v>1348</v>
      </c>
      <c r="B592" s="21" t="s">
        <v>1349</v>
      </c>
      <c r="C592" s="21" t="s">
        <v>1310</v>
      </c>
      <c r="D592" s="21" t="s">
        <v>1311</v>
      </c>
      <c r="E592" s="21" t="s">
        <v>135</v>
      </c>
      <c r="F592" s="22">
        <v>498</v>
      </c>
      <c r="G592" s="22">
        <v>25.8</v>
      </c>
      <c r="H592" s="22" t="s">
        <v>138</v>
      </c>
      <c r="I592" s="22">
        <v>793</v>
      </c>
      <c r="J592" s="22">
        <v>244</v>
      </c>
      <c r="K592" s="22">
        <v>498</v>
      </c>
      <c r="L592" s="22">
        <v>25.8</v>
      </c>
      <c r="M592" s="22">
        <v>980</v>
      </c>
      <c r="N592" s="23" t="str">
        <f t="shared" si="63"/>
        <v>Sin dato</v>
      </c>
      <c r="O592" s="23" t="str">
        <f t="shared" si="64"/>
        <v>Muy alto</v>
      </c>
      <c r="P592" s="23" t="str">
        <f t="shared" si="65"/>
        <v>Alto</v>
      </c>
      <c r="Q592" s="24">
        <f t="shared" si="66"/>
        <v>30.736434108527131</v>
      </c>
      <c r="R592" s="23" t="str">
        <f t="shared" si="67"/>
        <v>Alta</v>
      </c>
      <c r="S592" s="25" t="str">
        <f t="shared" si="68"/>
        <v>No utilizable</v>
      </c>
      <c r="T592" s="26" t="str">
        <f t="shared" si="69"/>
        <v/>
      </c>
      <c r="U592" s="26">
        <f>IF(OR($S592&lt;&gt;"Utilizable",$C592&lt;&gt;SUSTITUCION!$C$13),999999,IF(v_prioridad="Potasio",$H592,IF(v_prioridad="Fósforo",$I592,IF(v_prioridad="Sodio",$J592,IF(ISNUMBER($Q592),$Q592,999999)))))</f>
        <v>999999</v>
      </c>
    </row>
    <row r="593" spans="1:21" ht="15" customHeight="1">
      <c r="A593" s="21" t="s">
        <v>1350</v>
      </c>
      <c r="B593" s="21" t="s">
        <v>1351</v>
      </c>
      <c r="C593" s="21" t="s">
        <v>1310</v>
      </c>
      <c r="D593" s="21" t="s">
        <v>1311</v>
      </c>
      <c r="E593" s="21" t="s">
        <v>135</v>
      </c>
      <c r="F593" s="22">
        <v>391</v>
      </c>
      <c r="G593" s="22">
        <v>21.3</v>
      </c>
      <c r="H593" s="22" t="s">
        <v>138</v>
      </c>
      <c r="I593" s="22">
        <v>1280</v>
      </c>
      <c r="J593" s="22">
        <v>228</v>
      </c>
      <c r="K593" s="22">
        <v>391</v>
      </c>
      <c r="L593" s="22">
        <v>21.3</v>
      </c>
      <c r="M593" s="22">
        <v>1409</v>
      </c>
      <c r="N593" s="23" t="str">
        <f t="shared" si="63"/>
        <v>Sin dato</v>
      </c>
      <c r="O593" s="23" t="str">
        <f t="shared" si="64"/>
        <v>Muy alto</v>
      </c>
      <c r="P593" s="23" t="str">
        <f t="shared" si="65"/>
        <v>Alto</v>
      </c>
      <c r="Q593" s="24">
        <f t="shared" si="66"/>
        <v>60.093896713615024</v>
      </c>
      <c r="R593" s="23" t="str">
        <f t="shared" si="67"/>
        <v>Alta</v>
      </c>
      <c r="S593" s="25" t="str">
        <f t="shared" si="68"/>
        <v>No utilizable</v>
      </c>
      <c r="T593" s="26" t="str">
        <f t="shared" si="69"/>
        <v/>
      </c>
      <c r="U593" s="26">
        <f>IF(OR($S593&lt;&gt;"Utilizable",$C593&lt;&gt;SUSTITUCION!$C$13),999999,IF(v_prioridad="Potasio",$H593,IF(v_prioridad="Fósforo",$I593,IF(v_prioridad="Sodio",$J593,IF(ISNUMBER($Q593),$Q593,999999)))))</f>
        <v>999999</v>
      </c>
    </row>
    <row r="594" spans="1:21" ht="15" customHeight="1">
      <c r="A594" s="21" t="s">
        <v>1352</v>
      </c>
      <c r="B594" s="21" t="s">
        <v>1353</v>
      </c>
      <c r="C594" s="21" t="s">
        <v>1310</v>
      </c>
      <c r="D594" s="21" t="s">
        <v>1311</v>
      </c>
      <c r="E594" s="21" t="s">
        <v>135</v>
      </c>
      <c r="F594" s="22">
        <v>411</v>
      </c>
      <c r="G594" s="22">
        <v>12</v>
      </c>
      <c r="H594" s="22">
        <v>400</v>
      </c>
      <c r="I594" s="22">
        <v>72</v>
      </c>
      <c r="J594" s="22" t="s">
        <v>138</v>
      </c>
      <c r="K594" s="22">
        <v>411</v>
      </c>
      <c r="L594" s="22">
        <v>12</v>
      </c>
      <c r="M594" s="22">
        <v>320</v>
      </c>
      <c r="N594" s="23" t="str">
        <f t="shared" si="63"/>
        <v>Muy alto</v>
      </c>
      <c r="O594" s="23" t="str">
        <f t="shared" si="64"/>
        <v>Medio</v>
      </c>
      <c r="P594" s="23" t="str">
        <f t="shared" si="65"/>
        <v>Sin dato</v>
      </c>
      <c r="Q594" s="24">
        <f t="shared" si="66"/>
        <v>6</v>
      </c>
      <c r="R594" s="23" t="str">
        <f t="shared" si="67"/>
        <v>Deseable</v>
      </c>
      <c r="S594" s="25" t="str">
        <f t="shared" si="68"/>
        <v>No utilizable</v>
      </c>
      <c r="T594" s="26" t="str">
        <f t="shared" si="69"/>
        <v/>
      </c>
      <c r="U594" s="26">
        <f>IF(OR($S594&lt;&gt;"Utilizable",$C594&lt;&gt;SUSTITUCION!$C$13),999999,IF(v_prioridad="Potasio",$H594,IF(v_prioridad="Fósforo",$I594,IF(v_prioridad="Sodio",$J594,IF(ISNUMBER($Q594),$Q594,999999)))))</f>
        <v>999999</v>
      </c>
    </row>
    <row r="595" spans="1:21" ht="15" customHeight="1">
      <c r="A595" s="21" t="s">
        <v>1354</v>
      </c>
      <c r="B595" s="21" t="s">
        <v>1355</v>
      </c>
      <c r="C595" s="21" t="s">
        <v>1310</v>
      </c>
      <c r="D595" s="21" t="s">
        <v>1311</v>
      </c>
      <c r="E595" s="21" t="s">
        <v>135</v>
      </c>
      <c r="F595" s="22">
        <v>411</v>
      </c>
      <c r="G595" s="22">
        <v>12</v>
      </c>
      <c r="H595" s="22">
        <v>400</v>
      </c>
      <c r="I595" s="22">
        <v>72</v>
      </c>
      <c r="J595" s="22" t="s">
        <v>138</v>
      </c>
      <c r="K595" s="22">
        <v>411</v>
      </c>
      <c r="L595" s="22">
        <v>12</v>
      </c>
      <c r="M595" s="22">
        <v>320</v>
      </c>
      <c r="N595" s="23" t="str">
        <f t="shared" si="63"/>
        <v>Muy alto</v>
      </c>
      <c r="O595" s="23" t="str">
        <f t="shared" si="64"/>
        <v>Medio</v>
      </c>
      <c r="P595" s="23" t="str">
        <f t="shared" si="65"/>
        <v>Sin dato</v>
      </c>
      <c r="Q595" s="24">
        <f t="shared" si="66"/>
        <v>6</v>
      </c>
      <c r="R595" s="23" t="str">
        <f t="shared" si="67"/>
        <v>Deseable</v>
      </c>
      <c r="S595" s="25" t="str">
        <f t="shared" si="68"/>
        <v>No utilizable</v>
      </c>
      <c r="T595" s="26" t="str">
        <f t="shared" si="69"/>
        <v/>
      </c>
      <c r="U595" s="26">
        <f>IF(OR($S595&lt;&gt;"Utilizable",$C595&lt;&gt;SUSTITUCION!$C$13),999999,IF(v_prioridad="Potasio",$H595,IF(v_prioridad="Fósforo",$I595,IF(v_prioridad="Sodio",$J595,IF(ISNUMBER($Q595),$Q595,999999)))))</f>
        <v>999999</v>
      </c>
    </row>
    <row r="596" spans="1:21" ht="15" customHeight="1">
      <c r="A596" s="21" t="s">
        <v>1356</v>
      </c>
      <c r="B596" s="21" t="s">
        <v>1357</v>
      </c>
      <c r="C596" s="21" t="s">
        <v>1310</v>
      </c>
      <c r="D596" s="21" t="s">
        <v>1311</v>
      </c>
      <c r="E596" s="21" t="s">
        <v>135</v>
      </c>
      <c r="F596" s="22">
        <v>415</v>
      </c>
      <c r="G596" s="22">
        <v>12.5</v>
      </c>
      <c r="H596" s="22">
        <v>400</v>
      </c>
      <c r="I596" s="22">
        <v>72</v>
      </c>
      <c r="J596" s="22" t="s">
        <v>138</v>
      </c>
      <c r="K596" s="22">
        <v>415</v>
      </c>
      <c r="L596" s="22">
        <v>12.5</v>
      </c>
      <c r="M596" s="22">
        <v>320</v>
      </c>
      <c r="N596" s="23" t="str">
        <f t="shared" si="63"/>
        <v>Muy alto</v>
      </c>
      <c r="O596" s="23" t="str">
        <f t="shared" si="64"/>
        <v>Medio</v>
      </c>
      <c r="P596" s="23" t="str">
        <f t="shared" si="65"/>
        <v>Sin dato</v>
      </c>
      <c r="Q596" s="24">
        <f t="shared" si="66"/>
        <v>5.76</v>
      </c>
      <c r="R596" s="23" t="str">
        <f t="shared" si="67"/>
        <v>Deseable</v>
      </c>
      <c r="S596" s="25" t="str">
        <f t="shared" si="68"/>
        <v>No utilizable</v>
      </c>
      <c r="T596" s="26" t="str">
        <f t="shared" si="69"/>
        <v/>
      </c>
      <c r="U596" s="26">
        <f>IF(OR($S596&lt;&gt;"Utilizable",$C596&lt;&gt;SUSTITUCION!$C$13),999999,IF(v_prioridad="Potasio",$H596,IF(v_prioridad="Fósforo",$I596,IF(v_prioridad="Sodio",$J596,IF(ISNUMBER($Q596),$Q596,999999)))))</f>
        <v>999999</v>
      </c>
    </row>
    <row r="597" spans="1:21" ht="15" customHeight="1">
      <c r="A597" s="21" t="s">
        <v>1358</v>
      </c>
      <c r="B597" s="21" t="s">
        <v>1359</v>
      </c>
      <c r="C597" s="21" t="s">
        <v>1310</v>
      </c>
      <c r="D597" s="21" t="s">
        <v>1311</v>
      </c>
      <c r="E597" s="21" t="s">
        <v>135</v>
      </c>
      <c r="F597" s="22">
        <v>466</v>
      </c>
      <c r="G597" s="22">
        <v>13.1</v>
      </c>
      <c r="H597" s="22">
        <v>410</v>
      </c>
      <c r="I597" s="22">
        <v>58</v>
      </c>
      <c r="J597" s="22">
        <v>501</v>
      </c>
      <c r="K597" s="22">
        <v>466</v>
      </c>
      <c r="L597" s="22">
        <v>13.1</v>
      </c>
      <c r="M597" s="22">
        <v>300</v>
      </c>
      <c r="N597" s="23" t="str">
        <f t="shared" si="63"/>
        <v>Muy alto</v>
      </c>
      <c r="O597" s="23" t="str">
        <f t="shared" si="64"/>
        <v>Medio</v>
      </c>
      <c r="P597" s="23" t="str">
        <f t="shared" si="65"/>
        <v>Muy alto</v>
      </c>
      <c r="Q597" s="24">
        <f t="shared" si="66"/>
        <v>4.4274809160305342</v>
      </c>
      <c r="R597" s="23" t="str">
        <f t="shared" si="67"/>
        <v>Deseable</v>
      </c>
      <c r="S597" s="25" t="str">
        <f t="shared" si="68"/>
        <v>Utilizable</v>
      </c>
      <c r="T597" s="26" t="str">
        <f t="shared" si="69"/>
        <v>Alimentos con formulaciones Especiales|00.000.410</v>
      </c>
      <c r="U597" s="26">
        <f>IF(OR($S597&lt;&gt;"Utilizable",$C597&lt;&gt;SUSTITUCION!$C$13),999999,IF(v_prioridad="Potasio",$H597,IF(v_prioridad="Fósforo",$I597,IF(v_prioridad="Sodio",$J597,IF(ISNUMBER($Q597),$Q597,999999)))))</f>
        <v>999999</v>
      </c>
    </row>
    <row r="598" spans="1:21" ht="15" customHeight="1">
      <c r="A598" s="21" t="s">
        <v>1360</v>
      </c>
      <c r="B598" s="21" t="s">
        <v>1361</v>
      </c>
      <c r="C598" s="21" t="s">
        <v>1310</v>
      </c>
      <c r="D598" s="21" t="s">
        <v>1311</v>
      </c>
      <c r="E598" s="21" t="s">
        <v>135</v>
      </c>
      <c r="F598" s="22">
        <v>420</v>
      </c>
      <c r="G598" s="22">
        <v>12.5</v>
      </c>
      <c r="H598" s="22">
        <v>257</v>
      </c>
      <c r="I598" s="22">
        <v>35</v>
      </c>
      <c r="J598" s="22">
        <v>360</v>
      </c>
      <c r="K598" s="22">
        <v>420</v>
      </c>
      <c r="L598" s="22">
        <v>12.5</v>
      </c>
      <c r="M598" s="22">
        <v>200</v>
      </c>
      <c r="N598" s="23" t="str">
        <f t="shared" si="63"/>
        <v>Alto</v>
      </c>
      <c r="O598" s="23" t="str">
        <f t="shared" si="64"/>
        <v>Bajo</v>
      </c>
      <c r="P598" s="23" t="str">
        <f t="shared" si="65"/>
        <v>Alto</v>
      </c>
      <c r="Q598" s="24">
        <f t="shared" si="66"/>
        <v>2.8</v>
      </c>
      <c r="R598" s="23" t="str">
        <f t="shared" si="67"/>
        <v>Deseable</v>
      </c>
      <c r="S598" s="25" t="str">
        <f t="shared" si="68"/>
        <v>Utilizable</v>
      </c>
      <c r="T598" s="26" t="str">
        <f t="shared" si="69"/>
        <v>Alimentos con formulaciones Especiales|00.000.257</v>
      </c>
      <c r="U598" s="26">
        <f>IF(OR($S598&lt;&gt;"Utilizable",$C598&lt;&gt;SUSTITUCION!$C$13),999999,IF(v_prioridad="Potasio",$H598,IF(v_prioridad="Fósforo",$I598,IF(v_prioridad="Sodio",$J598,IF(ISNUMBER($Q598),$Q598,999999)))))</f>
        <v>999999</v>
      </c>
    </row>
    <row r="599" spans="1:21" ht="15" customHeight="1">
      <c r="A599" s="21" t="s">
        <v>1362</v>
      </c>
      <c r="B599" s="21" t="s">
        <v>1363</v>
      </c>
      <c r="C599" s="21" t="s">
        <v>1310</v>
      </c>
      <c r="D599" s="21" t="s">
        <v>1311</v>
      </c>
      <c r="E599" s="21" t="s">
        <v>135</v>
      </c>
      <c r="F599" s="22">
        <v>457</v>
      </c>
      <c r="G599" s="22">
        <v>13.1</v>
      </c>
      <c r="H599" s="22">
        <v>501</v>
      </c>
      <c r="I599" s="22">
        <v>300</v>
      </c>
      <c r="J599" s="22">
        <v>191</v>
      </c>
      <c r="K599" s="22">
        <v>457</v>
      </c>
      <c r="L599" s="22">
        <v>13.1</v>
      </c>
      <c r="M599" s="22">
        <v>410</v>
      </c>
      <c r="N599" s="23" t="str">
        <f t="shared" si="63"/>
        <v>Muy alto</v>
      </c>
      <c r="O599" s="23" t="str">
        <f t="shared" si="64"/>
        <v>Muy alto</v>
      </c>
      <c r="P599" s="23" t="str">
        <f t="shared" si="65"/>
        <v>Alto</v>
      </c>
      <c r="Q599" s="24">
        <f t="shared" si="66"/>
        <v>22.900763358778626</v>
      </c>
      <c r="R599" s="23" t="str">
        <f t="shared" si="67"/>
        <v>Alta</v>
      </c>
      <c r="S599" s="25" t="str">
        <f t="shared" si="68"/>
        <v>Utilizable</v>
      </c>
      <c r="T599" s="26" t="str">
        <f t="shared" si="69"/>
        <v>Alimentos con formulaciones Especiales|00.000.501</v>
      </c>
      <c r="U599" s="26">
        <f>IF(OR($S599&lt;&gt;"Utilizable",$C599&lt;&gt;SUSTITUCION!$C$13),999999,IF(v_prioridad="Potasio",$H599,IF(v_prioridad="Fósforo",$I599,IF(v_prioridad="Sodio",$J599,IF(ISNUMBER($Q599),$Q599,999999)))))</f>
        <v>999999</v>
      </c>
    </row>
    <row r="600" spans="1:21" ht="15" customHeight="1">
      <c r="A600" s="21" t="s">
        <v>1364</v>
      </c>
      <c r="B600" s="21" t="s">
        <v>1365</v>
      </c>
      <c r="C600" s="21" t="s">
        <v>1310</v>
      </c>
      <c r="D600" s="21" t="s">
        <v>1311</v>
      </c>
      <c r="E600" s="21" t="s">
        <v>135</v>
      </c>
      <c r="F600" s="22">
        <v>309</v>
      </c>
      <c r="G600" s="22">
        <v>25</v>
      </c>
      <c r="H600" s="22">
        <v>840</v>
      </c>
      <c r="I600" s="22">
        <v>810</v>
      </c>
      <c r="J600" s="22">
        <v>580</v>
      </c>
      <c r="K600" s="22">
        <v>309</v>
      </c>
      <c r="L600" s="22">
        <v>25</v>
      </c>
      <c r="M600" s="22">
        <v>810</v>
      </c>
      <c r="N600" s="23" t="str">
        <f t="shared" si="63"/>
        <v>Muy alto</v>
      </c>
      <c r="O600" s="23" t="str">
        <f t="shared" si="64"/>
        <v>Muy alto</v>
      </c>
      <c r="P600" s="23" t="str">
        <f t="shared" si="65"/>
        <v>Muy alto</v>
      </c>
      <c r="Q600" s="24">
        <f t="shared" si="66"/>
        <v>32.4</v>
      </c>
      <c r="R600" s="23" t="str">
        <f t="shared" si="67"/>
        <v>Alta</v>
      </c>
      <c r="S600" s="25" t="str">
        <f t="shared" si="68"/>
        <v>Utilizable</v>
      </c>
      <c r="T600" s="26" t="str">
        <f t="shared" si="69"/>
        <v>Alimentos con formulaciones Especiales|00.000.840</v>
      </c>
      <c r="U600" s="26">
        <f>IF(OR($S600&lt;&gt;"Utilizable",$C600&lt;&gt;SUSTITUCION!$C$13),999999,IF(v_prioridad="Potasio",$H600,IF(v_prioridad="Fósforo",$I600,IF(v_prioridad="Sodio",$J600,IF(ISNUMBER($Q600),$Q600,999999)))))</f>
        <v>999999</v>
      </c>
    </row>
    <row r="601" spans="1:21" ht="15" customHeight="1">
      <c r="A601" s="21" t="s">
        <v>1366</v>
      </c>
      <c r="B601" s="21" t="s">
        <v>1367</v>
      </c>
      <c r="C601" s="21" t="s">
        <v>1310</v>
      </c>
      <c r="D601" s="21" t="s">
        <v>1311</v>
      </c>
      <c r="E601" s="21" t="s">
        <v>135</v>
      </c>
      <c r="F601" s="22">
        <v>297</v>
      </c>
      <c r="G601" s="22">
        <v>39</v>
      </c>
      <c r="H601" s="22">
        <v>700</v>
      </c>
      <c r="I601" s="22">
        <v>670</v>
      </c>
      <c r="J601" s="22">
        <v>560</v>
      </c>
      <c r="K601" s="22">
        <v>297</v>
      </c>
      <c r="L601" s="22">
        <v>39</v>
      </c>
      <c r="M601" s="22">
        <v>670</v>
      </c>
      <c r="N601" s="23" t="str">
        <f t="shared" si="63"/>
        <v>Muy alto</v>
      </c>
      <c r="O601" s="23" t="str">
        <f t="shared" si="64"/>
        <v>Muy alto</v>
      </c>
      <c r="P601" s="23" t="str">
        <f t="shared" si="65"/>
        <v>Muy alto</v>
      </c>
      <c r="Q601" s="24">
        <f t="shared" si="66"/>
        <v>17.179487179487179</v>
      </c>
      <c r="R601" s="23" t="str">
        <f t="shared" si="67"/>
        <v>Alta</v>
      </c>
      <c r="S601" s="25" t="str">
        <f t="shared" si="68"/>
        <v>Utilizable</v>
      </c>
      <c r="T601" s="26" t="str">
        <f t="shared" si="69"/>
        <v>Alimentos con formulaciones Especiales|00.000.700</v>
      </c>
      <c r="U601" s="26">
        <f>IF(OR($S601&lt;&gt;"Utilizable",$C601&lt;&gt;SUSTITUCION!$C$13),999999,IF(v_prioridad="Potasio",$H601,IF(v_prioridad="Fósforo",$I601,IF(v_prioridad="Sodio",$J601,IF(ISNUMBER($Q601),$Q601,999999)))))</f>
        <v>999999</v>
      </c>
    </row>
    <row r="602" spans="1:21" ht="15" customHeight="1">
      <c r="A602" s="21" t="s">
        <v>1368</v>
      </c>
      <c r="B602" s="21" t="s">
        <v>1369</v>
      </c>
      <c r="C602" s="21" t="s">
        <v>1310</v>
      </c>
      <c r="D602" s="21" t="s">
        <v>1311</v>
      </c>
      <c r="E602" s="21" t="s">
        <v>135</v>
      </c>
      <c r="F602" s="22">
        <v>289</v>
      </c>
      <c r="G602" s="22">
        <v>80</v>
      </c>
      <c r="H602" s="22">
        <v>2674</v>
      </c>
      <c r="I602" s="22">
        <v>1260</v>
      </c>
      <c r="J602" s="22">
        <v>597</v>
      </c>
      <c r="K602" s="22">
        <v>289</v>
      </c>
      <c r="L602" s="22">
        <v>80</v>
      </c>
      <c r="M602" s="22">
        <v>2346</v>
      </c>
      <c r="N602" s="23" t="str">
        <f t="shared" si="63"/>
        <v>Muy alto</v>
      </c>
      <c r="O602" s="23" t="str">
        <f t="shared" si="64"/>
        <v>Muy alto</v>
      </c>
      <c r="P602" s="23" t="str">
        <f t="shared" si="65"/>
        <v>Muy alto</v>
      </c>
      <c r="Q602" s="24">
        <f t="shared" si="66"/>
        <v>15.75</v>
      </c>
      <c r="R602" s="23" t="str">
        <f t="shared" si="67"/>
        <v>Aceptable</v>
      </c>
      <c r="S602" s="25" t="str">
        <f t="shared" si="68"/>
        <v>Utilizable</v>
      </c>
      <c r="T602" s="26" t="str">
        <f t="shared" si="69"/>
        <v>Alimentos con formulaciones Especiales|00.002.674</v>
      </c>
      <c r="U602" s="26">
        <f>IF(OR($S602&lt;&gt;"Utilizable",$C602&lt;&gt;SUSTITUCION!$C$13),999999,IF(v_prioridad="Potasio",$H602,IF(v_prioridad="Fósforo",$I602,IF(v_prioridad="Sodio",$J602,IF(ISNUMBER($Q602),$Q602,999999)))))</f>
        <v>999999</v>
      </c>
    </row>
    <row r="603" spans="1:21" ht="15" customHeight="1">
      <c r="A603" s="21" t="s">
        <v>1370</v>
      </c>
      <c r="B603" s="21" t="s">
        <v>1371</v>
      </c>
      <c r="C603" s="21" t="s">
        <v>1310</v>
      </c>
      <c r="D603" s="21" t="s">
        <v>1311</v>
      </c>
      <c r="E603" s="21" t="s">
        <v>135</v>
      </c>
      <c r="F603" s="22">
        <v>291</v>
      </c>
      <c r="G603" s="22">
        <v>62.1</v>
      </c>
      <c r="H603" s="22">
        <v>1255</v>
      </c>
      <c r="I603" s="22">
        <v>1217</v>
      </c>
      <c r="J603" s="22">
        <v>556</v>
      </c>
      <c r="K603" s="22">
        <v>291</v>
      </c>
      <c r="L603" s="22">
        <v>62.1</v>
      </c>
      <c r="M603" s="22">
        <v>2063</v>
      </c>
      <c r="N603" s="23" t="str">
        <f t="shared" si="63"/>
        <v>Muy alto</v>
      </c>
      <c r="O603" s="23" t="str">
        <f t="shared" si="64"/>
        <v>Muy alto</v>
      </c>
      <c r="P603" s="23" t="str">
        <f t="shared" si="65"/>
        <v>Muy alto</v>
      </c>
      <c r="Q603" s="24">
        <f t="shared" si="66"/>
        <v>19.597423510466989</v>
      </c>
      <c r="R603" s="23" t="str">
        <f t="shared" si="67"/>
        <v>Alta</v>
      </c>
      <c r="S603" s="25" t="str">
        <f t="shared" si="68"/>
        <v>Utilizable</v>
      </c>
      <c r="T603" s="26" t="str">
        <f t="shared" si="69"/>
        <v>Alimentos con formulaciones Especiales|00.001.255</v>
      </c>
      <c r="U603" s="26">
        <f>IF(OR($S603&lt;&gt;"Utilizable",$C603&lt;&gt;SUSTITUCION!$C$13),999999,IF(v_prioridad="Potasio",$H603,IF(v_prioridad="Fósforo",$I603,IF(v_prioridad="Sodio",$J603,IF(ISNUMBER($Q603),$Q603,999999)))))</f>
        <v>999999</v>
      </c>
    </row>
    <row r="604" spans="1:21" ht="15" customHeight="1">
      <c r="A604" s="21" t="s">
        <v>1372</v>
      </c>
      <c r="B604" s="21" t="s">
        <v>1373</v>
      </c>
      <c r="C604" s="21" t="s">
        <v>1310</v>
      </c>
      <c r="D604" s="21" t="s">
        <v>1311</v>
      </c>
      <c r="E604" s="21" t="s">
        <v>135</v>
      </c>
      <c r="F604" s="22">
        <v>290</v>
      </c>
      <c r="G604" s="22">
        <v>63.2</v>
      </c>
      <c r="H604" s="22">
        <v>1277</v>
      </c>
      <c r="I604" s="22">
        <v>1240</v>
      </c>
      <c r="J604" s="22">
        <v>566</v>
      </c>
      <c r="K604" s="22">
        <v>290</v>
      </c>
      <c r="L604" s="22">
        <v>63.2</v>
      </c>
      <c r="M604" s="22">
        <v>2099</v>
      </c>
      <c r="N604" s="23" t="str">
        <f t="shared" si="63"/>
        <v>Muy alto</v>
      </c>
      <c r="O604" s="23" t="str">
        <f t="shared" si="64"/>
        <v>Muy alto</v>
      </c>
      <c r="P604" s="23" t="str">
        <f t="shared" si="65"/>
        <v>Muy alto</v>
      </c>
      <c r="Q604" s="24">
        <f t="shared" si="66"/>
        <v>19.62025316455696</v>
      </c>
      <c r="R604" s="23" t="str">
        <f t="shared" si="67"/>
        <v>Alta</v>
      </c>
      <c r="S604" s="25" t="str">
        <f t="shared" si="68"/>
        <v>Utilizable</v>
      </c>
      <c r="T604" s="26" t="str">
        <f t="shared" si="69"/>
        <v>Alimentos con formulaciones Especiales|00.001.277</v>
      </c>
      <c r="U604" s="26">
        <f>IF(OR($S604&lt;&gt;"Utilizable",$C604&lt;&gt;SUSTITUCION!$C$13),999999,IF(v_prioridad="Potasio",$H604,IF(v_prioridad="Fósforo",$I604,IF(v_prioridad="Sodio",$J604,IF(ISNUMBER($Q604),$Q604,999999)))))</f>
        <v>999999</v>
      </c>
    </row>
    <row r="605" spans="1:21" ht="15" customHeight="1">
      <c r="A605" s="21" t="s">
        <v>1374</v>
      </c>
      <c r="B605" s="21" t="s">
        <v>1375</v>
      </c>
      <c r="C605" s="21" t="s">
        <v>1310</v>
      </c>
      <c r="D605" s="21" t="s">
        <v>1311</v>
      </c>
      <c r="E605" s="21" t="s">
        <v>135</v>
      </c>
      <c r="F605" s="22">
        <v>310</v>
      </c>
      <c r="G605" s="22">
        <v>77.5</v>
      </c>
      <c r="H605" s="22">
        <v>1347</v>
      </c>
      <c r="I605" s="22">
        <v>934</v>
      </c>
      <c r="J605" s="22">
        <v>0</v>
      </c>
      <c r="K605" s="22">
        <v>310</v>
      </c>
      <c r="L605" s="22">
        <v>77.5</v>
      </c>
      <c r="M605" s="22">
        <v>1308</v>
      </c>
      <c r="N605" s="23" t="str">
        <f t="shared" si="63"/>
        <v>Muy alto</v>
      </c>
      <c r="O605" s="23" t="str">
        <f t="shared" si="64"/>
        <v>Muy alto</v>
      </c>
      <c r="P605" s="23" t="str">
        <f t="shared" si="65"/>
        <v>Bajo</v>
      </c>
      <c r="Q605" s="24">
        <f t="shared" si="66"/>
        <v>12.051612903225806</v>
      </c>
      <c r="R605" s="23" t="str">
        <f t="shared" si="67"/>
        <v>Aceptable</v>
      </c>
      <c r="S605" s="25" t="str">
        <f t="shared" si="68"/>
        <v>Utilizable</v>
      </c>
      <c r="T605" s="26" t="str">
        <f t="shared" si="69"/>
        <v>Alimentos con formulaciones Especiales|00.001.347</v>
      </c>
      <c r="U605" s="26">
        <f>IF(OR($S605&lt;&gt;"Utilizable",$C605&lt;&gt;SUSTITUCION!$C$13),999999,IF(v_prioridad="Potasio",$H605,IF(v_prioridad="Fósforo",$I605,IF(v_prioridad="Sodio",$J605,IF(ISNUMBER($Q605),$Q605,999999)))))</f>
        <v>999999</v>
      </c>
    </row>
    <row r="606" spans="1:21" ht="15" customHeight="1">
      <c r="A606" s="21" t="s">
        <v>1376</v>
      </c>
      <c r="B606" s="21" t="s">
        <v>1377</v>
      </c>
      <c r="C606" s="21" t="s">
        <v>1310</v>
      </c>
      <c r="D606" s="21" t="s">
        <v>1311</v>
      </c>
      <c r="E606" s="21" t="s">
        <v>135</v>
      </c>
      <c r="F606" s="22">
        <v>480</v>
      </c>
      <c r="G606" s="22">
        <v>16.600000000000001</v>
      </c>
      <c r="H606" s="22">
        <v>755</v>
      </c>
      <c r="I606" s="22">
        <v>451</v>
      </c>
      <c r="J606" s="22">
        <v>223</v>
      </c>
      <c r="K606" s="22">
        <v>480</v>
      </c>
      <c r="L606" s="22">
        <v>16.600000000000001</v>
      </c>
      <c r="M606" s="22">
        <v>683</v>
      </c>
      <c r="N606" s="23" t="str">
        <f t="shared" si="63"/>
        <v>Muy alto</v>
      </c>
      <c r="O606" s="23" t="str">
        <f t="shared" si="64"/>
        <v>Muy alto</v>
      </c>
      <c r="P606" s="23" t="str">
        <f t="shared" si="65"/>
        <v>Alto</v>
      </c>
      <c r="Q606" s="24">
        <f t="shared" si="66"/>
        <v>27.168674698795179</v>
      </c>
      <c r="R606" s="23" t="str">
        <f t="shared" si="67"/>
        <v>Alta</v>
      </c>
      <c r="S606" s="25" t="str">
        <f t="shared" si="68"/>
        <v>Utilizable</v>
      </c>
      <c r="T606" s="26" t="str">
        <f t="shared" si="69"/>
        <v>Alimentos con formulaciones Especiales|00.000.755</v>
      </c>
      <c r="U606" s="26">
        <f>IF(OR($S606&lt;&gt;"Utilizable",$C606&lt;&gt;SUSTITUCION!$C$13),999999,IF(v_prioridad="Potasio",$H606,IF(v_prioridad="Fósforo",$I606,IF(v_prioridad="Sodio",$J606,IF(ISNUMBER($Q606),$Q606,999999)))))</f>
        <v>999999</v>
      </c>
    </row>
    <row r="607" spans="1:21" ht="15" customHeight="1">
      <c r="A607" s="21" t="s">
        <v>1378</v>
      </c>
      <c r="B607" s="21" t="s">
        <v>1379</v>
      </c>
      <c r="C607" s="21" t="s">
        <v>1310</v>
      </c>
      <c r="D607" s="21" t="s">
        <v>1311</v>
      </c>
      <c r="E607" s="21" t="s">
        <v>135</v>
      </c>
      <c r="F607" s="22">
        <v>410</v>
      </c>
      <c r="G607" s="22">
        <v>30</v>
      </c>
      <c r="H607" s="22">
        <v>1716</v>
      </c>
      <c r="I607" s="22">
        <v>901</v>
      </c>
      <c r="J607" s="22">
        <v>1055</v>
      </c>
      <c r="K607" s="22">
        <v>410</v>
      </c>
      <c r="L607" s="22">
        <v>30</v>
      </c>
      <c r="M607" s="22">
        <v>1103</v>
      </c>
      <c r="N607" s="23" t="str">
        <f t="shared" si="63"/>
        <v>Muy alto</v>
      </c>
      <c r="O607" s="23" t="str">
        <f t="shared" si="64"/>
        <v>Muy alto</v>
      </c>
      <c r="P607" s="23" t="str">
        <f t="shared" si="65"/>
        <v>Muy alto</v>
      </c>
      <c r="Q607" s="24">
        <f t="shared" si="66"/>
        <v>30.033333333333335</v>
      </c>
      <c r="R607" s="23" t="str">
        <f t="shared" si="67"/>
        <v>Alta</v>
      </c>
      <c r="S607" s="25" t="str">
        <f t="shared" si="68"/>
        <v>Utilizable</v>
      </c>
      <c r="T607" s="26" t="str">
        <f t="shared" si="69"/>
        <v>Alimentos con formulaciones Especiales|00.001.716</v>
      </c>
      <c r="U607" s="26">
        <f>IF(OR($S607&lt;&gt;"Utilizable",$C607&lt;&gt;SUSTITUCION!$C$13),999999,IF(v_prioridad="Potasio",$H607,IF(v_prioridad="Fósforo",$I607,IF(v_prioridad="Sodio",$J607,IF(ISNUMBER($Q607),$Q607,999999)))))</f>
        <v>999999</v>
      </c>
    </row>
    <row r="608" spans="1:21" ht="15" customHeight="1">
      <c r="A608" s="21" t="s">
        <v>1380</v>
      </c>
      <c r="B608" s="21" t="s">
        <v>1381</v>
      </c>
      <c r="C608" s="21" t="s">
        <v>1310</v>
      </c>
      <c r="D608" s="21" t="s">
        <v>1311</v>
      </c>
      <c r="E608" s="21" t="s">
        <v>135</v>
      </c>
      <c r="F608" s="22">
        <v>280</v>
      </c>
      <c r="G608" s="22">
        <v>60</v>
      </c>
      <c r="H608" s="22">
        <v>1200</v>
      </c>
      <c r="I608" s="22">
        <v>1380</v>
      </c>
      <c r="J608" s="22">
        <v>540</v>
      </c>
      <c r="K608" s="22">
        <v>280</v>
      </c>
      <c r="L608" s="22">
        <v>60</v>
      </c>
      <c r="M608" s="22">
        <v>2300</v>
      </c>
      <c r="N608" s="23" t="str">
        <f t="shared" si="63"/>
        <v>Muy alto</v>
      </c>
      <c r="O608" s="23" t="str">
        <f t="shared" si="64"/>
        <v>Muy alto</v>
      </c>
      <c r="P608" s="23" t="str">
        <f t="shared" si="65"/>
        <v>Muy alto</v>
      </c>
      <c r="Q608" s="24">
        <f t="shared" si="66"/>
        <v>23</v>
      </c>
      <c r="R608" s="23" t="str">
        <f t="shared" si="67"/>
        <v>Alta</v>
      </c>
      <c r="S608" s="25" t="str">
        <f t="shared" si="68"/>
        <v>Utilizable</v>
      </c>
      <c r="T608" s="26" t="str">
        <f t="shared" si="69"/>
        <v>Alimentos con formulaciones Especiales|00.001.200</v>
      </c>
      <c r="U608" s="26">
        <f>IF(OR($S608&lt;&gt;"Utilizable",$C608&lt;&gt;SUSTITUCION!$C$13),999999,IF(v_prioridad="Potasio",$H608,IF(v_prioridad="Fósforo",$I608,IF(v_prioridad="Sodio",$J608,IF(ISNUMBER($Q608),$Q608,999999)))))</f>
        <v>999999</v>
      </c>
    </row>
    <row r="609" spans="1:21" ht="15" customHeight="1">
      <c r="A609" s="21" t="s">
        <v>1382</v>
      </c>
      <c r="B609" s="21" t="s">
        <v>1383</v>
      </c>
      <c r="C609" s="21" t="s">
        <v>1310</v>
      </c>
      <c r="D609" s="21" t="s">
        <v>1311</v>
      </c>
      <c r="E609" s="21" t="s">
        <v>135</v>
      </c>
      <c r="F609" s="22">
        <v>402</v>
      </c>
      <c r="G609" s="22">
        <v>27</v>
      </c>
      <c r="H609" s="22">
        <v>914</v>
      </c>
      <c r="I609" s="22">
        <v>883</v>
      </c>
      <c r="J609" s="22">
        <v>636</v>
      </c>
      <c r="K609" s="22">
        <v>402</v>
      </c>
      <c r="L609" s="22">
        <v>27</v>
      </c>
      <c r="M609" s="22">
        <v>883</v>
      </c>
      <c r="N609" s="23" t="str">
        <f t="shared" si="63"/>
        <v>Muy alto</v>
      </c>
      <c r="O609" s="23" t="str">
        <f t="shared" si="64"/>
        <v>Muy alto</v>
      </c>
      <c r="P609" s="23" t="str">
        <f t="shared" si="65"/>
        <v>Muy alto</v>
      </c>
      <c r="Q609" s="24">
        <f t="shared" si="66"/>
        <v>32.703703703703702</v>
      </c>
      <c r="R609" s="23" t="str">
        <f t="shared" si="67"/>
        <v>Alta</v>
      </c>
      <c r="S609" s="25" t="str">
        <f t="shared" si="68"/>
        <v>Utilizable</v>
      </c>
      <c r="T609" s="26" t="str">
        <f t="shared" si="69"/>
        <v>Alimentos con formulaciones Especiales|00.000.914</v>
      </c>
      <c r="U609" s="26">
        <f>IF(OR($S609&lt;&gt;"Utilizable",$C609&lt;&gt;SUSTITUCION!$C$13),999999,IF(v_prioridad="Potasio",$H609,IF(v_prioridad="Fósforo",$I609,IF(v_prioridad="Sodio",$J609,IF(ISNUMBER($Q609),$Q609,999999)))))</f>
        <v>999999</v>
      </c>
    </row>
    <row r="610" spans="1:21" ht="15" customHeight="1">
      <c r="A610" s="21" t="s">
        <v>1384</v>
      </c>
      <c r="B610" s="21" t="s">
        <v>1385</v>
      </c>
      <c r="C610" s="21" t="s">
        <v>1310</v>
      </c>
      <c r="D610" s="21" t="s">
        <v>1311</v>
      </c>
      <c r="E610" s="21" t="s">
        <v>135</v>
      </c>
      <c r="F610" s="22">
        <v>457</v>
      </c>
      <c r="G610" s="22">
        <v>13.1</v>
      </c>
      <c r="H610" s="22">
        <v>501</v>
      </c>
      <c r="I610" s="22">
        <v>300</v>
      </c>
      <c r="J610" s="22">
        <v>191</v>
      </c>
      <c r="K610" s="22">
        <v>457</v>
      </c>
      <c r="L610" s="22">
        <v>13.1</v>
      </c>
      <c r="M610" s="22">
        <v>410</v>
      </c>
      <c r="N610" s="23" t="str">
        <f t="shared" si="63"/>
        <v>Muy alto</v>
      </c>
      <c r="O610" s="23" t="str">
        <f t="shared" si="64"/>
        <v>Muy alto</v>
      </c>
      <c r="P610" s="23" t="str">
        <f t="shared" si="65"/>
        <v>Alto</v>
      </c>
      <c r="Q610" s="24">
        <f t="shared" si="66"/>
        <v>22.900763358778626</v>
      </c>
      <c r="R610" s="23" t="str">
        <f t="shared" si="67"/>
        <v>Alta</v>
      </c>
      <c r="S610" s="25" t="str">
        <f t="shared" si="68"/>
        <v>Utilizable</v>
      </c>
      <c r="T610" s="26" t="str">
        <f t="shared" si="69"/>
        <v>Alimentos con formulaciones Especiales|00.000.501</v>
      </c>
      <c r="U610" s="26">
        <f>IF(OR($S610&lt;&gt;"Utilizable",$C610&lt;&gt;SUSTITUCION!$C$13),999999,IF(v_prioridad="Potasio",$H610,IF(v_prioridad="Fósforo",$I610,IF(v_prioridad="Sodio",$J610,IF(ISNUMBER($Q610),$Q610,999999)))))</f>
        <v>999999</v>
      </c>
    </row>
    <row r="611" spans="1:21" ht="15" customHeight="1">
      <c r="A611" s="21" t="s">
        <v>1386</v>
      </c>
      <c r="B611" s="21" t="s">
        <v>1387</v>
      </c>
      <c r="C611" s="21" t="s">
        <v>1310</v>
      </c>
      <c r="D611" s="21" t="s">
        <v>1311</v>
      </c>
      <c r="E611" s="21" t="s">
        <v>135</v>
      </c>
      <c r="F611" s="22">
        <v>424</v>
      </c>
      <c r="G611" s="22">
        <v>31.1</v>
      </c>
      <c r="H611" s="22">
        <v>628</v>
      </c>
      <c r="I611" s="22">
        <v>610</v>
      </c>
      <c r="J611" s="22">
        <v>278</v>
      </c>
      <c r="K611" s="22">
        <v>424</v>
      </c>
      <c r="L611" s="22">
        <v>31.1</v>
      </c>
      <c r="M611" s="22">
        <v>1033</v>
      </c>
      <c r="N611" s="23" t="str">
        <f t="shared" si="63"/>
        <v>Muy alto</v>
      </c>
      <c r="O611" s="23" t="str">
        <f t="shared" si="64"/>
        <v>Muy alto</v>
      </c>
      <c r="P611" s="23" t="str">
        <f t="shared" si="65"/>
        <v>Alto</v>
      </c>
      <c r="Q611" s="24">
        <f t="shared" si="66"/>
        <v>19.614147909967844</v>
      </c>
      <c r="R611" s="23" t="str">
        <f t="shared" si="67"/>
        <v>Alta</v>
      </c>
      <c r="S611" s="25" t="str">
        <f t="shared" si="68"/>
        <v>Utilizable</v>
      </c>
      <c r="T611" s="26" t="str">
        <f t="shared" si="69"/>
        <v>Alimentos con formulaciones Especiales|00.000.628</v>
      </c>
      <c r="U611" s="26">
        <f>IF(OR($S611&lt;&gt;"Utilizable",$C611&lt;&gt;SUSTITUCION!$C$13),999999,IF(v_prioridad="Potasio",$H611,IF(v_prioridad="Fósforo",$I611,IF(v_prioridad="Sodio",$J611,IF(ISNUMBER($Q611),$Q611,999999)))))</f>
        <v>999999</v>
      </c>
    </row>
    <row r="612" spans="1:21" ht="15" customHeight="1">
      <c r="A612" s="21" t="s">
        <v>1388</v>
      </c>
      <c r="B612" s="21" t="s">
        <v>1389</v>
      </c>
      <c r="C612" s="21" t="s">
        <v>1310</v>
      </c>
      <c r="D612" s="21" t="s">
        <v>1311</v>
      </c>
      <c r="E612" s="21" t="s">
        <v>135</v>
      </c>
      <c r="F612" s="22">
        <v>302</v>
      </c>
      <c r="G612" s="22">
        <v>75</v>
      </c>
      <c r="H612" s="22">
        <v>1347</v>
      </c>
      <c r="I612" s="22">
        <v>1038</v>
      </c>
      <c r="J612" s="22">
        <v>20</v>
      </c>
      <c r="K612" s="22">
        <v>302</v>
      </c>
      <c r="L612" s="22">
        <v>75</v>
      </c>
      <c r="M612" s="22">
        <v>1502</v>
      </c>
      <c r="N612" s="23" t="str">
        <f t="shared" si="63"/>
        <v>Muy alto</v>
      </c>
      <c r="O612" s="23" t="str">
        <f t="shared" si="64"/>
        <v>Muy alto</v>
      </c>
      <c r="P612" s="23" t="str">
        <f t="shared" si="65"/>
        <v>Bajo</v>
      </c>
      <c r="Q612" s="24">
        <f t="shared" si="66"/>
        <v>13.84</v>
      </c>
      <c r="R612" s="23" t="str">
        <f t="shared" si="67"/>
        <v>Aceptable</v>
      </c>
      <c r="S612" s="25" t="str">
        <f t="shared" si="68"/>
        <v>Utilizable</v>
      </c>
      <c r="T612" s="26" t="str">
        <f t="shared" si="69"/>
        <v>Alimentos con formulaciones Especiales|00.001.347</v>
      </c>
      <c r="U612" s="26">
        <f>IF(OR($S612&lt;&gt;"Utilizable",$C612&lt;&gt;SUSTITUCION!$C$13),999999,IF(v_prioridad="Potasio",$H612,IF(v_prioridad="Fósforo",$I612,IF(v_prioridad="Sodio",$J612,IF(ISNUMBER($Q612),$Q612,999999)))))</f>
        <v>999999</v>
      </c>
    </row>
    <row r="613" spans="1:21" ht="15" customHeight="1">
      <c r="A613" s="21" t="s">
        <v>1390</v>
      </c>
      <c r="B613" s="21" t="s">
        <v>1391</v>
      </c>
      <c r="C613" s="21" t="s">
        <v>1310</v>
      </c>
      <c r="D613" s="21" t="s">
        <v>1311</v>
      </c>
      <c r="E613" s="21" t="s">
        <v>135</v>
      </c>
      <c r="F613" s="22">
        <v>470</v>
      </c>
      <c r="G613" s="22">
        <v>16.5</v>
      </c>
      <c r="H613" s="22">
        <v>590</v>
      </c>
      <c r="I613" s="22">
        <v>330</v>
      </c>
      <c r="J613" s="22">
        <v>260</v>
      </c>
      <c r="K613" s="22">
        <v>470</v>
      </c>
      <c r="L613" s="22">
        <v>16.5</v>
      </c>
      <c r="M613" s="22">
        <v>440</v>
      </c>
      <c r="N613" s="23" t="str">
        <f t="shared" si="63"/>
        <v>Muy alto</v>
      </c>
      <c r="O613" s="23" t="str">
        <f t="shared" si="64"/>
        <v>Muy alto</v>
      </c>
      <c r="P613" s="23" t="str">
        <f t="shared" si="65"/>
        <v>Alto</v>
      </c>
      <c r="Q613" s="24">
        <f t="shared" si="66"/>
        <v>20</v>
      </c>
      <c r="R613" s="23" t="str">
        <f t="shared" si="67"/>
        <v>Alta</v>
      </c>
      <c r="S613" s="25" t="str">
        <f t="shared" si="68"/>
        <v>Utilizable</v>
      </c>
      <c r="T613" s="26" t="str">
        <f t="shared" si="69"/>
        <v>Alimentos con formulaciones Especiales|00.000.590</v>
      </c>
      <c r="U613" s="26">
        <f>IF(OR($S613&lt;&gt;"Utilizable",$C613&lt;&gt;SUSTITUCION!$C$13),999999,IF(v_prioridad="Potasio",$H613,IF(v_prioridad="Fósforo",$I613,IF(v_prioridad="Sodio",$J613,IF(ISNUMBER($Q613),$Q613,999999)))))</f>
        <v>999999</v>
      </c>
    </row>
    <row r="614" spans="1:21" ht="15" customHeight="1">
      <c r="A614" s="21" t="s">
        <v>1392</v>
      </c>
      <c r="B614" s="21" t="s">
        <v>1393</v>
      </c>
      <c r="C614" s="21" t="s">
        <v>1310</v>
      </c>
      <c r="D614" s="21" t="s">
        <v>1311</v>
      </c>
      <c r="E614" s="21" t="s">
        <v>135</v>
      </c>
      <c r="F614" s="22">
        <v>495</v>
      </c>
      <c r="G614" s="22">
        <v>7.3</v>
      </c>
      <c r="H614" s="22" t="s">
        <v>138</v>
      </c>
      <c r="I614" s="22">
        <v>470</v>
      </c>
      <c r="J614" s="22">
        <v>223</v>
      </c>
      <c r="K614" s="22">
        <v>495</v>
      </c>
      <c r="L614" s="22">
        <v>7.3</v>
      </c>
      <c r="M614" s="22">
        <v>678</v>
      </c>
      <c r="N614" s="23" t="str">
        <f t="shared" si="63"/>
        <v>Sin dato</v>
      </c>
      <c r="O614" s="23" t="str">
        <f t="shared" si="64"/>
        <v>Muy alto</v>
      </c>
      <c r="P614" s="23" t="str">
        <f t="shared" si="65"/>
        <v>Alto</v>
      </c>
      <c r="Q614" s="24" t="str">
        <f t="shared" si="66"/>
        <v>N/C: no es fuente proteica</v>
      </c>
      <c r="R614" s="23" t="str">
        <f t="shared" si="67"/>
        <v>N/C</v>
      </c>
      <c r="S614" s="25" t="str">
        <f t="shared" si="68"/>
        <v>No utilizable</v>
      </c>
      <c r="T614" s="26" t="str">
        <f t="shared" si="69"/>
        <v/>
      </c>
      <c r="U614" s="26">
        <f>IF(OR($S614&lt;&gt;"Utilizable",$C614&lt;&gt;SUSTITUCION!$C$13),999999,IF(v_prioridad="Potasio",$H614,IF(v_prioridad="Fósforo",$I614,IF(v_prioridad="Sodio",$J614,IF(ISNUMBER($Q614),$Q614,999999)))))</f>
        <v>999999</v>
      </c>
    </row>
    <row r="615" spans="1:21" ht="15" customHeight="1">
      <c r="A615" s="21" t="s">
        <v>1394</v>
      </c>
      <c r="B615" s="21" t="s">
        <v>1395</v>
      </c>
      <c r="C615" s="21" t="s">
        <v>1310</v>
      </c>
      <c r="D615" s="21" t="s">
        <v>1311</v>
      </c>
      <c r="E615" s="21" t="s">
        <v>135</v>
      </c>
      <c r="F615" s="22">
        <v>434</v>
      </c>
      <c r="G615" s="22">
        <v>33.5</v>
      </c>
      <c r="H615" s="22">
        <v>1470</v>
      </c>
      <c r="I615" s="22">
        <v>857</v>
      </c>
      <c r="J615" s="22">
        <v>1003</v>
      </c>
      <c r="K615" s="22">
        <v>434</v>
      </c>
      <c r="L615" s="22">
        <v>33.5</v>
      </c>
      <c r="M615" s="22">
        <v>1004</v>
      </c>
      <c r="N615" s="23" t="str">
        <f t="shared" si="63"/>
        <v>Muy alto</v>
      </c>
      <c r="O615" s="23" t="str">
        <f t="shared" si="64"/>
        <v>Muy alto</v>
      </c>
      <c r="P615" s="23" t="str">
        <f t="shared" si="65"/>
        <v>Muy alto</v>
      </c>
      <c r="Q615" s="24">
        <f t="shared" si="66"/>
        <v>25.582089552238806</v>
      </c>
      <c r="R615" s="23" t="str">
        <f t="shared" si="67"/>
        <v>Alta</v>
      </c>
      <c r="S615" s="25" t="str">
        <f t="shared" si="68"/>
        <v>Utilizable</v>
      </c>
      <c r="T615" s="26" t="str">
        <f t="shared" si="69"/>
        <v>Alimentos con formulaciones Especiales|00.001.470</v>
      </c>
      <c r="U615" s="26">
        <f>IF(OR($S615&lt;&gt;"Utilizable",$C615&lt;&gt;SUSTITUCION!$C$13),999999,IF(v_prioridad="Potasio",$H615,IF(v_prioridad="Fósforo",$I615,IF(v_prioridad="Sodio",$J615,IF(ISNUMBER($Q615),$Q615,999999)))))</f>
        <v>999999</v>
      </c>
    </row>
    <row r="616" spans="1:21" ht="15" customHeight="1">
      <c r="A616" s="21" t="s">
        <v>1396</v>
      </c>
      <c r="B616" s="21" t="s">
        <v>1397</v>
      </c>
      <c r="C616" s="21" t="s">
        <v>1310</v>
      </c>
      <c r="D616" s="21" t="s">
        <v>1311</v>
      </c>
      <c r="E616" s="21" t="s">
        <v>135</v>
      </c>
      <c r="F616" s="22">
        <v>297</v>
      </c>
      <c r="G616" s="22">
        <v>70</v>
      </c>
      <c r="H616" s="22">
        <v>1542</v>
      </c>
      <c r="I616" s="22">
        <v>685</v>
      </c>
      <c r="J616" s="22">
        <v>3</v>
      </c>
      <c r="K616" s="22">
        <v>297</v>
      </c>
      <c r="L616" s="22">
        <v>70</v>
      </c>
      <c r="M616" s="22">
        <v>1375</v>
      </c>
      <c r="N616" s="23" t="str">
        <f t="shared" si="63"/>
        <v>Muy alto</v>
      </c>
      <c r="O616" s="23" t="str">
        <f t="shared" si="64"/>
        <v>Muy alto</v>
      </c>
      <c r="P616" s="23" t="str">
        <f t="shared" si="65"/>
        <v>Bajo</v>
      </c>
      <c r="Q616" s="24">
        <f t="shared" si="66"/>
        <v>9.7857142857142865</v>
      </c>
      <c r="R616" s="23" t="str">
        <f t="shared" si="67"/>
        <v>Deseable</v>
      </c>
      <c r="S616" s="25" t="str">
        <f t="shared" si="68"/>
        <v>Utilizable</v>
      </c>
      <c r="T616" s="26" t="str">
        <f t="shared" si="69"/>
        <v>Alimentos con formulaciones Especiales|00.001.542</v>
      </c>
      <c r="U616" s="26">
        <f>IF(OR($S616&lt;&gt;"Utilizable",$C616&lt;&gt;SUSTITUCION!$C$13),999999,IF(v_prioridad="Potasio",$H616,IF(v_prioridad="Fósforo",$I616,IF(v_prioridad="Sodio",$J616,IF(ISNUMBER($Q616),$Q616,999999)))))</f>
        <v>999999</v>
      </c>
    </row>
    <row r="617" spans="1:21" ht="15" customHeight="1">
      <c r="A617" s="21" t="s">
        <v>1398</v>
      </c>
      <c r="B617" s="21" t="s">
        <v>1399</v>
      </c>
      <c r="C617" s="21" t="s">
        <v>1310</v>
      </c>
      <c r="D617" s="21" t="s">
        <v>1311</v>
      </c>
      <c r="E617" s="21" t="s">
        <v>135</v>
      </c>
      <c r="F617" s="22">
        <v>498</v>
      </c>
      <c r="G617" s="22">
        <v>16.3</v>
      </c>
      <c r="H617" s="22">
        <v>1275</v>
      </c>
      <c r="I617" s="22">
        <v>487</v>
      </c>
      <c r="J617" s="22">
        <v>229</v>
      </c>
      <c r="K617" s="22">
        <v>498</v>
      </c>
      <c r="L617" s="22">
        <v>16.3</v>
      </c>
      <c r="M617" s="22">
        <v>704</v>
      </c>
      <c r="N617" s="23" t="str">
        <f t="shared" si="63"/>
        <v>Muy alto</v>
      </c>
      <c r="O617" s="23" t="str">
        <f t="shared" si="64"/>
        <v>Muy alto</v>
      </c>
      <c r="P617" s="23" t="str">
        <f t="shared" si="65"/>
        <v>Alto</v>
      </c>
      <c r="Q617" s="24">
        <f t="shared" si="66"/>
        <v>29.877300613496931</v>
      </c>
      <c r="R617" s="23" t="str">
        <f t="shared" si="67"/>
        <v>Alta</v>
      </c>
      <c r="S617" s="25" t="str">
        <f t="shared" si="68"/>
        <v>Utilizable</v>
      </c>
      <c r="T617" s="26" t="str">
        <f t="shared" si="69"/>
        <v>Alimentos con formulaciones Especiales|00.001.275</v>
      </c>
      <c r="U617" s="26">
        <f>IF(OR($S617&lt;&gt;"Utilizable",$C617&lt;&gt;SUSTITUCION!$C$13),999999,IF(v_prioridad="Potasio",$H617,IF(v_prioridad="Fósforo",$I617,IF(v_prioridad="Sodio",$J617,IF(ISNUMBER($Q617),$Q617,999999)))))</f>
        <v>999999</v>
      </c>
    </row>
    <row r="618" spans="1:21" ht="15" customHeight="1">
      <c r="A618" s="21" t="s">
        <v>1400</v>
      </c>
      <c r="B618" s="21" t="s">
        <v>1401</v>
      </c>
      <c r="C618" s="21" t="s">
        <v>1310</v>
      </c>
      <c r="D618" s="21" t="s">
        <v>1311</v>
      </c>
      <c r="E618" s="21" t="s">
        <v>135</v>
      </c>
      <c r="F618" s="22">
        <v>440</v>
      </c>
      <c r="G618" s="22">
        <v>38.1</v>
      </c>
      <c r="H618" s="22">
        <v>772</v>
      </c>
      <c r="I618" s="22">
        <v>960</v>
      </c>
      <c r="J618" s="22">
        <v>109</v>
      </c>
      <c r="K618" s="22">
        <v>440</v>
      </c>
      <c r="L618" s="22">
        <v>38.1</v>
      </c>
      <c r="M618" s="22" t="s">
        <v>138</v>
      </c>
      <c r="N618" s="23" t="str">
        <f t="shared" si="63"/>
        <v>Muy alto</v>
      </c>
      <c r="O618" s="23" t="str">
        <f t="shared" si="64"/>
        <v>Muy alto</v>
      </c>
      <c r="P618" s="23" t="str">
        <f t="shared" si="65"/>
        <v>Medio</v>
      </c>
      <c r="Q618" s="24">
        <f t="shared" si="66"/>
        <v>25.196850393700785</v>
      </c>
      <c r="R618" s="23" t="str">
        <f t="shared" si="67"/>
        <v>Alta</v>
      </c>
      <c r="S618" s="25" t="str">
        <f t="shared" si="68"/>
        <v>Utilizable</v>
      </c>
      <c r="T618" s="26" t="str">
        <f t="shared" si="69"/>
        <v>Alimentos con formulaciones Especiales|00.000.772</v>
      </c>
      <c r="U618" s="26">
        <f>IF(OR($S618&lt;&gt;"Utilizable",$C618&lt;&gt;SUSTITUCION!$C$13),999999,IF(v_prioridad="Potasio",$H618,IF(v_prioridad="Fósforo",$I618,IF(v_prioridad="Sodio",$J618,IF(ISNUMBER($Q618),$Q618,999999)))))</f>
        <v>999999</v>
      </c>
    </row>
    <row r="619" spans="1:21" ht="15" customHeight="1">
      <c r="A619" s="21" t="s">
        <v>1402</v>
      </c>
      <c r="B619" s="21" t="s">
        <v>1403</v>
      </c>
      <c r="C619" s="21" t="s">
        <v>1310</v>
      </c>
      <c r="D619" s="21" t="s">
        <v>1311</v>
      </c>
      <c r="E619" s="21" t="s">
        <v>135</v>
      </c>
      <c r="F619" s="22">
        <v>309</v>
      </c>
      <c r="G619" s="22">
        <v>25</v>
      </c>
      <c r="H619" s="22">
        <v>840</v>
      </c>
      <c r="I619" s="22">
        <v>810</v>
      </c>
      <c r="J619" s="22">
        <v>580</v>
      </c>
      <c r="K619" s="22">
        <v>309</v>
      </c>
      <c r="L619" s="22">
        <v>25</v>
      </c>
      <c r="M619" s="22">
        <v>810</v>
      </c>
      <c r="N619" s="23" t="str">
        <f t="shared" si="63"/>
        <v>Muy alto</v>
      </c>
      <c r="O619" s="23" t="str">
        <f t="shared" si="64"/>
        <v>Muy alto</v>
      </c>
      <c r="P619" s="23" t="str">
        <f t="shared" si="65"/>
        <v>Muy alto</v>
      </c>
      <c r="Q619" s="24">
        <f t="shared" si="66"/>
        <v>32.4</v>
      </c>
      <c r="R619" s="23" t="str">
        <f t="shared" si="67"/>
        <v>Alta</v>
      </c>
      <c r="S619" s="25" t="str">
        <f t="shared" si="68"/>
        <v>Utilizable</v>
      </c>
      <c r="T619" s="26" t="str">
        <f t="shared" si="69"/>
        <v>Alimentos con formulaciones Especiales|00.000.840</v>
      </c>
      <c r="U619" s="26">
        <f>IF(OR($S619&lt;&gt;"Utilizable",$C619&lt;&gt;SUSTITUCION!$C$13),999999,IF(v_prioridad="Potasio",$H619,IF(v_prioridad="Fósforo",$I619,IF(v_prioridad="Sodio",$J619,IF(ISNUMBER($Q619),$Q619,999999)))))</f>
        <v>999999</v>
      </c>
    </row>
    <row r="620" spans="1:21" ht="15" customHeight="1">
      <c r="A620" s="21" t="s">
        <v>1404</v>
      </c>
      <c r="B620" s="21" t="s">
        <v>1405</v>
      </c>
      <c r="C620" s="21" t="s">
        <v>1310</v>
      </c>
      <c r="D620" s="21" t="s">
        <v>1311</v>
      </c>
      <c r="E620" s="21" t="s">
        <v>135</v>
      </c>
      <c r="F620" s="22">
        <v>297</v>
      </c>
      <c r="G620" s="22">
        <v>39</v>
      </c>
      <c r="H620" s="22">
        <v>700</v>
      </c>
      <c r="I620" s="22">
        <v>670</v>
      </c>
      <c r="J620" s="22">
        <v>560</v>
      </c>
      <c r="K620" s="22">
        <v>297</v>
      </c>
      <c r="L620" s="22">
        <v>39</v>
      </c>
      <c r="M620" s="22">
        <v>670</v>
      </c>
      <c r="N620" s="23" t="str">
        <f t="shared" si="63"/>
        <v>Muy alto</v>
      </c>
      <c r="O620" s="23" t="str">
        <f t="shared" si="64"/>
        <v>Muy alto</v>
      </c>
      <c r="P620" s="23" t="str">
        <f t="shared" si="65"/>
        <v>Muy alto</v>
      </c>
      <c r="Q620" s="24">
        <f t="shared" si="66"/>
        <v>17.179487179487179</v>
      </c>
      <c r="R620" s="23" t="str">
        <f t="shared" si="67"/>
        <v>Alta</v>
      </c>
      <c r="S620" s="25" t="str">
        <f t="shared" si="68"/>
        <v>Utilizable</v>
      </c>
      <c r="T620" s="26" t="str">
        <f t="shared" si="69"/>
        <v>Alimentos con formulaciones Especiales|00.000.700</v>
      </c>
      <c r="U620" s="26">
        <f>IF(OR($S620&lt;&gt;"Utilizable",$C620&lt;&gt;SUSTITUCION!$C$13),999999,IF(v_prioridad="Potasio",$H620,IF(v_prioridad="Fósforo",$I620,IF(v_prioridad="Sodio",$J620,IF(ISNUMBER($Q620),$Q620,999999)))))</f>
        <v>999999</v>
      </c>
    </row>
    <row r="621" spans="1:21" ht="15" customHeight="1">
      <c r="A621" s="21" t="s">
        <v>1406</v>
      </c>
      <c r="B621" s="21" t="s">
        <v>1407</v>
      </c>
      <c r="C621" s="21" t="s">
        <v>1310</v>
      </c>
      <c r="D621" s="21" t="s">
        <v>1311</v>
      </c>
      <c r="E621" s="21" t="s">
        <v>135</v>
      </c>
      <c r="F621" s="22">
        <v>309</v>
      </c>
      <c r="G621" s="22">
        <v>25</v>
      </c>
      <c r="H621" s="22">
        <v>840</v>
      </c>
      <c r="I621" s="22">
        <v>810</v>
      </c>
      <c r="J621" s="22">
        <v>580</v>
      </c>
      <c r="K621" s="22">
        <v>309</v>
      </c>
      <c r="L621" s="22">
        <v>25</v>
      </c>
      <c r="M621" s="22">
        <v>810</v>
      </c>
      <c r="N621" s="23" t="str">
        <f t="shared" si="63"/>
        <v>Muy alto</v>
      </c>
      <c r="O621" s="23" t="str">
        <f t="shared" si="64"/>
        <v>Muy alto</v>
      </c>
      <c r="P621" s="23" t="str">
        <f t="shared" si="65"/>
        <v>Muy alto</v>
      </c>
      <c r="Q621" s="24">
        <f t="shared" si="66"/>
        <v>32.4</v>
      </c>
      <c r="R621" s="23" t="str">
        <f t="shared" si="67"/>
        <v>Alta</v>
      </c>
      <c r="S621" s="25" t="str">
        <f t="shared" si="68"/>
        <v>Utilizable</v>
      </c>
      <c r="T621" s="26" t="str">
        <f t="shared" si="69"/>
        <v>Alimentos con formulaciones Especiales|00.000.840</v>
      </c>
      <c r="U621" s="26">
        <f>IF(OR($S621&lt;&gt;"Utilizable",$C621&lt;&gt;SUSTITUCION!$C$13),999999,IF(v_prioridad="Potasio",$H621,IF(v_prioridad="Fósforo",$I621,IF(v_prioridad="Sodio",$J621,IF(ISNUMBER($Q621),$Q621,999999)))))</f>
        <v>999999</v>
      </c>
    </row>
    <row r="622" spans="1:21" ht="15" customHeight="1">
      <c r="A622" s="21" t="s">
        <v>1408</v>
      </c>
      <c r="B622" s="21" t="s">
        <v>1409</v>
      </c>
      <c r="C622" s="21" t="s">
        <v>1310</v>
      </c>
      <c r="D622" s="21" t="s">
        <v>1311</v>
      </c>
      <c r="E622" s="21" t="s">
        <v>135</v>
      </c>
      <c r="F622" s="22">
        <v>297</v>
      </c>
      <c r="G622" s="22">
        <v>39</v>
      </c>
      <c r="H622" s="22">
        <v>700</v>
      </c>
      <c r="I622" s="22">
        <v>670</v>
      </c>
      <c r="J622" s="22">
        <v>560</v>
      </c>
      <c r="K622" s="22">
        <v>297</v>
      </c>
      <c r="L622" s="22">
        <v>39</v>
      </c>
      <c r="M622" s="22">
        <v>670</v>
      </c>
      <c r="N622" s="23" t="str">
        <f t="shared" si="63"/>
        <v>Muy alto</v>
      </c>
      <c r="O622" s="23" t="str">
        <f t="shared" si="64"/>
        <v>Muy alto</v>
      </c>
      <c r="P622" s="23" t="str">
        <f t="shared" si="65"/>
        <v>Muy alto</v>
      </c>
      <c r="Q622" s="24">
        <f t="shared" si="66"/>
        <v>17.179487179487179</v>
      </c>
      <c r="R622" s="23" t="str">
        <f t="shared" si="67"/>
        <v>Alta</v>
      </c>
      <c r="S622" s="25" t="str">
        <f t="shared" si="68"/>
        <v>Utilizable</v>
      </c>
      <c r="T622" s="26" t="str">
        <f t="shared" si="69"/>
        <v>Alimentos con formulaciones Especiales|00.000.700</v>
      </c>
      <c r="U622" s="26">
        <f>IF(OR($S622&lt;&gt;"Utilizable",$C622&lt;&gt;SUSTITUCION!$C$13),999999,IF(v_prioridad="Potasio",$H622,IF(v_prioridad="Fósforo",$I622,IF(v_prioridad="Sodio",$J622,IF(ISNUMBER($Q622),$Q622,999999)))))</f>
        <v>999999</v>
      </c>
    </row>
    <row r="623" spans="1:21" ht="15" customHeight="1">
      <c r="A623" s="21" t="s">
        <v>1410</v>
      </c>
      <c r="B623" s="21" t="s">
        <v>1411</v>
      </c>
      <c r="C623" s="21" t="s">
        <v>1310</v>
      </c>
      <c r="D623" s="21" t="s">
        <v>1311</v>
      </c>
      <c r="E623" s="21" t="s">
        <v>135</v>
      </c>
      <c r="F623" s="22">
        <v>297</v>
      </c>
      <c r="G623" s="22">
        <v>39</v>
      </c>
      <c r="H623" s="22">
        <v>700</v>
      </c>
      <c r="I623" s="22">
        <v>670</v>
      </c>
      <c r="J623" s="22">
        <v>560</v>
      </c>
      <c r="K623" s="22">
        <v>297</v>
      </c>
      <c r="L623" s="22">
        <v>39</v>
      </c>
      <c r="M623" s="22">
        <v>670</v>
      </c>
      <c r="N623" s="23" t="str">
        <f t="shared" si="63"/>
        <v>Muy alto</v>
      </c>
      <c r="O623" s="23" t="str">
        <f t="shared" si="64"/>
        <v>Muy alto</v>
      </c>
      <c r="P623" s="23" t="str">
        <f t="shared" si="65"/>
        <v>Muy alto</v>
      </c>
      <c r="Q623" s="24">
        <f t="shared" si="66"/>
        <v>17.179487179487179</v>
      </c>
      <c r="R623" s="23" t="str">
        <f t="shared" si="67"/>
        <v>Alta</v>
      </c>
      <c r="S623" s="25" t="str">
        <f t="shared" si="68"/>
        <v>Utilizable</v>
      </c>
      <c r="T623" s="26" t="str">
        <f t="shared" si="69"/>
        <v>Alimentos con formulaciones Especiales|00.000.700</v>
      </c>
      <c r="U623" s="26">
        <f>IF(OR($S623&lt;&gt;"Utilizable",$C623&lt;&gt;SUSTITUCION!$C$13),999999,IF(v_prioridad="Potasio",$H623,IF(v_prioridad="Fósforo",$I623,IF(v_prioridad="Sodio",$J623,IF(ISNUMBER($Q623),$Q623,999999)))))</f>
        <v>999999</v>
      </c>
    </row>
    <row r="624" spans="1:21" ht="15" customHeight="1">
      <c r="A624" s="21" t="s">
        <v>1412</v>
      </c>
      <c r="B624" s="21" t="s">
        <v>1413</v>
      </c>
      <c r="C624" s="21" t="s">
        <v>1310</v>
      </c>
      <c r="D624" s="21" t="s">
        <v>1311</v>
      </c>
      <c r="E624" s="21" t="s">
        <v>135</v>
      </c>
      <c r="F624" s="22">
        <v>309</v>
      </c>
      <c r="G624" s="22">
        <v>25</v>
      </c>
      <c r="H624" s="22">
        <v>840</v>
      </c>
      <c r="I624" s="22">
        <v>810</v>
      </c>
      <c r="J624" s="22">
        <v>580</v>
      </c>
      <c r="K624" s="22">
        <v>309</v>
      </c>
      <c r="L624" s="22">
        <v>25</v>
      </c>
      <c r="M624" s="22">
        <v>810</v>
      </c>
      <c r="N624" s="23" t="str">
        <f t="shared" si="63"/>
        <v>Muy alto</v>
      </c>
      <c r="O624" s="23" t="str">
        <f t="shared" si="64"/>
        <v>Muy alto</v>
      </c>
      <c r="P624" s="23" t="str">
        <f t="shared" si="65"/>
        <v>Muy alto</v>
      </c>
      <c r="Q624" s="24">
        <f t="shared" si="66"/>
        <v>32.4</v>
      </c>
      <c r="R624" s="23" t="str">
        <f t="shared" si="67"/>
        <v>Alta</v>
      </c>
      <c r="S624" s="25" t="str">
        <f t="shared" si="68"/>
        <v>Utilizable</v>
      </c>
      <c r="T624" s="26" t="str">
        <f t="shared" si="69"/>
        <v>Alimentos con formulaciones Especiales|00.000.840</v>
      </c>
      <c r="U624" s="26">
        <f>IF(OR($S624&lt;&gt;"Utilizable",$C624&lt;&gt;SUSTITUCION!$C$13),999999,IF(v_prioridad="Potasio",$H624,IF(v_prioridad="Fósforo",$I624,IF(v_prioridad="Sodio",$J624,IF(ISNUMBER($Q624),$Q624,999999)))))</f>
        <v>999999</v>
      </c>
    </row>
    <row r="625" spans="1:21" ht="15" customHeight="1">
      <c r="A625" s="21" t="s">
        <v>1414</v>
      </c>
      <c r="B625" s="21" t="s">
        <v>1415</v>
      </c>
      <c r="C625" s="21" t="s">
        <v>1310</v>
      </c>
      <c r="D625" s="21" t="s">
        <v>1311</v>
      </c>
      <c r="E625" s="21" t="s">
        <v>135</v>
      </c>
      <c r="F625" s="22">
        <v>297</v>
      </c>
      <c r="G625" s="22">
        <v>39</v>
      </c>
      <c r="H625" s="22">
        <v>700</v>
      </c>
      <c r="I625" s="22">
        <v>670</v>
      </c>
      <c r="J625" s="22">
        <v>560</v>
      </c>
      <c r="K625" s="22">
        <v>297</v>
      </c>
      <c r="L625" s="22">
        <v>39</v>
      </c>
      <c r="M625" s="22">
        <v>670</v>
      </c>
      <c r="N625" s="23" t="str">
        <f t="shared" si="63"/>
        <v>Muy alto</v>
      </c>
      <c r="O625" s="23" t="str">
        <f t="shared" si="64"/>
        <v>Muy alto</v>
      </c>
      <c r="P625" s="23" t="str">
        <f t="shared" si="65"/>
        <v>Muy alto</v>
      </c>
      <c r="Q625" s="24">
        <f t="shared" si="66"/>
        <v>17.179487179487179</v>
      </c>
      <c r="R625" s="23" t="str">
        <f t="shared" si="67"/>
        <v>Alta</v>
      </c>
      <c r="S625" s="25" t="str">
        <f t="shared" si="68"/>
        <v>Utilizable</v>
      </c>
      <c r="T625" s="26" t="str">
        <f t="shared" si="69"/>
        <v>Alimentos con formulaciones Especiales|00.000.700</v>
      </c>
      <c r="U625" s="26">
        <f>IF(OR($S625&lt;&gt;"Utilizable",$C625&lt;&gt;SUSTITUCION!$C$13),999999,IF(v_prioridad="Potasio",$H625,IF(v_prioridad="Fósforo",$I625,IF(v_prioridad="Sodio",$J625,IF(ISNUMBER($Q625),$Q625,999999)))))</f>
        <v>999999</v>
      </c>
    </row>
    <row r="626" spans="1:21" ht="15" customHeight="1">
      <c r="A626" s="21" t="s">
        <v>1416</v>
      </c>
      <c r="B626" s="21" t="s">
        <v>1417</v>
      </c>
      <c r="C626" s="21" t="s">
        <v>1310</v>
      </c>
      <c r="D626" s="21" t="s">
        <v>1311</v>
      </c>
      <c r="E626" s="21" t="s">
        <v>135</v>
      </c>
      <c r="F626" s="22">
        <v>297</v>
      </c>
      <c r="G626" s="22">
        <v>39</v>
      </c>
      <c r="H626" s="22">
        <v>700</v>
      </c>
      <c r="I626" s="22">
        <v>670</v>
      </c>
      <c r="J626" s="22">
        <v>360</v>
      </c>
      <c r="K626" s="22">
        <v>297</v>
      </c>
      <c r="L626" s="22">
        <v>39</v>
      </c>
      <c r="M626" s="22">
        <v>670</v>
      </c>
      <c r="N626" s="23" t="str">
        <f t="shared" si="63"/>
        <v>Muy alto</v>
      </c>
      <c r="O626" s="23" t="str">
        <f t="shared" si="64"/>
        <v>Muy alto</v>
      </c>
      <c r="P626" s="23" t="str">
        <f t="shared" si="65"/>
        <v>Alto</v>
      </c>
      <c r="Q626" s="24">
        <f t="shared" si="66"/>
        <v>17.179487179487179</v>
      </c>
      <c r="R626" s="23" t="str">
        <f t="shared" si="67"/>
        <v>Alta</v>
      </c>
      <c r="S626" s="25" t="str">
        <f t="shared" si="68"/>
        <v>Utilizable</v>
      </c>
      <c r="T626" s="26" t="str">
        <f t="shared" si="69"/>
        <v>Alimentos con formulaciones Especiales|00.000.700</v>
      </c>
      <c r="U626" s="26">
        <f>IF(OR($S626&lt;&gt;"Utilizable",$C626&lt;&gt;SUSTITUCION!$C$13),999999,IF(v_prioridad="Potasio",$H626,IF(v_prioridad="Fósforo",$I626,IF(v_prioridad="Sodio",$J626,IF(ISNUMBER($Q626),$Q626,999999)))))</f>
        <v>999999</v>
      </c>
    </row>
  </sheetData>
  <mergeCells count="4">
    <mergeCell ref="A1:V1"/>
    <mergeCell ref="A2:V3"/>
    <mergeCell ref="A4:B4"/>
    <mergeCell ref="A6:V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C6B72"/>
  </sheetPr>
  <dimension ref="A1:Q47"/>
  <sheetViews>
    <sheetView showGridLines="0" workbookViewId="0">
      <selection sqref="A1:Q1"/>
    </sheetView>
  </sheetViews>
  <sheetFormatPr baseColWidth="10" defaultColWidth="9.140625" defaultRowHeight="15"/>
  <cols>
    <col min="1" max="2" width="24.85546875" style="14" customWidth="1"/>
    <col min="3" max="3" width="10" style="14" customWidth="1"/>
    <col min="4" max="4" width="22" style="14" customWidth="1"/>
    <col min="5" max="9" width="13" style="14" customWidth="1"/>
    <col min="10" max="12" width="11" style="14" customWidth="1"/>
    <col min="13" max="13" width="22.140625" style="14" customWidth="1"/>
    <col min="14" max="14" width="44" style="14" customWidth="1"/>
    <col min="15"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1418</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31.5" customHeight="1">
      <c r="A6" s="8" t="s">
        <v>83</v>
      </c>
      <c r="B6" s="8"/>
      <c r="C6" s="143" t="str">
        <f>v_revision</f>
        <v>REVISIÓN PENDIENTE · faltan 5 punto(s). Este explorador NO debe usarse para orientar a un paciente mientras la revisión no esté completa.</v>
      </c>
      <c r="D6" s="143"/>
      <c r="E6" s="143"/>
      <c r="F6" s="143"/>
      <c r="G6" s="143"/>
      <c r="H6" s="143"/>
      <c r="I6" s="143"/>
      <c r="J6" s="143"/>
      <c r="K6" s="143"/>
    </row>
    <row r="8" spans="1:17" ht="19.5" customHeight="1">
      <c r="A8" s="6" t="s">
        <v>1419</v>
      </c>
      <c r="B8" s="6"/>
      <c r="C8" s="6"/>
      <c r="D8" s="6"/>
      <c r="E8" s="6"/>
      <c r="F8" s="6"/>
      <c r="G8" s="6"/>
      <c r="H8" s="6"/>
      <c r="I8" s="6"/>
      <c r="J8" s="6"/>
      <c r="K8" s="6"/>
      <c r="L8" s="6"/>
      <c r="M8" s="6"/>
      <c r="N8" s="6"/>
      <c r="O8" s="6"/>
      <c r="P8" s="6"/>
      <c r="Q8" s="6"/>
    </row>
    <row r="9" spans="1:17" ht="15" customHeight="1">
      <c r="A9" s="144" t="s">
        <v>1420</v>
      </c>
      <c r="B9" s="144"/>
      <c r="C9" s="144"/>
      <c r="D9" s="144"/>
      <c r="E9" s="144"/>
      <c r="F9" s="144"/>
      <c r="G9" s="144"/>
      <c r="H9" s="144"/>
      <c r="I9" s="144"/>
      <c r="J9" s="144"/>
      <c r="K9" s="144"/>
      <c r="L9" s="144"/>
      <c r="M9" s="144"/>
      <c r="N9" s="144"/>
      <c r="O9" s="144"/>
      <c r="P9" s="144"/>
      <c r="Q9" s="144"/>
    </row>
    <row r="10" spans="1:17" ht="36" customHeight="1">
      <c r="A10" s="20" t="s">
        <v>1421</v>
      </c>
      <c r="B10" s="20" t="s">
        <v>112</v>
      </c>
      <c r="C10" s="20" t="s">
        <v>1422</v>
      </c>
      <c r="D10" s="20" t="s">
        <v>128</v>
      </c>
      <c r="E10" s="20" t="s">
        <v>116</v>
      </c>
      <c r="F10" s="20" t="s">
        <v>117</v>
      </c>
      <c r="G10" s="20" t="s">
        <v>118</v>
      </c>
      <c r="H10" s="20" t="s">
        <v>119</v>
      </c>
      <c r="I10" s="20" t="s">
        <v>120</v>
      </c>
      <c r="J10" s="20" t="s">
        <v>1423</v>
      </c>
      <c r="K10" s="20" t="s">
        <v>1424</v>
      </c>
      <c r="L10" s="20" t="s">
        <v>1425</v>
      </c>
      <c r="M10" s="20" t="s">
        <v>1426</v>
      </c>
      <c r="N10" s="20" t="s">
        <v>1427</v>
      </c>
    </row>
    <row r="11" spans="1:17" ht="15" customHeight="1">
      <c r="A11" s="27">
        <v>1</v>
      </c>
      <c r="B11" s="28" t="s">
        <v>756</v>
      </c>
      <c r="C11" s="29">
        <v>150</v>
      </c>
      <c r="D11" s="30" t="str">
        <f t="shared" ref="D11:D20" si="0">IF($B11="","",IF(COUNTIF(lst_alimentos,$B11)=0,"ND: fuera de la base",INDEX(rng_estado,MATCH($B11,lst_alimentos,0))))</f>
        <v>Utilizable</v>
      </c>
      <c r="E11" s="31">
        <f t="shared" ref="E11:E20" si="1">IF(OR($B11="",$D11&lt;&gt;"Utilizable",NOT(ISNUMBER($C11))),"",IF(NOT(ISNUMBER(INDEX(rng_kcal,MATCH($B11,lst_alimentos,0)))),"ND",INDEX(rng_kcal,MATCH($B11,lst_alimentos,0))*$C11/100))</f>
        <v>133.5</v>
      </c>
      <c r="F11" s="31">
        <f t="shared" ref="F11:F20" si="2">IF(OR($B11="",$D11&lt;&gt;"Utilizable",NOT(ISNUMBER($C11))),"",IF(NOT(ISNUMBER(INDEX(rng_prot,MATCH($B11,lst_alimentos,0)))),"ND",INDEX(rng_prot,MATCH($B11,lst_alimentos,0))*$C11/100))</f>
        <v>3.45</v>
      </c>
      <c r="G11" s="32">
        <f t="shared" ref="G11:G20" si="3">IF(OR($B11="",$D11&lt;&gt;"Utilizable",NOT(ISNUMBER($C11))),"",IF(NOT(ISNUMBER(INDEX(rng_K,MATCH($B11,lst_alimentos,0)))),"ND",INDEX(rng_K,MATCH($B11,lst_alimentos,0))*$C11/100))</f>
        <v>817.5</v>
      </c>
      <c r="H11" s="32">
        <f t="shared" ref="H11:H20" si="4">IF(OR($B11="",$D11&lt;&gt;"Utilizable",NOT(ISNUMBER($C11))),"",IF(NOT(ISNUMBER(INDEX(rng_P,MATCH($B11,lst_alimentos,0)))),"ND",INDEX(rng_P,MATCH($B11,lst_alimentos,0))*$C11/100))</f>
        <v>108</v>
      </c>
      <c r="I11" s="31">
        <f t="shared" ref="I11:I20" si="5">IF(OR($B11="",$D11&lt;&gt;"Utilizable",NOT(ISNUMBER($C11))),"",IF(NOT(ISNUMBER(INDEX(rng_Na,MATCH($B11,lst_alimentos,0)))),"ND",INDEX(rng_Na,MATCH($B11,lst_alimentos,0))*$C11/100))</f>
        <v>18</v>
      </c>
      <c r="J11" s="33" t="str">
        <f t="shared" ref="J11:J20" si="6">IF(NOT(ISNUMBER(INDEX(rng_K,MATCH($B11,lst_alimentos,0)))),"",IF(INDEX(rng_K,MATCH($B11,lst_alimentos,0))&lt;=INDEX(rng_umbrales,1,2),"Bajo",IF(INDEX(rng_K,MATCH($B11,lst_alimentos,0))&lt;=INDEX(rng_umbrales,1,3),"Medio",IF(INDEX(rng_K,MATCH($B11,lst_alimentos,0))&lt;=INDEX(rng_umbrales,1,4),"Alto","Muy alto"))))</f>
        <v>Muy alto</v>
      </c>
      <c r="K11" s="33" t="str">
        <f t="shared" ref="K11:K20" si="7">IF(NOT(ISNUMBER(INDEX(rng_P,MATCH($B11,lst_alimentos,0)))),"",IF(INDEX(rng_P,MATCH($B11,lst_alimentos,0))&lt;=INDEX(rng_umbrales,2,2),"Bajo",IF(INDEX(rng_P,MATCH($B11,lst_alimentos,0))&lt;=INDEX(rng_umbrales,2,3),"Medio",IF(INDEX(rng_P,MATCH($B11,lst_alimentos,0))&lt;=INDEX(rng_umbrales,2,4),"Alto","Muy alto"))))</f>
        <v>Medio</v>
      </c>
      <c r="L11" s="33" t="str">
        <f t="shared" ref="L11:L20" si="8">IF(NOT(ISNUMBER(INDEX(rng_Na,MATCH($B11,lst_alimentos,0)))),"",IF(INDEX(rng_Na,MATCH($B11,lst_alimentos,0))&lt;=INDEX(rng_umbrales,3,2),"Bajo",IF(INDEX(rng_Na,MATCH($B11,lst_alimentos,0))&lt;=INDEX(rng_umbrales,3,3),"Medio",IF(INDEX(rng_Na,MATCH($B11,lst_alimentos,0))&lt;=INDEX(rng_umbrales,3,4),"Alto","Muy alto"))))</f>
        <v>Bajo</v>
      </c>
      <c r="M11" s="34" t="str">
        <f t="shared" ref="M11:M20" si="9">IF($B11="","",INDEX(rng_pp,MATCH($B11,lst_alimentos,0)))</f>
        <v>N/C: no es fuente proteica</v>
      </c>
      <c r="N11" s="35" t="str">
        <f t="shared" ref="N11:N20" si="10">IF($B11="","",IF($D11&lt;&gt;"Utilizable","NO UTILIZABLE: la fuente no informa alguno de los nutrientes críticos",IF(OR($J11="Muy alto",$K11="Muy alto",$L11="Muy alto"),"Contenido muy alto en al menos un nutriente crítico","")))</f>
        <v>Contenido muy alto en al menos un nutriente crítico</v>
      </c>
    </row>
    <row r="12" spans="1:17" ht="15" customHeight="1">
      <c r="A12" s="27">
        <v>2</v>
      </c>
      <c r="B12" s="28" t="s">
        <v>636</v>
      </c>
      <c r="C12" s="29">
        <v>150</v>
      </c>
      <c r="D12" s="30" t="str">
        <f t="shared" si="0"/>
        <v>Utilizable</v>
      </c>
      <c r="E12" s="31">
        <f t="shared" si="1"/>
        <v>195</v>
      </c>
      <c r="F12" s="31">
        <f t="shared" si="2"/>
        <v>4.05</v>
      </c>
      <c r="G12" s="32">
        <f t="shared" si="3"/>
        <v>52.5</v>
      </c>
      <c r="H12" s="32">
        <f t="shared" si="4"/>
        <v>64.5</v>
      </c>
      <c r="I12" s="31">
        <f t="shared" si="5"/>
        <v>1.5</v>
      </c>
      <c r="J12" s="33" t="str">
        <f t="shared" si="6"/>
        <v>Bajo</v>
      </c>
      <c r="K12" s="33" t="str">
        <f t="shared" si="7"/>
        <v>Bajo</v>
      </c>
      <c r="L12" s="33" t="str">
        <f t="shared" si="8"/>
        <v>Bajo</v>
      </c>
      <c r="M12" s="34" t="str">
        <f t="shared" si="9"/>
        <v>N/C: no es fuente proteica</v>
      </c>
      <c r="N12" s="35" t="str">
        <f t="shared" si="10"/>
        <v/>
      </c>
    </row>
    <row r="13" spans="1:17" ht="15" customHeight="1">
      <c r="A13" s="27">
        <v>3</v>
      </c>
      <c r="B13" s="28" t="s">
        <v>248</v>
      </c>
      <c r="C13" s="29">
        <v>100</v>
      </c>
      <c r="D13" s="30" t="str">
        <f t="shared" si="0"/>
        <v>Utilizable</v>
      </c>
      <c r="E13" s="31">
        <f t="shared" si="1"/>
        <v>52</v>
      </c>
      <c r="F13" s="31">
        <f t="shared" si="2"/>
        <v>10.9</v>
      </c>
      <c r="G13" s="32">
        <f t="shared" si="3"/>
        <v>163</v>
      </c>
      <c r="H13" s="32">
        <f t="shared" si="4"/>
        <v>15</v>
      </c>
      <c r="I13" s="31">
        <f t="shared" si="5"/>
        <v>166</v>
      </c>
      <c r="J13" s="33" t="str">
        <f t="shared" si="6"/>
        <v>Medio</v>
      </c>
      <c r="K13" s="33" t="str">
        <f t="shared" si="7"/>
        <v>Bajo</v>
      </c>
      <c r="L13" s="33" t="str">
        <f t="shared" si="8"/>
        <v>Alto</v>
      </c>
      <c r="M13" s="34">
        <f t="shared" si="9"/>
        <v>1.3761467889908257</v>
      </c>
      <c r="N13" s="35" t="str">
        <f t="shared" si="10"/>
        <v/>
      </c>
    </row>
    <row r="14" spans="1:17" ht="15" customHeight="1">
      <c r="A14" s="27">
        <v>4</v>
      </c>
      <c r="B14" s="28" t="s">
        <v>260</v>
      </c>
      <c r="C14" s="29">
        <v>100</v>
      </c>
      <c r="D14" s="30" t="str">
        <f t="shared" si="0"/>
        <v>Utilizable</v>
      </c>
      <c r="E14" s="31">
        <f t="shared" si="1"/>
        <v>130</v>
      </c>
      <c r="F14" s="31">
        <f t="shared" si="2"/>
        <v>22.3</v>
      </c>
      <c r="G14" s="32">
        <f t="shared" si="3"/>
        <v>180</v>
      </c>
      <c r="H14" s="32">
        <f t="shared" si="4"/>
        <v>91</v>
      </c>
      <c r="I14" s="31">
        <f t="shared" si="5"/>
        <v>70</v>
      </c>
      <c r="J14" s="33" t="str">
        <f t="shared" si="6"/>
        <v>Medio</v>
      </c>
      <c r="K14" s="33" t="str">
        <f t="shared" si="7"/>
        <v>Medio</v>
      </c>
      <c r="L14" s="33" t="str">
        <f t="shared" si="8"/>
        <v>Medio</v>
      </c>
      <c r="M14" s="34">
        <f t="shared" si="9"/>
        <v>4.0807174887892375</v>
      </c>
      <c r="N14" s="35" t="str">
        <f t="shared" si="10"/>
        <v/>
      </c>
    </row>
    <row r="15" spans="1:17" ht="15" customHeight="1">
      <c r="A15" s="27">
        <v>5</v>
      </c>
      <c r="B15" s="28" t="s">
        <v>937</v>
      </c>
      <c r="C15" s="29">
        <v>120</v>
      </c>
      <c r="D15" s="30" t="str">
        <f t="shared" si="0"/>
        <v>Utilizable</v>
      </c>
      <c r="E15" s="31">
        <f t="shared" si="1"/>
        <v>62.4</v>
      </c>
      <c r="F15" s="31">
        <f t="shared" si="2"/>
        <v>0.36</v>
      </c>
      <c r="G15" s="32">
        <f t="shared" si="3"/>
        <v>128.4</v>
      </c>
      <c r="H15" s="32">
        <f t="shared" si="4"/>
        <v>13.2</v>
      </c>
      <c r="I15" s="31">
        <f t="shared" si="5"/>
        <v>1.2</v>
      </c>
      <c r="J15" s="33" t="str">
        <f t="shared" si="6"/>
        <v>Medio</v>
      </c>
      <c r="K15" s="33" t="str">
        <f t="shared" si="7"/>
        <v>Bajo</v>
      </c>
      <c r="L15" s="33" t="str">
        <f t="shared" si="8"/>
        <v>Bajo</v>
      </c>
      <c r="M15" s="34" t="str">
        <f t="shared" si="9"/>
        <v>N/C: no es fuente proteica</v>
      </c>
      <c r="N15" s="35" t="str">
        <f t="shared" si="10"/>
        <v/>
      </c>
    </row>
    <row r="16" spans="1:17" ht="15" customHeight="1">
      <c r="A16" s="27">
        <v>6</v>
      </c>
      <c r="B16" s="28" t="s">
        <v>865</v>
      </c>
      <c r="C16" s="29">
        <v>100</v>
      </c>
      <c r="D16" s="30" t="str">
        <f t="shared" si="0"/>
        <v>Utilizable</v>
      </c>
      <c r="E16" s="31">
        <f t="shared" si="1"/>
        <v>18</v>
      </c>
      <c r="F16" s="31">
        <f t="shared" si="2"/>
        <v>0.9</v>
      </c>
      <c r="G16" s="32">
        <f t="shared" si="3"/>
        <v>237</v>
      </c>
      <c r="H16" s="32">
        <f t="shared" si="4"/>
        <v>24</v>
      </c>
      <c r="I16" s="31">
        <f t="shared" si="5"/>
        <v>5</v>
      </c>
      <c r="J16" s="33" t="str">
        <f t="shared" si="6"/>
        <v>Alto</v>
      </c>
      <c r="K16" s="33" t="str">
        <f t="shared" si="7"/>
        <v>Bajo</v>
      </c>
      <c r="L16" s="33" t="str">
        <f t="shared" si="8"/>
        <v>Bajo</v>
      </c>
      <c r="M16" s="34" t="str">
        <f t="shared" si="9"/>
        <v>N/C: no es fuente proteica</v>
      </c>
      <c r="N16" s="35" t="str">
        <f t="shared" si="10"/>
        <v/>
      </c>
    </row>
    <row r="17" spans="1:17" ht="15" customHeight="1">
      <c r="A17" s="27">
        <v>7</v>
      </c>
      <c r="B17" s="28" t="s">
        <v>744</v>
      </c>
      <c r="C17" s="29">
        <v>30</v>
      </c>
      <c r="D17" s="30" t="str">
        <f t="shared" si="0"/>
        <v>Utilizable</v>
      </c>
      <c r="E17" s="31">
        <f t="shared" si="1"/>
        <v>114.3</v>
      </c>
      <c r="F17" s="31">
        <f t="shared" si="2"/>
        <v>0.09</v>
      </c>
      <c r="G17" s="32">
        <f t="shared" si="3"/>
        <v>0.9</v>
      </c>
      <c r="H17" s="32">
        <f t="shared" si="4"/>
        <v>3.9</v>
      </c>
      <c r="I17" s="31">
        <f t="shared" si="5"/>
        <v>2.7</v>
      </c>
      <c r="J17" s="33" t="str">
        <f t="shared" si="6"/>
        <v>Bajo</v>
      </c>
      <c r="K17" s="33" t="str">
        <f t="shared" si="7"/>
        <v>Bajo</v>
      </c>
      <c r="L17" s="33" t="str">
        <f t="shared" si="8"/>
        <v>Bajo</v>
      </c>
      <c r="M17" s="34" t="str">
        <f t="shared" si="9"/>
        <v>N/C: no es fuente proteica</v>
      </c>
      <c r="N17" s="35" t="str">
        <f t="shared" si="10"/>
        <v/>
      </c>
    </row>
    <row r="18" spans="1:17" ht="15" customHeight="1">
      <c r="A18" s="27">
        <v>8</v>
      </c>
      <c r="B18" s="28" t="s">
        <v>142</v>
      </c>
      <c r="C18" s="29">
        <v>45</v>
      </c>
      <c r="D18" s="30" t="str">
        <f t="shared" si="0"/>
        <v>Utilizable</v>
      </c>
      <c r="E18" s="31">
        <f t="shared" si="1"/>
        <v>28.8</v>
      </c>
      <c r="F18" s="31">
        <f t="shared" si="2"/>
        <v>1.4850000000000001</v>
      </c>
      <c r="G18" s="32">
        <f t="shared" si="3"/>
        <v>67.95</v>
      </c>
      <c r="H18" s="32">
        <f t="shared" si="4"/>
        <v>41.85</v>
      </c>
      <c r="I18" s="31">
        <f t="shared" si="5"/>
        <v>22.05</v>
      </c>
      <c r="J18" s="33" t="str">
        <f t="shared" si="6"/>
        <v>Medio</v>
      </c>
      <c r="K18" s="33" t="str">
        <f t="shared" si="7"/>
        <v>Medio</v>
      </c>
      <c r="L18" s="33" t="str">
        <f t="shared" si="8"/>
        <v>Medio</v>
      </c>
      <c r="M18" s="34" t="str">
        <f t="shared" si="9"/>
        <v>N/C: no es fuente proteica</v>
      </c>
      <c r="N18" s="35" t="str">
        <f t="shared" si="10"/>
        <v/>
      </c>
    </row>
    <row r="19" spans="1:17" ht="15" customHeight="1">
      <c r="A19" s="27">
        <v>9</v>
      </c>
      <c r="B19" s="28" t="s">
        <v>316</v>
      </c>
      <c r="C19" s="29">
        <v>30</v>
      </c>
      <c r="D19" s="30" t="str">
        <f t="shared" si="0"/>
        <v>Utilizable</v>
      </c>
      <c r="E19" s="31">
        <f t="shared" si="1"/>
        <v>34.799999999999997</v>
      </c>
      <c r="F19" s="31">
        <f t="shared" si="2"/>
        <v>6.66</v>
      </c>
      <c r="G19" s="32">
        <f t="shared" si="3"/>
        <v>161.1</v>
      </c>
      <c r="H19" s="32">
        <f t="shared" si="4"/>
        <v>32.4</v>
      </c>
      <c r="I19" s="31">
        <f t="shared" si="5"/>
        <v>22.8</v>
      </c>
      <c r="J19" s="33" t="str">
        <f t="shared" si="6"/>
        <v>Muy alto</v>
      </c>
      <c r="K19" s="33" t="str">
        <f t="shared" si="7"/>
        <v>Alto</v>
      </c>
      <c r="L19" s="33" t="str">
        <f t="shared" si="8"/>
        <v>Medio</v>
      </c>
      <c r="M19" s="34">
        <f t="shared" si="9"/>
        <v>4.8648648648648649</v>
      </c>
      <c r="N19" s="35" t="str">
        <f t="shared" si="10"/>
        <v>Contenido muy alto en al menos un nutriente crítico</v>
      </c>
    </row>
    <row r="20" spans="1:17" ht="15" customHeight="1">
      <c r="A20" s="27">
        <v>10</v>
      </c>
      <c r="B20" s="28" t="s">
        <v>142</v>
      </c>
      <c r="C20" s="29">
        <v>20</v>
      </c>
      <c r="D20" s="30" t="str">
        <f t="shared" si="0"/>
        <v>Utilizable</v>
      </c>
      <c r="E20" s="31">
        <f t="shared" si="1"/>
        <v>12.8</v>
      </c>
      <c r="F20" s="31">
        <f t="shared" si="2"/>
        <v>0.66</v>
      </c>
      <c r="G20" s="32">
        <f t="shared" si="3"/>
        <v>30.2</v>
      </c>
      <c r="H20" s="32">
        <f t="shared" si="4"/>
        <v>18.600000000000001</v>
      </c>
      <c r="I20" s="31">
        <f t="shared" si="5"/>
        <v>9.8000000000000007</v>
      </c>
      <c r="J20" s="33" t="str">
        <f t="shared" si="6"/>
        <v>Medio</v>
      </c>
      <c r="K20" s="33" t="str">
        <f t="shared" si="7"/>
        <v>Medio</v>
      </c>
      <c r="L20" s="33" t="str">
        <f t="shared" si="8"/>
        <v>Medio</v>
      </c>
      <c r="M20" s="34" t="str">
        <f t="shared" si="9"/>
        <v>N/C: no es fuente proteica</v>
      </c>
      <c r="N20" s="35" t="str">
        <f t="shared" si="10"/>
        <v/>
      </c>
    </row>
    <row r="21" spans="1:17" ht="15" customHeight="1">
      <c r="A21" s="145" t="s">
        <v>1428</v>
      </c>
      <c r="B21" s="145"/>
      <c r="C21" s="145"/>
      <c r="D21" s="145"/>
      <c r="E21" s="32">
        <f>SUM(E11:E20)</f>
        <v>781.5999999999998</v>
      </c>
      <c r="F21" s="32">
        <f>SUM(F11:F20)</f>
        <v>50.855000000000004</v>
      </c>
      <c r="G21" s="32">
        <f>SUM(G11:G20)</f>
        <v>1838.5500000000002</v>
      </c>
      <c r="H21" s="32">
        <f>SUM(H11:H20)</f>
        <v>412.45</v>
      </c>
      <c r="I21" s="32">
        <f>SUM(I11:I20)</f>
        <v>319.05</v>
      </c>
      <c r="J21" s="32"/>
      <c r="K21" s="32"/>
      <c r="L21" s="32"/>
      <c r="M21" s="32"/>
      <c r="N21" s="32"/>
    </row>
    <row r="22" spans="1:17" ht="15" customHeight="1">
      <c r="A22" s="146" t="s">
        <v>1429</v>
      </c>
      <c r="B22" s="146"/>
      <c r="C22" s="146"/>
      <c r="D22" s="146"/>
      <c r="E22" s="36"/>
      <c r="F22" s="36"/>
      <c r="G22" s="36">
        <f>IF(OR(NOT(ISNUMBER(v_limK)),v_limK=0),"ND",G21/v_limK)</f>
        <v>0.73542000000000007</v>
      </c>
      <c r="H22" s="36">
        <f>IF(OR(NOT(ISNUMBER(v_limP)),v_limP=0),"ND",H21/v_limP)</f>
        <v>0.45827777777777778</v>
      </c>
      <c r="I22" s="36">
        <f>IF(OR(NOT(ISNUMBER(v_limNa)),v_limNa=0),"ND",I21/v_limNa)</f>
        <v>0.159525</v>
      </c>
      <c r="J22" s="36"/>
      <c r="K22" s="36"/>
      <c r="L22" s="36"/>
      <c r="M22" s="36"/>
      <c r="N22" s="36"/>
    </row>
    <row r="24" spans="1:17" ht="19.5" customHeight="1">
      <c r="A24" s="6" t="s">
        <v>1430</v>
      </c>
      <c r="B24" s="6"/>
      <c r="C24" s="6"/>
      <c r="D24" s="6"/>
      <c r="E24" s="6"/>
      <c r="F24" s="6"/>
      <c r="G24" s="6"/>
      <c r="H24" s="6"/>
      <c r="I24" s="6"/>
      <c r="J24" s="6"/>
      <c r="K24" s="6"/>
      <c r="L24" s="6"/>
      <c r="M24" s="6"/>
      <c r="N24" s="6"/>
      <c r="O24" s="6"/>
      <c r="P24" s="6"/>
      <c r="Q24" s="6"/>
    </row>
    <row r="25" spans="1:17" ht="18" customHeight="1">
      <c r="A25" s="8" t="s">
        <v>1431</v>
      </c>
      <c r="B25" s="8"/>
      <c r="C25" s="110">
        <f>COUNTIF(D11:D20,"No utilizable")+COUNTIF(D11:D20,"ND*")</f>
        <v>0</v>
      </c>
      <c r="D25" s="110"/>
      <c r="E25" s="110"/>
      <c r="F25" s="110"/>
      <c r="G25" s="110"/>
      <c r="H25" s="110"/>
      <c r="I25" s="110"/>
      <c r="J25" s="110"/>
      <c r="K25" s="110"/>
    </row>
    <row r="26" spans="1:17" ht="39.75" customHeight="1">
      <c r="A26" s="8" t="s">
        <v>1432</v>
      </c>
      <c r="B26" s="8"/>
      <c r="C26" s="113" t="str">
        <f>IF(C25=0,"Todos los alimentos seleccionados tienen los datos críticos completos.","ATENCIÓN: "&amp;C25&amp;" alimento(s) de la selección no tienen datos completos. Los totales de abajo NO los incluyen y por lo tanto SUBESTIMAN la carga real.")</f>
        <v>Todos los alimentos seleccionados tienen los datos críticos completos.</v>
      </c>
      <c r="D26" s="113"/>
      <c r="E26" s="113"/>
      <c r="F26" s="113"/>
      <c r="G26" s="113"/>
      <c r="H26" s="113"/>
      <c r="I26" s="113"/>
      <c r="J26" s="113"/>
      <c r="K26" s="113"/>
    </row>
    <row r="27" spans="1:17" ht="18" customHeight="1">
      <c r="A27" s="8" t="s">
        <v>1433</v>
      </c>
      <c r="B27" s="8"/>
      <c r="C27" s="143" t="str">
        <f>IF(NOT(ISNUMBER(G22)),"ND","La selección aporta el "&amp;TEXT(G22,"0.0%")&amp;" del límite diario de potasio.")</f>
        <v>La selección aporta el 74% del límite diario de potasio.</v>
      </c>
      <c r="D27" s="143"/>
      <c r="E27" s="143"/>
      <c r="F27" s="143"/>
      <c r="G27" s="143"/>
      <c r="H27" s="143"/>
      <c r="I27" s="143"/>
      <c r="J27" s="143"/>
      <c r="K27" s="143"/>
    </row>
    <row r="29" spans="1:17" ht="27" customHeight="1">
      <c r="A29" s="37" t="s">
        <v>112</v>
      </c>
      <c r="B29" s="37" t="s">
        <v>118</v>
      </c>
    </row>
    <row r="30" spans="1:17" ht="36" customHeight="1">
      <c r="A30" s="38" t="str">
        <f t="shared" ref="A30:A39" si="11">B11</f>
        <v>Papa cocida</v>
      </c>
      <c r="B30" s="34">
        <f t="shared" ref="B30:B39" si="12">G11</f>
        <v>817.5</v>
      </c>
    </row>
    <row r="31" spans="1:17" ht="36" customHeight="1">
      <c r="A31" s="38" t="str">
        <f t="shared" si="11"/>
        <v>Arroz blanco cocido</v>
      </c>
      <c r="B31" s="34">
        <f t="shared" si="12"/>
        <v>52.5</v>
      </c>
    </row>
    <row r="32" spans="1:17" ht="36" customHeight="1">
      <c r="A32" s="38" t="str">
        <f t="shared" si="11"/>
        <v>Clara de huevo</v>
      </c>
      <c r="B32" s="34">
        <f t="shared" si="12"/>
        <v>163</v>
      </c>
    </row>
    <row r="33" spans="1:17" ht="36" customHeight="1">
      <c r="A33" s="38" t="str">
        <f t="shared" si="11"/>
        <v>Pollo pechuga</v>
      </c>
      <c r="B33" s="34">
        <f t="shared" si="12"/>
        <v>180</v>
      </c>
    </row>
    <row r="34" spans="1:17" ht="36" customHeight="1">
      <c r="A34" s="38" t="str">
        <f t="shared" si="11"/>
        <v>Manzana</v>
      </c>
      <c r="B34" s="34">
        <f t="shared" si="12"/>
        <v>128.4</v>
      </c>
    </row>
    <row r="35" spans="1:17" ht="36" customHeight="1">
      <c r="A35" s="38" t="str">
        <f t="shared" si="11"/>
        <v>Tomate</v>
      </c>
      <c r="B35" s="34">
        <f t="shared" si="12"/>
        <v>237</v>
      </c>
    </row>
    <row r="36" spans="1:17" ht="36" customHeight="1">
      <c r="A36" s="38" t="str">
        <f t="shared" si="11"/>
        <v>Maicena</v>
      </c>
      <c r="B36" s="34">
        <f t="shared" si="12"/>
        <v>0.9</v>
      </c>
    </row>
    <row r="37" spans="1:17" ht="36" customHeight="1">
      <c r="A37" s="39" t="str">
        <f t="shared" si="11"/>
        <v>Leche fluida entera</v>
      </c>
      <c r="B37" s="34">
        <f t="shared" si="12"/>
        <v>67.95</v>
      </c>
    </row>
    <row r="38" spans="1:17" ht="15" customHeight="1">
      <c r="A38" s="39" t="str">
        <f t="shared" si="11"/>
        <v>Pollo ganso</v>
      </c>
      <c r="B38" s="40">
        <f t="shared" si="12"/>
        <v>161.1</v>
      </c>
    </row>
    <row r="39" spans="1:17" ht="15" customHeight="1">
      <c r="A39" s="39" t="str">
        <f t="shared" si="11"/>
        <v>Leche fluida entera</v>
      </c>
      <c r="B39" s="40">
        <f t="shared" si="12"/>
        <v>30.2</v>
      </c>
    </row>
    <row r="42" spans="1:17" ht="15" customHeight="1">
      <c r="A42" s="39"/>
    </row>
    <row r="44" spans="1:17" ht="15" customHeight="1">
      <c r="A44" s="109" t="s">
        <v>1434</v>
      </c>
      <c r="B44" s="109"/>
      <c r="C44" s="109"/>
      <c r="D44" s="109"/>
      <c r="E44" s="109"/>
      <c r="F44" s="109"/>
      <c r="G44" s="109"/>
      <c r="H44" s="109"/>
      <c r="I44" s="109"/>
      <c r="J44" s="109"/>
      <c r="K44" s="109"/>
      <c r="L44" s="109"/>
      <c r="M44" s="109"/>
      <c r="N44" s="109"/>
      <c r="O44" s="109"/>
      <c r="P44" s="109"/>
      <c r="Q44" s="109"/>
    </row>
    <row r="45" spans="1:17" ht="15" customHeight="1">
      <c r="A45" s="109"/>
      <c r="B45" s="109"/>
      <c r="C45" s="109"/>
      <c r="D45" s="109"/>
      <c r="E45" s="109"/>
      <c r="F45" s="109"/>
      <c r="G45" s="109"/>
      <c r="H45" s="109"/>
      <c r="I45" s="109"/>
      <c r="J45" s="109"/>
      <c r="K45" s="109"/>
      <c r="L45" s="109"/>
      <c r="M45" s="109"/>
      <c r="N45" s="109"/>
      <c r="O45" s="109"/>
      <c r="P45" s="109"/>
      <c r="Q45" s="109"/>
    </row>
    <row r="46" spans="1:17" ht="15" customHeight="1">
      <c r="A46" s="109"/>
      <c r="B46" s="109"/>
      <c r="C46" s="109"/>
      <c r="D46" s="109"/>
      <c r="E46" s="109"/>
      <c r="F46" s="109"/>
      <c r="G46" s="109"/>
      <c r="H46" s="109"/>
      <c r="I46" s="109"/>
      <c r="J46" s="109"/>
      <c r="K46" s="109"/>
      <c r="L46" s="109"/>
      <c r="M46" s="109"/>
      <c r="N46" s="109"/>
      <c r="O46" s="109"/>
      <c r="P46" s="109"/>
      <c r="Q46" s="109"/>
    </row>
    <row r="47" spans="1:17" ht="15" customHeight="1">
      <c r="A47" s="109"/>
      <c r="B47" s="109"/>
      <c r="C47" s="109"/>
      <c r="D47" s="109"/>
      <c r="E47" s="109"/>
      <c r="F47" s="109"/>
      <c r="G47" s="109"/>
      <c r="H47" s="109"/>
      <c r="I47" s="109"/>
      <c r="J47" s="109"/>
      <c r="K47" s="109"/>
      <c r="L47" s="109"/>
      <c r="M47" s="109"/>
      <c r="N47" s="109"/>
      <c r="O47" s="109"/>
      <c r="P47" s="109"/>
      <c r="Q47" s="109"/>
    </row>
  </sheetData>
  <mergeCells count="17">
    <mergeCell ref="A44:Q47"/>
    <mergeCell ref="A25:B25"/>
    <mergeCell ref="C25:K25"/>
    <mergeCell ref="A26:B26"/>
    <mergeCell ref="C26:K26"/>
    <mergeCell ref="A27:B27"/>
    <mergeCell ref="C27:K27"/>
    <mergeCell ref="A8:Q8"/>
    <mergeCell ref="A9:Q9"/>
    <mergeCell ref="A21:D21"/>
    <mergeCell ref="A22:D22"/>
    <mergeCell ref="A24:Q24"/>
    <mergeCell ref="A1:Q1"/>
    <mergeCell ref="A2:Q3"/>
    <mergeCell ref="A4:B4"/>
    <mergeCell ref="A6:B6"/>
    <mergeCell ref="C6:K6"/>
  </mergeCells>
  <dataValidations count="1">
    <dataValidation type="list" allowBlank="1" sqref="B11:B20" xr:uid="{00000000-0002-0000-0400-000000000000}">
      <formula1>lst_alimentos</formula1>
      <formula2>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FF0E3"/>
  </sheetPr>
  <dimension ref="A1:Q34"/>
  <sheetViews>
    <sheetView showGridLines="0" workbookViewId="0">
      <selection sqref="A1:Q1"/>
    </sheetView>
  </sheetViews>
  <sheetFormatPr baseColWidth="10" defaultColWidth="9.140625" defaultRowHeight="15"/>
  <cols>
    <col min="1" max="1" width="9" style="14" customWidth="1"/>
    <col min="2" max="2" width="36" style="14" customWidth="1"/>
    <col min="3" max="4" width="14" style="14" customWidth="1"/>
    <col min="5" max="5" width="13" style="14" customWidth="1"/>
    <col min="6" max="6" width="14" style="14" customWidth="1"/>
    <col min="7" max="7" width="15" style="14" customWidth="1"/>
    <col min="8" max="8" width="20" style="14" customWidth="1"/>
    <col min="9" max="9" width="4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1435</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147" t="s">
        <v>1436</v>
      </c>
      <c r="B6" s="147"/>
      <c r="C6" s="147"/>
      <c r="D6" s="147"/>
      <c r="E6" s="147"/>
      <c r="F6" s="147"/>
      <c r="G6" s="147"/>
      <c r="H6" s="147"/>
      <c r="I6" s="147"/>
      <c r="J6" s="147"/>
      <c r="K6" s="147"/>
      <c r="L6" s="147"/>
      <c r="M6" s="147"/>
      <c r="N6" s="147"/>
      <c r="O6" s="147"/>
      <c r="P6" s="147"/>
      <c r="Q6" s="147"/>
    </row>
    <row r="7" spans="1:17" ht="15" customHeight="1">
      <c r="A7" s="147"/>
      <c r="B7" s="147"/>
      <c r="C7" s="147"/>
      <c r="D7" s="147"/>
      <c r="E7" s="147"/>
      <c r="F7" s="147"/>
      <c r="G7" s="147"/>
      <c r="H7" s="147"/>
      <c r="I7" s="147"/>
      <c r="J7" s="147"/>
      <c r="K7" s="147"/>
      <c r="L7" s="147"/>
      <c r="M7" s="147"/>
      <c r="N7" s="147"/>
      <c r="O7" s="147"/>
      <c r="P7" s="147"/>
      <c r="Q7" s="147"/>
    </row>
    <row r="8" spans="1:17" ht="15" customHeight="1">
      <c r="A8" s="147"/>
      <c r="B8" s="147"/>
      <c r="C8" s="147"/>
      <c r="D8" s="147"/>
      <c r="E8" s="147"/>
      <c r="F8" s="147"/>
      <c r="G8" s="147"/>
      <c r="H8" s="147"/>
      <c r="I8" s="147"/>
      <c r="J8" s="147"/>
      <c r="K8" s="147"/>
      <c r="L8" s="147"/>
      <c r="M8" s="147"/>
      <c r="N8" s="147"/>
      <c r="O8" s="147"/>
      <c r="P8" s="147"/>
      <c r="Q8" s="147"/>
    </row>
    <row r="9" spans="1:17" ht="15" customHeight="1">
      <c r="A9" s="147"/>
      <c r="B9" s="147"/>
      <c r="C9" s="147"/>
      <c r="D9" s="147"/>
      <c r="E9" s="147"/>
      <c r="F9" s="147"/>
      <c r="G9" s="147"/>
      <c r="H9" s="147"/>
      <c r="I9" s="147"/>
      <c r="J9" s="147"/>
      <c r="K9" s="147"/>
      <c r="L9" s="147"/>
      <c r="M9" s="147"/>
      <c r="N9" s="147"/>
      <c r="O9" s="147"/>
      <c r="P9" s="147"/>
      <c r="Q9" s="147"/>
    </row>
    <row r="11" spans="1:17" ht="19.5" customHeight="1">
      <c r="A11" s="6" t="s">
        <v>1437</v>
      </c>
      <c r="B11" s="6"/>
      <c r="C11" s="6"/>
      <c r="D11" s="6"/>
      <c r="E11" s="6"/>
      <c r="F11" s="6"/>
      <c r="G11" s="6"/>
      <c r="H11" s="6"/>
      <c r="I11" s="6"/>
      <c r="J11" s="6"/>
      <c r="K11" s="6"/>
      <c r="L11" s="6"/>
      <c r="M11" s="6"/>
      <c r="N11" s="6"/>
      <c r="O11" s="6"/>
      <c r="P11" s="6"/>
      <c r="Q11" s="6"/>
    </row>
    <row r="12" spans="1:17" ht="18" customHeight="1">
      <c r="A12" s="8" t="s">
        <v>112</v>
      </c>
      <c r="B12" s="8"/>
      <c r="C12" s="2" t="s">
        <v>756</v>
      </c>
      <c r="D12" s="2"/>
      <c r="E12" s="2"/>
      <c r="F12" s="2"/>
      <c r="G12" s="2"/>
      <c r="H12" s="2"/>
      <c r="I12" s="2"/>
      <c r="J12" s="2"/>
      <c r="K12" s="2"/>
    </row>
    <row r="13" spans="1:17" ht="18" customHeight="1">
      <c r="A13" s="8" t="s">
        <v>113</v>
      </c>
      <c r="B13" s="8"/>
      <c r="C13" s="110" t="str">
        <f>IF(COUNTIF(lst_alimentos,$C$12)=0,"ND",INDEX(rng_grupo,MATCH($C$12,lst_alimentos,0)))</f>
        <v>Papas</v>
      </c>
      <c r="D13" s="110"/>
      <c r="E13" s="110"/>
      <c r="F13" s="110"/>
      <c r="G13" s="110"/>
      <c r="H13" s="110"/>
      <c r="I13" s="110"/>
      <c r="J13" s="110"/>
      <c r="K13" s="110"/>
    </row>
    <row r="14" spans="1:17" ht="18" customHeight="1">
      <c r="A14" s="8" t="s">
        <v>1438</v>
      </c>
      <c r="B14" s="8"/>
      <c r="C14" s="110" t="str">
        <f>v_prioridad</f>
        <v>Potasio</v>
      </c>
      <c r="D14" s="110"/>
      <c r="E14" s="110"/>
      <c r="F14" s="110"/>
      <c r="G14" s="110"/>
      <c r="H14" s="110"/>
      <c r="I14" s="110"/>
      <c r="J14" s="110"/>
      <c r="K14" s="110"/>
    </row>
    <row r="15" spans="1:17" ht="18" customHeight="1">
      <c r="A15" s="8" t="s">
        <v>1439</v>
      </c>
      <c r="B15" s="8"/>
      <c r="C15" s="110">
        <f>IF(COUNTIF(lst_alimentos,$C$12)=0,"ND",INDEX(rng_K,MATCH($C$12,lst_alimentos,0)))</f>
        <v>545</v>
      </c>
      <c r="D15" s="110"/>
      <c r="E15" s="110"/>
      <c r="F15" s="110"/>
      <c r="G15" s="110"/>
      <c r="H15" s="110"/>
      <c r="I15" s="110"/>
      <c r="J15" s="110"/>
      <c r="K15" s="110"/>
    </row>
    <row r="16" spans="1:17" ht="18" customHeight="1">
      <c r="A16" s="8" t="s">
        <v>1440</v>
      </c>
      <c r="B16" s="8"/>
      <c r="C16" s="110">
        <f>IF(COUNTIF(lst_alimentos,$C$12)=0,"ND",INDEX(rng_P,MATCH($C$12,lst_alimentos,0)))</f>
        <v>72</v>
      </c>
      <c r="D16" s="110"/>
      <c r="E16" s="110"/>
      <c r="F16" s="110"/>
      <c r="G16" s="110"/>
      <c r="H16" s="110"/>
      <c r="I16" s="110"/>
      <c r="J16" s="110"/>
      <c r="K16" s="110"/>
    </row>
    <row r="17" spans="1:17" ht="18" customHeight="1">
      <c r="A17" s="8" t="s">
        <v>1441</v>
      </c>
      <c r="B17" s="8"/>
      <c r="C17" s="110">
        <f>IF(COUNTIF(lst_alimentos,$C$12)=0,"ND",INDEX(rng_Na,MATCH($C$12,lst_alimentos,0)))</f>
        <v>12</v>
      </c>
      <c r="D17" s="110"/>
      <c r="E17" s="110"/>
      <c r="F17" s="110"/>
      <c r="G17" s="110"/>
      <c r="H17" s="110"/>
      <c r="I17" s="110"/>
      <c r="J17" s="110"/>
      <c r="K17" s="110"/>
    </row>
    <row r="18" spans="1:17" ht="18" customHeight="1">
      <c r="A18" s="8" t="s">
        <v>1442</v>
      </c>
      <c r="B18" s="8"/>
      <c r="C18" s="110">
        <f>IF($C$13="ND","ND",COUNTIFS(rng_grupo,$C$13,rng_estado,"Utilizable"))</f>
        <v>3</v>
      </c>
      <c r="D18" s="110"/>
      <c r="E18" s="110"/>
      <c r="F18" s="110"/>
      <c r="G18" s="110"/>
      <c r="H18" s="110"/>
      <c r="I18" s="110"/>
      <c r="J18" s="110"/>
      <c r="K18" s="110"/>
      <c r="L18" s="111" t="s">
        <v>1443</v>
      </c>
      <c r="M18" s="111"/>
      <c r="N18" s="111"/>
      <c r="O18" s="111"/>
      <c r="P18" s="111"/>
      <c r="Q18" s="111"/>
    </row>
    <row r="20" spans="1:17" ht="19.5" customHeight="1">
      <c r="A20" s="6" t="s">
        <v>1444</v>
      </c>
      <c r="B20" s="6"/>
      <c r="C20" s="6"/>
      <c r="D20" s="6"/>
      <c r="E20" s="6"/>
      <c r="F20" s="6"/>
      <c r="G20" s="6"/>
      <c r="H20" s="6"/>
      <c r="I20" s="6"/>
      <c r="J20" s="6"/>
      <c r="K20" s="6"/>
      <c r="L20" s="6"/>
      <c r="M20" s="6"/>
      <c r="N20" s="6"/>
      <c r="O20" s="6"/>
      <c r="P20" s="6"/>
      <c r="Q20" s="6"/>
    </row>
    <row r="21" spans="1:17" ht="33.75" customHeight="1">
      <c r="A21" s="41" t="s">
        <v>1445</v>
      </c>
      <c r="B21" s="41" t="s">
        <v>112</v>
      </c>
      <c r="C21" s="41" t="s">
        <v>118</v>
      </c>
      <c r="D21" s="41" t="s">
        <v>119</v>
      </c>
      <c r="E21" s="41" t="s">
        <v>120</v>
      </c>
      <c r="F21" s="41" t="s">
        <v>117</v>
      </c>
      <c r="G21" s="41" t="s">
        <v>116</v>
      </c>
      <c r="H21" s="41" t="s">
        <v>1446</v>
      </c>
      <c r="I21" s="41" t="s">
        <v>1447</v>
      </c>
    </row>
    <row r="22" spans="1:17" ht="15" customHeight="1">
      <c r="A22" s="27">
        <v>1</v>
      </c>
      <c r="B22" s="42" t="str">
        <f>IF($C$13="ND","",IF(1&gt;$C$18,"",INDEX(lst_alimentos,MATCH(SMALL(rng_orden,1),rng_orden,0))))</f>
        <v>Papa entera rojiza</v>
      </c>
      <c r="C22" s="43">
        <f t="shared" ref="C22:C29" si="0">IF($B22="","",INDEX(rng_K,MATCH($B22,lst_alimentos,0)))</f>
        <v>417</v>
      </c>
      <c r="D22" s="44">
        <f t="shared" ref="D22:D29" si="1">IF($B22="","",INDEX(rng_P,MATCH($B22,lst_alimentos,0)))</f>
        <v>55</v>
      </c>
      <c r="E22" s="44">
        <f t="shared" ref="E22:E29" si="2">IF($B22="","",INDEX(rng_Na,MATCH($B22,lst_alimentos,0)))</f>
        <v>5</v>
      </c>
      <c r="F22" s="44">
        <f t="shared" ref="F22:F29" si="3">IF($B22="","",INDEX(rng_prot,MATCH($B22,lst_alimentos,0)))</f>
        <v>2.1</v>
      </c>
      <c r="G22" s="44">
        <f t="shared" ref="G22:G29" si="4">IF($B22="","",INDEX(rng_kcal,MATCH($B22,lst_alimentos,0)))</f>
        <v>79</v>
      </c>
      <c r="H22" s="45">
        <f t="shared" ref="H22:H29" si="5">IF(OR($B22="",NOT(ISNUMBER($C$15))),"",C22-$C$15)</f>
        <v>-128</v>
      </c>
      <c r="I22" s="35" t="str">
        <f t="shared" ref="I22:I29" si="6">IF($B22="","",IF($B22=$C$12,"← alimento de referencia",IF(NOT(ISNUMBER($H22)),"",IF($H22&lt;0,"Aporta "&amp;TEXT(-$H22,"0")&amp;" mg menos de potasio",IF($H22=0,"Mismo potasio","Aporta "&amp;TEXT($H22,"0")&amp;" mg más de potasio")))))</f>
        <v>Aporta 128 mg menos de potasio</v>
      </c>
    </row>
    <row r="23" spans="1:17" ht="15" customHeight="1">
      <c r="A23" s="27">
        <v>2</v>
      </c>
      <c r="B23" s="42" t="str">
        <f>IF($C$13="ND","",IF(2&gt;$C$18,"",INDEX(lst_alimentos,MATCH(SMALL(rng_orden,2),rng_orden,0))))</f>
        <v>Papa cruda</v>
      </c>
      <c r="C23" s="43">
        <f t="shared" si="0"/>
        <v>419</v>
      </c>
      <c r="D23" s="44">
        <f t="shared" si="1"/>
        <v>51</v>
      </c>
      <c r="E23" s="44">
        <f t="shared" si="2"/>
        <v>7</v>
      </c>
      <c r="F23" s="44">
        <f t="shared" si="3"/>
        <v>3.1</v>
      </c>
      <c r="G23" s="44">
        <f t="shared" si="4"/>
        <v>80</v>
      </c>
      <c r="H23" s="45">
        <f t="shared" si="5"/>
        <v>-126</v>
      </c>
      <c r="I23" s="35" t="str">
        <f t="shared" si="6"/>
        <v>Aporta 126 mg menos de potasio</v>
      </c>
    </row>
    <row r="24" spans="1:17" ht="15" customHeight="1">
      <c r="A24" s="27">
        <v>3</v>
      </c>
      <c r="B24" s="42" t="str">
        <f>IF($C$13="ND","",IF(3&gt;$C$18,"",INDEX(lst_alimentos,MATCH(SMALL(rng_orden,3),rng_orden,0))))</f>
        <v>Papa cocida</v>
      </c>
      <c r="C24" s="43">
        <f t="shared" si="0"/>
        <v>545</v>
      </c>
      <c r="D24" s="44">
        <f t="shared" si="1"/>
        <v>72</v>
      </c>
      <c r="E24" s="44">
        <f t="shared" si="2"/>
        <v>12</v>
      </c>
      <c r="F24" s="44">
        <f t="shared" si="3"/>
        <v>2.2999999999999998</v>
      </c>
      <c r="G24" s="44">
        <f t="shared" si="4"/>
        <v>89</v>
      </c>
      <c r="H24" s="45">
        <f t="shared" si="5"/>
        <v>0</v>
      </c>
      <c r="I24" s="35" t="str">
        <f t="shared" si="6"/>
        <v>← alimento de referencia</v>
      </c>
    </row>
    <row r="25" spans="1:17" ht="15" customHeight="1">
      <c r="A25" s="27">
        <v>4</v>
      </c>
      <c r="B25" s="42" t="str">
        <f>IF($C$13="ND","",IF(4&gt;$C$18,"",INDEX(lst_alimentos,MATCH(SMALL(rng_orden,4),rng_orden,0))))</f>
        <v/>
      </c>
      <c r="C25" s="43" t="str">
        <f t="shared" si="0"/>
        <v/>
      </c>
      <c r="D25" s="44" t="str">
        <f t="shared" si="1"/>
        <v/>
      </c>
      <c r="E25" s="44" t="str">
        <f t="shared" si="2"/>
        <v/>
      </c>
      <c r="F25" s="44" t="str">
        <f t="shared" si="3"/>
        <v/>
      </c>
      <c r="G25" s="44" t="str">
        <f t="shared" si="4"/>
        <v/>
      </c>
      <c r="H25" s="45" t="str">
        <f t="shared" si="5"/>
        <v/>
      </c>
      <c r="I25" s="35" t="str">
        <f t="shared" si="6"/>
        <v/>
      </c>
    </row>
    <row r="26" spans="1:17" ht="15" customHeight="1">
      <c r="A26" s="27">
        <v>5</v>
      </c>
      <c r="B26" s="42" t="str">
        <f>IF($C$13="ND","",IF(5&gt;$C$18,"",INDEX(lst_alimentos,MATCH(SMALL(rng_orden,5),rng_orden,0))))</f>
        <v/>
      </c>
      <c r="C26" s="43" t="str">
        <f t="shared" si="0"/>
        <v/>
      </c>
      <c r="D26" s="44" t="str">
        <f t="shared" si="1"/>
        <v/>
      </c>
      <c r="E26" s="44" t="str">
        <f t="shared" si="2"/>
        <v/>
      </c>
      <c r="F26" s="44" t="str">
        <f t="shared" si="3"/>
        <v/>
      </c>
      <c r="G26" s="44" t="str">
        <f t="shared" si="4"/>
        <v/>
      </c>
      <c r="H26" s="45" t="str">
        <f t="shared" si="5"/>
        <v/>
      </c>
      <c r="I26" s="35" t="str">
        <f t="shared" si="6"/>
        <v/>
      </c>
    </row>
    <row r="27" spans="1:17" ht="15" customHeight="1">
      <c r="A27" s="27">
        <v>6</v>
      </c>
      <c r="B27" s="42" t="str">
        <f>IF($C$13="ND","",IF(6&gt;$C$18,"",INDEX(lst_alimentos,MATCH(SMALL(rng_orden,6),rng_orden,0))))</f>
        <v/>
      </c>
      <c r="C27" s="43" t="str">
        <f t="shared" si="0"/>
        <v/>
      </c>
      <c r="D27" s="44" t="str">
        <f t="shared" si="1"/>
        <v/>
      </c>
      <c r="E27" s="44" t="str">
        <f t="shared" si="2"/>
        <v/>
      </c>
      <c r="F27" s="44" t="str">
        <f t="shared" si="3"/>
        <v/>
      </c>
      <c r="G27" s="44" t="str">
        <f t="shared" si="4"/>
        <v/>
      </c>
      <c r="H27" s="45" t="str">
        <f t="shared" si="5"/>
        <v/>
      </c>
      <c r="I27" s="35" t="str">
        <f t="shared" si="6"/>
        <v/>
      </c>
    </row>
    <row r="28" spans="1:17" ht="15" customHeight="1">
      <c r="A28" s="27">
        <v>7</v>
      </c>
      <c r="B28" s="42" t="str">
        <f>IF($C$13="ND","",IF(7&gt;$C$18,"",INDEX(lst_alimentos,MATCH(SMALL(rng_orden,7),rng_orden,0))))</f>
        <v/>
      </c>
      <c r="C28" s="43" t="str">
        <f t="shared" si="0"/>
        <v/>
      </c>
      <c r="D28" s="44" t="str">
        <f t="shared" si="1"/>
        <v/>
      </c>
      <c r="E28" s="44" t="str">
        <f t="shared" si="2"/>
        <v/>
      </c>
      <c r="F28" s="44" t="str">
        <f t="shared" si="3"/>
        <v/>
      </c>
      <c r="G28" s="44" t="str">
        <f t="shared" si="4"/>
        <v/>
      </c>
      <c r="H28" s="45" t="str">
        <f t="shared" si="5"/>
        <v/>
      </c>
      <c r="I28" s="35" t="str">
        <f t="shared" si="6"/>
        <v/>
      </c>
    </row>
    <row r="29" spans="1:17" ht="15" customHeight="1">
      <c r="A29" s="27">
        <v>8</v>
      </c>
      <c r="B29" s="42" t="str">
        <f>IF($C$13="ND","",IF(8&gt;$C$18,"",INDEX(lst_alimentos,MATCH(SMALL(rng_orden,8),rng_orden,0))))</f>
        <v/>
      </c>
      <c r="C29" s="43" t="str">
        <f t="shared" si="0"/>
        <v/>
      </c>
      <c r="D29" s="44" t="str">
        <f t="shared" si="1"/>
        <v/>
      </c>
      <c r="E29" s="44" t="str">
        <f t="shared" si="2"/>
        <v/>
      </c>
      <c r="F29" s="44" t="str">
        <f t="shared" si="3"/>
        <v/>
      </c>
      <c r="G29" s="44" t="str">
        <f t="shared" si="4"/>
        <v/>
      </c>
      <c r="H29" s="45" t="str">
        <f t="shared" si="5"/>
        <v/>
      </c>
      <c r="I29" s="35" t="str">
        <f t="shared" si="6"/>
        <v/>
      </c>
    </row>
    <row r="31" spans="1:17" ht="19.5" customHeight="1">
      <c r="A31" s="6" t="s">
        <v>1448</v>
      </c>
      <c r="B31" s="6"/>
      <c r="C31" s="6"/>
      <c r="D31" s="6"/>
      <c r="E31" s="6"/>
      <c r="F31" s="6"/>
      <c r="G31" s="6"/>
      <c r="H31" s="6"/>
      <c r="I31" s="6"/>
      <c r="J31" s="6"/>
      <c r="K31" s="6"/>
      <c r="L31" s="6"/>
      <c r="M31" s="6"/>
      <c r="N31" s="6"/>
      <c r="O31" s="6"/>
      <c r="P31" s="6"/>
      <c r="Q31" s="6"/>
    </row>
    <row r="32" spans="1:17" ht="31.5" customHeight="1">
      <c r="A32" s="8" t="s">
        <v>1449</v>
      </c>
      <c r="B32" s="8"/>
      <c r="C32" s="143" t="str">
        <f>"Las alternativas comparten grupo de alimentos, no función culinaria ni tamaño de porción. Verifique que el reemplazo tenga sentido en la preparación concreta antes de proponerlo."</f>
        <v>Las alternativas comparten grupo de alimentos, no función culinaria ni tamaño de porción. Verifique que el reemplazo tenga sentido en la preparación concreta antes de proponerlo.</v>
      </c>
      <c r="D32" s="143"/>
      <c r="E32" s="143"/>
      <c r="F32" s="143"/>
      <c r="G32" s="143"/>
      <c r="H32" s="143"/>
      <c r="I32" s="143"/>
      <c r="J32" s="143"/>
      <c r="K32" s="143"/>
    </row>
    <row r="33" spans="1:11" ht="31.5" customHeight="1">
      <c r="A33" s="8" t="s">
        <v>1450</v>
      </c>
      <c r="B33" s="8"/>
      <c r="C33" s="143" t="str">
        <f>IF(NOT(ISNUMBER($C$18)),"ND",IF($C$18&lt;=3,"Este grupo tiene solo "&amp;$C$18&amp;" alimento(s) con datos completos: las alternativas son escasas y conviene buscar el reemplazo en otro grupo con función similar.","El grupo ofrece "&amp;$C$18&amp;" alternativas con datos completos."))</f>
        <v>Este grupo tiene solo 3 alimento(s) con datos completos: las alternativas son escasas y conviene buscar el reemplazo en otro grupo con función similar.</v>
      </c>
      <c r="D33" s="143"/>
      <c r="E33" s="143"/>
      <c r="F33" s="143"/>
      <c r="G33" s="143"/>
      <c r="H33" s="143"/>
      <c r="I33" s="143"/>
      <c r="J33" s="143"/>
      <c r="K33" s="143"/>
    </row>
    <row r="34" spans="1:11" ht="31.5" customHeight="1">
      <c r="A34" s="8" t="s">
        <v>1451</v>
      </c>
      <c r="B34" s="8"/>
      <c r="C34" s="143" t="str">
        <f>"Reducir potasio también se logra con remojo y doble cocción, que este libro NO cuantifica porque la fuente no documenta esas pérdidas. Sustituir el alimento no es la única vía."</f>
        <v>Reducir potasio también se logra con remojo y doble cocción, que este libro NO cuantifica porque la fuente no documenta esas pérdidas. Sustituir el alimento no es la única vía.</v>
      </c>
      <c r="D34" s="143"/>
      <c r="E34" s="143"/>
      <c r="F34" s="143"/>
      <c r="G34" s="143"/>
      <c r="H34" s="143"/>
      <c r="I34" s="143"/>
      <c r="J34" s="143"/>
      <c r="K34" s="143"/>
    </row>
  </sheetData>
  <mergeCells count="28">
    <mergeCell ref="A32:B32"/>
    <mergeCell ref="C32:K32"/>
    <mergeCell ref="A33:B33"/>
    <mergeCell ref="C33:K33"/>
    <mergeCell ref="A34:B34"/>
    <mergeCell ref="C34:K34"/>
    <mergeCell ref="A18:B18"/>
    <mergeCell ref="C18:K18"/>
    <mergeCell ref="L18:Q18"/>
    <mergeCell ref="A20:Q20"/>
    <mergeCell ref="A31:Q31"/>
    <mergeCell ref="A15:B15"/>
    <mergeCell ref="C15:K15"/>
    <mergeCell ref="A16:B16"/>
    <mergeCell ref="C16:K16"/>
    <mergeCell ref="A17:B17"/>
    <mergeCell ref="C17:K17"/>
    <mergeCell ref="A12:B12"/>
    <mergeCell ref="C12:K12"/>
    <mergeCell ref="A13:B13"/>
    <mergeCell ref="C13:K13"/>
    <mergeCell ref="A14:B14"/>
    <mergeCell ref="C14:K14"/>
    <mergeCell ref="A1:Q1"/>
    <mergeCell ref="A2:Q3"/>
    <mergeCell ref="A4:B4"/>
    <mergeCell ref="A6:Q9"/>
    <mergeCell ref="A11:Q11"/>
  </mergeCells>
  <dataValidations count="1">
    <dataValidation type="list" allowBlank="1" sqref="C12" xr:uid="{00000000-0002-0000-0500-000000000000}">
      <formula1>lst_alimentos</formula1>
      <formula2>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EFF1"/>
  </sheetPr>
  <dimension ref="A1:Q35"/>
  <sheetViews>
    <sheetView showGridLines="0" workbookViewId="0">
      <selection sqref="A1:Q1"/>
    </sheetView>
  </sheetViews>
  <sheetFormatPr baseColWidth="10" defaultColWidth="9.140625" defaultRowHeight="15"/>
  <cols>
    <col min="1" max="1" width="34" style="14" customWidth="1"/>
    <col min="2" max="2" width="38" style="14" customWidth="1"/>
    <col min="3" max="3" width="22" style="14" customWidth="1"/>
    <col min="4" max="4" width="30" style="14" customWidth="1"/>
    <col min="5" max="5" width="44"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1452</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147" t="s">
        <v>1453</v>
      </c>
      <c r="B6" s="147"/>
      <c r="C6" s="147"/>
      <c r="D6" s="147"/>
      <c r="E6" s="147"/>
      <c r="F6" s="147"/>
      <c r="G6" s="147"/>
      <c r="H6" s="147"/>
      <c r="I6" s="147"/>
      <c r="J6" s="147"/>
      <c r="K6" s="147"/>
      <c r="L6" s="147"/>
      <c r="M6" s="147"/>
      <c r="N6" s="147"/>
      <c r="O6" s="147"/>
      <c r="P6" s="147"/>
      <c r="Q6" s="147"/>
    </row>
    <row r="7" spans="1:17" ht="15" customHeight="1">
      <c r="A7" s="147"/>
      <c r="B7" s="147"/>
      <c r="C7" s="147"/>
      <c r="D7" s="147"/>
      <c r="E7" s="147"/>
      <c r="F7" s="147"/>
      <c r="G7" s="147"/>
      <c r="H7" s="147"/>
      <c r="I7" s="147"/>
      <c r="J7" s="147"/>
      <c r="K7" s="147"/>
      <c r="L7" s="147"/>
      <c r="M7" s="147"/>
      <c r="N7" s="147"/>
      <c r="O7" s="147"/>
      <c r="P7" s="147"/>
      <c r="Q7" s="147"/>
    </row>
    <row r="8" spans="1:17" ht="15" customHeight="1">
      <c r="A8" s="147"/>
      <c r="B8" s="147"/>
      <c r="C8" s="147"/>
      <c r="D8" s="147"/>
      <c r="E8" s="147"/>
      <c r="F8" s="147"/>
      <c r="G8" s="147"/>
      <c r="H8" s="147"/>
      <c r="I8" s="147"/>
      <c r="J8" s="147"/>
      <c r="K8" s="147"/>
      <c r="L8" s="147"/>
      <c r="M8" s="147"/>
      <c r="N8" s="147"/>
      <c r="O8" s="147"/>
      <c r="P8" s="147"/>
      <c r="Q8" s="147"/>
    </row>
    <row r="9" spans="1:17" ht="15" customHeight="1">
      <c r="A9" s="147"/>
      <c r="B9" s="147"/>
      <c r="C9" s="147"/>
      <c r="D9" s="147"/>
      <c r="E9" s="147"/>
      <c r="F9" s="147"/>
      <c r="G9" s="147"/>
      <c r="H9" s="147"/>
      <c r="I9" s="147"/>
      <c r="J9" s="147"/>
      <c r="K9" s="147"/>
      <c r="L9" s="147"/>
      <c r="M9" s="147"/>
      <c r="N9" s="147"/>
      <c r="O9" s="147"/>
      <c r="P9" s="147"/>
      <c r="Q9" s="147"/>
    </row>
    <row r="11" spans="1:17" ht="19.5" customHeight="1">
      <c r="A11" s="6" t="s">
        <v>1454</v>
      </c>
      <c r="B11" s="6"/>
      <c r="C11" s="6"/>
      <c r="D11" s="6"/>
      <c r="E11" s="6"/>
      <c r="F11" s="6"/>
      <c r="G11" s="6"/>
      <c r="H11" s="6"/>
      <c r="I11" s="6"/>
      <c r="J11" s="6"/>
      <c r="K11" s="6"/>
      <c r="L11" s="6"/>
      <c r="M11" s="6"/>
      <c r="N11" s="6"/>
      <c r="O11" s="6"/>
      <c r="P11" s="6"/>
      <c r="Q11" s="6"/>
    </row>
    <row r="12" spans="1:17" ht="31.5" customHeight="1">
      <c r="A12" s="41" t="s">
        <v>1455</v>
      </c>
      <c r="B12" s="41" t="s">
        <v>1456</v>
      </c>
      <c r="C12" s="41" t="s">
        <v>1457</v>
      </c>
      <c r="D12" s="41" t="s">
        <v>1458</v>
      </c>
      <c r="E12" s="41" t="s">
        <v>1459</v>
      </c>
    </row>
    <row r="13" spans="1:17" ht="27.75" customHeight="1">
      <c r="A13" s="46" t="s">
        <v>1460</v>
      </c>
      <c r="B13" s="46" t="s">
        <v>1461</v>
      </c>
      <c r="C13" s="46" t="s">
        <v>1462</v>
      </c>
      <c r="D13" s="46" t="s">
        <v>1463</v>
      </c>
      <c r="E13" s="46" t="s">
        <v>1637</v>
      </c>
    </row>
    <row r="14" spans="1:17" ht="27.75" customHeight="1">
      <c r="A14" s="46" t="s">
        <v>1464</v>
      </c>
      <c r="B14" s="46" t="s">
        <v>1465</v>
      </c>
      <c r="C14" s="46" t="s">
        <v>1466</v>
      </c>
      <c r="D14" s="46" t="s">
        <v>1463</v>
      </c>
      <c r="E14" s="46" t="s">
        <v>1638</v>
      </c>
    </row>
    <row r="15" spans="1:17" ht="27.75" customHeight="1">
      <c r="A15" s="46" t="s">
        <v>1467</v>
      </c>
      <c r="B15" s="46" t="s">
        <v>1468</v>
      </c>
      <c r="C15" s="46" t="s">
        <v>1469</v>
      </c>
      <c r="D15" s="46" t="s">
        <v>1463</v>
      </c>
      <c r="E15" s="46" t="s">
        <v>1639</v>
      </c>
    </row>
    <row r="16" spans="1:17" ht="27.75" customHeight="1">
      <c r="A16" s="46" t="s">
        <v>1470</v>
      </c>
      <c r="B16" s="46" t="s">
        <v>1471</v>
      </c>
      <c r="C16" s="46" t="s">
        <v>1472</v>
      </c>
      <c r="D16" s="46" t="s">
        <v>1463</v>
      </c>
      <c r="E16" s="46" t="s">
        <v>1640</v>
      </c>
    </row>
    <row r="17" spans="1:17" ht="27.75" customHeight="1">
      <c r="A17" s="46" t="s">
        <v>1473</v>
      </c>
      <c r="B17" s="46" t="s">
        <v>1474</v>
      </c>
      <c r="C17" s="46" t="s">
        <v>1463</v>
      </c>
      <c r="D17" s="46" t="s">
        <v>1475</v>
      </c>
      <c r="E17" s="46" t="s">
        <v>1641</v>
      </c>
    </row>
    <row r="18" spans="1:17" ht="27.75" customHeight="1">
      <c r="A18" s="46" t="s">
        <v>1476</v>
      </c>
      <c r="B18" s="46" t="s">
        <v>1477</v>
      </c>
      <c r="C18" s="46" t="s">
        <v>1463</v>
      </c>
      <c r="D18" s="46" t="s">
        <v>1478</v>
      </c>
      <c r="E18" s="46" t="s">
        <v>1642</v>
      </c>
    </row>
    <row r="20" spans="1:17" ht="19.5" customHeight="1">
      <c r="A20" s="6" t="s">
        <v>1479</v>
      </c>
      <c r="B20" s="6"/>
      <c r="C20" s="6"/>
      <c r="D20" s="6"/>
      <c r="E20" s="6"/>
      <c r="F20" s="6"/>
      <c r="G20" s="6"/>
      <c r="H20" s="6"/>
      <c r="I20" s="6"/>
      <c r="J20" s="6"/>
      <c r="K20" s="6"/>
      <c r="L20" s="6"/>
      <c r="M20" s="6"/>
      <c r="N20" s="6"/>
      <c r="O20" s="6"/>
      <c r="P20" s="6"/>
      <c r="Q20" s="6"/>
    </row>
    <row r="21" spans="1:17" ht="15" customHeight="1">
      <c r="A21" s="15" t="s">
        <v>113</v>
      </c>
      <c r="B21" s="15" t="s">
        <v>1480</v>
      </c>
      <c r="C21" s="15" t="s">
        <v>1481</v>
      </c>
    </row>
    <row r="22" spans="1:17" ht="15" customHeight="1">
      <c r="A22" s="16" t="s">
        <v>1460</v>
      </c>
      <c r="B22" s="47">
        <f>COUNTIFS(ALIMENTOS!$N$9:$N$626,"Bajo",rng_estado,"Utilizable")</f>
        <v>61</v>
      </c>
      <c r="C22" s="48">
        <f t="shared" ref="C22:C27" si="0">IF(COUNTIF(rng_estado,"Utilizable")=0,"ND",B22/COUNTIF(rng_estado,"Utilizable"))</f>
        <v>0.16223404255319149</v>
      </c>
    </row>
    <row r="23" spans="1:17" ht="15" customHeight="1">
      <c r="A23" s="16" t="s">
        <v>1482</v>
      </c>
      <c r="B23" s="47">
        <f>COUNTIFS(ALIMENTOS!$N$9:$N$626,"Medio",rng_estado,"Utilizable")</f>
        <v>88</v>
      </c>
      <c r="C23" s="48">
        <f t="shared" si="0"/>
        <v>0.23404255319148937</v>
      </c>
    </row>
    <row r="24" spans="1:17" ht="15" customHeight="1">
      <c r="A24" s="16" t="s">
        <v>1470</v>
      </c>
      <c r="B24" s="47">
        <f>COUNTIFS(ALIMENTOS!$N$9:$N$626,"Alto",rng_estado,"Utilizable")</f>
        <v>60</v>
      </c>
      <c r="C24" s="48">
        <f t="shared" si="0"/>
        <v>0.15957446808510639</v>
      </c>
    </row>
    <row r="25" spans="1:17" ht="15" customHeight="1">
      <c r="A25" s="16" t="s">
        <v>1483</v>
      </c>
      <c r="B25" s="47">
        <f>COUNTIFS(ALIMENTOS!$N$9:$N$626,"Muy alto",rng_estado,"Utilizable")</f>
        <v>167</v>
      </c>
      <c r="C25" s="48">
        <f t="shared" si="0"/>
        <v>0.44414893617021278</v>
      </c>
    </row>
    <row r="26" spans="1:17" ht="15" customHeight="1">
      <c r="A26" s="16" t="s">
        <v>1473</v>
      </c>
      <c r="B26" s="47">
        <f>COUNTIFS(ALIMENTOS!$R$9:$R$626,"Deseable",rng_estado,"Utilizable")</f>
        <v>63</v>
      </c>
      <c r="C26" s="48">
        <f t="shared" si="0"/>
        <v>0.16755319148936171</v>
      </c>
    </row>
    <row r="27" spans="1:17" ht="15" customHeight="1">
      <c r="A27" s="16" t="s">
        <v>1476</v>
      </c>
      <c r="B27" s="47">
        <f>COUNTIFS(ALIMENTOS!$R$9:$R$626,"Alta",rng_estado,"Utilizable")</f>
        <v>94</v>
      </c>
      <c r="C27" s="48">
        <f t="shared" si="0"/>
        <v>0.25</v>
      </c>
    </row>
    <row r="29" spans="1:17" ht="19.5" customHeight="1">
      <c r="A29" s="6" t="s">
        <v>1484</v>
      </c>
      <c r="B29" s="6"/>
      <c r="C29" s="6"/>
      <c r="D29" s="6"/>
      <c r="E29" s="6"/>
      <c r="F29" s="6"/>
      <c r="G29" s="6"/>
      <c r="H29" s="6"/>
      <c r="I29" s="6"/>
      <c r="J29" s="6"/>
      <c r="K29" s="6"/>
      <c r="L29" s="6"/>
      <c r="M29" s="6"/>
      <c r="N29" s="6"/>
      <c r="O29" s="6"/>
      <c r="P29" s="6"/>
      <c r="Q29" s="6"/>
    </row>
    <row r="30" spans="1:17" ht="30" customHeight="1">
      <c r="A30" s="5" t="s">
        <v>1485</v>
      </c>
      <c r="B30" s="5"/>
      <c r="C30" s="5"/>
      <c r="D30" s="5"/>
      <c r="E30" s="5"/>
      <c r="F30" s="5"/>
      <c r="G30" s="5"/>
      <c r="H30" s="5"/>
      <c r="I30" s="5"/>
      <c r="J30" s="5"/>
      <c r="K30" s="5"/>
      <c r="L30" s="5"/>
      <c r="M30" s="5"/>
      <c r="N30" s="5"/>
      <c r="O30" s="5"/>
      <c r="P30" s="5"/>
      <c r="Q30" s="5"/>
    </row>
    <row r="31" spans="1:17" ht="30" customHeight="1">
      <c r="A31" s="5" t="s">
        <v>1486</v>
      </c>
      <c r="B31" s="5"/>
      <c r="C31" s="5"/>
      <c r="D31" s="5"/>
      <c r="E31" s="5"/>
      <c r="F31" s="5"/>
      <c r="G31" s="5"/>
      <c r="H31" s="5"/>
      <c r="I31" s="5"/>
      <c r="J31" s="5"/>
      <c r="K31" s="5"/>
      <c r="L31" s="5"/>
      <c r="M31" s="5"/>
      <c r="N31" s="5"/>
      <c r="O31" s="5"/>
      <c r="P31" s="5"/>
      <c r="Q31" s="5"/>
    </row>
    <row r="32" spans="1:17" ht="30" customHeight="1">
      <c r="A32" s="5" t="s">
        <v>1487</v>
      </c>
      <c r="B32" s="5"/>
      <c r="C32" s="5"/>
      <c r="D32" s="5"/>
      <c r="E32" s="5"/>
      <c r="F32" s="5"/>
      <c r="G32" s="5"/>
      <c r="H32" s="5"/>
      <c r="I32" s="5"/>
      <c r="J32" s="5"/>
      <c r="K32" s="5"/>
      <c r="L32" s="5"/>
      <c r="M32" s="5"/>
      <c r="N32" s="5"/>
      <c r="O32" s="5"/>
      <c r="P32" s="5"/>
      <c r="Q32" s="5"/>
    </row>
    <row r="33" spans="1:17" ht="30" customHeight="1">
      <c r="A33" s="5" t="s">
        <v>1488</v>
      </c>
      <c r="B33" s="5"/>
      <c r="C33" s="5"/>
      <c r="D33" s="5"/>
      <c r="E33" s="5"/>
      <c r="F33" s="5"/>
      <c r="G33" s="5"/>
      <c r="H33" s="5"/>
      <c r="I33" s="5"/>
      <c r="J33" s="5"/>
      <c r="K33" s="5"/>
      <c r="L33" s="5"/>
      <c r="M33" s="5"/>
      <c r="N33" s="5"/>
      <c r="O33" s="5"/>
      <c r="P33" s="5"/>
      <c r="Q33" s="5"/>
    </row>
    <row r="34" spans="1:17">
      <c r="A34" s="136" t="s">
        <v>1643</v>
      </c>
      <c r="B34" s="137"/>
      <c r="C34" s="137"/>
      <c r="D34" s="137"/>
      <c r="E34" s="137"/>
      <c r="F34" s="137"/>
      <c r="G34" s="137"/>
      <c r="H34" s="137"/>
      <c r="I34" s="137"/>
      <c r="J34" s="137"/>
      <c r="K34" s="137"/>
      <c r="L34" s="138"/>
    </row>
    <row r="35" spans="1:17">
      <c r="A35" s="139"/>
      <c r="B35" s="140"/>
      <c r="C35" s="140"/>
      <c r="D35" s="140"/>
      <c r="E35" s="140"/>
      <c r="F35" s="140"/>
      <c r="G35" s="140"/>
      <c r="H35" s="140"/>
      <c r="I35" s="140"/>
      <c r="J35" s="140"/>
      <c r="K35" s="140"/>
      <c r="L35" s="141"/>
    </row>
  </sheetData>
  <mergeCells count="12">
    <mergeCell ref="A33:Q33"/>
    <mergeCell ref="A34:L35"/>
    <mergeCell ref="A20:Q20"/>
    <mergeCell ref="A29:Q29"/>
    <mergeCell ref="A30:Q30"/>
    <mergeCell ref="A31:Q31"/>
    <mergeCell ref="A32:Q32"/>
    <mergeCell ref="A1:Q1"/>
    <mergeCell ref="A2:Q3"/>
    <mergeCell ref="A4:B4"/>
    <mergeCell ref="A6:Q9"/>
    <mergeCell ref="A11:Q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8E7E2"/>
  </sheetPr>
  <dimension ref="A1:Q30"/>
  <sheetViews>
    <sheetView showGridLines="0" workbookViewId="0">
      <selection sqref="A1:Q1"/>
    </sheetView>
  </sheetViews>
  <sheetFormatPr baseColWidth="10" defaultColWidth="9.140625" defaultRowHeight="15"/>
  <cols>
    <col min="1" max="1" width="28" style="14" customWidth="1"/>
    <col min="2" max="2" width="110"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1489</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1490</v>
      </c>
      <c r="B6" s="6"/>
      <c r="C6" s="6"/>
      <c r="D6" s="6"/>
      <c r="E6" s="6"/>
      <c r="F6" s="6"/>
      <c r="G6" s="6"/>
      <c r="H6" s="6"/>
      <c r="I6" s="6"/>
      <c r="J6" s="6"/>
      <c r="K6" s="6"/>
      <c r="L6" s="6"/>
      <c r="M6" s="6"/>
      <c r="N6" s="6"/>
      <c r="O6" s="6"/>
      <c r="P6" s="6"/>
      <c r="Q6" s="6"/>
    </row>
    <row r="7" spans="1:17" ht="15" customHeight="1">
      <c r="A7" s="15" t="s">
        <v>1491</v>
      </c>
      <c r="B7" s="148" t="s">
        <v>1492</v>
      </c>
      <c r="C7" s="148"/>
      <c r="D7" s="148"/>
      <c r="E7" s="148"/>
      <c r="F7" s="148"/>
      <c r="G7" s="148"/>
      <c r="H7" s="148"/>
      <c r="I7" s="148"/>
      <c r="J7" s="148"/>
      <c r="K7" s="148"/>
      <c r="L7" s="148"/>
      <c r="M7" s="148"/>
      <c r="N7" s="148"/>
      <c r="O7" s="148"/>
      <c r="P7" s="148"/>
      <c r="Q7" s="148"/>
    </row>
    <row r="8" spans="1:17" ht="61.5" customHeight="1">
      <c r="A8" s="49" t="s">
        <v>1493</v>
      </c>
      <c r="B8" s="149" t="s">
        <v>1494</v>
      </c>
      <c r="C8" s="149"/>
      <c r="D8" s="149"/>
      <c r="E8" s="149"/>
      <c r="F8" s="149"/>
      <c r="G8" s="149"/>
      <c r="H8" s="149"/>
      <c r="I8" s="149"/>
      <c r="J8" s="149"/>
      <c r="K8" s="149"/>
      <c r="L8" s="149"/>
      <c r="M8" s="149"/>
      <c r="N8" s="149"/>
      <c r="O8" s="149"/>
      <c r="P8" s="149"/>
      <c r="Q8" s="149"/>
    </row>
    <row r="9" spans="1:17" ht="61.5" customHeight="1">
      <c r="A9" s="49" t="s">
        <v>1495</v>
      </c>
      <c r="B9" s="149" t="s">
        <v>1496</v>
      </c>
      <c r="C9" s="149"/>
      <c r="D9" s="149"/>
      <c r="E9" s="149"/>
      <c r="F9" s="149"/>
      <c r="G9" s="149"/>
      <c r="H9" s="149"/>
      <c r="I9" s="149"/>
      <c r="J9" s="149"/>
      <c r="K9" s="149"/>
      <c r="L9" s="149"/>
      <c r="M9" s="149"/>
      <c r="N9" s="149"/>
      <c r="O9" s="149"/>
      <c r="P9" s="149"/>
      <c r="Q9" s="149"/>
    </row>
    <row r="10" spans="1:17" ht="61.5" customHeight="1">
      <c r="A10" s="49" t="s">
        <v>1497</v>
      </c>
      <c r="B10" s="149" t="s">
        <v>1498</v>
      </c>
      <c r="C10" s="149"/>
      <c r="D10" s="149"/>
      <c r="E10" s="149"/>
      <c r="F10" s="149"/>
      <c r="G10" s="149"/>
      <c r="H10" s="149"/>
      <c r="I10" s="149"/>
      <c r="J10" s="149"/>
      <c r="K10" s="149"/>
      <c r="L10" s="149"/>
      <c r="M10" s="149"/>
      <c r="N10" s="149"/>
      <c r="O10" s="149"/>
      <c r="P10" s="149"/>
      <c r="Q10" s="149"/>
    </row>
    <row r="11" spans="1:17" ht="61.5" customHeight="1">
      <c r="A11" s="49" t="s">
        <v>1499</v>
      </c>
      <c r="B11" s="149" t="s">
        <v>1500</v>
      </c>
      <c r="C11" s="149"/>
      <c r="D11" s="149"/>
      <c r="E11" s="149"/>
      <c r="F11" s="149"/>
      <c r="G11" s="149"/>
      <c r="H11" s="149"/>
      <c r="I11" s="149"/>
      <c r="J11" s="149"/>
      <c r="K11" s="149"/>
      <c r="L11" s="149"/>
      <c r="M11" s="149"/>
      <c r="N11" s="149"/>
      <c r="O11" s="149"/>
      <c r="P11" s="149"/>
      <c r="Q11" s="149"/>
    </row>
    <row r="12" spans="1:17" ht="61.5" customHeight="1">
      <c r="A12" s="49" t="s">
        <v>1501</v>
      </c>
      <c r="B12" s="149" t="s">
        <v>1502</v>
      </c>
      <c r="C12" s="149"/>
      <c r="D12" s="149"/>
      <c r="E12" s="149"/>
      <c r="F12" s="149"/>
      <c r="G12" s="149"/>
      <c r="H12" s="149"/>
      <c r="I12" s="149"/>
      <c r="J12" s="149"/>
      <c r="K12" s="149"/>
      <c r="L12" s="149"/>
      <c r="M12" s="149"/>
      <c r="N12" s="149"/>
      <c r="O12" s="149"/>
      <c r="P12" s="149"/>
      <c r="Q12" s="149"/>
    </row>
    <row r="13" spans="1:17" ht="61.5" customHeight="1">
      <c r="A13" s="49" t="s">
        <v>1503</v>
      </c>
      <c r="B13" s="149" t="s">
        <v>1504</v>
      </c>
      <c r="C13" s="149"/>
      <c r="D13" s="149"/>
      <c r="E13" s="149"/>
      <c r="F13" s="149"/>
      <c r="G13" s="149"/>
      <c r="H13" s="149"/>
      <c r="I13" s="149"/>
      <c r="J13" s="149"/>
      <c r="K13" s="149"/>
      <c r="L13" s="149"/>
      <c r="M13" s="149"/>
      <c r="N13" s="149"/>
      <c r="O13" s="149"/>
      <c r="P13" s="149"/>
      <c r="Q13" s="149"/>
    </row>
    <row r="14" spans="1:17" ht="61.5" customHeight="1">
      <c r="A14" s="49" t="s">
        <v>1505</v>
      </c>
      <c r="B14" s="149" t="s">
        <v>1506</v>
      </c>
      <c r="C14" s="149"/>
      <c r="D14" s="149"/>
      <c r="E14" s="149"/>
      <c r="F14" s="149"/>
      <c r="G14" s="149"/>
      <c r="H14" s="149"/>
      <c r="I14" s="149"/>
      <c r="J14" s="149"/>
      <c r="K14" s="149"/>
      <c r="L14" s="149"/>
      <c r="M14" s="149"/>
      <c r="N14" s="149"/>
      <c r="O14" s="149"/>
      <c r="P14" s="149"/>
      <c r="Q14" s="149"/>
    </row>
    <row r="15" spans="1:17" ht="61.5" customHeight="1">
      <c r="A15" s="49" t="s">
        <v>1507</v>
      </c>
      <c r="B15" s="149" t="s">
        <v>1508</v>
      </c>
      <c r="C15" s="149"/>
      <c r="D15" s="149"/>
      <c r="E15" s="149"/>
      <c r="F15" s="149"/>
      <c r="G15" s="149"/>
      <c r="H15" s="149"/>
      <c r="I15" s="149"/>
      <c r="J15" s="149"/>
      <c r="K15" s="149"/>
      <c r="L15" s="149"/>
      <c r="M15" s="149"/>
      <c r="N15" s="149"/>
      <c r="O15" s="149"/>
      <c r="P15" s="149"/>
      <c r="Q15" s="149"/>
    </row>
    <row r="16" spans="1:17" ht="61.5" customHeight="1">
      <c r="A16" s="49" t="s">
        <v>1509</v>
      </c>
      <c r="B16" s="149" t="s">
        <v>1510</v>
      </c>
      <c r="C16" s="149"/>
      <c r="D16" s="149"/>
      <c r="E16" s="149"/>
      <c r="F16" s="149"/>
      <c r="G16" s="149"/>
      <c r="H16" s="149"/>
      <c r="I16" s="149"/>
      <c r="J16" s="149"/>
      <c r="K16" s="149"/>
      <c r="L16" s="149"/>
      <c r="M16" s="149"/>
      <c r="N16" s="149"/>
      <c r="O16" s="149"/>
      <c r="P16" s="149"/>
      <c r="Q16" s="149"/>
    </row>
    <row r="17" spans="1:17" ht="61.5" customHeight="1">
      <c r="A17" s="49" t="s">
        <v>8</v>
      </c>
      <c r="B17" s="149" t="s">
        <v>1511</v>
      </c>
      <c r="C17" s="149"/>
      <c r="D17" s="149"/>
      <c r="E17" s="149"/>
      <c r="F17" s="149"/>
      <c r="G17" s="149"/>
      <c r="H17" s="149"/>
      <c r="I17" s="149"/>
      <c r="J17" s="149"/>
      <c r="K17" s="149"/>
      <c r="L17" s="149"/>
      <c r="M17" s="149"/>
      <c r="N17" s="149"/>
      <c r="O17" s="149"/>
      <c r="P17" s="149"/>
      <c r="Q17" s="149"/>
    </row>
    <row r="18" spans="1:17" ht="61.5" customHeight="1">
      <c r="A18" s="49" t="s">
        <v>1512</v>
      </c>
      <c r="B18" s="149" t="s">
        <v>1513</v>
      </c>
      <c r="C18" s="149"/>
      <c r="D18" s="149"/>
      <c r="E18" s="149"/>
      <c r="F18" s="149"/>
      <c r="G18" s="149"/>
      <c r="H18" s="149"/>
      <c r="I18" s="149"/>
      <c r="J18" s="149"/>
      <c r="K18" s="149"/>
      <c r="L18" s="149"/>
      <c r="M18" s="149"/>
      <c r="N18" s="149"/>
      <c r="O18" s="149"/>
      <c r="P18" s="149"/>
      <c r="Q18" s="149"/>
    </row>
    <row r="19" spans="1:17" ht="61.5" customHeight="1">
      <c r="A19" s="49" t="s">
        <v>1514</v>
      </c>
      <c r="B19" s="149" t="s">
        <v>1515</v>
      </c>
      <c r="C19" s="149"/>
      <c r="D19" s="149"/>
      <c r="E19" s="149"/>
      <c r="F19" s="149"/>
      <c r="G19" s="149"/>
      <c r="H19" s="149"/>
      <c r="I19" s="149"/>
      <c r="J19" s="149"/>
      <c r="K19" s="149"/>
      <c r="L19" s="149"/>
      <c r="M19" s="149"/>
      <c r="N19" s="149"/>
      <c r="O19" s="149"/>
      <c r="P19" s="149"/>
      <c r="Q19" s="149"/>
    </row>
    <row r="20" spans="1:17">
      <c r="A20" s="150" t="s">
        <v>1644</v>
      </c>
      <c r="B20" s="151"/>
      <c r="C20" s="151"/>
      <c r="D20" s="151"/>
      <c r="E20" s="151"/>
      <c r="F20" s="151"/>
      <c r="G20" s="151"/>
      <c r="H20" s="151"/>
      <c r="I20" s="151"/>
      <c r="J20" s="151"/>
      <c r="K20" s="151"/>
      <c r="L20" s="152"/>
    </row>
    <row r="21" spans="1:17">
      <c r="A21" s="106" t="s">
        <v>1645</v>
      </c>
      <c r="B21" s="86" t="s">
        <v>1646</v>
      </c>
    </row>
    <row r="22" spans="1:17">
      <c r="A22" s="107" t="s">
        <v>1647</v>
      </c>
      <c r="B22" s="88" t="s">
        <v>1648</v>
      </c>
    </row>
    <row r="23" spans="1:17">
      <c r="A23" s="107" t="s">
        <v>1649</v>
      </c>
      <c r="B23" s="88" t="s">
        <v>1650</v>
      </c>
    </row>
    <row r="24" spans="1:17">
      <c r="A24" s="107" t="s">
        <v>1651</v>
      </c>
      <c r="B24" s="88" t="s">
        <v>1652</v>
      </c>
    </row>
    <row r="25" spans="1:17">
      <c r="A25" s="107" t="s">
        <v>1653</v>
      </c>
      <c r="B25" s="88" t="s">
        <v>1654</v>
      </c>
    </row>
    <row r="26" spans="1:17">
      <c r="A26" s="107" t="s">
        <v>1655</v>
      </c>
      <c r="B26" s="88" t="s">
        <v>1656</v>
      </c>
    </row>
    <row r="27" spans="1:17">
      <c r="A27" s="107" t="s">
        <v>1657</v>
      </c>
      <c r="B27" s="88" t="s">
        <v>1658</v>
      </c>
    </row>
    <row r="28" spans="1:17">
      <c r="A28" s="107" t="s">
        <v>1659</v>
      </c>
      <c r="B28" s="88" t="s">
        <v>1660</v>
      </c>
    </row>
    <row r="29" spans="1:17">
      <c r="A29" s="107" t="s">
        <v>1661</v>
      </c>
      <c r="B29" s="88" t="s">
        <v>1662</v>
      </c>
    </row>
    <row r="30" spans="1:17">
      <c r="A30" s="108" t="s">
        <v>1663</v>
      </c>
      <c r="B30" s="90" t="s">
        <v>1664</v>
      </c>
    </row>
  </sheetData>
  <mergeCells count="18">
    <mergeCell ref="B18:Q18"/>
    <mergeCell ref="B19:Q19"/>
    <mergeCell ref="A20:L20"/>
    <mergeCell ref="B13:Q13"/>
    <mergeCell ref="B14:Q14"/>
    <mergeCell ref="B15:Q15"/>
    <mergeCell ref="B16:Q16"/>
    <mergeCell ref="B17:Q17"/>
    <mergeCell ref="B8:Q8"/>
    <mergeCell ref="B9:Q9"/>
    <mergeCell ref="B10:Q10"/>
    <mergeCell ref="B11:Q11"/>
    <mergeCell ref="B12:Q12"/>
    <mergeCell ref="A1:Q1"/>
    <mergeCell ref="A2:Q3"/>
    <mergeCell ref="A4:B4"/>
    <mergeCell ref="A6:Q6"/>
    <mergeCell ref="B7:Q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BE4D5"/>
  </sheetPr>
  <dimension ref="A1:Q39"/>
  <sheetViews>
    <sheetView showGridLines="0" workbookViewId="0">
      <selection sqref="A1:Q1"/>
    </sheetView>
  </sheetViews>
  <sheetFormatPr baseColWidth="10" defaultColWidth="9.140625" defaultRowHeight="15"/>
  <cols>
    <col min="1" max="1" width="18.5703125" style="14" customWidth="1"/>
    <col min="2" max="2" width="58" style="14" customWidth="1"/>
    <col min="3" max="5" width="20"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1516</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50" t="s">
        <v>1517</v>
      </c>
    </row>
    <row r="8" spans="1:17" ht="15" customHeight="1">
      <c r="A8" s="15" t="s">
        <v>1518</v>
      </c>
      <c r="B8" s="15" t="s">
        <v>1519</v>
      </c>
      <c r="C8" s="15" t="s">
        <v>1520</v>
      </c>
      <c r="D8" s="15" t="s">
        <v>1521</v>
      </c>
      <c r="E8" s="15" t="s">
        <v>20</v>
      </c>
    </row>
    <row r="9" spans="1:17" ht="15" customHeight="1">
      <c r="A9" s="51" t="s">
        <v>1522</v>
      </c>
      <c r="B9" s="38" t="s">
        <v>1523</v>
      </c>
      <c r="C9" s="51">
        <f>LICENCIA!B24</f>
        <v>403</v>
      </c>
      <c r="D9" s="51">
        <v>403</v>
      </c>
      <c r="E9" s="52" t="str">
        <f t="shared" ref="E9:E37" si="0">IF(AND(ISNUMBER(C9),ISNUMBER(D9)),IF(ABS(C9-D9)&lt;=0.001,"APROBADO","REVISAR"),IF(EXACT(C9&amp;"",D9&amp;""),"APROBADO","REVISAR"))</f>
        <v>APROBADO</v>
      </c>
    </row>
    <row r="10" spans="1:17" ht="15" customHeight="1">
      <c r="A10" s="51" t="s">
        <v>1522</v>
      </c>
      <c r="B10" s="38" t="s">
        <v>1524</v>
      </c>
      <c r="C10" s="51">
        <f>LICENCIA!B25</f>
        <v>428</v>
      </c>
      <c r="D10" s="51">
        <v>428</v>
      </c>
      <c r="E10" s="52" t="str">
        <f t="shared" si="0"/>
        <v>APROBADO</v>
      </c>
    </row>
    <row r="11" spans="1:17" ht="15" customHeight="1">
      <c r="A11" s="51" t="s">
        <v>1522</v>
      </c>
      <c r="B11" s="38" t="s">
        <v>1525</v>
      </c>
      <c r="C11" s="51">
        <f>LICENCIA!B26</f>
        <v>567</v>
      </c>
      <c r="D11" s="51">
        <v>567</v>
      </c>
      <c r="E11" s="52" t="str">
        <f t="shared" si="0"/>
        <v>APROBADO</v>
      </c>
    </row>
    <row r="12" spans="1:17" ht="15" customHeight="1">
      <c r="A12" s="51" t="s">
        <v>1522</v>
      </c>
      <c r="B12" s="38" t="s">
        <v>1526</v>
      </c>
      <c r="C12" s="53">
        <f>LICENCIA!D24</f>
        <v>0.65210355987055013</v>
      </c>
      <c r="D12" s="51">
        <v>0.65210356000000003</v>
      </c>
      <c r="E12" s="52" t="str">
        <f t="shared" si="0"/>
        <v>APROBADO</v>
      </c>
    </row>
    <row r="13" spans="1:17" ht="15" customHeight="1">
      <c r="A13" s="51" t="s">
        <v>1522</v>
      </c>
      <c r="B13" s="38" t="s">
        <v>1527</v>
      </c>
      <c r="C13" s="51">
        <f>LICENCIA!C24</f>
        <v>618</v>
      </c>
      <c r="D13" s="51">
        <v>618</v>
      </c>
      <c r="E13" s="52" t="str">
        <f t="shared" si="0"/>
        <v>APROBADO</v>
      </c>
    </row>
    <row r="14" spans="1:17" ht="15" customHeight="1">
      <c r="A14" s="51" t="s">
        <v>1528</v>
      </c>
      <c r="B14" s="38" t="s">
        <v>72</v>
      </c>
      <c r="C14" s="51">
        <f>LICENCIA!C30</f>
        <v>376</v>
      </c>
      <c r="D14" s="51">
        <v>376</v>
      </c>
      <c r="E14" s="52" t="str">
        <f t="shared" si="0"/>
        <v>APROBADO</v>
      </c>
    </row>
    <row r="15" spans="1:17" ht="15" customHeight="1">
      <c r="A15" s="51" t="s">
        <v>1528</v>
      </c>
      <c r="B15" s="38" t="s">
        <v>74</v>
      </c>
      <c r="C15" s="51">
        <f>LICENCIA!C31</f>
        <v>242</v>
      </c>
      <c r="D15" s="51">
        <v>242</v>
      </c>
      <c r="E15" s="52" t="str">
        <f t="shared" si="0"/>
        <v>APROBADO</v>
      </c>
    </row>
    <row r="16" spans="1:17" ht="15" customHeight="1">
      <c r="A16" s="51" t="s">
        <v>1528</v>
      </c>
      <c r="B16" s="38" t="s">
        <v>1529</v>
      </c>
      <c r="C16" s="51">
        <f>LICENCIA!C30+LICENCIA!C31</f>
        <v>618</v>
      </c>
      <c r="D16" s="51">
        <v>618</v>
      </c>
      <c r="E16" s="52" t="str">
        <f t="shared" si="0"/>
        <v>APROBADO</v>
      </c>
    </row>
    <row r="17" spans="1:5" ht="15" customHeight="1">
      <c r="A17" s="51" t="s">
        <v>1530</v>
      </c>
      <c r="B17" s="38" t="s">
        <v>1531</v>
      </c>
      <c r="C17" s="51" t="str">
        <f>IF(ISNUMBER(SEARCH("REVISIÓN PENDIENTE",LICENCIA!C41)),"SE DECLARA","NO SE DECLARA")</f>
        <v>SE DECLARA</v>
      </c>
      <c r="D17" s="51" t="s">
        <v>1532</v>
      </c>
      <c r="E17" s="52" t="str">
        <f t="shared" si="0"/>
        <v>APROBADO</v>
      </c>
    </row>
    <row r="18" spans="1:5" ht="15" customHeight="1">
      <c r="A18" s="51" t="s">
        <v>1530</v>
      </c>
      <c r="B18" s="38" t="s">
        <v>1533</v>
      </c>
      <c r="C18" s="51" t="str">
        <f>IF(ISNUMBER(SEARCH("BLOQUEO ACTIVO",LICENCIA!C15)),"ACTIVO","LEVANTADO")</f>
        <v>ACTIVO</v>
      </c>
      <c r="D18" s="51" t="s">
        <v>1534</v>
      </c>
      <c r="E18" s="52" t="str">
        <f t="shared" si="0"/>
        <v>APROBADO</v>
      </c>
    </row>
    <row r="19" spans="1:5" ht="15" customHeight="1">
      <c r="A19" s="51" t="s">
        <v>1535</v>
      </c>
      <c r="B19" s="38" t="s">
        <v>1536</v>
      </c>
      <c r="C19" s="34">
        <f>EXPLORADOR!G11</f>
        <v>817.5</v>
      </c>
      <c r="D19" s="51">
        <v>817.5</v>
      </c>
      <c r="E19" s="52" t="str">
        <f t="shared" si="0"/>
        <v>APROBADO</v>
      </c>
    </row>
    <row r="20" spans="1:5" ht="15" customHeight="1">
      <c r="A20" s="51" t="s">
        <v>1535</v>
      </c>
      <c r="B20" s="38" t="s">
        <v>1537</v>
      </c>
      <c r="C20" s="34">
        <f>EXPLORADOR!G12</f>
        <v>52.5</v>
      </c>
      <c r="D20" s="51">
        <v>52.5</v>
      </c>
      <c r="E20" s="52" t="str">
        <f t="shared" si="0"/>
        <v>APROBADO</v>
      </c>
    </row>
    <row r="21" spans="1:5" ht="15" customHeight="1">
      <c r="A21" s="51" t="s">
        <v>1535</v>
      </c>
      <c r="B21" s="38" t="s">
        <v>1538</v>
      </c>
      <c r="C21" s="34">
        <f>EXPLORADOR!H13</f>
        <v>15</v>
      </c>
      <c r="D21" s="51">
        <v>15</v>
      </c>
      <c r="E21" s="52" t="str">
        <f t="shared" si="0"/>
        <v>APROBADO</v>
      </c>
    </row>
    <row r="22" spans="1:5" ht="15" customHeight="1">
      <c r="A22" s="51" t="s">
        <v>1535</v>
      </c>
      <c r="B22" s="38" t="s">
        <v>1539</v>
      </c>
      <c r="C22" s="34">
        <f>EXPLORADOR!M13</f>
        <v>1.3761467889908257</v>
      </c>
      <c r="D22" s="51">
        <v>1.3761467890000001</v>
      </c>
      <c r="E22" s="52" t="str">
        <f t="shared" si="0"/>
        <v>APROBADO</v>
      </c>
    </row>
    <row r="23" spans="1:5" ht="15" customHeight="1">
      <c r="A23" s="51" t="s">
        <v>1535</v>
      </c>
      <c r="B23" s="38" t="s">
        <v>1540</v>
      </c>
      <c r="C23" s="34">
        <f>EXPLORADOR!M14</f>
        <v>4.0807174887892375</v>
      </c>
      <c r="D23" s="51">
        <v>4.0807174890000004</v>
      </c>
      <c r="E23" s="52" t="str">
        <f t="shared" si="0"/>
        <v>APROBADO</v>
      </c>
    </row>
    <row r="24" spans="1:5" ht="15" customHeight="1">
      <c r="A24" s="51" t="s">
        <v>1541</v>
      </c>
      <c r="B24" s="38" t="s">
        <v>1542</v>
      </c>
      <c r="C24" s="51" t="str">
        <f>IF(ISNUMBER(EXPLORADOR!M15),"CALCULA","N/C")</f>
        <v>N/C</v>
      </c>
      <c r="D24" s="51" t="s">
        <v>1543</v>
      </c>
      <c r="E24" s="52" t="str">
        <f t="shared" si="0"/>
        <v>APROBADO</v>
      </c>
    </row>
    <row r="25" spans="1:5" ht="15" customHeight="1">
      <c r="A25" s="51" t="s">
        <v>1541</v>
      </c>
      <c r="B25" s="38" t="s">
        <v>1544</v>
      </c>
      <c r="C25" s="51" t="str">
        <f>EXPLORADOR!J11</f>
        <v>Muy alto</v>
      </c>
      <c r="D25" s="51" t="s">
        <v>1545</v>
      </c>
      <c r="E25" s="52" t="str">
        <f t="shared" si="0"/>
        <v>APROBADO</v>
      </c>
    </row>
    <row r="26" spans="1:5" ht="15" customHeight="1">
      <c r="A26" s="51" t="s">
        <v>1541</v>
      </c>
      <c r="B26" s="38" t="s">
        <v>1546</v>
      </c>
      <c r="C26" s="51" t="str">
        <f>EXPLORADOR!J17</f>
        <v>Bajo</v>
      </c>
      <c r="D26" s="51" t="s">
        <v>1547</v>
      </c>
      <c r="E26" s="52" t="str">
        <f t="shared" si="0"/>
        <v>APROBADO</v>
      </c>
    </row>
    <row r="27" spans="1:5" ht="15" customHeight="1">
      <c r="A27" s="51" t="s">
        <v>1541</v>
      </c>
      <c r="B27" s="38" t="s">
        <v>1548</v>
      </c>
      <c r="C27" s="51" t="str">
        <f>EXPLORADOR!L13</f>
        <v>Alto</v>
      </c>
      <c r="D27" s="51" t="s">
        <v>1549</v>
      </c>
      <c r="E27" s="52" t="str">
        <f t="shared" si="0"/>
        <v>APROBADO</v>
      </c>
    </row>
    <row r="28" spans="1:5" ht="15" customHeight="1">
      <c r="A28" s="51" t="s">
        <v>1550</v>
      </c>
      <c r="B28" s="38" t="s">
        <v>1551</v>
      </c>
      <c r="C28" s="51" t="str">
        <f>SUSTITUCION!C13</f>
        <v>Papas</v>
      </c>
      <c r="D28" s="51" t="s">
        <v>753</v>
      </c>
      <c r="E28" s="52" t="str">
        <f t="shared" si="0"/>
        <v>APROBADO</v>
      </c>
    </row>
    <row r="29" spans="1:5" ht="15" customHeight="1">
      <c r="A29" s="51" t="s">
        <v>1550</v>
      </c>
      <c r="B29" s="38" t="s">
        <v>1552</v>
      </c>
      <c r="C29" s="51">
        <f>SUSTITUCION!C18</f>
        <v>3</v>
      </c>
      <c r="D29" s="51">
        <v>3</v>
      </c>
      <c r="E29" s="52" t="str">
        <f t="shared" si="0"/>
        <v>APROBADO</v>
      </c>
    </row>
    <row r="30" spans="1:5" ht="15" customHeight="1">
      <c r="A30" s="51" t="s">
        <v>1550</v>
      </c>
      <c r="B30" s="38" t="s">
        <v>1553</v>
      </c>
      <c r="C30" s="51" t="str">
        <f>SUSTITUCION!B22</f>
        <v>Papa entera rojiza</v>
      </c>
      <c r="D30" s="51" t="s">
        <v>760</v>
      </c>
      <c r="E30" s="52" t="str">
        <f t="shared" si="0"/>
        <v>APROBADO</v>
      </c>
    </row>
    <row r="31" spans="1:5" ht="15" customHeight="1">
      <c r="A31" s="51" t="s">
        <v>1550</v>
      </c>
      <c r="B31" s="38" t="s">
        <v>1554</v>
      </c>
      <c r="C31" s="54">
        <f>SUSTITUCION!C22</f>
        <v>417</v>
      </c>
      <c r="D31" s="51">
        <v>417</v>
      </c>
      <c r="E31" s="52" t="str">
        <f t="shared" si="0"/>
        <v>APROBADO</v>
      </c>
    </row>
    <row r="32" spans="1:5" ht="15" customHeight="1">
      <c r="A32" s="51" t="s">
        <v>1550</v>
      </c>
      <c r="B32" s="38" t="s">
        <v>1555</v>
      </c>
      <c r="C32" s="55">
        <f>SUSTITUCION!H22</f>
        <v>-128</v>
      </c>
      <c r="D32" s="51">
        <v>-128</v>
      </c>
      <c r="E32" s="52" t="str">
        <f t="shared" si="0"/>
        <v>APROBADO</v>
      </c>
    </row>
    <row r="33" spans="1:5" ht="15" customHeight="1">
      <c r="A33" s="51" t="s">
        <v>1550</v>
      </c>
      <c r="B33" s="38" t="s">
        <v>1556</v>
      </c>
      <c r="C33" s="51" t="str">
        <f>IF(SUSTITUCION!B24=SUSTITUCION!C12,"ES LA REFERENCIA","OTRO")</f>
        <v>ES LA REFERENCIA</v>
      </c>
      <c r="D33" s="51" t="s">
        <v>1557</v>
      </c>
      <c r="E33" s="52" t="str">
        <f t="shared" si="0"/>
        <v>APROBADO</v>
      </c>
    </row>
    <row r="34" spans="1:5" ht="15" customHeight="1">
      <c r="A34" s="51" t="s">
        <v>1558</v>
      </c>
      <c r="B34" s="38" t="s">
        <v>1559</v>
      </c>
      <c r="C34" s="51">
        <f>EQUIVALENTES!B22</f>
        <v>61</v>
      </c>
      <c r="D34" s="51">
        <v>61</v>
      </c>
      <c r="E34" s="52" t="str">
        <f t="shared" si="0"/>
        <v>APROBADO</v>
      </c>
    </row>
    <row r="35" spans="1:5" ht="15" customHeight="1">
      <c r="A35" s="51" t="s">
        <v>1558</v>
      </c>
      <c r="B35" s="38" t="s">
        <v>1560</v>
      </c>
      <c r="C35" s="51">
        <f>EQUIVALENTES!B25</f>
        <v>167</v>
      </c>
      <c r="D35" s="51">
        <v>167</v>
      </c>
      <c r="E35" s="52" t="str">
        <f t="shared" si="0"/>
        <v>APROBADO</v>
      </c>
    </row>
    <row r="36" spans="1:5" ht="15" customHeight="1">
      <c r="A36" s="51" t="s">
        <v>1558</v>
      </c>
      <c r="B36" s="38" t="s">
        <v>1561</v>
      </c>
      <c r="C36" s="51">
        <f>EQUIVALENTES!B26</f>
        <v>63</v>
      </c>
      <c r="D36" s="51">
        <v>63</v>
      </c>
      <c r="E36" s="52" t="str">
        <f t="shared" si="0"/>
        <v>APROBADO</v>
      </c>
    </row>
    <row r="37" spans="1:5" ht="15" customHeight="1">
      <c r="A37" s="51" t="s">
        <v>1562</v>
      </c>
      <c r="B37" s="38" t="s">
        <v>1563</v>
      </c>
      <c r="C37" s="51" t="str">
        <f>IF(ISNUMBER(""),"NUMERO","ND")</f>
        <v>ND</v>
      </c>
      <c r="D37" s="51" t="s">
        <v>1564</v>
      </c>
      <c r="E37" s="52" t="str">
        <f t="shared" si="0"/>
        <v>APROBADO</v>
      </c>
    </row>
    <row r="39" spans="1:5" ht="15" customHeight="1">
      <c r="A39" s="56" t="s">
        <v>1565</v>
      </c>
      <c r="B39" s="57" t="s">
        <v>1566</v>
      </c>
      <c r="C39" s="56">
        <f>COUNTIF(E9:E37,"APROBADO")</f>
        <v>29</v>
      </c>
      <c r="D39" s="56">
        <f>COUNTA(E9:E37)</f>
        <v>29</v>
      </c>
      <c r="E39" s="56" t="str">
        <f>IF(C39=D39,"TODAS APROBADAS","HAY PRUEBAS POR REVISAR")</f>
        <v>TODAS APROBADAS</v>
      </c>
    </row>
  </sheetData>
  <mergeCells count="3">
    <mergeCell ref="A1:Q1"/>
    <mergeCell ref="A2:Q3"/>
    <mergeCell ref="A4:B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A6B70"/>
  </sheetPr>
  <dimension ref="A1:Q34"/>
  <sheetViews>
    <sheetView showGridLines="0" topLeftCell="A7" workbookViewId="0">
      <selection sqref="A1:Q1"/>
    </sheetView>
  </sheetViews>
  <sheetFormatPr baseColWidth="10" defaultColWidth="9.140625" defaultRowHeight="15"/>
  <cols>
    <col min="1" max="1" width="46"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1567</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109" t="s">
        <v>1568</v>
      </c>
      <c r="B6" s="109"/>
      <c r="C6" s="109"/>
      <c r="D6" s="109"/>
      <c r="E6" s="109"/>
      <c r="F6" s="109"/>
      <c r="G6" s="109"/>
      <c r="H6" s="109"/>
      <c r="I6" s="109"/>
      <c r="J6" s="109"/>
      <c r="K6" s="109"/>
      <c r="L6" s="109"/>
      <c r="M6" s="109"/>
      <c r="N6" s="109"/>
      <c r="O6" s="109"/>
      <c r="P6" s="109"/>
      <c r="Q6" s="109"/>
    </row>
    <row r="7" spans="1:17" ht="15" customHeight="1">
      <c r="A7" s="109"/>
      <c r="B7" s="109"/>
      <c r="C7" s="109"/>
      <c r="D7" s="109"/>
      <c r="E7" s="109"/>
      <c r="F7" s="109"/>
      <c r="G7" s="109"/>
      <c r="H7" s="109"/>
      <c r="I7" s="109"/>
      <c r="J7" s="109"/>
      <c r="K7" s="109"/>
      <c r="L7" s="109"/>
      <c r="M7" s="109"/>
      <c r="N7" s="109"/>
      <c r="O7" s="109"/>
      <c r="P7" s="109"/>
      <c r="Q7" s="109"/>
    </row>
    <row r="8" spans="1:17" ht="15" customHeight="1">
      <c r="A8" s="109"/>
      <c r="B8" s="109"/>
      <c r="C8" s="109"/>
      <c r="D8" s="109"/>
      <c r="E8" s="109"/>
      <c r="F8" s="109"/>
      <c r="G8" s="109"/>
      <c r="H8" s="109"/>
      <c r="I8" s="109"/>
      <c r="J8" s="109"/>
      <c r="K8" s="109"/>
      <c r="L8" s="109"/>
      <c r="M8" s="109"/>
      <c r="N8" s="109"/>
      <c r="O8" s="109"/>
      <c r="P8" s="109"/>
      <c r="Q8" s="109"/>
    </row>
    <row r="9" spans="1:17" ht="15" customHeight="1">
      <c r="A9" s="109"/>
      <c r="B9" s="109"/>
      <c r="C9" s="109"/>
      <c r="D9" s="109"/>
      <c r="E9" s="109"/>
      <c r="F9" s="109"/>
      <c r="G9" s="109"/>
      <c r="H9" s="109"/>
      <c r="I9" s="109"/>
      <c r="J9" s="109"/>
      <c r="K9" s="109"/>
      <c r="L9" s="109"/>
      <c r="M9" s="109"/>
      <c r="N9" s="109"/>
      <c r="O9" s="109"/>
      <c r="P9" s="109"/>
      <c r="Q9" s="109"/>
    </row>
    <row r="11" spans="1:17" ht="19.5" customHeight="1">
      <c r="A11" s="6" t="s">
        <v>1569</v>
      </c>
      <c r="B11" s="6"/>
      <c r="C11" s="6"/>
      <c r="D11" s="6"/>
      <c r="E11" s="6"/>
      <c r="F11" s="6"/>
      <c r="G11" s="6"/>
      <c r="H11" s="6"/>
      <c r="I11" s="6"/>
      <c r="J11" s="6"/>
      <c r="K11" s="6"/>
      <c r="L11" s="6"/>
      <c r="M11" s="6"/>
      <c r="N11" s="6"/>
      <c r="O11" s="6"/>
      <c r="P11" s="6"/>
      <c r="Q11" s="6"/>
    </row>
    <row r="12" spans="1:17" ht="30" customHeight="1">
      <c r="A12" s="41" t="s">
        <v>62</v>
      </c>
      <c r="B12" s="41" t="s">
        <v>1570</v>
      </c>
      <c r="C12" s="41" t="s">
        <v>1571</v>
      </c>
      <c r="D12" s="41" t="s">
        <v>1572</v>
      </c>
      <c r="E12" s="41" t="s">
        <v>1573</v>
      </c>
    </row>
    <row r="13" spans="1:17" ht="15" customHeight="1">
      <c r="A13" s="16" t="s">
        <v>118</v>
      </c>
      <c r="B13" s="29">
        <v>100</v>
      </c>
      <c r="C13" s="29">
        <v>200</v>
      </c>
      <c r="D13" s="29">
        <v>300</v>
      </c>
      <c r="E13" s="17" t="s">
        <v>1545</v>
      </c>
    </row>
    <row r="14" spans="1:17" ht="15" customHeight="1">
      <c r="A14" s="16" t="s">
        <v>119</v>
      </c>
      <c r="B14" s="29">
        <v>50</v>
      </c>
      <c r="C14" s="29">
        <v>100</v>
      </c>
      <c r="D14" s="29">
        <v>170</v>
      </c>
      <c r="E14" s="17" t="s">
        <v>1545</v>
      </c>
    </row>
    <row r="15" spans="1:17" ht="15" customHeight="1">
      <c r="A15" s="16" t="s">
        <v>120</v>
      </c>
      <c r="B15" s="29">
        <v>40</v>
      </c>
      <c r="C15" s="29">
        <v>120</v>
      </c>
      <c r="D15" s="29">
        <v>400</v>
      </c>
      <c r="E15" s="17" t="s">
        <v>1545</v>
      </c>
    </row>
    <row r="17" spans="1:17" ht="19.5" customHeight="1">
      <c r="A17" s="6" t="s">
        <v>1574</v>
      </c>
      <c r="B17" s="6"/>
      <c r="C17" s="6"/>
      <c r="D17" s="6"/>
      <c r="E17" s="6"/>
      <c r="F17" s="6"/>
      <c r="G17" s="6"/>
      <c r="H17" s="6"/>
      <c r="I17" s="6"/>
      <c r="J17" s="6"/>
      <c r="K17" s="6"/>
      <c r="L17" s="6"/>
      <c r="M17" s="6"/>
      <c r="N17" s="6"/>
      <c r="O17" s="6"/>
      <c r="P17" s="6"/>
      <c r="Q17" s="6"/>
    </row>
    <row r="18" spans="1:17" ht="15" customHeight="1">
      <c r="A18" s="153" t="s">
        <v>1575</v>
      </c>
      <c r="B18" s="153"/>
      <c r="C18" s="153"/>
      <c r="D18" s="58" t="s">
        <v>1576</v>
      </c>
      <c r="E18" s="29">
        <v>12</v>
      </c>
    </row>
    <row r="19" spans="1:17" ht="15" customHeight="1">
      <c r="A19" s="153" t="s">
        <v>1577</v>
      </c>
      <c r="B19" s="153"/>
      <c r="C19" s="153"/>
      <c r="D19" s="58" t="s">
        <v>1576</v>
      </c>
      <c r="E19" s="29">
        <v>16</v>
      </c>
    </row>
    <row r="20" spans="1:17" ht="15" customHeight="1">
      <c r="A20" s="153" t="s">
        <v>1578</v>
      </c>
      <c r="B20" s="153"/>
      <c r="C20" s="153"/>
      <c r="D20" s="58" t="s">
        <v>1579</v>
      </c>
      <c r="E20" s="29">
        <v>10</v>
      </c>
    </row>
    <row r="21" spans="1:17" ht="15" customHeight="1">
      <c r="A21" s="153" t="s">
        <v>1580</v>
      </c>
      <c r="B21" s="153"/>
      <c r="C21" s="153"/>
      <c r="D21" s="58" t="s">
        <v>1581</v>
      </c>
      <c r="E21" s="29">
        <v>5</v>
      </c>
    </row>
    <row r="22" spans="1:17" ht="15" customHeight="1">
      <c r="A22" s="153" t="s">
        <v>1582</v>
      </c>
      <c r="B22" s="153"/>
      <c r="C22" s="153"/>
      <c r="D22" s="58" t="s">
        <v>1583</v>
      </c>
      <c r="E22" s="29">
        <v>8</v>
      </c>
    </row>
    <row r="23" spans="1:17" ht="15" customHeight="1">
      <c r="A23" s="153" t="s">
        <v>1584</v>
      </c>
      <c r="B23" s="153"/>
      <c r="C23" s="153"/>
      <c r="D23" s="58" t="s">
        <v>1585</v>
      </c>
      <c r="E23" s="29">
        <v>1E-4</v>
      </c>
    </row>
    <row r="24" spans="1:17" ht="15" customHeight="1">
      <c r="A24" s="109" t="s">
        <v>1586</v>
      </c>
      <c r="B24" s="109"/>
      <c r="C24" s="109"/>
      <c r="D24" s="109"/>
      <c r="E24" s="109"/>
      <c r="F24" s="109"/>
      <c r="G24" s="109"/>
      <c r="H24" s="109"/>
      <c r="I24" s="109"/>
      <c r="J24" s="109"/>
      <c r="K24" s="109"/>
      <c r="L24" s="109"/>
      <c r="M24" s="109"/>
      <c r="N24" s="109"/>
      <c r="O24" s="109"/>
      <c r="P24" s="109"/>
      <c r="Q24" s="109"/>
    </row>
    <row r="25" spans="1:17" ht="15" customHeight="1">
      <c r="A25" s="109"/>
      <c r="B25" s="109"/>
      <c r="C25" s="109"/>
      <c r="D25" s="109"/>
      <c r="E25" s="109"/>
      <c r="F25" s="109"/>
      <c r="G25" s="109"/>
      <c r="H25" s="109"/>
      <c r="I25" s="109"/>
      <c r="J25" s="109"/>
      <c r="K25" s="109"/>
      <c r="L25" s="109"/>
      <c r="M25" s="109"/>
      <c r="N25" s="109"/>
      <c r="O25" s="109"/>
      <c r="P25" s="109"/>
      <c r="Q25" s="109"/>
    </row>
    <row r="26" spans="1:17" ht="15" customHeight="1">
      <c r="A26" s="109"/>
      <c r="B26" s="109"/>
      <c r="C26" s="109"/>
      <c r="D26" s="109"/>
      <c r="E26" s="109"/>
      <c r="F26" s="109"/>
      <c r="G26" s="109"/>
      <c r="H26" s="109"/>
      <c r="I26" s="109"/>
      <c r="J26" s="109"/>
      <c r="K26" s="109"/>
      <c r="L26" s="109"/>
      <c r="M26" s="109"/>
      <c r="N26" s="109"/>
      <c r="O26" s="109"/>
      <c r="P26" s="109"/>
      <c r="Q26" s="109"/>
    </row>
    <row r="28" spans="1:17" ht="19.5" customHeight="1">
      <c r="A28" s="6" t="s">
        <v>1587</v>
      </c>
      <c r="B28" s="6"/>
      <c r="C28" s="6"/>
      <c r="D28" s="6"/>
      <c r="E28" s="6"/>
      <c r="F28" s="6"/>
      <c r="G28" s="6"/>
      <c r="H28" s="118" t="s">
        <v>1665</v>
      </c>
      <c r="I28" s="118"/>
      <c r="J28" s="6"/>
      <c r="K28" s="6"/>
      <c r="L28" s="6"/>
      <c r="M28" s="6"/>
      <c r="N28" s="6"/>
      <c r="O28" s="6"/>
      <c r="P28" s="6"/>
      <c r="Q28" s="6"/>
    </row>
    <row r="29" spans="1:17" ht="15" customHeight="1">
      <c r="A29" s="15" t="s">
        <v>1588</v>
      </c>
      <c r="F29" s="15" t="s">
        <v>1589</v>
      </c>
      <c r="H29" s="85" t="s">
        <v>1591</v>
      </c>
      <c r="I29" s="86"/>
      <c r="K29" s="15" t="s">
        <v>1590</v>
      </c>
    </row>
    <row r="30" spans="1:17" ht="15" customHeight="1">
      <c r="A30" s="16" t="s">
        <v>1591</v>
      </c>
      <c r="F30" s="16" t="s">
        <v>1592</v>
      </c>
      <c r="H30" s="87" t="s">
        <v>58</v>
      </c>
      <c r="I30" s="88"/>
      <c r="K30" s="16" t="s">
        <v>67</v>
      </c>
    </row>
    <row r="31" spans="1:17" ht="15" customHeight="1">
      <c r="A31" s="16" t="s">
        <v>58</v>
      </c>
      <c r="F31" s="16" t="s">
        <v>1593</v>
      </c>
      <c r="H31" s="89" t="s">
        <v>1564</v>
      </c>
      <c r="I31" s="90"/>
      <c r="K31" s="16" t="s">
        <v>68</v>
      </c>
    </row>
    <row r="32" spans="1:17" ht="15" customHeight="1">
      <c r="F32" s="16" t="s">
        <v>1594</v>
      </c>
      <c r="K32" s="16" t="s">
        <v>69</v>
      </c>
    </row>
    <row r="33" spans="6:11" ht="15" customHeight="1">
      <c r="F33" s="16" t="s">
        <v>1595</v>
      </c>
      <c r="K33" s="16" t="s">
        <v>1596</v>
      </c>
    </row>
    <row r="34" spans="6:11" ht="15" customHeight="1">
      <c r="F34" s="16" t="s">
        <v>91</v>
      </c>
    </row>
  </sheetData>
  <mergeCells count="14">
    <mergeCell ref="A22:C22"/>
    <mergeCell ref="A23:C23"/>
    <mergeCell ref="A24:Q26"/>
    <mergeCell ref="A28:Q28"/>
    <mergeCell ref="A17:Q17"/>
    <mergeCell ref="A18:C18"/>
    <mergeCell ref="A19:C19"/>
    <mergeCell ref="A20:C20"/>
    <mergeCell ref="A21:C21"/>
    <mergeCell ref="A1:Q1"/>
    <mergeCell ref="A2:Q3"/>
    <mergeCell ref="A4:B4"/>
    <mergeCell ref="A6:Q9"/>
    <mergeCell ref="A11:Q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7C7CB"/>
  </sheetPr>
  <dimension ref="A1:Q20"/>
  <sheetViews>
    <sheetView showGridLines="0" tabSelected="1" topLeftCell="A11" zoomScale="85" zoomScaleNormal="85" workbookViewId="0">
      <selection activeCell="C16" sqref="C16:I17"/>
    </sheetView>
  </sheetViews>
  <sheetFormatPr baseColWidth="10" defaultColWidth="9.140625" defaultRowHeight="15"/>
  <cols>
    <col min="1" max="1" width="12" style="14" customWidth="1"/>
    <col min="2" max="2" width="14"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1597</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15" t="s">
        <v>15</v>
      </c>
      <c r="B6" s="15" t="s">
        <v>17</v>
      </c>
      <c r="C6" s="148" t="s">
        <v>1598</v>
      </c>
      <c r="D6" s="148"/>
      <c r="E6" s="148"/>
      <c r="F6" s="148"/>
      <c r="G6" s="148"/>
      <c r="H6" s="148"/>
      <c r="I6" s="148"/>
      <c r="J6" s="154"/>
      <c r="K6" s="154"/>
      <c r="L6" s="154"/>
      <c r="M6" s="154"/>
      <c r="N6" s="154"/>
      <c r="O6" s="154"/>
      <c r="P6" s="154"/>
      <c r="Q6" s="154"/>
    </row>
    <row r="7" spans="1:17" ht="45.75" customHeight="1">
      <c r="A7" s="59" t="s">
        <v>16</v>
      </c>
      <c r="B7" s="59" t="s">
        <v>18</v>
      </c>
      <c r="C7" s="149" t="s">
        <v>1599</v>
      </c>
      <c r="D7" s="149"/>
      <c r="E7" s="149"/>
      <c r="F7" s="149"/>
      <c r="G7" s="149"/>
      <c r="H7" s="149"/>
      <c r="I7" s="149"/>
      <c r="J7" s="149" t="s">
        <v>1600</v>
      </c>
      <c r="K7" s="149"/>
      <c r="L7" s="149"/>
      <c r="M7" s="149"/>
      <c r="N7" s="149"/>
      <c r="O7" s="149"/>
      <c r="P7" s="149"/>
      <c r="Q7" s="149"/>
    </row>
    <row r="8" spans="1:17" ht="45.75" customHeight="1">
      <c r="A8" s="59" t="s">
        <v>16</v>
      </c>
      <c r="B8" s="59" t="s">
        <v>18</v>
      </c>
      <c r="C8" s="149" t="s">
        <v>1601</v>
      </c>
      <c r="D8" s="149"/>
      <c r="E8" s="149"/>
      <c r="F8" s="149"/>
      <c r="G8" s="149"/>
      <c r="H8" s="149"/>
      <c r="I8" s="149"/>
      <c r="J8" s="149" t="s">
        <v>1602</v>
      </c>
      <c r="K8" s="149"/>
      <c r="L8" s="149"/>
      <c r="M8" s="149"/>
      <c r="N8" s="149"/>
      <c r="O8" s="149"/>
      <c r="P8" s="149"/>
      <c r="Q8" s="149"/>
    </row>
    <row r="9" spans="1:17" ht="45.75" customHeight="1">
      <c r="A9" s="59" t="s">
        <v>16</v>
      </c>
      <c r="B9" s="59" t="s">
        <v>18</v>
      </c>
      <c r="C9" s="149" t="s">
        <v>1603</v>
      </c>
      <c r="D9" s="149"/>
      <c r="E9" s="149"/>
      <c r="F9" s="149"/>
      <c r="G9" s="149"/>
      <c r="H9" s="149"/>
      <c r="I9" s="149"/>
      <c r="J9" s="149" t="s">
        <v>1604</v>
      </c>
      <c r="K9" s="149"/>
      <c r="L9" s="149"/>
      <c r="M9" s="149"/>
      <c r="N9" s="149"/>
      <c r="O9" s="149"/>
      <c r="P9" s="149"/>
      <c r="Q9" s="149"/>
    </row>
    <row r="10" spans="1:17" ht="45.75" customHeight="1">
      <c r="A10" s="59" t="s">
        <v>16</v>
      </c>
      <c r="B10" s="59" t="s">
        <v>18</v>
      </c>
      <c r="C10" s="149" t="s">
        <v>1605</v>
      </c>
      <c r="D10" s="149"/>
      <c r="E10" s="149"/>
      <c r="F10" s="149"/>
      <c r="G10" s="149"/>
      <c r="H10" s="149"/>
      <c r="I10" s="149"/>
      <c r="J10" s="149" t="s">
        <v>1606</v>
      </c>
      <c r="K10" s="149"/>
      <c r="L10" s="149"/>
      <c r="M10" s="149"/>
      <c r="N10" s="149"/>
      <c r="O10" s="149"/>
      <c r="P10" s="149"/>
      <c r="Q10" s="149"/>
    </row>
    <row r="11" spans="1:17" ht="45.75" customHeight="1">
      <c r="A11" s="59" t="s">
        <v>16</v>
      </c>
      <c r="B11" s="59" t="s">
        <v>18</v>
      </c>
      <c r="C11" s="149" t="s">
        <v>1607</v>
      </c>
      <c r="D11" s="149"/>
      <c r="E11" s="149"/>
      <c r="F11" s="149"/>
      <c r="G11" s="149"/>
      <c r="H11" s="149"/>
      <c r="I11" s="149"/>
      <c r="J11" s="149" t="s">
        <v>1608</v>
      </c>
      <c r="K11" s="149"/>
      <c r="L11" s="149"/>
      <c r="M11" s="149"/>
      <c r="N11" s="149"/>
      <c r="O11" s="149"/>
      <c r="P11" s="149"/>
      <c r="Q11" s="149"/>
    </row>
    <row r="12" spans="1:17" ht="45.75" customHeight="1">
      <c r="A12" s="59" t="s">
        <v>16</v>
      </c>
      <c r="B12" s="59" t="s">
        <v>18</v>
      </c>
      <c r="C12" s="149" t="s">
        <v>1609</v>
      </c>
      <c r="D12" s="149"/>
      <c r="E12" s="149"/>
      <c r="F12" s="149"/>
      <c r="G12" s="149"/>
      <c r="H12" s="149"/>
      <c r="I12" s="149"/>
      <c r="J12" s="149" t="s">
        <v>1610</v>
      </c>
      <c r="K12" s="149"/>
      <c r="L12" s="149"/>
      <c r="M12" s="149"/>
      <c r="N12" s="149"/>
      <c r="O12" s="149"/>
      <c r="P12" s="149"/>
      <c r="Q12" s="149"/>
    </row>
    <row r="13" spans="1:17" ht="45.75" customHeight="1">
      <c r="A13" s="59" t="s">
        <v>16</v>
      </c>
      <c r="B13" s="59" t="s">
        <v>18</v>
      </c>
      <c r="C13" s="149" t="s">
        <v>1611</v>
      </c>
      <c r="D13" s="149"/>
      <c r="E13" s="149"/>
      <c r="F13" s="149"/>
      <c r="G13" s="149"/>
      <c r="H13" s="149"/>
      <c r="I13" s="149"/>
      <c r="J13" s="149" t="s">
        <v>1612</v>
      </c>
      <c r="K13" s="149"/>
      <c r="L13" s="149"/>
      <c r="M13" s="149"/>
      <c r="N13" s="149"/>
      <c r="O13" s="149"/>
      <c r="P13" s="149"/>
      <c r="Q13" s="149"/>
    </row>
    <row r="14" spans="1:17" ht="45.75" customHeight="1">
      <c r="A14" s="59" t="s">
        <v>16</v>
      </c>
      <c r="B14" s="59" t="s">
        <v>18</v>
      </c>
      <c r="C14" s="149" t="s">
        <v>1613</v>
      </c>
      <c r="D14" s="149"/>
      <c r="E14" s="149"/>
      <c r="F14" s="149"/>
      <c r="G14" s="149"/>
      <c r="H14" s="149"/>
      <c r="I14" s="149"/>
      <c r="J14" s="149" t="s">
        <v>1614</v>
      </c>
      <c r="K14" s="149"/>
      <c r="L14" s="149"/>
      <c r="M14" s="149"/>
      <c r="N14" s="149"/>
      <c r="O14" s="149"/>
      <c r="P14" s="149"/>
      <c r="Q14" s="149"/>
    </row>
    <row r="15" spans="1:17" ht="75.75" customHeight="1">
      <c r="A15" s="59" t="s">
        <v>1615</v>
      </c>
      <c r="B15" s="59" t="s">
        <v>1616</v>
      </c>
      <c r="C15" s="165" t="s">
        <v>1617</v>
      </c>
      <c r="D15" s="166"/>
      <c r="E15" s="166"/>
      <c r="F15" s="166"/>
      <c r="G15" s="166"/>
      <c r="H15" s="166"/>
      <c r="I15" s="166"/>
    </row>
    <row r="16" spans="1:17" ht="132">
      <c r="A16" s="85" t="s">
        <v>1666</v>
      </c>
      <c r="B16" s="83" t="s">
        <v>1667</v>
      </c>
      <c r="C16" s="86" t="s">
        <v>1668</v>
      </c>
    </row>
    <row r="17" spans="1:3" ht="120">
      <c r="A17" s="87" t="s">
        <v>1666</v>
      </c>
      <c r="B17" s="78" t="s">
        <v>1667</v>
      </c>
      <c r="C17" s="88" t="s">
        <v>1669</v>
      </c>
    </row>
    <row r="18" spans="1:3" ht="108">
      <c r="A18" s="87" t="s">
        <v>1666</v>
      </c>
      <c r="B18" s="78" t="s">
        <v>1667</v>
      </c>
      <c r="C18" s="88" t="s">
        <v>1670</v>
      </c>
    </row>
    <row r="19" spans="1:3" ht="120">
      <c r="A19" s="87" t="s">
        <v>1666</v>
      </c>
      <c r="B19" s="78" t="s">
        <v>1667</v>
      </c>
      <c r="C19" s="88" t="s">
        <v>1671</v>
      </c>
    </row>
    <row r="20" spans="1:3" ht="120">
      <c r="A20" s="89" t="s">
        <v>1666</v>
      </c>
      <c r="B20" s="79" t="s">
        <v>1667</v>
      </c>
      <c r="C20" s="90" t="s">
        <v>1672</v>
      </c>
    </row>
  </sheetData>
  <mergeCells count="22">
    <mergeCell ref="C13:I13"/>
    <mergeCell ref="J13:Q13"/>
    <mergeCell ref="C14:I14"/>
    <mergeCell ref="J14:Q14"/>
    <mergeCell ref="C15:I15"/>
    <mergeCell ref="C10:I10"/>
    <mergeCell ref="J10:Q10"/>
    <mergeCell ref="C11:I11"/>
    <mergeCell ref="J11:Q11"/>
    <mergeCell ref="C12:I12"/>
    <mergeCell ref="J12:Q12"/>
    <mergeCell ref="C7:I7"/>
    <mergeCell ref="J7:Q7"/>
    <mergeCell ref="C8:I8"/>
    <mergeCell ref="J8:Q8"/>
    <mergeCell ref="C9:I9"/>
    <mergeCell ref="J9:Q9"/>
    <mergeCell ref="A1:Q1"/>
    <mergeCell ref="A2:Q3"/>
    <mergeCell ref="A4:B4"/>
    <mergeCell ref="C6:I6"/>
    <mergeCell ref="J6:Q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0"/>
  <sheetViews>
    <sheetView workbookViewId="0">
      <selection sqref="A1:H1"/>
    </sheetView>
  </sheetViews>
  <sheetFormatPr baseColWidth="10" defaultColWidth="9.140625" defaultRowHeight="15"/>
  <cols>
    <col min="1" max="1" width="30" customWidth="1"/>
    <col min="2" max="2" width="28" customWidth="1"/>
    <col min="3" max="3" width="18" customWidth="1"/>
    <col min="4" max="4" width="28" customWidth="1"/>
    <col min="5" max="5" width="42" customWidth="1"/>
    <col min="6" max="6" width="36" customWidth="1"/>
    <col min="7" max="7" width="24" customWidth="1"/>
    <col min="8" max="8" width="30" customWidth="1"/>
  </cols>
  <sheetData>
    <row r="1" spans="1:8" ht="27.95" customHeight="1">
      <c r="A1" s="155" t="s">
        <v>1673</v>
      </c>
      <c r="B1" s="155"/>
      <c r="C1" s="155"/>
      <c r="D1" s="155"/>
      <c r="E1" s="155"/>
      <c r="F1" s="155"/>
      <c r="G1" s="155"/>
      <c r="H1" s="155"/>
    </row>
    <row r="2" spans="1:8" ht="27.95" customHeight="1">
      <c r="A2" s="156" t="s">
        <v>1674</v>
      </c>
      <c r="B2" s="156"/>
      <c r="C2" s="156"/>
      <c r="D2" s="156"/>
      <c r="E2" s="156"/>
      <c r="F2" s="156"/>
      <c r="G2" s="156"/>
      <c r="H2" s="156"/>
    </row>
    <row r="3" spans="1:8" ht="27.95" customHeight="1">
      <c r="A3" s="124" t="s">
        <v>1675</v>
      </c>
      <c r="B3" s="125"/>
      <c r="C3" s="125"/>
      <c r="D3" s="125"/>
      <c r="E3" s="125"/>
      <c r="F3" s="125"/>
      <c r="G3" s="125"/>
      <c r="H3" s="126"/>
    </row>
    <row r="5" spans="1:8">
      <c r="A5" s="150" t="s">
        <v>1676</v>
      </c>
      <c r="B5" s="151"/>
      <c r="C5" s="151"/>
      <c r="D5" s="151"/>
      <c r="E5" s="151"/>
      <c r="F5" s="151"/>
      <c r="G5" s="151"/>
      <c r="H5" s="152"/>
    </row>
    <row r="6" spans="1:8" ht="36" customHeight="1">
      <c r="A6" s="63" t="s">
        <v>1677</v>
      </c>
      <c r="B6" s="64" t="s">
        <v>1678</v>
      </c>
      <c r="C6" s="64" t="s">
        <v>1679</v>
      </c>
      <c r="D6" s="64" t="s">
        <v>1680</v>
      </c>
      <c r="E6" s="64" t="s">
        <v>1628</v>
      </c>
      <c r="F6" s="64" t="s">
        <v>1681</v>
      </c>
      <c r="G6" s="64" t="s">
        <v>1682</v>
      </c>
      <c r="H6" s="65" t="s">
        <v>20</v>
      </c>
    </row>
    <row r="7" spans="1:8" ht="35.1" customHeight="1">
      <c r="A7" s="66" t="s">
        <v>1683</v>
      </c>
      <c r="B7" s="75"/>
      <c r="C7" s="67" t="s">
        <v>1684</v>
      </c>
      <c r="D7" s="67" t="s">
        <v>1685</v>
      </c>
      <c r="E7" s="67" t="s">
        <v>1686</v>
      </c>
      <c r="F7" s="67"/>
      <c r="G7" s="67" t="s">
        <v>1651</v>
      </c>
      <c r="H7" s="68"/>
    </row>
    <row r="8" spans="1:8" ht="35.1" customHeight="1">
      <c r="A8" s="69" t="s">
        <v>1687</v>
      </c>
      <c r="B8" s="76"/>
      <c r="C8" s="70" t="s">
        <v>1576</v>
      </c>
      <c r="D8" s="70" t="s">
        <v>1688</v>
      </c>
      <c r="E8" s="70" t="s">
        <v>1689</v>
      </c>
      <c r="F8" s="70"/>
      <c r="G8" s="70" t="s">
        <v>1651</v>
      </c>
      <c r="H8" s="71"/>
    </row>
    <row r="9" spans="1:8" ht="35.1" customHeight="1">
      <c r="A9" s="69" t="s">
        <v>1690</v>
      </c>
      <c r="B9" s="76" t="s">
        <v>1564</v>
      </c>
      <c r="C9" s="70" t="s">
        <v>1691</v>
      </c>
      <c r="D9" s="70" t="s">
        <v>1692</v>
      </c>
      <c r="E9" s="70" t="s">
        <v>1693</v>
      </c>
      <c r="F9" s="70"/>
      <c r="G9" s="70" t="s">
        <v>1651</v>
      </c>
      <c r="H9" s="71"/>
    </row>
    <row r="10" spans="1:8" ht="35.1" customHeight="1">
      <c r="A10" s="69" t="s">
        <v>1694</v>
      </c>
      <c r="B10" s="76"/>
      <c r="C10" s="70" t="s">
        <v>1695</v>
      </c>
      <c r="D10" s="70" t="s">
        <v>1696</v>
      </c>
      <c r="E10" s="70" t="s">
        <v>1697</v>
      </c>
      <c r="F10" s="70"/>
      <c r="G10" s="70" t="s">
        <v>1651</v>
      </c>
      <c r="H10" s="71"/>
    </row>
    <row r="11" spans="1:8" ht="35.1" customHeight="1">
      <c r="A11" s="69" t="s">
        <v>1698</v>
      </c>
      <c r="B11" s="77" t="s">
        <v>1564</v>
      </c>
      <c r="C11" s="70" t="s">
        <v>1691</v>
      </c>
      <c r="D11" s="70" t="s">
        <v>1699</v>
      </c>
      <c r="E11" s="70" t="s">
        <v>1700</v>
      </c>
      <c r="F11" s="70"/>
      <c r="G11" s="70" t="s">
        <v>1651</v>
      </c>
      <c r="H11" s="71"/>
    </row>
    <row r="12" spans="1:8" ht="35.1" customHeight="1">
      <c r="A12" s="69" t="s">
        <v>1701</v>
      </c>
      <c r="B12" s="80">
        <f>IF(ISNUMBER(DATOS!C23),DATOS!C23,"")</f>
        <v>5.8</v>
      </c>
      <c r="C12" s="70" t="s">
        <v>1702</v>
      </c>
      <c r="D12" s="70" t="s">
        <v>1703</v>
      </c>
      <c r="E12" s="70" t="s">
        <v>1704</v>
      </c>
      <c r="F12" s="70"/>
      <c r="G12" s="70" t="s">
        <v>1645</v>
      </c>
      <c r="H12" s="71"/>
    </row>
    <row r="13" spans="1:8" ht="35.1" customHeight="1">
      <c r="A13" s="69" t="s">
        <v>1705</v>
      </c>
      <c r="B13" s="81">
        <f>IF(ISNUMBER(DATOS!C24),DATOS!C24,"")</f>
        <v>5.4</v>
      </c>
      <c r="C13" s="70" t="s">
        <v>1706</v>
      </c>
      <c r="D13" s="70" t="s">
        <v>1703</v>
      </c>
      <c r="E13" s="70" t="s">
        <v>1707</v>
      </c>
      <c r="F13" s="70"/>
      <c r="G13" s="70" t="s">
        <v>1645</v>
      </c>
      <c r="H13" s="71"/>
    </row>
    <row r="14" spans="1:8" ht="35.1" customHeight="1">
      <c r="A14" s="69" t="s">
        <v>1708</v>
      </c>
      <c r="B14" s="81" t="str">
        <f>DATOS!C9</f>
        <v>Trasplante</v>
      </c>
      <c r="C14" s="70" t="s">
        <v>1709</v>
      </c>
      <c r="D14" s="70" t="s">
        <v>1710</v>
      </c>
      <c r="E14" s="70" t="s">
        <v>1711</v>
      </c>
      <c r="F14" s="70"/>
      <c r="G14" s="70" t="s">
        <v>1712</v>
      </c>
      <c r="H14" s="71"/>
    </row>
    <row r="15" spans="1:8" ht="35.1" customHeight="1">
      <c r="A15" s="69" t="s">
        <v>1713</v>
      </c>
      <c r="B15" s="81" t="str">
        <f>IF(B14="","ND",IF(ISNUMBER(SEARCH("Hemodiálisis",B14)),"Hemodiálisis",IF(ISNUMBER(SEARCH("peritoneal",B14)),"Diálisis peritoneal",IF(ISNUMBER(SEARCH("Trasplante",B14)),"No diálisis",IF(ISNUMBER(SEARCH("ERC",B14)),"No diálisis","ND")))))</f>
        <v>No diálisis</v>
      </c>
      <c r="C15" s="70" t="s">
        <v>1714</v>
      </c>
      <c r="D15" s="70" t="s">
        <v>1715</v>
      </c>
      <c r="E15" s="70" t="s">
        <v>1716</v>
      </c>
      <c r="F15" s="70"/>
      <c r="G15" s="70" t="s">
        <v>1645</v>
      </c>
      <c r="H15" s="71"/>
    </row>
    <row r="16" spans="1:8" ht="35.1" customHeight="1">
      <c r="A16" s="69" t="s">
        <v>1717</v>
      </c>
      <c r="B16" s="81" t="str">
        <f>DATOS!C13</f>
        <v>ND</v>
      </c>
      <c r="C16" s="70" t="s">
        <v>1691</v>
      </c>
      <c r="D16" s="70" t="s">
        <v>1718</v>
      </c>
      <c r="E16" s="70" t="s">
        <v>1719</v>
      </c>
      <c r="F16" s="70"/>
      <c r="G16" s="70" t="s">
        <v>1645</v>
      </c>
      <c r="H16" s="71"/>
    </row>
    <row r="17" spans="1:8" ht="35.1" customHeight="1">
      <c r="A17" s="72" t="s">
        <v>91</v>
      </c>
      <c r="B17" s="82" t="str">
        <f>IF(B14="","ND",IF(ISNUMBER(SEARCH("Trasplante",B14)),"Sí","No"))</f>
        <v>Sí</v>
      </c>
      <c r="C17" s="73" t="s">
        <v>1720</v>
      </c>
      <c r="D17" s="73" t="s">
        <v>1715</v>
      </c>
      <c r="E17" s="73" t="s">
        <v>1721</v>
      </c>
      <c r="F17" s="73"/>
      <c r="G17" s="73" t="s">
        <v>1645</v>
      </c>
      <c r="H17" s="74"/>
    </row>
    <row r="19" spans="1:8">
      <c r="A19" s="150" t="s">
        <v>1722</v>
      </c>
      <c r="B19" s="151"/>
      <c r="C19" s="151"/>
      <c r="D19" s="151"/>
      <c r="E19" s="151"/>
      <c r="F19" s="151"/>
      <c r="G19" s="151"/>
      <c r="H19" s="152"/>
    </row>
    <row r="20" spans="1:8" ht="35.1" customHeight="1">
      <c r="A20" s="63" t="s">
        <v>1723</v>
      </c>
      <c r="B20" s="64" t="s">
        <v>1724</v>
      </c>
      <c r="C20" s="64" t="s">
        <v>1679</v>
      </c>
      <c r="D20" s="64" t="s">
        <v>1627</v>
      </c>
      <c r="E20" s="64" t="s">
        <v>1725</v>
      </c>
      <c r="F20" s="64" t="s">
        <v>1726</v>
      </c>
      <c r="G20" s="64" t="s">
        <v>1682</v>
      </c>
      <c r="H20" s="65" t="s">
        <v>20</v>
      </c>
    </row>
    <row r="21" spans="1:8" ht="38.1" customHeight="1">
      <c r="A21" s="66" t="s">
        <v>1727</v>
      </c>
      <c r="B21" s="80" t="str">
        <f>IF(B7="","ND",IF(OR(NOT(ISNUMBER(B7)),B7&lt;0,B7&gt;200),"TFGe_INVALIDA",IF(B7&gt;=90,"G1",IF(B7&gt;=60,"G2",IF(B7&gt;=45,"G3a",IF(B7&gt;=30,"G3b",IF(B7&gt;=15,"G4","G5")))))))</f>
        <v>ND</v>
      </c>
      <c r="C21" s="67" t="s">
        <v>1728</v>
      </c>
      <c r="D21" s="67" t="s">
        <v>1683</v>
      </c>
      <c r="E21" s="67" t="s">
        <v>1729</v>
      </c>
      <c r="F21" s="67" t="s">
        <v>1730</v>
      </c>
      <c r="G21" s="67" t="s">
        <v>1651</v>
      </c>
      <c r="H21" s="68" t="s">
        <v>1731</v>
      </c>
    </row>
    <row r="22" spans="1:8" ht="38.1" customHeight="1">
      <c r="A22" s="69" t="s">
        <v>1732</v>
      </c>
      <c r="B22" s="81" t="str">
        <f>IF(B8="","ND",IF(OR(NOT(ISNUMBER(B8)),B8&lt;0),"ACR_INVALIDA",IF(B8&lt;30,"A1",IF(B8&lt;=300,"A2","A3"))))</f>
        <v>ND</v>
      </c>
      <c r="C22" s="70" t="s">
        <v>1733</v>
      </c>
      <c r="D22" s="70" t="s">
        <v>1734</v>
      </c>
      <c r="E22" s="70" t="s">
        <v>1729</v>
      </c>
      <c r="F22" s="70" t="s">
        <v>1730</v>
      </c>
      <c r="G22" s="70" t="s">
        <v>1651</v>
      </c>
      <c r="H22" s="71" t="s">
        <v>1731</v>
      </c>
    </row>
    <row r="23" spans="1:8" ht="38.1" customHeight="1">
      <c r="A23" s="69" t="s">
        <v>1735</v>
      </c>
      <c r="B23" s="81" t="str">
        <f>IF(OR(B21="ND",B22="ND"),"DATOS_INCOMPLETOS",IF(OR(B21="TFGe_INVALIDA",B22="ACR_INVALIDA"),"DATOS_INVALIDOS",IF(B9&lt;&gt;"Sí","REQUIERE_CONFIRMAR_CRONICIDAD",IF(OR(B21="G3a",B21="G3b",B21="G4",B21="G5",B22="A2",B22="A3"),"ERC_COMPATIBLE","NO_CONFIRMA_ERC_SIN_OTRO_MARCADOR"))))</f>
        <v>DATOS_INCOMPLETOS</v>
      </c>
      <c r="C23" s="70" t="s">
        <v>1736</v>
      </c>
      <c r="D23" s="70" t="s">
        <v>1737</v>
      </c>
      <c r="E23" s="70" t="s">
        <v>1738</v>
      </c>
      <c r="F23" s="70" t="s">
        <v>1739</v>
      </c>
      <c r="G23" s="70" t="s">
        <v>1651</v>
      </c>
      <c r="H23" s="71" t="s">
        <v>1731</v>
      </c>
    </row>
    <row r="24" spans="1:8" ht="38.1" customHeight="1">
      <c r="A24" s="69" t="s">
        <v>1740</v>
      </c>
      <c r="B24" s="81" t="str">
        <f>IF(OR(AND(ISNUMBER(B7),B7&lt;30),AND(ISNUMBER(B10),B10&gt;=3),B11="Sí"),"DERIVACION_NEFROLOGIA","SIN_CRITERIO_AUTOMATICO")</f>
        <v>SIN_CRITERIO_AUTOMATICO</v>
      </c>
      <c r="C24" s="70" t="s">
        <v>1741</v>
      </c>
      <c r="D24" s="70" t="s">
        <v>1742</v>
      </c>
      <c r="E24" s="70" t="s">
        <v>1743</v>
      </c>
      <c r="F24" s="70" t="s">
        <v>1744</v>
      </c>
      <c r="G24" s="70" t="s">
        <v>1651</v>
      </c>
      <c r="H24" s="71" t="s">
        <v>1745</v>
      </c>
    </row>
    <row r="25" spans="1:8" ht="38.1" customHeight="1">
      <c r="A25" s="72" t="s">
        <v>1746</v>
      </c>
      <c r="B25" s="84" t="s">
        <v>1747</v>
      </c>
      <c r="C25" s="73" t="s">
        <v>1748</v>
      </c>
      <c r="D25" s="73" t="s">
        <v>1749</v>
      </c>
      <c r="E25" s="73" t="s">
        <v>1750</v>
      </c>
      <c r="F25" s="73" t="s">
        <v>1751</v>
      </c>
      <c r="G25" s="73" t="s">
        <v>1657</v>
      </c>
      <c r="H25" s="74" t="s">
        <v>1747</v>
      </c>
    </row>
    <row r="27" spans="1:8">
      <c r="A27" s="150" t="s">
        <v>1752</v>
      </c>
      <c r="B27" s="151"/>
      <c r="C27" s="151"/>
      <c r="D27" s="151"/>
      <c r="E27" s="151"/>
      <c r="F27" s="151"/>
      <c r="G27" s="151"/>
      <c r="H27" s="152"/>
    </row>
    <row r="28" spans="1:8" ht="36" customHeight="1">
      <c r="A28" s="63" t="s">
        <v>1626</v>
      </c>
      <c r="B28" s="64" t="s">
        <v>1753</v>
      </c>
      <c r="C28" s="64" t="s">
        <v>1754</v>
      </c>
      <c r="D28" s="64" t="s">
        <v>1627</v>
      </c>
      <c r="E28" s="64" t="s">
        <v>1755</v>
      </c>
      <c r="F28" s="64" t="s">
        <v>1628</v>
      </c>
      <c r="G28" s="64" t="s">
        <v>1756</v>
      </c>
      <c r="H28" s="65" t="s">
        <v>20</v>
      </c>
    </row>
    <row r="29" spans="1:8" ht="45" customHeight="1">
      <c r="A29" s="66" t="s">
        <v>121</v>
      </c>
      <c r="B29" s="80" t="str">
        <f>IF(OR(B15="Hemodiálisis",B15="Diálisis peritoneal"),"1.00–1.20",IF(B17="Sí","ND",IF(OR(B21="G3a",B21="G3b",B21="G4",B21="G5"),IF(B16="Sí","0.60–0.80",IF(B16="No","0.55–0.60","ND")),"ND")))</f>
        <v>ND</v>
      </c>
      <c r="C29" s="67" t="s">
        <v>1757</v>
      </c>
      <c r="D29" s="67" t="s">
        <v>1645</v>
      </c>
      <c r="E29" s="67" t="s">
        <v>1758</v>
      </c>
      <c r="F29" s="67" t="s">
        <v>1759</v>
      </c>
      <c r="G29" s="67" t="s">
        <v>1760</v>
      </c>
      <c r="H29" s="68" t="str">
        <f>IF(B29="ND","ND_NO_PRESCRIBIR","IMPLEMENTADO_CON_CONDICIONES")</f>
        <v>ND_NO_PRESCRIBIR</v>
      </c>
    </row>
    <row r="30" spans="1:8" ht="45" customHeight="1">
      <c r="A30" s="69" t="s">
        <v>71</v>
      </c>
      <c r="B30" s="81" t="str">
        <f>IF(B14="","ND","25–35")</f>
        <v>25–35</v>
      </c>
      <c r="C30" s="70" t="s">
        <v>1761</v>
      </c>
      <c r="D30" s="70" t="s">
        <v>1645</v>
      </c>
      <c r="E30" s="70" t="s">
        <v>1762</v>
      </c>
      <c r="F30" s="70" t="s">
        <v>1763</v>
      </c>
      <c r="G30" s="70" t="s">
        <v>1764</v>
      </c>
      <c r="H30" s="71" t="str">
        <f>"IMPLEMENTADO_CON_CONDICIONES"</f>
        <v>IMPLEMENTADO_CON_CONDICIONES</v>
      </c>
    </row>
    <row r="31" spans="1:8" ht="45" customHeight="1">
      <c r="A31" s="69" t="s">
        <v>69</v>
      </c>
      <c r="B31" s="81" t="str">
        <f>IF(OR(B15="Hemodiálisis",B15="Diálisis peritoneal",B17="Sí",B21="G3a",B21="G3b",B21="G4",B21="G5"),"&lt;2300","ND")</f>
        <v>&lt;2300</v>
      </c>
      <c r="C31" s="70" t="s">
        <v>1765</v>
      </c>
      <c r="D31" s="70" t="s">
        <v>1645</v>
      </c>
      <c r="E31" s="70" t="s">
        <v>1766</v>
      </c>
      <c r="F31" s="70" t="s">
        <v>1767</v>
      </c>
      <c r="G31" s="70" t="s">
        <v>1768</v>
      </c>
      <c r="H31" s="71" t="str">
        <f>IF(B31="ND","ND_NO_PRESCRIBIR","IMPLEMENTADO_CON_CONDICIONES")</f>
        <v>IMPLEMENTADO_CON_CONDICIONES</v>
      </c>
    </row>
    <row r="32" spans="1:8" ht="45" customHeight="1">
      <c r="A32" s="69" t="s">
        <v>67</v>
      </c>
      <c r="B32" s="81" t="str">
        <f>IF(NOT(ISNUMBER(B12)),"ND",IF(B12&gt;5.5,"INDIVIDUALIZAR_POR_HIPERKALEMIA",IF(B12&lt;3.5,"INDIVIDUALIZAR_POR_HIPOKALEMIA","SIN_RESTRICCION_AUTOMATICA")))</f>
        <v>INDIVIDUALIZAR_POR_HIPERKALEMIA</v>
      </c>
      <c r="C32" s="70" t="s">
        <v>1736</v>
      </c>
      <c r="D32" s="70" t="s">
        <v>1645</v>
      </c>
      <c r="E32" s="70" t="s">
        <v>1769</v>
      </c>
      <c r="F32" s="70" t="s">
        <v>1770</v>
      </c>
      <c r="G32" s="70" t="s">
        <v>1771</v>
      </c>
      <c r="H32" s="71" t="str">
        <f>"INDIVIDUALIZAR_NO_AUTOMATIZAR"</f>
        <v>INDIVIDUALIZAR_NO_AUTOMATIZAR</v>
      </c>
    </row>
    <row r="33" spans="1:8" ht="45" customHeight="1">
      <c r="A33" s="69" t="s">
        <v>68</v>
      </c>
      <c r="B33" s="81" t="str">
        <f>IF(NOT(ISNUMBER(B13)),"ND",IF(B13&gt;4.5,"INDIVIDUALIZAR_PARA_FOSFATO_NORMAL","SIN_LIMITE_AUTOMATICO"))</f>
        <v>INDIVIDUALIZAR_PARA_FOSFATO_NORMAL</v>
      </c>
      <c r="C33" s="70" t="s">
        <v>1736</v>
      </c>
      <c r="D33" s="70" t="s">
        <v>1645</v>
      </c>
      <c r="E33" s="70" t="s">
        <v>1772</v>
      </c>
      <c r="F33" s="70" t="s">
        <v>1773</v>
      </c>
      <c r="G33" s="70" t="s">
        <v>1771</v>
      </c>
      <c r="H33" s="71" t="str">
        <f>"INDIVIDUALIZAR_NO_AUTOMATIZAR"</f>
        <v>INDIVIDUALIZAR_NO_AUTOMATIZAR</v>
      </c>
    </row>
    <row r="34" spans="1:8" ht="45" customHeight="1">
      <c r="A34" s="72" t="s">
        <v>1774</v>
      </c>
      <c r="B34" s="82" t="s">
        <v>1775</v>
      </c>
      <c r="C34" s="73" t="s">
        <v>1776</v>
      </c>
      <c r="D34" s="73" t="s">
        <v>1777</v>
      </c>
      <c r="E34" s="73" t="s">
        <v>1778</v>
      </c>
      <c r="F34" s="73" t="s">
        <v>1779</v>
      </c>
      <c r="G34" s="73" t="s">
        <v>1780</v>
      </c>
      <c r="H34" s="74" t="s">
        <v>1731</v>
      </c>
    </row>
    <row r="36" spans="1:8">
      <c r="A36" s="150" t="s">
        <v>1781</v>
      </c>
      <c r="B36" s="151"/>
      <c r="C36" s="151"/>
      <c r="D36" s="151"/>
      <c r="E36" s="151"/>
      <c r="F36" s="151"/>
      <c r="G36" s="151"/>
      <c r="H36" s="152"/>
    </row>
    <row r="37" spans="1:8">
      <c r="A37" s="85" t="s">
        <v>1645</v>
      </c>
      <c r="B37" s="157" t="s">
        <v>1648</v>
      </c>
      <c r="C37" s="157"/>
      <c r="D37" s="157"/>
      <c r="E37" s="157"/>
      <c r="F37" s="157"/>
      <c r="G37" s="157"/>
      <c r="H37" s="158"/>
    </row>
    <row r="38" spans="1:8">
      <c r="A38" s="87" t="s">
        <v>1782</v>
      </c>
      <c r="B38" s="159" t="s">
        <v>1650</v>
      </c>
      <c r="C38" s="159"/>
      <c r="D38" s="159"/>
      <c r="E38" s="159"/>
      <c r="F38" s="159"/>
      <c r="G38" s="159"/>
      <c r="H38" s="160"/>
    </row>
    <row r="39" spans="1:8">
      <c r="A39" s="87" t="s">
        <v>1651</v>
      </c>
      <c r="B39" s="159" t="s">
        <v>1654</v>
      </c>
      <c r="C39" s="159"/>
      <c r="D39" s="159"/>
      <c r="E39" s="159"/>
      <c r="F39" s="159"/>
      <c r="G39" s="159"/>
      <c r="H39" s="160"/>
    </row>
    <row r="40" spans="1:8" ht="24">
      <c r="A40" s="89" t="s">
        <v>1783</v>
      </c>
      <c r="B40" s="161" t="s">
        <v>1660</v>
      </c>
      <c r="C40" s="161"/>
      <c r="D40" s="161"/>
      <c r="E40" s="161"/>
      <c r="F40" s="161"/>
      <c r="G40" s="161"/>
      <c r="H40" s="162"/>
    </row>
  </sheetData>
  <mergeCells count="11">
    <mergeCell ref="B40:H40"/>
    <mergeCell ref="A27:H27"/>
    <mergeCell ref="A36:H36"/>
    <mergeCell ref="B37:H37"/>
    <mergeCell ref="B38:H38"/>
    <mergeCell ref="B39:H39"/>
    <mergeCell ref="A1:H1"/>
    <mergeCell ref="A2:H2"/>
    <mergeCell ref="A3:H3"/>
    <mergeCell ref="A5:H5"/>
    <mergeCell ref="A19:H19"/>
  </mergeCells>
  <dataValidations count="3">
    <dataValidation type="list" sqref="B9:B11" xr:uid="{00000000-0002-0000-0B00-000000000000}">
      <formula1>"Sí,No,ND"</formula1>
    </dataValidation>
    <dataValidation type="decimal" sqref="B7:B8" xr:uid="{00000000-0002-0000-0B00-000001000000}">
      <formula1>0</formula1>
      <formula2>200</formula2>
    </dataValidation>
    <dataValidation type="decimal" sqref="B10" xr:uid="{00000000-0002-0000-0B00-000002000000}">
      <formula1>0</formula1>
      <formula2>100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42"/>
  <sheetViews>
    <sheetView workbookViewId="0">
      <selection sqref="A1:S1"/>
    </sheetView>
  </sheetViews>
  <sheetFormatPr baseColWidth="10" defaultColWidth="9.140625" defaultRowHeight="15"/>
  <cols>
    <col min="1" max="1" width="17" customWidth="1"/>
    <col min="2" max="2" width="13" customWidth="1"/>
    <col min="3" max="3" width="34" customWidth="1"/>
    <col min="4" max="4" width="8" customWidth="1"/>
    <col min="5" max="5" width="22" customWidth="1"/>
    <col min="6" max="6" width="58" customWidth="1"/>
    <col min="7" max="7" width="28" customWidth="1"/>
    <col min="8" max="8" width="13" customWidth="1"/>
    <col min="9" max="9" width="14" customWidth="1"/>
    <col min="10" max="11" width="12" customWidth="1"/>
    <col min="12" max="12" width="11" customWidth="1"/>
    <col min="13" max="14" width="16" customWidth="1"/>
    <col min="15" max="15" width="42" customWidth="1"/>
    <col min="16" max="16" width="22" customWidth="1"/>
    <col min="17" max="17" width="14" customWidth="1"/>
    <col min="18" max="18" width="46" customWidth="1"/>
    <col min="19" max="19" width="30" customWidth="1"/>
  </cols>
  <sheetData>
    <row r="1" spans="1:19" ht="26.1" customHeight="1">
      <c r="A1" s="155" t="s">
        <v>1784</v>
      </c>
      <c r="B1" s="155"/>
      <c r="C1" s="155"/>
      <c r="D1" s="155"/>
      <c r="E1" s="155"/>
      <c r="F1" s="155"/>
      <c r="G1" s="155"/>
      <c r="H1" s="155"/>
      <c r="I1" s="155"/>
      <c r="J1" s="155"/>
      <c r="K1" s="155"/>
      <c r="L1" s="155"/>
      <c r="M1" s="155"/>
      <c r="N1" s="155"/>
      <c r="O1" s="155"/>
      <c r="P1" s="155"/>
      <c r="Q1" s="155"/>
      <c r="R1" s="155"/>
      <c r="S1" s="155"/>
    </row>
    <row r="2" spans="1:19" ht="26.1" customHeight="1">
      <c r="A2" s="156" t="s">
        <v>1785</v>
      </c>
      <c r="B2" s="156"/>
      <c r="C2" s="156"/>
      <c r="D2" s="156"/>
      <c r="E2" s="156"/>
      <c r="F2" s="156"/>
      <c r="G2" s="156"/>
      <c r="H2" s="156"/>
      <c r="I2" s="156"/>
      <c r="J2" s="156"/>
      <c r="K2" s="156"/>
      <c r="L2" s="156"/>
      <c r="M2" s="156"/>
      <c r="N2" s="156"/>
      <c r="O2" s="156"/>
      <c r="P2" s="156"/>
      <c r="Q2" s="156"/>
      <c r="R2" s="156"/>
      <c r="S2" s="156"/>
    </row>
    <row r="3" spans="1:19" ht="26.1" customHeight="1">
      <c r="A3" s="124" t="s">
        <v>1786</v>
      </c>
      <c r="B3" s="125"/>
      <c r="C3" s="125"/>
      <c r="D3" s="125"/>
      <c r="E3" s="125"/>
      <c r="F3" s="125"/>
      <c r="G3" s="125"/>
      <c r="H3" s="125"/>
      <c r="I3" s="125"/>
      <c r="J3" s="125"/>
      <c r="K3" s="125"/>
      <c r="L3" s="125"/>
      <c r="M3" s="125"/>
      <c r="N3" s="125"/>
      <c r="O3" s="125"/>
      <c r="P3" s="125"/>
      <c r="Q3" s="125"/>
      <c r="R3" s="125"/>
      <c r="S3" s="126"/>
    </row>
    <row r="5" spans="1:19" ht="38.1" customHeight="1">
      <c r="A5" s="91" t="s">
        <v>1787</v>
      </c>
      <c r="B5" s="92" t="s">
        <v>1788</v>
      </c>
      <c r="C5" s="92" t="s">
        <v>1682</v>
      </c>
      <c r="D5" s="92" t="s">
        <v>1789</v>
      </c>
      <c r="E5" s="92" t="s">
        <v>1790</v>
      </c>
      <c r="F5" s="92" t="s">
        <v>1791</v>
      </c>
      <c r="G5" s="92" t="s">
        <v>1792</v>
      </c>
      <c r="H5" s="92" t="s">
        <v>1793</v>
      </c>
      <c r="I5" s="92" t="s">
        <v>1794</v>
      </c>
      <c r="J5" s="92" t="s">
        <v>1795</v>
      </c>
      <c r="K5" s="92" t="s">
        <v>91</v>
      </c>
      <c r="L5" s="92" t="s">
        <v>1717</v>
      </c>
      <c r="M5" s="92" t="s">
        <v>1678</v>
      </c>
      <c r="N5" s="92" t="s">
        <v>1754</v>
      </c>
      <c r="O5" s="92" t="s">
        <v>1755</v>
      </c>
      <c r="P5" s="92" t="s">
        <v>1796</v>
      </c>
      <c r="Q5" s="92" t="s">
        <v>1797</v>
      </c>
      <c r="R5" s="92" t="s">
        <v>1798</v>
      </c>
      <c r="S5" s="93" t="s">
        <v>20</v>
      </c>
    </row>
    <row r="6" spans="1:19" ht="54" customHeight="1">
      <c r="A6" s="94" t="s">
        <v>1799</v>
      </c>
      <c r="B6" s="95" t="s">
        <v>1800</v>
      </c>
      <c r="C6" s="95" t="s">
        <v>1801</v>
      </c>
      <c r="D6" s="95">
        <v>2024</v>
      </c>
      <c r="E6" s="95" t="s">
        <v>1802</v>
      </c>
      <c r="F6" s="95" t="s">
        <v>1803</v>
      </c>
      <c r="G6" s="95" t="s">
        <v>1804</v>
      </c>
      <c r="H6" s="95" t="s">
        <v>1728</v>
      </c>
      <c r="I6" s="95" t="s">
        <v>1733</v>
      </c>
      <c r="J6" s="95" t="s">
        <v>1805</v>
      </c>
      <c r="K6" s="95" t="s">
        <v>1806</v>
      </c>
      <c r="L6" s="95" t="s">
        <v>1806</v>
      </c>
      <c r="M6" s="95">
        <v>3</v>
      </c>
      <c r="N6" s="95" t="s">
        <v>1807</v>
      </c>
      <c r="O6" s="95" t="s">
        <v>1808</v>
      </c>
      <c r="P6" s="95" t="s">
        <v>1809</v>
      </c>
      <c r="Q6" s="95" t="s">
        <v>1810</v>
      </c>
      <c r="R6" s="95" t="s">
        <v>1811</v>
      </c>
      <c r="S6" s="100" t="s">
        <v>1731</v>
      </c>
    </row>
    <row r="7" spans="1:19" ht="54" customHeight="1">
      <c r="A7" s="96" t="s">
        <v>1812</v>
      </c>
      <c r="B7" s="97" t="s">
        <v>1800</v>
      </c>
      <c r="C7" s="97" t="s">
        <v>1801</v>
      </c>
      <c r="D7" s="97">
        <v>2024</v>
      </c>
      <c r="E7" s="97" t="s">
        <v>1813</v>
      </c>
      <c r="F7" s="97" t="s">
        <v>1814</v>
      </c>
      <c r="G7" s="97" t="s">
        <v>1815</v>
      </c>
      <c r="H7" s="97" t="s">
        <v>1816</v>
      </c>
      <c r="I7" s="97" t="s">
        <v>1805</v>
      </c>
      <c r="J7" s="97" t="s">
        <v>1805</v>
      </c>
      <c r="K7" s="97" t="s">
        <v>1806</v>
      </c>
      <c r="L7" s="97" t="s">
        <v>1806</v>
      </c>
      <c r="M7" s="97">
        <v>90</v>
      </c>
      <c r="N7" s="97" t="s">
        <v>1817</v>
      </c>
      <c r="O7" s="97" t="s">
        <v>1818</v>
      </c>
      <c r="P7" s="97" t="s">
        <v>1819</v>
      </c>
      <c r="Q7" s="97" t="s">
        <v>1810</v>
      </c>
      <c r="R7" s="97" t="s">
        <v>1820</v>
      </c>
      <c r="S7" s="101" t="s">
        <v>1731</v>
      </c>
    </row>
    <row r="8" spans="1:19" ht="54" customHeight="1">
      <c r="A8" s="96" t="s">
        <v>1821</v>
      </c>
      <c r="B8" s="97" t="s">
        <v>1800</v>
      </c>
      <c r="C8" s="97" t="s">
        <v>1801</v>
      </c>
      <c r="D8" s="97">
        <v>2024</v>
      </c>
      <c r="E8" s="97" t="s">
        <v>1813</v>
      </c>
      <c r="F8" s="97" t="s">
        <v>1822</v>
      </c>
      <c r="G8" s="97" t="s">
        <v>1815</v>
      </c>
      <c r="H8" s="97" t="s">
        <v>1823</v>
      </c>
      <c r="I8" s="97" t="s">
        <v>1805</v>
      </c>
      <c r="J8" s="97" t="s">
        <v>1805</v>
      </c>
      <c r="K8" s="97" t="s">
        <v>1806</v>
      </c>
      <c r="L8" s="97" t="s">
        <v>1806</v>
      </c>
      <c r="M8" s="97" t="s">
        <v>1824</v>
      </c>
      <c r="N8" s="97" t="s">
        <v>1684</v>
      </c>
      <c r="O8" s="97" t="s">
        <v>1825</v>
      </c>
      <c r="P8" s="97" t="s">
        <v>1819</v>
      </c>
      <c r="Q8" s="97" t="s">
        <v>1810</v>
      </c>
      <c r="R8" s="97" t="s">
        <v>1826</v>
      </c>
      <c r="S8" s="101" t="s">
        <v>1731</v>
      </c>
    </row>
    <row r="9" spans="1:19" ht="54" customHeight="1">
      <c r="A9" s="96" t="s">
        <v>1827</v>
      </c>
      <c r="B9" s="97" t="s">
        <v>1800</v>
      </c>
      <c r="C9" s="97" t="s">
        <v>1801</v>
      </c>
      <c r="D9" s="97">
        <v>2024</v>
      </c>
      <c r="E9" s="97" t="s">
        <v>1813</v>
      </c>
      <c r="F9" s="97" t="s">
        <v>1828</v>
      </c>
      <c r="G9" s="97" t="s">
        <v>1815</v>
      </c>
      <c r="H9" s="97" t="s">
        <v>1829</v>
      </c>
      <c r="I9" s="97" t="s">
        <v>1805</v>
      </c>
      <c r="J9" s="97" t="s">
        <v>1830</v>
      </c>
      <c r="K9" s="97" t="s">
        <v>1806</v>
      </c>
      <c r="L9" s="97" t="s">
        <v>1806</v>
      </c>
      <c r="M9" s="97" t="s">
        <v>1831</v>
      </c>
      <c r="N9" s="97" t="s">
        <v>1684</v>
      </c>
      <c r="O9" s="97" t="s">
        <v>1832</v>
      </c>
      <c r="P9" s="97" t="s">
        <v>1819</v>
      </c>
      <c r="Q9" s="97" t="s">
        <v>1810</v>
      </c>
      <c r="R9" s="97" t="s">
        <v>1833</v>
      </c>
      <c r="S9" s="101" t="s">
        <v>1731</v>
      </c>
    </row>
    <row r="10" spans="1:19" ht="54" customHeight="1">
      <c r="A10" s="96" t="s">
        <v>1834</v>
      </c>
      <c r="B10" s="97" t="s">
        <v>1800</v>
      </c>
      <c r="C10" s="97" t="s">
        <v>1801</v>
      </c>
      <c r="D10" s="97">
        <v>2024</v>
      </c>
      <c r="E10" s="97" t="s">
        <v>1813</v>
      </c>
      <c r="F10" s="97" t="s">
        <v>1835</v>
      </c>
      <c r="G10" s="97" t="s">
        <v>1815</v>
      </c>
      <c r="H10" s="97" t="s">
        <v>1836</v>
      </c>
      <c r="I10" s="97" t="s">
        <v>1805</v>
      </c>
      <c r="J10" s="97" t="s">
        <v>1830</v>
      </c>
      <c r="K10" s="97" t="s">
        <v>1806</v>
      </c>
      <c r="L10" s="97" t="s">
        <v>1806</v>
      </c>
      <c r="M10" s="97" t="s">
        <v>1837</v>
      </c>
      <c r="N10" s="97" t="s">
        <v>1684</v>
      </c>
      <c r="O10" s="97" t="s">
        <v>1832</v>
      </c>
      <c r="P10" s="97" t="s">
        <v>1819</v>
      </c>
      <c r="Q10" s="97" t="s">
        <v>1810</v>
      </c>
      <c r="R10" s="97" t="s">
        <v>1838</v>
      </c>
      <c r="S10" s="101" t="s">
        <v>1731</v>
      </c>
    </row>
    <row r="11" spans="1:19" ht="54" customHeight="1">
      <c r="A11" s="96" t="s">
        <v>1839</v>
      </c>
      <c r="B11" s="97" t="s">
        <v>1800</v>
      </c>
      <c r="C11" s="97" t="s">
        <v>1801</v>
      </c>
      <c r="D11" s="97">
        <v>2024</v>
      </c>
      <c r="E11" s="97" t="s">
        <v>1813</v>
      </c>
      <c r="F11" s="97" t="s">
        <v>1840</v>
      </c>
      <c r="G11" s="97" t="s">
        <v>1815</v>
      </c>
      <c r="H11" s="97" t="s">
        <v>1841</v>
      </c>
      <c r="I11" s="97" t="s">
        <v>1805</v>
      </c>
      <c r="J11" s="97" t="s">
        <v>1830</v>
      </c>
      <c r="K11" s="97" t="s">
        <v>1806</v>
      </c>
      <c r="L11" s="97" t="s">
        <v>1806</v>
      </c>
      <c r="M11" s="97" t="s">
        <v>1842</v>
      </c>
      <c r="N11" s="97" t="s">
        <v>1684</v>
      </c>
      <c r="O11" s="97" t="s">
        <v>1843</v>
      </c>
      <c r="P11" s="97" t="s">
        <v>1819</v>
      </c>
      <c r="Q11" s="97" t="s">
        <v>1810</v>
      </c>
      <c r="R11" s="97" t="s">
        <v>1844</v>
      </c>
      <c r="S11" s="101" t="s">
        <v>1731</v>
      </c>
    </row>
    <row r="12" spans="1:19" ht="54" customHeight="1">
      <c r="A12" s="96" t="s">
        <v>1845</v>
      </c>
      <c r="B12" s="97" t="s">
        <v>1800</v>
      </c>
      <c r="C12" s="97" t="s">
        <v>1801</v>
      </c>
      <c r="D12" s="97">
        <v>2024</v>
      </c>
      <c r="E12" s="97" t="s">
        <v>1813</v>
      </c>
      <c r="F12" s="97" t="s">
        <v>1846</v>
      </c>
      <c r="G12" s="97" t="s">
        <v>1815</v>
      </c>
      <c r="H12" s="97" t="s">
        <v>1847</v>
      </c>
      <c r="I12" s="97" t="s">
        <v>1805</v>
      </c>
      <c r="J12" s="97" t="s">
        <v>1848</v>
      </c>
      <c r="K12" s="97" t="s">
        <v>1806</v>
      </c>
      <c r="L12" s="97" t="s">
        <v>1806</v>
      </c>
      <c r="M12" s="97" t="s">
        <v>1849</v>
      </c>
      <c r="N12" s="97" t="s">
        <v>1684</v>
      </c>
      <c r="O12" s="97" t="s">
        <v>1850</v>
      </c>
      <c r="P12" s="97" t="s">
        <v>1819</v>
      </c>
      <c r="Q12" s="97" t="s">
        <v>1810</v>
      </c>
      <c r="R12" s="97" t="s">
        <v>1851</v>
      </c>
      <c r="S12" s="101" t="s">
        <v>1731</v>
      </c>
    </row>
    <row r="13" spans="1:19" ht="54" customHeight="1">
      <c r="A13" s="96" t="s">
        <v>1852</v>
      </c>
      <c r="B13" s="97" t="s">
        <v>1800</v>
      </c>
      <c r="C13" s="97" t="s">
        <v>1801</v>
      </c>
      <c r="D13" s="97">
        <v>2024</v>
      </c>
      <c r="E13" s="97" t="s">
        <v>1853</v>
      </c>
      <c r="F13" s="97" t="s">
        <v>1854</v>
      </c>
      <c r="G13" s="97" t="s">
        <v>1815</v>
      </c>
      <c r="H13" s="97" t="s">
        <v>1805</v>
      </c>
      <c r="I13" s="97" t="s">
        <v>1855</v>
      </c>
      <c r="J13" s="97" t="s">
        <v>1805</v>
      </c>
      <c r="K13" s="97" t="s">
        <v>1806</v>
      </c>
      <c r="L13" s="97" t="s">
        <v>1806</v>
      </c>
      <c r="M13" s="97" t="s">
        <v>1856</v>
      </c>
      <c r="N13" s="97" t="s">
        <v>1857</v>
      </c>
      <c r="O13" s="97" t="s">
        <v>1858</v>
      </c>
      <c r="P13" s="97" t="s">
        <v>1819</v>
      </c>
      <c r="Q13" s="97" t="s">
        <v>1810</v>
      </c>
      <c r="R13" s="97" t="s">
        <v>1859</v>
      </c>
      <c r="S13" s="101" t="s">
        <v>1731</v>
      </c>
    </row>
    <row r="14" spans="1:19" ht="54" customHeight="1">
      <c r="A14" s="96" t="s">
        <v>1860</v>
      </c>
      <c r="B14" s="97" t="s">
        <v>1800</v>
      </c>
      <c r="C14" s="97" t="s">
        <v>1801</v>
      </c>
      <c r="D14" s="97">
        <v>2024</v>
      </c>
      <c r="E14" s="97" t="s">
        <v>1853</v>
      </c>
      <c r="F14" s="97" t="s">
        <v>1861</v>
      </c>
      <c r="G14" s="97" t="s">
        <v>1815</v>
      </c>
      <c r="H14" s="97" t="s">
        <v>1805</v>
      </c>
      <c r="I14" s="97" t="s">
        <v>1862</v>
      </c>
      <c r="J14" s="97" t="s">
        <v>1805</v>
      </c>
      <c r="K14" s="97" t="s">
        <v>1806</v>
      </c>
      <c r="L14" s="97" t="s">
        <v>1806</v>
      </c>
      <c r="M14" s="97" t="s">
        <v>1863</v>
      </c>
      <c r="N14" s="97" t="s">
        <v>1857</v>
      </c>
      <c r="O14" s="97" t="s">
        <v>1864</v>
      </c>
      <c r="P14" s="97" t="s">
        <v>1819</v>
      </c>
      <c r="Q14" s="97" t="s">
        <v>1810</v>
      </c>
      <c r="R14" s="97" t="s">
        <v>1865</v>
      </c>
      <c r="S14" s="101" t="s">
        <v>1731</v>
      </c>
    </row>
    <row r="15" spans="1:19" ht="54" customHeight="1">
      <c r="A15" s="96" t="s">
        <v>1866</v>
      </c>
      <c r="B15" s="97" t="s">
        <v>1800</v>
      </c>
      <c r="C15" s="97" t="s">
        <v>1801</v>
      </c>
      <c r="D15" s="97">
        <v>2024</v>
      </c>
      <c r="E15" s="97" t="s">
        <v>1853</v>
      </c>
      <c r="F15" s="97" t="s">
        <v>1867</v>
      </c>
      <c r="G15" s="97" t="s">
        <v>1815</v>
      </c>
      <c r="H15" s="97" t="s">
        <v>1805</v>
      </c>
      <c r="I15" s="97" t="s">
        <v>1868</v>
      </c>
      <c r="J15" s="97" t="s">
        <v>1805</v>
      </c>
      <c r="K15" s="97" t="s">
        <v>1806</v>
      </c>
      <c r="L15" s="97" t="s">
        <v>1806</v>
      </c>
      <c r="M15" s="97" t="s">
        <v>1869</v>
      </c>
      <c r="N15" s="97" t="s">
        <v>1857</v>
      </c>
      <c r="O15" s="97" t="s">
        <v>1870</v>
      </c>
      <c r="P15" s="97" t="s">
        <v>1819</v>
      </c>
      <c r="Q15" s="97" t="s">
        <v>1810</v>
      </c>
      <c r="R15" s="97" t="s">
        <v>1871</v>
      </c>
      <c r="S15" s="101" t="s">
        <v>1731</v>
      </c>
    </row>
    <row r="16" spans="1:19" ht="54" customHeight="1">
      <c r="A16" s="96" t="s">
        <v>1872</v>
      </c>
      <c r="B16" s="97" t="s">
        <v>1800</v>
      </c>
      <c r="C16" s="97" t="s">
        <v>1801</v>
      </c>
      <c r="D16" s="97">
        <v>2024</v>
      </c>
      <c r="E16" s="97" t="s">
        <v>1873</v>
      </c>
      <c r="F16" s="97" t="s">
        <v>1874</v>
      </c>
      <c r="G16" s="97" t="s">
        <v>1875</v>
      </c>
      <c r="H16" s="97" t="s">
        <v>1805</v>
      </c>
      <c r="I16" s="97" t="s">
        <v>1805</v>
      </c>
      <c r="J16" s="97" t="s">
        <v>1805</v>
      </c>
      <c r="K16" s="97" t="s">
        <v>1806</v>
      </c>
      <c r="L16" s="97" t="s">
        <v>1806</v>
      </c>
      <c r="M16" s="97" t="s">
        <v>1564</v>
      </c>
      <c r="N16" s="97"/>
      <c r="O16" s="97" t="s">
        <v>1876</v>
      </c>
      <c r="P16" s="97" t="s">
        <v>1877</v>
      </c>
      <c r="Q16" s="97" t="s">
        <v>1878</v>
      </c>
      <c r="R16" s="97" t="s">
        <v>1879</v>
      </c>
      <c r="S16" s="101" t="s">
        <v>1731</v>
      </c>
    </row>
    <row r="17" spans="1:19" ht="54" customHeight="1">
      <c r="A17" s="96" t="s">
        <v>1880</v>
      </c>
      <c r="B17" s="97" t="s">
        <v>1800</v>
      </c>
      <c r="C17" s="97" t="s">
        <v>1801</v>
      </c>
      <c r="D17" s="97">
        <v>2024</v>
      </c>
      <c r="E17" s="97" t="s">
        <v>1881</v>
      </c>
      <c r="F17" s="97" t="s">
        <v>1882</v>
      </c>
      <c r="G17" s="97" t="s">
        <v>1883</v>
      </c>
      <c r="H17" s="97" t="s">
        <v>1805</v>
      </c>
      <c r="I17" s="97" t="s">
        <v>1805</v>
      </c>
      <c r="J17" s="97" t="s">
        <v>1884</v>
      </c>
      <c r="K17" s="97" t="s">
        <v>1806</v>
      </c>
      <c r="L17" s="97" t="s">
        <v>1806</v>
      </c>
      <c r="M17" s="97" t="s">
        <v>1564</v>
      </c>
      <c r="N17" s="97"/>
      <c r="O17" s="97" t="s">
        <v>1885</v>
      </c>
      <c r="P17" s="97" t="s">
        <v>1886</v>
      </c>
      <c r="Q17" s="97" t="s">
        <v>1878</v>
      </c>
      <c r="R17" s="97" t="s">
        <v>1887</v>
      </c>
      <c r="S17" s="101" t="s">
        <v>1731</v>
      </c>
    </row>
    <row r="18" spans="1:19" ht="54" customHeight="1">
      <c r="A18" s="96" t="s">
        <v>1888</v>
      </c>
      <c r="B18" s="97" t="s">
        <v>1800</v>
      </c>
      <c r="C18" s="97" t="s">
        <v>1801</v>
      </c>
      <c r="D18" s="97">
        <v>2024</v>
      </c>
      <c r="E18" s="97" t="s">
        <v>1889</v>
      </c>
      <c r="F18" s="97" t="s">
        <v>1890</v>
      </c>
      <c r="G18" s="97" t="s">
        <v>1815</v>
      </c>
      <c r="H18" s="97" t="s">
        <v>1805</v>
      </c>
      <c r="I18" s="97" t="s">
        <v>1805</v>
      </c>
      <c r="J18" s="97" t="s">
        <v>1805</v>
      </c>
      <c r="K18" s="97" t="s">
        <v>1806</v>
      </c>
      <c r="L18" s="97" t="s">
        <v>1806</v>
      </c>
      <c r="M18" s="97" t="s">
        <v>1564</v>
      </c>
      <c r="N18" s="97"/>
      <c r="O18" s="97" t="s">
        <v>1891</v>
      </c>
      <c r="P18" s="97" t="s">
        <v>1892</v>
      </c>
      <c r="Q18" s="97" t="s">
        <v>1878</v>
      </c>
      <c r="R18" s="97" t="s">
        <v>1893</v>
      </c>
      <c r="S18" s="101" t="s">
        <v>1894</v>
      </c>
    </row>
    <row r="19" spans="1:19" ht="54" customHeight="1">
      <c r="A19" s="96" t="s">
        <v>1895</v>
      </c>
      <c r="B19" s="97" t="s">
        <v>1800</v>
      </c>
      <c r="C19" s="97" t="s">
        <v>1801</v>
      </c>
      <c r="D19" s="97">
        <v>2024</v>
      </c>
      <c r="E19" s="97" t="s">
        <v>1896</v>
      </c>
      <c r="F19" s="97" t="s">
        <v>1897</v>
      </c>
      <c r="G19" s="97" t="s">
        <v>1898</v>
      </c>
      <c r="H19" s="97" t="s">
        <v>1899</v>
      </c>
      <c r="I19" s="97" t="s">
        <v>1805</v>
      </c>
      <c r="J19" s="97" t="s">
        <v>1830</v>
      </c>
      <c r="K19" s="97" t="s">
        <v>58</v>
      </c>
      <c r="L19" s="97" t="s">
        <v>1806</v>
      </c>
      <c r="M19" s="97" t="s">
        <v>1900</v>
      </c>
      <c r="N19" s="97" t="s">
        <v>1901</v>
      </c>
      <c r="O19" s="97" t="s">
        <v>1902</v>
      </c>
      <c r="P19" s="97" t="s">
        <v>1903</v>
      </c>
      <c r="Q19" s="97" t="s">
        <v>1904</v>
      </c>
      <c r="R19" s="97" t="s">
        <v>1905</v>
      </c>
      <c r="S19" s="101" t="s">
        <v>1745</v>
      </c>
    </row>
    <row r="20" spans="1:19" ht="54" customHeight="1">
      <c r="A20" s="96" t="s">
        <v>1906</v>
      </c>
      <c r="B20" s="97" t="s">
        <v>1800</v>
      </c>
      <c r="C20" s="97" t="s">
        <v>1801</v>
      </c>
      <c r="D20" s="97">
        <v>2024</v>
      </c>
      <c r="E20" s="97" t="s">
        <v>1907</v>
      </c>
      <c r="F20" s="97" t="s">
        <v>1908</v>
      </c>
      <c r="G20" s="97" t="s">
        <v>1909</v>
      </c>
      <c r="H20" s="97" t="s">
        <v>1910</v>
      </c>
      <c r="I20" s="97" t="s">
        <v>1911</v>
      </c>
      <c r="J20" s="97" t="s">
        <v>1805</v>
      </c>
      <c r="K20" s="97" t="s">
        <v>1806</v>
      </c>
      <c r="L20" s="97" t="s">
        <v>1806</v>
      </c>
      <c r="M20" s="97" t="s">
        <v>1564</v>
      </c>
      <c r="N20" s="97"/>
      <c r="O20" s="97" t="s">
        <v>1912</v>
      </c>
      <c r="P20" s="97" t="s">
        <v>1913</v>
      </c>
      <c r="Q20" s="97" t="s">
        <v>1914</v>
      </c>
      <c r="R20" s="97" t="s">
        <v>1915</v>
      </c>
      <c r="S20" s="101" t="s">
        <v>1745</v>
      </c>
    </row>
    <row r="21" spans="1:19" ht="54" customHeight="1">
      <c r="A21" s="96" t="s">
        <v>1916</v>
      </c>
      <c r="B21" s="97" t="s">
        <v>1800</v>
      </c>
      <c r="C21" s="97" t="s">
        <v>1917</v>
      </c>
      <c r="D21" s="97">
        <v>2026</v>
      </c>
      <c r="E21" s="97" t="s">
        <v>1918</v>
      </c>
      <c r="F21" s="97" t="s">
        <v>1919</v>
      </c>
      <c r="G21" s="97" t="s">
        <v>1920</v>
      </c>
      <c r="H21" s="97" t="s">
        <v>1805</v>
      </c>
      <c r="I21" s="97" t="s">
        <v>1805</v>
      </c>
      <c r="J21" s="97" t="s">
        <v>1805</v>
      </c>
      <c r="K21" s="97" t="s">
        <v>1806</v>
      </c>
      <c r="L21" s="97" t="s">
        <v>1806</v>
      </c>
      <c r="M21" s="97" t="s">
        <v>1564</v>
      </c>
      <c r="N21" s="97"/>
      <c r="O21" s="97" t="s">
        <v>1921</v>
      </c>
      <c r="P21" s="97" t="s">
        <v>1922</v>
      </c>
      <c r="Q21" s="97" t="s">
        <v>1923</v>
      </c>
      <c r="R21" s="97" t="s">
        <v>1924</v>
      </c>
      <c r="S21" s="101" t="s">
        <v>1747</v>
      </c>
    </row>
    <row r="22" spans="1:19" ht="54" customHeight="1">
      <c r="A22" s="96" t="s">
        <v>1925</v>
      </c>
      <c r="B22" s="97" t="s">
        <v>1926</v>
      </c>
      <c r="C22" s="97" t="s">
        <v>1927</v>
      </c>
      <c r="D22" s="97">
        <v>2020</v>
      </c>
      <c r="E22" s="97" t="s">
        <v>1928</v>
      </c>
      <c r="F22" s="97" t="s">
        <v>1929</v>
      </c>
      <c r="G22" s="97" t="s">
        <v>1930</v>
      </c>
      <c r="H22" s="97" t="s">
        <v>1899</v>
      </c>
      <c r="I22" s="97" t="s">
        <v>1805</v>
      </c>
      <c r="J22" s="97" t="s">
        <v>1931</v>
      </c>
      <c r="K22" s="97" t="s">
        <v>1591</v>
      </c>
      <c r="L22" s="97" t="s">
        <v>1806</v>
      </c>
      <c r="M22" s="97" t="s">
        <v>1564</v>
      </c>
      <c r="N22" s="97"/>
      <c r="O22" s="97" t="s">
        <v>1932</v>
      </c>
      <c r="P22" s="97" t="s">
        <v>1933</v>
      </c>
      <c r="Q22" s="97" t="s">
        <v>1934</v>
      </c>
      <c r="R22" s="97" t="s">
        <v>1935</v>
      </c>
      <c r="S22" s="101" t="s">
        <v>1894</v>
      </c>
    </row>
    <row r="23" spans="1:19" ht="54" customHeight="1">
      <c r="A23" s="96" t="s">
        <v>1936</v>
      </c>
      <c r="B23" s="97" t="s">
        <v>1926</v>
      </c>
      <c r="C23" s="97" t="s">
        <v>1927</v>
      </c>
      <c r="D23" s="97">
        <v>2020</v>
      </c>
      <c r="E23" s="97" t="s">
        <v>1937</v>
      </c>
      <c r="F23" s="97" t="s">
        <v>1938</v>
      </c>
      <c r="G23" s="97" t="s">
        <v>1939</v>
      </c>
      <c r="H23" s="97" t="s">
        <v>1899</v>
      </c>
      <c r="I23" s="97" t="s">
        <v>1805</v>
      </c>
      <c r="J23" s="97" t="s">
        <v>1931</v>
      </c>
      <c r="K23" s="97" t="s">
        <v>1806</v>
      </c>
      <c r="L23" s="97" t="s">
        <v>1806</v>
      </c>
      <c r="M23" s="97">
        <v>3</v>
      </c>
      <c r="N23" s="97" t="s">
        <v>1940</v>
      </c>
      <c r="O23" s="97" t="s">
        <v>1941</v>
      </c>
      <c r="P23" s="97" t="s">
        <v>1942</v>
      </c>
      <c r="Q23" s="97" t="s">
        <v>1943</v>
      </c>
      <c r="R23" s="97" t="s">
        <v>1944</v>
      </c>
      <c r="S23" s="101" t="s">
        <v>1731</v>
      </c>
    </row>
    <row r="24" spans="1:19" ht="54" customHeight="1">
      <c r="A24" s="96" t="s">
        <v>1945</v>
      </c>
      <c r="B24" s="97" t="s">
        <v>1926</v>
      </c>
      <c r="C24" s="97" t="s">
        <v>1927</v>
      </c>
      <c r="D24" s="97">
        <v>2020</v>
      </c>
      <c r="E24" s="97" t="s">
        <v>1937</v>
      </c>
      <c r="F24" s="97" t="s">
        <v>1946</v>
      </c>
      <c r="G24" s="97" t="s">
        <v>1939</v>
      </c>
      <c r="H24" s="97" t="s">
        <v>1899</v>
      </c>
      <c r="I24" s="97" t="s">
        <v>1805</v>
      </c>
      <c r="J24" s="97" t="s">
        <v>1931</v>
      </c>
      <c r="K24" s="97" t="s">
        <v>1806</v>
      </c>
      <c r="L24" s="97" t="s">
        <v>1806</v>
      </c>
      <c r="M24" s="97">
        <v>24</v>
      </c>
      <c r="N24" s="97" t="s">
        <v>1947</v>
      </c>
      <c r="O24" s="97" t="s">
        <v>1948</v>
      </c>
      <c r="P24" s="97" t="s">
        <v>1942</v>
      </c>
      <c r="Q24" s="97" t="s">
        <v>1943</v>
      </c>
      <c r="R24" s="97" t="s">
        <v>1949</v>
      </c>
      <c r="S24" s="101" t="s">
        <v>1731</v>
      </c>
    </row>
    <row r="25" spans="1:19" ht="54" customHeight="1">
      <c r="A25" s="96" t="s">
        <v>1950</v>
      </c>
      <c r="B25" s="97" t="s">
        <v>1926</v>
      </c>
      <c r="C25" s="97" t="s">
        <v>1927</v>
      </c>
      <c r="D25" s="97">
        <v>2020</v>
      </c>
      <c r="E25" s="97" t="s">
        <v>1951</v>
      </c>
      <c r="F25" s="97" t="s">
        <v>1952</v>
      </c>
      <c r="G25" s="97" t="s">
        <v>1953</v>
      </c>
      <c r="H25" s="97" t="s">
        <v>1728</v>
      </c>
      <c r="I25" s="97" t="s">
        <v>1805</v>
      </c>
      <c r="J25" s="97" t="s">
        <v>1931</v>
      </c>
      <c r="K25" s="97" t="s">
        <v>1591</v>
      </c>
      <c r="L25" s="97" t="s">
        <v>1806</v>
      </c>
      <c r="M25" s="97" t="s">
        <v>1564</v>
      </c>
      <c r="N25" s="97"/>
      <c r="O25" s="97" t="s">
        <v>1954</v>
      </c>
      <c r="P25" s="97" t="s">
        <v>1791</v>
      </c>
      <c r="Q25" s="97" t="s">
        <v>1943</v>
      </c>
      <c r="R25" s="97" t="s">
        <v>1955</v>
      </c>
      <c r="S25" s="101" t="s">
        <v>1956</v>
      </c>
    </row>
    <row r="26" spans="1:19" ht="54" customHeight="1">
      <c r="A26" s="96" t="s">
        <v>1957</v>
      </c>
      <c r="B26" s="97" t="s">
        <v>1926</v>
      </c>
      <c r="C26" s="97" t="s">
        <v>1927</v>
      </c>
      <c r="D26" s="97">
        <v>2020</v>
      </c>
      <c r="E26" s="97" t="s">
        <v>1958</v>
      </c>
      <c r="F26" s="97" t="s">
        <v>1959</v>
      </c>
      <c r="G26" s="97" t="s">
        <v>1960</v>
      </c>
      <c r="H26" s="97" t="s">
        <v>1899</v>
      </c>
      <c r="I26" s="97" t="s">
        <v>1805</v>
      </c>
      <c r="J26" s="97" t="s">
        <v>58</v>
      </c>
      <c r="K26" s="97" t="s">
        <v>58</v>
      </c>
      <c r="L26" s="97" t="s">
        <v>58</v>
      </c>
      <c r="M26" s="97" t="s">
        <v>1961</v>
      </c>
      <c r="N26" s="97" t="s">
        <v>1757</v>
      </c>
      <c r="O26" s="97" t="s">
        <v>1962</v>
      </c>
      <c r="P26" s="97" t="s">
        <v>1963</v>
      </c>
      <c r="Q26" s="97" t="s">
        <v>1943</v>
      </c>
      <c r="R26" s="97" t="s">
        <v>1964</v>
      </c>
      <c r="S26" s="101" t="s">
        <v>1965</v>
      </c>
    </row>
    <row r="27" spans="1:19" ht="54" customHeight="1">
      <c r="A27" s="96" t="s">
        <v>1966</v>
      </c>
      <c r="B27" s="97" t="s">
        <v>1926</v>
      </c>
      <c r="C27" s="97" t="s">
        <v>1927</v>
      </c>
      <c r="D27" s="97">
        <v>2020</v>
      </c>
      <c r="E27" s="97" t="s">
        <v>1967</v>
      </c>
      <c r="F27" s="97" t="s">
        <v>1968</v>
      </c>
      <c r="G27" s="97" t="s">
        <v>1960</v>
      </c>
      <c r="H27" s="97" t="s">
        <v>1899</v>
      </c>
      <c r="I27" s="97" t="s">
        <v>1805</v>
      </c>
      <c r="J27" s="97" t="s">
        <v>58</v>
      </c>
      <c r="K27" s="97" t="s">
        <v>58</v>
      </c>
      <c r="L27" s="97" t="s">
        <v>58</v>
      </c>
      <c r="M27" s="97" t="s">
        <v>1969</v>
      </c>
      <c r="N27" s="97" t="s">
        <v>1970</v>
      </c>
      <c r="O27" s="97" t="s">
        <v>1971</v>
      </c>
      <c r="P27" s="97" t="s">
        <v>1963</v>
      </c>
      <c r="Q27" s="97" t="s">
        <v>1943</v>
      </c>
      <c r="R27" s="97" t="s">
        <v>1972</v>
      </c>
      <c r="S27" s="101" t="s">
        <v>1894</v>
      </c>
    </row>
    <row r="28" spans="1:19" ht="54" customHeight="1">
      <c r="A28" s="96" t="s">
        <v>1973</v>
      </c>
      <c r="B28" s="97" t="s">
        <v>1926</v>
      </c>
      <c r="C28" s="97" t="s">
        <v>1927</v>
      </c>
      <c r="D28" s="97">
        <v>2020</v>
      </c>
      <c r="E28" s="97" t="s">
        <v>1974</v>
      </c>
      <c r="F28" s="97" t="s">
        <v>1975</v>
      </c>
      <c r="G28" s="97" t="s">
        <v>1976</v>
      </c>
      <c r="H28" s="97" t="s">
        <v>1899</v>
      </c>
      <c r="I28" s="97" t="s">
        <v>1805</v>
      </c>
      <c r="J28" s="97" t="s">
        <v>58</v>
      </c>
      <c r="K28" s="97" t="s">
        <v>58</v>
      </c>
      <c r="L28" s="97" t="s">
        <v>1591</v>
      </c>
      <c r="M28" s="97" t="s">
        <v>1977</v>
      </c>
      <c r="N28" s="97" t="s">
        <v>1757</v>
      </c>
      <c r="O28" s="97" t="s">
        <v>1978</v>
      </c>
      <c r="P28" s="97" t="s">
        <v>1979</v>
      </c>
      <c r="Q28" s="97" t="s">
        <v>1943</v>
      </c>
      <c r="R28" s="97" t="s">
        <v>1964</v>
      </c>
      <c r="S28" s="101" t="s">
        <v>1965</v>
      </c>
    </row>
    <row r="29" spans="1:19" ht="54" customHeight="1">
      <c r="A29" s="96" t="s">
        <v>1980</v>
      </c>
      <c r="B29" s="97" t="s">
        <v>1926</v>
      </c>
      <c r="C29" s="97" t="s">
        <v>1927</v>
      </c>
      <c r="D29" s="97">
        <v>2020</v>
      </c>
      <c r="E29" s="97" t="s">
        <v>1981</v>
      </c>
      <c r="F29" s="97" t="s">
        <v>1982</v>
      </c>
      <c r="G29" s="97" t="s">
        <v>1983</v>
      </c>
      <c r="H29" s="97" t="s">
        <v>1984</v>
      </c>
      <c r="I29" s="97" t="s">
        <v>1805</v>
      </c>
      <c r="J29" s="97" t="s">
        <v>1931</v>
      </c>
      <c r="K29" s="97" t="s">
        <v>58</v>
      </c>
      <c r="L29" s="97" t="s">
        <v>1806</v>
      </c>
      <c r="M29" s="97" t="s">
        <v>1985</v>
      </c>
      <c r="N29" s="97" t="s">
        <v>1757</v>
      </c>
      <c r="O29" s="97" t="s">
        <v>1986</v>
      </c>
      <c r="P29" s="97" t="s">
        <v>1987</v>
      </c>
      <c r="Q29" s="97" t="s">
        <v>1943</v>
      </c>
      <c r="R29" s="97" t="s">
        <v>1964</v>
      </c>
      <c r="S29" s="101" t="s">
        <v>1965</v>
      </c>
    </row>
    <row r="30" spans="1:19" ht="54" customHeight="1">
      <c r="A30" s="96" t="s">
        <v>1988</v>
      </c>
      <c r="B30" s="97" t="s">
        <v>1926</v>
      </c>
      <c r="C30" s="97" t="s">
        <v>1927</v>
      </c>
      <c r="D30" s="97">
        <v>2020</v>
      </c>
      <c r="E30" s="97" t="s">
        <v>1989</v>
      </c>
      <c r="F30" s="97" t="s">
        <v>1990</v>
      </c>
      <c r="G30" s="97" t="s">
        <v>1991</v>
      </c>
      <c r="H30" s="97" t="s">
        <v>1984</v>
      </c>
      <c r="I30" s="97" t="s">
        <v>1805</v>
      </c>
      <c r="J30" s="97" t="s">
        <v>1931</v>
      </c>
      <c r="K30" s="97" t="s">
        <v>58</v>
      </c>
      <c r="L30" s="97" t="s">
        <v>1591</v>
      </c>
      <c r="M30" s="97" t="s">
        <v>1985</v>
      </c>
      <c r="N30" s="97" t="s">
        <v>1757</v>
      </c>
      <c r="O30" s="97" t="s">
        <v>1992</v>
      </c>
      <c r="P30" s="97" t="s">
        <v>1979</v>
      </c>
      <c r="Q30" s="97" t="s">
        <v>1943</v>
      </c>
      <c r="R30" s="97" t="s">
        <v>1993</v>
      </c>
      <c r="S30" s="101" t="s">
        <v>1965</v>
      </c>
    </row>
    <row r="31" spans="1:19" ht="54" customHeight="1">
      <c r="A31" s="96" t="s">
        <v>1994</v>
      </c>
      <c r="B31" s="97" t="s">
        <v>1926</v>
      </c>
      <c r="C31" s="97" t="s">
        <v>1927</v>
      </c>
      <c r="D31" s="97">
        <v>2020</v>
      </c>
      <c r="E31" s="97" t="s">
        <v>1995</v>
      </c>
      <c r="F31" s="97" t="s">
        <v>1996</v>
      </c>
      <c r="G31" s="97" t="s">
        <v>1997</v>
      </c>
      <c r="H31" s="97" t="s">
        <v>1998</v>
      </c>
      <c r="I31" s="97" t="s">
        <v>1805</v>
      </c>
      <c r="J31" s="97" t="s">
        <v>58</v>
      </c>
      <c r="K31" s="97" t="s">
        <v>1806</v>
      </c>
      <c r="L31" s="97" t="s">
        <v>1806</v>
      </c>
      <c r="M31" s="97" t="s">
        <v>1564</v>
      </c>
      <c r="N31" s="97" t="s">
        <v>1757</v>
      </c>
      <c r="O31" s="97" t="s">
        <v>1999</v>
      </c>
      <c r="P31" s="97" t="s">
        <v>2000</v>
      </c>
      <c r="Q31" s="97" t="s">
        <v>1943</v>
      </c>
      <c r="R31" s="97" t="s">
        <v>2001</v>
      </c>
      <c r="S31" s="101" t="s">
        <v>2002</v>
      </c>
    </row>
    <row r="32" spans="1:19" ht="54" customHeight="1">
      <c r="A32" s="96" t="s">
        <v>2003</v>
      </c>
      <c r="B32" s="97" t="s">
        <v>1926</v>
      </c>
      <c r="C32" s="97" t="s">
        <v>1927</v>
      </c>
      <c r="D32" s="97">
        <v>2020</v>
      </c>
      <c r="E32" s="97" t="s">
        <v>2004</v>
      </c>
      <c r="F32" s="97" t="s">
        <v>2005</v>
      </c>
      <c r="G32" s="97" t="s">
        <v>2006</v>
      </c>
      <c r="H32" s="97" t="s">
        <v>1728</v>
      </c>
      <c r="I32" s="97" t="s">
        <v>1805</v>
      </c>
      <c r="J32" s="97" t="s">
        <v>1931</v>
      </c>
      <c r="K32" s="97" t="s">
        <v>1591</v>
      </c>
      <c r="L32" s="97" t="s">
        <v>1806</v>
      </c>
      <c r="M32" s="97" t="s">
        <v>2007</v>
      </c>
      <c r="N32" s="97" t="s">
        <v>1761</v>
      </c>
      <c r="O32" s="97" t="s">
        <v>2008</v>
      </c>
      <c r="P32" s="97" t="s">
        <v>2009</v>
      </c>
      <c r="Q32" s="97" t="s">
        <v>1943</v>
      </c>
      <c r="R32" s="97" t="s">
        <v>1964</v>
      </c>
      <c r="S32" s="101" t="s">
        <v>1965</v>
      </c>
    </row>
    <row r="33" spans="1:19" ht="54" customHeight="1">
      <c r="A33" s="96" t="s">
        <v>2010</v>
      </c>
      <c r="B33" s="97" t="s">
        <v>1926</v>
      </c>
      <c r="C33" s="97" t="s">
        <v>1927</v>
      </c>
      <c r="D33" s="97">
        <v>2020</v>
      </c>
      <c r="E33" s="97" t="s">
        <v>2011</v>
      </c>
      <c r="F33" s="97" t="s">
        <v>2012</v>
      </c>
      <c r="G33" s="97" t="s">
        <v>2013</v>
      </c>
      <c r="H33" s="97" t="s">
        <v>1899</v>
      </c>
      <c r="I33" s="97" t="s">
        <v>1805</v>
      </c>
      <c r="J33" s="97" t="s">
        <v>1931</v>
      </c>
      <c r="K33" s="97" t="s">
        <v>1591</v>
      </c>
      <c r="L33" s="97" t="s">
        <v>1806</v>
      </c>
      <c r="M33" s="97" t="s">
        <v>2014</v>
      </c>
      <c r="N33" s="97" t="s">
        <v>1765</v>
      </c>
      <c r="O33" s="97" t="s">
        <v>2015</v>
      </c>
      <c r="P33" s="97" t="s">
        <v>2016</v>
      </c>
      <c r="Q33" s="97" t="s">
        <v>2017</v>
      </c>
      <c r="R33" s="97" t="s">
        <v>2018</v>
      </c>
      <c r="S33" s="101" t="s">
        <v>1965</v>
      </c>
    </row>
    <row r="34" spans="1:19" ht="54" customHeight="1">
      <c r="A34" s="96" t="s">
        <v>2019</v>
      </c>
      <c r="B34" s="97" t="s">
        <v>1926</v>
      </c>
      <c r="C34" s="97" t="s">
        <v>1927</v>
      </c>
      <c r="D34" s="97">
        <v>2020</v>
      </c>
      <c r="E34" s="97" t="s">
        <v>2020</v>
      </c>
      <c r="F34" s="97" t="s">
        <v>2021</v>
      </c>
      <c r="G34" s="97" t="s">
        <v>2022</v>
      </c>
      <c r="H34" s="97" t="s">
        <v>1899</v>
      </c>
      <c r="I34" s="97" t="s">
        <v>1805</v>
      </c>
      <c r="J34" s="97" t="s">
        <v>1931</v>
      </c>
      <c r="K34" s="97" t="s">
        <v>1591</v>
      </c>
      <c r="L34" s="97" t="s">
        <v>1806</v>
      </c>
      <c r="M34" s="97" t="s">
        <v>1564</v>
      </c>
      <c r="N34" s="97" t="s">
        <v>1765</v>
      </c>
      <c r="O34" s="97" t="s">
        <v>2023</v>
      </c>
      <c r="P34" s="97" t="s">
        <v>1979</v>
      </c>
      <c r="Q34" s="97" t="s">
        <v>2024</v>
      </c>
      <c r="R34" s="97" t="s">
        <v>2025</v>
      </c>
      <c r="S34" s="101" t="s">
        <v>2026</v>
      </c>
    </row>
    <row r="35" spans="1:19" ht="54" customHeight="1">
      <c r="A35" s="96" t="s">
        <v>2027</v>
      </c>
      <c r="B35" s="97" t="s">
        <v>1926</v>
      </c>
      <c r="C35" s="97" t="s">
        <v>1927</v>
      </c>
      <c r="D35" s="97">
        <v>2020</v>
      </c>
      <c r="E35" s="97" t="s">
        <v>2028</v>
      </c>
      <c r="F35" s="97" t="s">
        <v>2029</v>
      </c>
      <c r="G35" s="97" t="s">
        <v>2030</v>
      </c>
      <c r="H35" s="97" t="s">
        <v>1899</v>
      </c>
      <c r="I35" s="97" t="s">
        <v>1805</v>
      </c>
      <c r="J35" s="97" t="s">
        <v>1931</v>
      </c>
      <c r="K35" s="97" t="s">
        <v>1591</v>
      </c>
      <c r="L35" s="97" t="s">
        <v>1806</v>
      </c>
      <c r="M35" s="97" t="s">
        <v>1564</v>
      </c>
      <c r="N35" s="97" t="s">
        <v>1765</v>
      </c>
      <c r="O35" s="97" t="s">
        <v>2031</v>
      </c>
      <c r="P35" s="97" t="s">
        <v>1979</v>
      </c>
      <c r="Q35" s="97" t="s">
        <v>2024</v>
      </c>
      <c r="R35" s="97" t="s">
        <v>1993</v>
      </c>
      <c r="S35" s="101" t="s">
        <v>2032</v>
      </c>
    </row>
    <row r="36" spans="1:19" ht="54" customHeight="1">
      <c r="A36" s="96" t="s">
        <v>2033</v>
      </c>
      <c r="B36" s="97" t="s">
        <v>1926</v>
      </c>
      <c r="C36" s="97" t="s">
        <v>1927</v>
      </c>
      <c r="D36" s="97">
        <v>2020</v>
      </c>
      <c r="E36" s="97" t="s">
        <v>2034</v>
      </c>
      <c r="F36" s="97" t="s">
        <v>2035</v>
      </c>
      <c r="G36" s="97" t="s">
        <v>2022</v>
      </c>
      <c r="H36" s="97" t="s">
        <v>1899</v>
      </c>
      <c r="I36" s="97" t="s">
        <v>1805</v>
      </c>
      <c r="J36" s="97" t="s">
        <v>1931</v>
      </c>
      <c r="K36" s="97" t="s">
        <v>1591</v>
      </c>
      <c r="L36" s="97" t="s">
        <v>1806</v>
      </c>
      <c r="M36" s="97" t="s">
        <v>1564</v>
      </c>
      <c r="N36" s="97" t="s">
        <v>1765</v>
      </c>
      <c r="O36" s="97" t="s">
        <v>2036</v>
      </c>
      <c r="P36" s="97" t="s">
        <v>1979</v>
      </c>
      <c r="Q36" s="97" t="s">
        <v>2037</v>
      </c>
      <c r="R36" s="97" t="s">
        <v>2025</v>
      </c>
      <c r="S36" s="101" t="s">
        <v>2026</v>
      </c>
    </row>
    <row r="37" spans="1:19" ht="54" customHeight="1">
      <c r="A37" s="96" t="s">
        <v>2038</v>
      </c>
      <c r="B37" s="97" t="s">
        <v>1926</v>
      </c>
      <c r="C37" s="97" t="s">
        <v>1927</v>
      </c>
      <c r="D37" s="97">
        <v>2020</v>
      </c>
      <c r="E37" s="97" t="s">
        <v>2039</v>
      </c>
      <c r="F37" s="97" t="s">
        <v>2040</v>
      </c>
      <c r="G37" s="97" t="s">
        <v>2022</v>
      </c>
      <c r="H37" s="97" t="s">
        <v>1899</v>
      </c>
      <c r="I37" s="97" t="s">
        <v>1805</v>
      </c>
      <c r="J37" s="97" t="s">
        <v>1931</v>
      </c>
      <c r="K37" s="97" t="s">
        <v>1591</v>
      </c>
      <c r="L37" s="97" t="s">
        <v>1806</v>
      </c>
      <c r="M37" s="97" t="s">
        <v>1564</v>
      </c>
      <c r="N37" s="97"/>
      <c r="O37" s="97" t="s">
        <v>2041</v>
      </c>
      <c r="P37" s="97" t="s">
        <v>1979</v>
      </c>
      <c r="Q37" s="97" t="s">
        <v>2037</v>
      </c>
      <c r="R37" s="97" t="s">
        <v>2042</v>
      </c>
      <c r="S37" s="101" t="s">
        <v>2043</v>
      </c>
    </row>
    <row r="38" spans="1:19" ht="54" customHeight="1">
      <c r="A38" s="96" t="s">
        <v>2044</v>
      </c>
      <c r="B38" s="97" t="s">
        <v>1926</v>
      </c>
      <c r="C38" s="97" t="s">
        <v>1927</v>
      </c>
      <c r="D38" s="97">
        <v>2020</v>
      </c>
      <c r="E38" s="97" t="s">
        <v>2045</v>
      </c>
      <c r="F38" s="97" t="s">
        <v>2046</v>
      </c>
      <c r="G38" s="97" t="s">
        <v>1909</v>
      </c>
      <c r="H38" s="97" t="s">
        <v>1728</v>
      </c>
      <c r="I38" s="97" t="s">
        <v>1805</v>
      </c>
      <c r="J38" s="97" t="s">
        <v>1931</v>
      </c>
      <c r="K38" s="97" t="s">
        <v>1806</v>
      </c>
      <c r="L38" s="97" t="s">
        <v>1806</v>
      </c>
      <c r="M38" s="97" t="s">
        <v>1564</v>
      </c>
      <c r="N38" s="97"/>
      <c r="O38" s="97" t="s">
        <v>2047</v>
      </c>
      <c r="P38" s="97" t="s">
        <v>2048</v>
      </c>
      <c r="Q38" s="97" t="s">
        <v>1943</v>
      </c>
      <c r="R38" s="97" t="s">
        <v>2049</v>
      </c>
      <c r="S38" s="101" t="s">
        <v>1894</v>
      </c>
    </row>
    <row r="39" spans="1:19" ht="54" customHeight="1">
      <c r="A39" s="96" t="s">
        <v>2050</v>
      </c>
      <c r="B39" s="97" t="s">
        <v>2051</v>
      </c>
      <c r="C39" s="97" t="s">
        <v>2052</v>
      </c>
      <c r="D39" s="97">
        <v>2018</v>
      </c>
      <c r="E39" s="97" t="s">
        <v>2053</v>
      </c>
      <c r="F39" s="97" t="s">
        <v>2054</v>
      </c>
      <c r="G39" s="97" t="s">
        <v>2055</v>
      </c>
      <c r="H39" s="97" t="s">
        <v>1805</v>
      </c>
      <c r="I39" s="97" t="s">
        <v>1805</v>
      </c>
      <c r="J39" s="97" t="s">
        <v>1805</v>
      </c>
      <c r="K39" s="97" t="s">
        <v>1806</v>
      </c>
      <c r="L39" s="97" t="s">
        <v>1806</v>
      </c>
      <c r="M39" s="97" t="s">
        <v>1564</v>
      </c>
      <c r="N39" s="97"/>
      <c r="O39" s="97" t="s">
        <v>2056</v>
      </c>
      <c r="P39" s="97" t="s">
        <v>2057</v>
      </c>
      <c r="Q39" s="97" t="s">
        <v>1884</v>
      </c>
      <c r="R39" s="97" t="s">
        <v>2058</v>
      </c>
      <c r="S39" s="101" t="s">
        <v>1731</v>
      </c>
    </row>
    <row r="40" spans="1:19" ht="54" customHeight="1">
      <c r="A40" s="96" t="s">
        <v>2059</v>
      </c>
      <c r="B40" s="97" t="s">
        <v>2051</v>
      </c>
      <c r="C40" s="97" t="s">
        <v>2052</v>
      </c>
      <c r="D40" s="97">
        <v>2018</v>
      </c>
      <c r="E40" s="97" t="s">
        <v>2053</v>
      </c>
      <c r="F40" s="97" t="s">
        <v>2060</v>
      </c>
      <c r="G40" s="97" t="s">
        <v>2055</v>
      </c>
      <c r="H40" s="97" t="s">
        <v>1805</v>
      </c>
      <c r="I40" s="97" t="s">
        <v>1805</v>
      </c>
      <c r="J40" s="97" t="s">
        <v>1805</v>
      </c>
      <c r="K40" s="97" t="s">
        <v>1806</v>
      </c>
      <c r="L40" s="97" t="s">
        <v>1806</v>
      </c>
      <c r="M40" s="97" t="s">
        <v>1564</v>
      </c>
      <c r="N40" s="97"/>
      <c r="O40" s="97" t="s">
        <v>2061</v>
      </c>
      <c r="P40" s="97" t="s">
        <v>2062</v>
      </c>
      <c r="Q40" s="97" t="s">
        <v>1884</v>
      </c>
      <c r="R40" s="97" t="s">
        <v>2063</v>
      </c>
      <c r="S40" s="101" t="s">
        <v>2043</v>
      </c>
    </row>
    <row r="41" spans="1:19" ht="54" customHeight="1">
      <c r="A41" s="96" t="s">
        <v>2064</v>
      </c>
      <c r="B41" s="97" t="s">
        <v>2051</v>
      </c>
      <c r="C41" s="97" t="s">
        <v>2052</v>
      </c>
      <c r="D41" s="97">
        <v>2018</v>
      </c>
      <c r="E41" s="97" t="s">
        <v>2053</v>
      </c>
      <c r="F41" s="97" t="s">
        <v>2065</v>
      </c>
      <c r="G41" s="97" t="s">
        <v>2055</v>
      </c>
      <c r="H41" s="97" t="s">
        <v>1805</v>
      </c>
      <c r="I41" s="97" t="s">
        <v>1805</v>
      </c>
      <c r="J41" s="97" t="s">
        <v>1805</v>
      </c>
      <c r="K41" s="97" t="s">
        <v>1806</v>
      </c>
      <c r="L41" s="97" t="s">
        <v>1806</v>
      </c>
      <c r="M41" s="97" t="s">
        <v>1564</v>
      </c>
      <c r="N41" s="97"/>
      <c r="O41" s="97" t="s">
        <v>2066</v>
      </c>
      <c r="P41" s="97" t="s">
        <v>2062</v>
      </c>
      <c r="Q41" s="97" t="s">
        <v>1884</v>
      </c>
      <c r="R41" s="97" t="s">
        <v>2067</v>
      </c>
      <c r="S41" s="101" t="s">
        <v>2043</v>
      </c>
    </row>
    <row r="42" spans="1:19" ht="54" customHeight="1">
      <c r="A42" s="98" t="s">
        <v>2068</v>
      </c>
      <c r="B42" s="99" t="s">
        <v>2051</v>
      </c>
      <c r="C42" s="99" t="s">
        <v>2052</v>
      </c>
      <c r="D42" s="99">
        <v>2018</v>
      </c>
      <c r="E42" s="99" t="s">
        <v>2053</v>
      </c>
      <c r="F42" s="99" t="s">
        <v>2069</v>
      </c>
      <c r="G42" s="99" t="s">
        <v>2055</v>
      </c>
      <c r="H42" s="99" t="s">
        <v>1805</v>
      </c>
      <c r="I42" s="99" t="s">
        <v>1805</v>
      </c>
      <c r="J42" s="99" t="s">
        <v>1805</v>
      </c>
      <c r="K42" s="99" t="s">
        <v>1806</v>
      </c>
      <c r="L42" s="99" t="s">
        <v>1806</v>
      </c>
      <c r="M42" s="99" t="s">
        <v>1564</v>
      </c>
      <c r="N42" s="99"/>
      <c r="O42" s="99" t="s">
        <v>2070</v>
      </c>
      <c r="P42" s="99" t="s">
        <v>2062</v>
      </c>
      <c r="Q42" s="99" t="s">
        <v>1884</v>
      </c>
      <c r="R42" s="99" t="s">
        <v>2063</v>
      </c>
      <c r="S42" s="102" t="s">
        <v>2043</v>
      </c>
    </row>
  </sheetData>
  <mergeCells count="3">
    <mergeCell ref="A1:S1"/>
    <mergeCell ref="A2:S2"/>
    <mergeCell ref="A3:S3"/>
  </mergeCells>
  <conditionalFormatting sqref="S6:S42">
    <cfRule type="expression" dxfId="3" priority="1">
      <formula>S6="EN_DESARROLLO_NO_IMPLEMENTAR"</formula>
    </cfRule>
    <cfRule type="expression" dxfId="2" priority="2">
      <formula>OR(S6="IMPLEMENTADO",S6="IMPLEMENTADO_CON_CONDICIONES",S6="IMPLEMENTADO_COMO_ALERTA",S6="IMPLEMENTADO_COMO_ADVERTENCIA",S6="IMPLEMENTADO_COMO_ESTADO_CONTEXTUAL",S6="IMPLEMENTADO_COMO_GOBERNANZA")</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1"/>
  <sheetViews>
    <sheetView workbookViewId="0"/>
  </sheetViews>
  <sheetFormatPr baseColWidth="10" defaultColWidth="9.140625" defaultRowHeight="15"/>
  <cols>
    <col min="1" max="1" width="20" customWidth="1"/>
    <col min="2" max="2" width="24" customWidth="1"/>
    <col min="3" max="3" width="28" customWidth="1"/>
    <col min="4" max="4" width="18" customWidth="1"/>
    <col min="5" max="6" width="38" customWidth="1"/>
    <col min="7" max="7" width="16" customWidth="1"/>
  </cols>
  <sheetData>
    <row r="1" spans="1:7" ht="27.95" customHeight="1">
      <c r="A1" s="155" t="s">
        <v>2071</v>
      </c>
      <c r="B1" s="155"/>
      <c r="C1" s="155"/>
      <c r="D1" s="155"/>
      <c r="E1" s="155"/>
      <c r="F1" s="155"/>
      <c r="G1" s="155"/>
    </row>
    <row r="2" spans="1:7" ht="27.95" customHeight="1">
      <c r="A2" s="156" t="s">
        <v>2072</v>
      </c>
      <c r="B2" s="156"/>
      <c r="C2" s="156"/>
      <c r="D2" s="156"/>
      <c r="E2" s="156"/>
      <c r="F2" s="156"/>
      <c r="G2" s="156"/>
    </row>
    <row r="3" spans="1:7" ht="27.95" customHeight="1">
      <c r="A3" s="124" t="s">
        <v>2073</v>
      </c>
      <c r="B3" s="125"/>
      <c r="C3" s="125"/>
      <c r="D3" s="125"/>
      <c r="E3" s="125"/>
      <c r="F3" s="125"/>
      <c r="G3" s="126"/>
    </row>
    <row r="5" spans="1:7" ht="32.1" customHeight="1">
      <c r="A5" s="63" t="s">
        <v>2074</v>
      </c>
      <c r="B5" s="64" t="s">
        <v>2075</v>
      </c>
      <c r="C5" s="64" t="s">
        <v>2076</v>
      </c>
      <c r="D5" s="64" t="s">
        <v>2077</v>
      </c>
      <c r="E5" s="64" t="s">
        <v>1724</v>
      </c>
      <c r="F5" s="64" t="s">
        <v>1521</v>
      </c>
      <c r="G5" s="65" t="s">
        <v>20</v>
      </c>
    </row>
    <row r="6" spans="1:7" ht="27.95" customHeight="1">
      <c r="A6" s="66" t="s">
        <v>2078</v>
      </c>
      <c r="B6" s="67" t="s">
        <v>1727</v>
      </c>
      <c r="C6" s="67">
        <v>95</v>
      </c>
      <c r="D6" s="67"/>
      <c r="E6" s="67" t="str">
        <f t="shared" ref="E6:E11" si="0">IF(OR(NOT(ISNUMBER(C6)),C6&lt;0,C6&gt;200),"TFGe_INVALIDA",IF(C6&gt;=90,"G1",IF(C6&gt;=60,"G2",IF(C6&gt;=45,"G3a",IF(C6&gt;=30,"G3b",IF(C6&gt;=15,"G4","G5"))))))</f>
        <v>G1</v>
      </c>
      <c r="F6" s="67" t="s">
        <v>1816</v>
      </c>
      <c r="G6" s="68" t="str">
        <f t="shared" ref="G6:G28" si="1">IF(EXACT(E6,F6),"APROBADO","REVISAR")</f>
        <v>APROBADO</v>
      </c>
    </row>
    <row r="7" spans="1:7" ht="27.95" customHeight="1">
      <c r="A7" s="69" t="s">
        <v>2079</v>
      </c>
      <c r="B7" s="70" t="s">
        <v>1727</v>
      </c>
      <c r="C7" s="70">
        <v>75</v>
      </c>
      <c r="D7" s="70"/>
      <c r="E7" s="70" t="str">
        <f t="shared" si="0"/>
        <v>G2</v>
      </c>
      <c r="F7" s="70" t="s">
        <v>1823</v>
      </c>
      <c r="G7" s="71" t="str">
        <f t="shared" si="1"/>
        <v>APROBADO</v>
      </c>
    </row>
    <row r="8" spans="1:7" ht="27.95" customHeight="1">
      <c r="A8" s="69" t="s">
        <v>2080</v>
      </c>
      <c r="B8" s="70" t="s">
        <v>1727</v>
      </c>
      <c r="C8" s="70">
        <v>50</v>
      </c>
      <c r="D8" s="70"/>
      <c r="E8" s="70" t="str">
        <f t="shared" si="0"/>
        <v>G3a</v>
      </c>
      <c r="F8" s="70" t="s">
        <v>1829</v>
      </c>
      <c r="G8" s="71" t="str">
        <f t="shared" si="1"/>
        <v>APROBADO</v>
      </c>
    </row>
    <row r="9" spans="1:7" ht="27.95" customHeight="1">
      <c r="A9" s="69" t="s">
        <v>2081</v>
      </c>
      <c r="B9" s="70" t="s">
        <v>1727</v>
      </c>
      <c r="C9" s="70">
        <v>35</v>
      </c>
      <c r="D9" s="70"/>
      <c r="E9" s="70" t="str">
        <f t="shared" si="0"/>
        <v>G3b</v>
      </c>
      <c r="F9" s="70" t="s">
        <v>1836</v>
      </c>
      <c r="G9" s="71" t="str">
        <f t="shared" si="1"/>
        <v>APROBADO</v>
      </c>
    </row>
    <row r="10" spans="1:7" ht="27.95" customHeight="1">
      <c r="A10" s="69" t="s">
        <v>2082</v>
      </c>
      <c r="B10" s="70" t="s">
        <v>1727</v>
      </c>
      <c r="C10" s="70">
        <v>20</v>
      </c>
      <c r="D10" s="70"/>
      <c r="E10" s="70" t="str">
        <f t="shared" si="0"/>
        <v>G4</v>
      </c>
      <c r="F10" s="70" t="s">
        <v>1841</v>
      </c>
      <c r="G10" s="71" t="str">
        <f t="shared" si="1"/>
        <v>APROBADO</v>
      </c>
    </row>
    <row r="11" spans="1:7" ht="27.95" customHeight="1">
      <c r="A11" s="69" t="s">
        <v>2083</v>
      </c>
      <c r="B11" s="70" t="s">
        <v>1727</v>
      </c>
      <c r="C11" s="70">
        <v>10</v>
      </c>
      <c r="D11" s="70"/>
      <c r="E11" s="70" t="str">
        <f t="shared" si="0"/>
        <v>G5</v>
      </c>
      <c r="F11" s="70" t="s">
        <v>1847</v>
      </c>
      <c r="G11" s="71" t="str">
        <f t="shared" si="1"/>
        <v>APROBADO</v>
      </c>
    </row>
    <row r="12" spans="1:7" ht="27.95" customHeight="1">
      <c r="A12" s="69" t="s">
        <v>2084</v>
      </c>
      <c r="B12" s="70" t="s">
        <v>1732</v>
      </c>
      <c r="C12" s="70">
        <v>15</v>
      </c>
      <c r="D12" s="70"/>
      <c r="E12" s="70" t="str">
        <f>IF(OR(NOT(ISNUMBER(C12)),C12&lt;0),"ACR_INVALIDA",IF(C12&lt;30,"A1",IF(C12&lt;=300,"A2","A3")))</f>
        <v>A1</v>
      </c>
      <c r="F12" s="70" t="s">
        <v>1855</v>
      </c>
      <c r="G12" s="71" t="str">
        <f t="shared" si="1"/>
        <v>APROBADO</v>
      </c>
    </row>
    <row r="13" spans="1:7" ht="27.95" customHeight="1">
      <c r="A13" s="69" t="s">
        <v>2085</v>
      </c>
      <c r="B13" s="70" t="s">
        <v>1732</v>
      </c>
      <c r="C13" s="70">
        <v>100</v>
      </c>
      <c r="D13" s="70"/>
      <c r="E13" s="70" t="str">
        <f>IF(OR(NOT(ISNUMBER(C13)),C13&lt;0),"ACR_INVALIDA",IF(C13&lt;30,"A1",IF(C13&lt;=300,"A2","A3")))</f>
        <v>A2</v>
      </c>
      <c r="F13" s="70" t="s">
        <v>1862</v>
      </c>
      <c r="G13" s="71" t="str">
        <f t="shared" si="1"/>
        <v>APROBADO</v>
      </c>
    </row>
    <row r="14" spans="1:7" ht="27.95" customHeight="1">
      <c r="A14" s="69" t="s">
        <v>2086</v>
      </c>
      <c r="B14" s="70" t="s">
        <v>1732</v>
      </c>
      <c r="C14" s="70">
        <v>450</v>
      </c>
      <c r="D14" s="70"/>
      <c r="E14" s="70" t="str">
        <f>IF(OR(NOT(ISNUMBER(C14)),C14&lt;0),"ACR_INVALIDA",IF(C14&lt;30,"A1",IF(C14&lt;=300,"A2","A3")))</f>
        <v>A3</v>
      </c>
      <c r="F14" s="70" t="s">
        <v>1868</v>
      </c>
      <c r="G14" s="71" t="str">
        <f t="shared" si="1"/>
        <v>APROBADO</v>
      </c>
    </row>
    <row r="15" spans="1:7" ht="27.95" customHeight="1">
      <c r="A15" s="69" t="s">
        <v>2087</v>
      </c>
      <c r="B15" s="70" t="s">
        <v>121</v>
      </c>
      <c r="C15" s="70" t="s">
        <v>2088</v>
      </c>
      <c r="D15" s="70" t="s">
        <v>58</v>
      </c>
      <c r="E15" s="70" t="str">
        <f t="shared" ref="E15:E20" si="2">IF(OR(C15="Hemodiálisis",C15="Diálisis peritoneal"),"1.00–1.20 g/kg/d",IF(C15="Trasplante","ND · individualizar",IF(D15="Sí","0.60–0.80 g/kg/d","0.55–0.60 g/kg/d")))</f>
        <v>0.55–0.60 g/kg/d</v>
      </c>
      <c r="F15" s="70" t="s">
        <v>2089</v>
      </c>
      <c r="G15" s="71" t="str">
        <f t="shared" si="1"/>
        <v>APROBADO</v>
      </c>
    </row>
    <row r="16" spans="1:7" ht="27.95" customHeight="1">
      <c r="A16" s="69" t="s">
        <v>2090</v>
      </c>
      <c r="B16" s="70" t="s">
        <v>121</v>
      </c>
      <c r="C16" s="70" t="s">
        <v>2088</v>
      </c>
      <c r="D16" s="70" t="s">
        <v>1591</v>
      </c>
      <c r="E16" s="70" t="str">
        <f t="shared" si="2"/>
        <v>0.60–0.80 g/kg/d</v>
      </c>
      <c r="F16" s="70" t="s">
        <v>2091</v>
      </c>
      <c r="G16" s="71" t="str">
        <f t="shared" si="1"/>
        <v>APROBADO</v>
      </c>
    </row>
    <row r="17" spans="1:7" ht="27.95" customHeight="1">
      <c r="A17" s="69" t="s">
        <v>2092</v>
      </c>
      <c r="B17" s="70" t="s">
        <v>121</v>
      </c>
      <c r="C17" s="70" t="s">
        <v>1594</v>
      </c>
      <c r="D17" s="70" t="s">
        <v>58</v>
      </c>
      <c r="E17" s="70" t="str">
        <f t="shared" si="2"/>
        <v>1.00–1.20 g/kg/d</v>
      </c>
      <c r="F17" s="70" t="s">
        <v>2093</v>
      </c>
      <c r="G17" s="71" t="str">
        <f t="shared" si="1"/>
        <v>APROBADO</v>
      </c>
    </row>
    <row r="18" spans="1:7" ht="27.95" customHeight="1">
      <c r="A18" s="69" t="s">
        <v>2094</v>
      </c>
      <c r="B18" s="70" t="s">
        <v>121</v>
      </c>
      <c r="C18" s="70" t="s">
        <v>1595</v>
      </c>
      <c r="D18" s="70" t="s">
        <v>58</v>
      </c>
      <c r="E18" s="70" t="str">
        <f t="shared" si="2"/>
        <v>1.00–1.20 g/kg/d</v>
      </c>
      <c r="F18" s="70" t="s">
        <v>2093</v>
      </c>
      <c r="G18" s="71" t="str">
        <f t="shared" si="1"/>
        <v>APROBADO</v>
      </c>
    </row>
    <row r="19" spans="1:7" ht="27.95" customHeight="1">
      <c r="A19" s="69" t="s">
        <v>2095</v>
      </c>
      <c r="B19" s="70" t="s">
        <v>121</v>
      </c>
      <c r="C19" s="70" t="s">
        <v>1594</v>
      </c>
      <c r="D19" s="70" t="s">
        <v>1591</v>
      </c>
      <c r="E19" s="70" t="str">
        <f t="shared" si="2"/>
        <v>1.00–1.20 g/kg/d</v>
      </c>
      <c r="F19" s="70" t="s">
        <v>2093</v>
      </c>
      <c r="G19" s="71" t="str">
        <f t="shared" si="1"/>
        <v>APROBADO</v>
      </c>
    </row>
    <row r="20" spans="1:7" ht="27.95" customHeight="1">
      <c r="A20" s="69" t="s">
        <v>2096</v>
      </c>
      <c r="B20" s="70" t="s">
        <v>121</v>
      </c>
      <c r="C20" s="70" t="s">
        <v>91</v>
      </c>
      <c r="D20" s="70" t="s">
        <v>1564</v>
      </c>
      <c r="E20" s="70" t="str">
        <f t="shared" si="2"/>
        <v>ND · individualizar</v>
      </c>
      <c r="F20" s="70" t="s">
        <v>2097</v>
      </c>
      <c r="G20" s="71" t="str">
        <f t="shared" si="1"/>
        <v>APROBADO</v>
      </c>
    </row>
    <row r="21" spans="1:7" ht="27.95" customHeight="1">
      <c r="A21" s="69" t="s">
        <v>2098</v>
      </c>
      <c r="B21" s="70" t="s">
        <v>1701</v>
      </c>
      <c r="C21" s="70">
        <v>5.8</v>
      </c>
      <c r="D21" s="70"/>
      <c r="E21" s="70" t="str">
        <f>IF(NOT(ISNUMBER(C21)),"ND",IF(C21&gt;5.5,"INDIVIDUALIZAR_POR_HIPERKALEMIA",IF(C21&lt;3.5,"INDIVIDUALIZAR_POR_HIPOKALEMIA","SIN_RESTRICCION_AUTOMATICA")))</f>
        <v>INDIVIDUALIZAR_POR_HIPERKALEMIA</v>
      </c>
      <c r="F21" s="70" t="s">
        <v>2099</v>
      </c>
      <c r="G21" s="71" t="str">
        <f t="shared" si="1"/>
        <v>APROBADO</v>
      </c>
    </row>
    <row r="22" spans="1:7" ht="27.95" customHeight="1">
      <c r="A22" s="69" t="s">
        <v>2100</v>
      </c>
      <c r="B22" s="70" t="s">
        <v>1701</v>
      </c>
      <c r="C22" s="70">
        <v>4.5</v>
      </c>
      <c r="D22" s="70"/>
      <c r="E22" s="70" t="str">
        <f>IF(NOT(ISNUMBER(C22)),"ND",IF(C22&gt;5.5,"INDIVIDUALIZAR_POR_HIPERKALEMIA",IF(C22&lt;3.5,"INDIVIDUALIZAR_POR_HIPOKALEMIA","SIN_RESTRICCION_AUTOMATICA")))</f>
        <v>SIN_RESTRICCION_AUTOMATICA</v>
      </c>
      <c r="F22" s="70" t="s">
        <v>2101</v>
      </c>
      <c r="G22" s="71" t="str">
        <f t="shared" si="1"/>
        <v>APROBADO</v>
      </c>
    </row>
    <row r="23" spans="1:7" ht="27.95" customHeight="1">
      <c r="A23" s="69" t="s">
        <v>2102</v>
      </c>
      <c r="B23" s="70" t="s">
        <v>1705</v>
      </c>
      <c r="C23" s="70" t="s">
        <v>1564</v>
      </c>
      <c r="D23" s="70"/>
      <c r="E23" s="70" t="str">
        <f>IF(NOT(ISNUMBER(C23)),"ND",IF(C23&gt;4.5,"INDIVIDUALIZAR_PARA_FOSFATO_NORMAL","SIN_LIMITE_AUTOMATICO"))</f>
        <v>ND</v>
      </c>
      <c r="F23" s="70" t="s">
        <v>1564</v>
      </c>
      <c r="G23" s="71" t="str">
        <f t="shared" si="1"/>
        <v>APROBADO</v>
      </c>
    </row>
    <row r="24" spans="1:7" ht="27.95" customHeight="1">
      <c r="A24" s="69" t="s">
        <v>2103</v>
      </c>
      <c r="B24" s="70" t="s">
        <v>1727</v>
      </c>
      <c r="C24" s="70">
        <v>-1</v>
      </c>
      <c r="D24" s="70"/>
      <c r="E24" s="70" t="str">
        <f>IF(OR(NOT(ISNUMBER(C24)),C24&lt;0,C24&gt;200),"TFGe_INVALIDA",IF(C24&gt;=90,"G1",IF(C24&gt;=60,"G2",IF(C24&gt;=45,"G3a",IF(C24&gt;=30,"G3b",IF(C24&gt;=15,"G4","G5"))))))</f>
        <v>TFGe_INVALIDA</v>
      </c>
      <c r="F24" s="70" t="s">
        <v>2104</v>
      </c>
      <c r="G24" s="71" t="str">
        <f t="shared" si="1"/>
        <v>APROBADO</v>
      </c>
    </row>
    <row r="25" spans="1:7" ht="27.95" customHeight="1">
      <c r="A25" s="69" t="s">
        <v>2105</v>
      </c>
      <c r="B25" s="70" t="s">
        <v>2106</v>
      </c>
      <c r="C25" s="70">
        <v>25</v>
      </c>
      <c r="D25" s="70">
        <v>0</v>
      </c>
      <c r="E25" s="70" t="str">
        <f>IF(OR(AND(ISNUMBER(C25),C25&lt;30),AND(ISNUMBER(D25),D25&gt;=3),D25="Sí"),"DERIVACION_NEFROLOGIA","SIN_CRITERIO_AUTOMATICO")</f>
        <v>DERIVACION_NEFROLOGIA</v>
      </c>
      <c r="F25" s="70" t="s">
        <v>2107</v>
      </c>
      <c r="G25" s="71" t="str">
        <f t="shared" si="1"/>
        <v>APROBADO</v>
      </c>
    </row>
    <row r="26" spans="1:7" ht="27.95" customHeight="1">
      <c r="A26" s="69" t="s">
        <v>2108</v>
      </c>
      <c r="B26" s="70" t="s">
        <v>2106</v>
      </c>
      <c r="C26" s="70">
        <v>45</v>
      </c>
      <c r="D26" s="70" t="s">
        <v>1591</v>
      </c>
      <c r="E26" s="70" t="str">
        <f>IF(OR(AND(ISNUMBER(C26),C26&lt;30),AND(ISNUMBER(D26),D26&gt;=3),D26="Sí"),"DERIVACION_NEFROLOGIA","SIN_CRITERIO_AUTOMATICO")</f>
        <v>DERIVACION_NEFROLOGIA</v>
      </c>
      <c r="F26" s="70" t="s">
        <v>2107</v>
      </c>
      <c r="G26" s="71" t="str">
        <f t="shared" si="1"/>
        <v>APROBADO</v>
      </c>
    </row>
    <row r="27" spans="1:7" ht="27.95" customHeight="1">
      <c r="A27" s="69" t="s">
        <v>2109</v>
      </c>
      <c r="B27" s="70" t="s">
        <v>2110</v>
      </c>
      <c r="C27" s="70">
        <v>95</v>
      </c>
      <c r="D27" s="70">
        <v>15</v>
      </c>
      <c r="E27" s="70" t="str">
        <f>IF(AND(ISNUMBER(C27),C27&gt;=90,ISNUMBER(D27),D27&lt;30),"NO_CONFIRMA_ERC_SIN_OTRO_MARCADOR","REVISAR")</f>
        <v>NO_CONFIRMA_ERC_SIN_OTRO_MARCADOR</v>
      </c>
      <c r="F27" s="70" t="s">
        <v>2111</v>
      </c>
      <c r="G27" s="71" t="str">
        <f t="shared" si="1"/>
        <v>APROBADO</v>
      </c>
    </row>
    <row r="28" spans="1:7" ht="27.95" customHeight="1">
      <c r="A28" s="72" t="s">
        <v>2112</v>
      </c>
      <c r="B28" s="73" t="s">
        <v>1780</v>
      </c>
      <c r="C28" s="73" t="s">
        <v>1657</v>
      </c>
      <c r="D28" s="73"/>
      <c r="E28" s="73" t="str">
        <f>"EN_DESARROLLO_NO_IMPLEMENTAR"</f>
        <v>EN_DESARROLLO_NO_IMPLEMENTAR</v>
      </c>
      <c r="F28" s="73" t="s">
        <v>1747</v>
      </c>
      <c r="G28" s="74" t="str">
        <f t="shared" si="1"/>
        <v>APROBADO</v>
      </c>
    </row>
    <row r="30" spans="1:7">
      <c r="A30" s="60" t="s">
        <v>1565</v>
      </c>
      <c r="B30" s="61"/>
      <c r="C30" s="61"/>
      <c r="D30" s="61"/>
      <c r="E30" s="61"/>
      <c r="F30" s="61"/>
      <c r="G30" s="62"/>
    </row>
    <row r="31" spans="1:7">
      <c r="A31" s="103" t="s">
        <v>1566</v>
      </c>
      <c r="B31" s="104">
        <f>COUNTIF(G6:G28,"APROBADO")</f>
        <v>23</v>
      </c>
      <c r="C31" s="104" t="s">
        <v>2113</v>
      </c>
      <c r="D31" s="104">
        <f>COUNTA(G6:G28)</f>
        <v>23</v>
      </c>
      <c r="E31" s="104"/>
      <c r="F31" s="104" t="str">
        <f>IF(B31=D31,"TODAS APROBADAS","REVISAR")</f>
        <v>TODAS APROBADAS</v>
      </c>
      <c r="G31" s="105"/>
    </row>
  </sheetData>
  <mergeCells count="3">
    <mergeCell ref="A1:G1"/>
    <mergeCell ref="A2:G2"/>
    <mergeCell ref="A3:G3"/>
  </mergeCells>
  <conditionalFormatting sqref="G6:G28">
    <cfRule type="expression" dxfId="1" priority="1">
      <formula>G6="APROBADO"</formula>
    </cfRule>
    <cfRule type="expression" dxfId="0" priority="2">
      <formula>G6="REVISAR"</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27</vt:i4>
      </vt:variant>
    </vt:vector>
  </HeadingPairs>
  <TitlesOfParts>
    <vt:vector size="41" baseType="lpstr">
      <vt:lpstr>INICIO</vt:lpstr>
      <vt:lpstr>LICENCIA</vt:lpstr>
      <vt:lpstr>DATOS</vt:lpstr>
      <vt:lpstr>ALIMENTOS</vt:lpstr>
      <vt:lpstr>EXPLORADOR</vt:lpstr>
      <vt:lpstr>SUSTITUCION</vt:lpstr>
      <vt:lpstr>EQUIVALENTES</vt:lpstr>
      <vt:lpstr>FUENTES</vt:lpstr>
      <vt:lpstr>PRUEBAS</vt:lpstr>
      <vt:lpstr>CONFIG</vt:lpstr>
      <vt:lpstr>CHANGELOG</vt:lpstr>
      <vt:lpstr>TRAZABILIDAD_RENAL</vt:lpstr>
      <vt:lpstr>MATRIZ_RENAL</vt:lpstr>
      <vt:lpstr>VALIDACION_RENAL</vt:lpstr>
      <vt:lpstr>k_cobMin</vt:lpstr>
      <vt:lpstr>k_nAlt</vt:lpstr>
      <vt:lpstr>k_tol</vt:lpstr>
      <vt:lpstr>lst_alimentos</vt:lpstr>
      <vt:lpstr>lst_prioridad</vt:lpstr>
      <vt:lpstr>lst_si</vt:lpstr>
      <vt:lpstr>lst_situacion</vt:lpstr>
      <vt:lpstr>rng_clave</vt:lpstr>
      <vt:lpstr>rng_estado</vt:lpstr>
      <vt:lpstr>rng_grupo</vt:lpstr>
      <vt:lpstr>rng_K</vt:lpstr>
      <vt:lpstr>rng_kcal</vt:lpstr>
      <vt:lpstr>rng_Na</vt:lpstr>
      <vt:lpstr>rng_orden</vt:lpstr>
      <vt:lpstr>rng_P</vt:lpstr>
      <vt:lpstr>rng_pp</vt:lpstr>
      <vt:lpstr>rng_prot</vt:lpstr>
      <vt:lpstr>rng_umbrales</vt:lpstr>
      <vt:lpstr>u_ppAcep</vt:lpstr>
      <vt:lpstr>u_ppDes</vt:lpstr>
      <vt:lpstr>u_protMin</vt:lpstr>
      <vt:lpstr>v_bloqueo</vt:lpstr>
      <vt:lpstr>v_limK</vt:lpstr>
      <vt:lpstr>v_limNa</vt:lpstr>
      <vt:lpstr>v_limP</vt:lpstr>
      <vt:lpstr>v_prioridad</vt:lpstr>
      <vt:lpstr>v_revision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cp:lastModifiedBy>
  <dcterms:created xsi:type="dcterms:W3CDTF">2026-08-15T02:04:41Z</dcterms:created>
  <dcterms:modified xsi:type="dcterms:W3CDTF">2026-08-15T02:04:41Z</dcterms:modified>
</cp:coreProperties>
</file>
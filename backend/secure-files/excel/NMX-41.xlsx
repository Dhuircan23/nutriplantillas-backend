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niel\AppData\Local\Temp\Rar$DIa27468.15109\"/>
    </mc:Choice>
  </mc:AlternateContent>
  <xr:revisionPtr revIDLastSave="0" documentId="13_ncr:1_{1720DFE9-BE97-4206-9B6B-9C0EE7150342}" xr6:coauthVersionLast="47" xr6:coauthVersionMax="47" xr10:uidLastSave="{00000000-0000-0000-0000-000000000000}"/>
  <bookViews>
    <workbookView xWindow="-120" yWindow="-120" windowWidth="29040" windowHeight="15840" tabRatio="500" activeTab="9" xr2:uid="{00000000-000D-0000-FFFF-FFFF00000000}"/>
  </bookViews>
  <sheets>
    <sheet name="INICIO" sheetId="1" r:id="rId1"/>
    <sheet name="DATOS" sheetId="2" r:id="rId2"/>
    <sheet name="CALIBRACION" sheetId="3" r:id="rId3"/>
    <sheet name="TECNICA" sheetId="4" r:id="rId4"/>
    <sheet name="FIABILIDAD" sheetId="5" r:id="rId5"/>
    <sheet name="SEGUIMIENTO" sheetId="6" r:id="rId6"/>
    <sheet name="FUENTES" sheetId="7" r:id="rId7"/>
    <sheet name="PRUEBAS" sheetId="8" state="hidden" r:id="rId8"/>
    <sheet name="CONFIG" sheetId="9" state="hidden" r:id="rId9"/>
    <sheet name="CHANGELOG" sheetId="10" r:id="rId10"/>
  </sheets>
  <definedNames>
    <definedName name="k_nMin">CONFIG!$E$14</definedName>
    <definedName name="k_presion">CONFIG!$E$11</definedName>
    <definedName name="k_tol">CONFIG!$E$15</definedName>
    <definedName name="k_z">CONFIG!$E$10</definedName>
    <definedName name="lst_estado">CONFIG!$C$33:$C$35</definedName>
    <definedName name="lst_marca">CONFIG!$A$33:$A$37</definedName>
    <definedName name="lst_nivel">CONFIG!$D$33:$D$36</definedName>
    <definedName name="lst_si">CONFIG!$B$33:$B$34</definedName>
    <definedName name="lst_sitios">CONFIG!$A$22:$A$29</definedName>
    <definedName name="rng_sitios">CONFIG!$A$22:$D$29</definedName>
    <definedName name="u_dif">CONFIG!$E$13</definedName>
    <definedName name="u_inter">CONFIG!$E$8</definedName>
    <definedName name="u_intra">CONFIG!$E$7</definedName>
    <definedName name="u_patron">CONFIG!$E$12</definedName>
    <definedName name="u_R">CONFIG!$E$9</definedName>
    <definedName name="v_dictamen">CALIBRACION!$C$28</definedName>
    <definedName name="v_etm">FIABILIDAD!$C$39</definedName>
    <definedName name="v_mdc">FIABILIDAD!$C$50</definedName>
    <definedName name="v_petm">FIABILIDAD!$C$40</definedName>
    <definedName name="v_R">FIABILIDAD!$C$42</definedName>
    <definedName name="v_resol">DATOS!$C$17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 i="10" l="1"/>
  <c r="A4" i="9"/>
  <c r="C38" i="8"/>
  <c r="E38" i="8" s="1"/>
  <c r="C36" i="8"/>
  <c r="E36" i="8" s="1"/>
  <c r="C32" i="8"/>
  <c r="E32" i="8" s="1"/>
  <c r="C30" i="8"/>
  <c r="E30" i="8" s="1"/>
  <c r="A4" i="8"/>
  <c r="A4" i="7"/>
  <c r="A44" i="6"/>
  <c r="A43" i="6"/>
  <c r="B42" i="6"/>
  <c r="A42" i="6"/>
  <c r="B41" i="6"/>
  <c r="A41" i="6"/>
  <c r="A40" i="6"/>
  <c r="A39" i="6"/>
  <c r="C34" i="6"/>
  <c r="C20" i="6"/>
  <c r="C27" i="8" s="1"/>
  <c r="E27" i="8" s="1"/>
  <c r="B20" i="6"/>
  <c r="D20" i="6" s="1"/>
  <c r="F19" i="6"/>
  <c r="D19" i="6"/>
  <c r="E19" i="6" s="1"/>
  <c r="F18" i="6"/>
  <c r="E18" i="6"/>
  <c r="D18" i="6"/>
  <c r="D17" i="6"/>
  <c r="B44" i="6" s="1"/>
  <c r="D16" i="6"/>
  <c r="D15" i="6"/>
  <c r="D14" i="6"/>
  <c r="D13" i="6"/>
  <c r="B40" i="6" s="1"/>
  <c r="D12" i="6"/>
  <c r="C24" i="6" s="1"/>
  <c r="A4" i="6"/>
  <c r="G32" i="5"/>
  <c r="I32" i="5" s="1"/>
  <c r="F32" i="5"/>
  <c r="G31" i="5"/>
  <c r="I31" i="5" s="1"/>
  <c r="F31" i="5"/>
  <c r="G30" i="5"/>
  <c r="I30" i="5" s="1"/>
  <c r="F30" i="5"/>
  <c r="G29" i="5"/>
  <c r="I29" i="5" s="1"/>
  <c r="F29" i="5"/>
  <c r="G28" i="5"/>
  <c r="I28" i="5" s="1"/>
  <c r="F28" i="5"/>
  <c r="G27" i="5"/>
  <c r="I27" i="5" s="1"/>
  <c r="F27" i="5"/>
  <c r="G26" i="5"/>
  <c r="I26" i="5" s="1"/>
  <c r="F26" i="5"/>
  <c r="G25" i="5"/>
  <c r="I25" i="5" s="1"/>
  <c r="F25" i="5"/>
  <c r="G24" i="5"/>
  <c r="I24" i="5" s="1"/>
  <c r="F24" i="5"/>
  <c r="G23" i="5"/>
  <c r="I23" i="5" s="1"/>
  <c r="F23" i="5"/>
  <c r="G22" i="5"/>
  <c r="I22" i="5" s="1"/>
  <c r="F22" i="5"/>
  <c r="G21" i="5"/>
  <c r="I21" i="5" s="1"/>
  <c r="F21" i="5"/>
  <c r="G20" i="5"/>
  <c r="I20" i="5" s="1"/>
  <c r="F20" i="5"/>
  <c r="G19" i="5"/>
  <c r="I19" i="5" s="1"/>
  <c r="F19" i="5"/>
  <c r="G18" i="5"/>
  <c r="I18" i="5" s="1"/>
  <c r="F18" i="5"/>
  <c r="G17" i="5"/>
  <c r="I17" i="5" s="1"/>
  <c r="F17" i="5"/>
  <c r="G16" i="5"/>
  <c r="I16" i="5" s="1"/>
  <c r="F16" i="5"/>
  <c r="G15" i="5"/>
  <c r="I15" i="5" s="1"/>
  <c r="F15" i="5"/>
  <c r="G14" i="5"/>
  <c r="I14" i="5" s="1"/>
  <c r="F14" i="5"/>
  <c r="G13" i="5"/>
  <c r="I13" i="5" s="1"/>
  <c r="F13" i="5"/>
  <c r="C9" i="8" s="1"/>
  <c r="E9" i="8" s="1"/>
  <c r="A4" i="5"/>
  <c r="D23" i="4"/>
  <c r="C23" i="4"/>
  <c r="B23" i="4"/>
  <c r="A23" i="4"/>
  <c r="D22" i="4"/>
  <c r="C22" i="4"/>
  <c r="B22" i="4"/>
  <c r="A22" i="4"/>
  <c r="D21" i="4"/>
  <c r="C21" i="4"/>
  <c r="B21" i="4"/>
  <c r="A21" i="4"/>
  <c r="D20" i="4"/>
  <c r="C20" i="4"/>
  <c r="B20" i="4"/>
  <c r="A20" i="4"/>
  <c r="D19" i="4"/>
  <c r="C19" i="4"/>
  <c r="B19" i="4"/>
  <c r="A19" i="4"/>
  <c r="D18" i="4"/>
  <c r="C18" i="4"/>
  <c r="B18" i="4"/>
  <c r="A18" i="4"/>
  <c r="D17" i="4"/>
  <c r="C17" i="4"/>
  <c r="B17" i="4"/>
  <c r="A17" i="4"/>
  <c r="D16" i="4"/>
  <c r="C16" i="4"/>
  <c r="B16" i="4"/>
  <c r="A16" i="4"/>
  <c r="A4" i="4"/>
  <c r="C27" i="3"/>
  <c r="C26" i="3"/>
  <c r="F15" i="3"/>
  <c r="G15" i="3" s="1"/>
  <c r="H15" i="3" s="1"/>
  <c r="G14" i="3"/>
  <c r="H14" i="3" s="1"/>
  <c r="F14" i="3"/>
  <c r="F13" i="3"/>
  <c r="G13" i="3" s="1"/>
  <c r="H13" i="3" s="1"/>
  <c r="F12" i="3"/>
  <c r="G12" i="3" s="1"/>
  <c r="A4" i="3"/>
  <c r="A4" i="2"/>
  <c r="A7" i="1"/>
  <c r="O5" i="1"/>
  <c r="M5" i="1"/>
  <c r="K5" i="1"/>
  <c r="I5" i="1"/>
  <c r="G5" i="1"/>
  <c r="E5" i="1"/>
  <c r="C5" i="1"/>
  <c r="A5" i="1"/>
  <c r="H12" i="3" l="1"/>
  <c r="G16" i="3"/>
  <c r="C28" i="8"/>
  <c r="E28" i="8" s="1"/>
  <c r="C21" i="8"/>
  <c r="E21" i="8" s="1"/>
  <c r="I33" i="5"/>
  <c r="C47" i="5"/>
  <c r="F33" i="5"/>
  <c r="C38" i="5" s="1"/>
  <c r="C14" i="8" s="1"/>
  <c r="E14" i="8" s="1"/>
  <c r="C10" i="8"/>
  <c r="E10" i="8" s="1"/>
  <c r="C26" i="8"/>
  <c r="E26" i="8" s="1"/>
  <c r="H13" i="5"/>
  <c r="H14" i="5"/>
  <c r="H15" i="5"/>
  <c r="H16" i="5"/>
  <c r="H17" i="5"/>
  <c r="H18" i="5"/>
  <c r="H19" i="5"/>
  <c r="H20" i="5"/>
  <c r="H21" i="5"/>
  <c r="H22" i="5"/>
  <c r="H23" i="5"/>
  <c r="H24" i="5"/>
  <c r="H25" i="5"/>
  <c r="H26" i="5"/>
  <c r="H27" i="5"/>
  <c r="H28" i="5"/>
  <c r="H29" i="5"/>
  <c r="H30" i="5"/>
  <c r="H31" i="5"/>
  <c r="H32" i="5"/>
  <c r="B39" i="6"/>
  <c r="B43" i="6"/>
  <c r="G33" i="5"/>
  <c r="C36" i="5" s="1"/>
  <c r="C41" i="5"/>
  <c r="C17" i="8" s="1"/>
  <c r="E17" i="8" s="1"/>
  <c r="C12" i="8" l="1"/>
  <c r="E12" i="8" s="1"/>
  <c r="C35" i="8"/>
  <c r="E35" i="8" s="1"/>
  <c r="H16" i="3"/>
  <c r="C34" i="8"/>
  <c r="E34" i="8" s="1"/>
  <c r="C28" i="3"/>
  <c r="C37" i="8" s="1"/>
  <c r="E37" i="8" s="1"/>
  <c r="C11" i="8"/>
  <c r="E11" i="8" s="1"/>
  <c r="H33" i="5"/>
  <c r="C37" i="5" s="1"/>
  <c r="C13" i="8" s="1"/>
  <c r="E13" i="8" s="1"/>
  <c r="C39" i="5" l="1"/>
  <c r="C15" i="8" l="1"/>
  <c r="E15" i="8" s="1"/>
  <c r="C25" i="6"/>
  <c r="C40" i="5"/>
  <c r="C23" i="6"/>
  <c r="C50" i="5"/>
  <c r="C42" i="5"/>
  <c r="E20" i="6"/>
  <c r="C27" i="6" l="1"/>
  <c r="C24" i="8"/>
  <c r="E24" i="8" s="1"/>
  <c r="C26" i="6"/>
  <c r="F20" i="6"/>
  <c r="C36" i="6"/>
  <c r="C29" i="8"/>
  <c r="E29" i="8" s="1"/>
  <c r="C19" i="8"/>
  <c r="E19" i="8" s="1"/>
  <c r="C45" i="5"/>
  <c r="C16" i="8"/>
  <c r="E16" i="8" s="1"/>
  <c r="C20" i="8"/>
  <c r="E20" i="8" s="1"/>
  <c r="C18" i="8"/>
  <c r="E18" i="8" s="1"/>
  <c r="C46" i="5"/>
  <c r="C25" i="8"/>
  <c r="E25" i="8" s="1"/>
  <c r="C23" i="8"/>
  <c r="E23" i="8" s="1"/>
  <c r="C51" i="5"/>
  <c r="E14" i="6"/>
  <c r="C22" i="8"/>
  <c r="E22" i="8" s="1"/>
  <c r="F14" i="6"/>
  <c r="F15" i="6"/>
  <c r="F16" i="6"/>
  <c r="E13" i="6"/>
  <c r="E12" i="6"/>
  <c r="F12" i="6"/>
  <c r="C33" i="8"/>
  <c r="E33" i="8" s="1"/>
  <c r="C40" i="8" s="1"/>
  <c r="E16" i="6"/>
  <c r="C31" i="8"/>
  <c r="E31" i="8" s="1"/>
  <c r="E17" i="6"/>
  <c r="F13" i="6"/>
  <c r="E15" i="6"/>
  <c r="F17" i="6"/>
  <c r="D40" i="8" l="1"/>
  <c r="E40" i="8" s="1"/>
</calcChain>
</file>

<file path=xl/sharedStrings.xml><?xml version="1.0" encoding="utf-8"?>
<sst xmlns="http://schemas.openxmlformats.org/spreadsheetml/2006/main" count="462" uniqueCount="357">
  <si>
    <t>NUTRIMETRÍA  ·  NMX-41</t>
  </si>
  <si>
    <t>Software acompañante para plicómetro · versión 1.0 · Fase 7 · especialidades y productos complementarios</t>
  </si>
  <si>
    <t>Navegación — use las pestañas inferiores del libro</t>
  </si>
  <si>
    <t>Equipo y evaluador</t>
  </si>
  <si>
    <t>Control del instrumento</t>
  </si>
  <si>
    <t>Sitios y procedimiento</t>
  </si>
  <si>
    <t>Error técnico de medición</t>
  </si>
  <si>
    <t>¿El cambio es real?</t>
  </si>
  <si>
    <t>Referencias y trazabilidad</t>
  </si>
  <si>
    <t>Control de calidad</t>
  </si>
  <si>
    <t>Constantes</t>
  </si>
  <si>
    <t>Historial</t>
  </si>
  <si>
    <t>Código del producto</t>
  </si>
  <si>
    <t>NMX-41</t>
  </si>
  <si>
    <t>Versión</t>
  </si>
  <si>
    <t>1.0</t>
  </si>
  <si>
    <t>Fecha</t>
  </si>
  <si>
    <t>2026-07-24</t>
  </si>
  <si>
    <t>Qué acompaña</t>
  </si>
  <si>
    <t>Cualquier plicómetro de uso profesional</t>
  </si>
  <si>
    <t>Complementos</t>
  </si>
  <si>
    <t>NMX-36 aplica ecuaciones de composición · NMX-20 integra pliegues y somatotipo</t>
  </si>
  <si>
    <t>Formato</t>
  </si>
  <si>
    <t>.xlsx sin macros · Microsoft 365 (Windows) y Excel 2021 · sin funciones matriciales</t>
  </si>
  <si>
    <t>Responsable</t>
  </si>
  <si>
    <t>Equipo Nutrimetría (completar por el titular)</t>
  </si>
  <si>
    <t>LA PREGUNTA QUE ESTE LIBRO RESPONDE</t>
  </si>
  <si>
    <t>Un pliegue bajó de dieciocho a diecisiete milímetros. ¿Cambió la persona o se equivocó quien midió? Sin conocer el error del evaluador esa pregunta no tiene respuesta, y se informan como cambios reales variaciones que son solo ruido del método.</t>
  </si>
  <si>
    <t>Este libro calcula el error propio de cada evaluador a partir de mediciones por duplicado, y con él establece cuánto debe cambiar un pliegue para que el cambio sea distinguible del error.</t>
  </si>
  <si>
    <t>También verifica el instrumento contra patrones de espesor conocido: un plicómetro descalibrado produce mediciones consistentes pero equivocadas, y ese error no se detecta repitiendo la medida.</t>
  </si>
  <si>
    <t>El seguimiento se hace sobre la SUMA de pliegues y no sobre pliegues aislados, porque al sumar varios sitios el error crece con la raíz del número de mediciones y la suma resulta proporcionalmente más sensible.</t>
  </si>
  <si>
    <t>AVISO DE ALCANCE — LÉALO ANTES DE USAR</t>
  </si>
  <si>
    <t>EXACTITUD MATEMÁTICA ≠ VALIDACIÓN CLÍNICA. Este archivo no está validado clínicamente y no constituye diagnóstico.</t>
  </si>
  <si>
    <t>Este libro NO estima densidad corporal, porcentaje de grasa ni somatotipo: se ocupa de la calidad de la medición previa. Para las ecuaciones de composición corporal use NMX-36 o NMX-20.</t>
  </si>
  <si>
    <t>El libro NO sustituye la formación práctica supervisada: describir la técnica no equivale a dominarla, y los criterios de error solo se alcanzan con entrenamiento.</t>
  </si>
  <si>
    <t>Los pliegues ESTIMAN el tejido adiposo subcutáneo. La referencia para composición corporal son la densitometría y el pesaje hidrostático.</t>
  </si>
  <si>
    <t>El error técnico es específico de cada evaluador, cada sitio anatómico y cada rango de espesor: no traslade el resultado de un sitio a otro ni de un evaluador a otro.</t>
  </si>
  <si>
    <t>Ninguna corrección posterior recupera mediciones tomadas con un instrumento descalibrado o con técnica deficiente.</t>
  </si>
  <si>
    <t>FLUJO DE USO</t>
  </si>
  <si>
    <t>En DATOS registre el instrumento, su número de serie y el evaluador. Ambos deben quedar documentados en cada evaluación.</t>
  </si>
  <si>
    <t>En CALIBRACIÓN verifique el plicómetro contra patrones de espesor conocido y complete la revisión mecánica. El libro emite un dictamen de aptitud.</t>
  </si>
  <si>
    <t>Revise TÉCNICA antes de medir: secuencia, sitios anatómicos y condiciones que alteran el resultado.</t>
  </si>
  <si>
    <t>En FIABILIDAD registre mediciones por duplicado en al menos diez personas para obtener su propio error técnico.</t>
  </si>
  <si>
    <t>En SEGUIMIENTO compare dos evaluaciones: el libro indica si el cambio observado supera el error del método.</t>
  </si>
  <si>
    <t>Verifique el instrumento cada seis meses y siempre después de una caída, y repita el cálculo de error cuando cambie de plicómetro.</t>
  </si>
  <si>
    <t>Instrumento y evaluador</t>
  </si>
  <si>
    <t>El plicómetro es un instrumento de medición: su resultado depende tanto del aparato como de quien lo usa. Este libro documenta ambos y cuantifica el error, para que usted sepa qué diferencias son reales y cuáles son ruido del método.</t>
  </si>
  <si>
    <t>IDENTIFICACIÓN DEL INSTRUMENTO</t>
  </si>
  <si>
    <t>Marca del plicómetro</t>
  </si>
  <si>
    <t>Harpenden</t>
  </si>
  <si>
    <t>Modelo</t>
  </si>
  <si>
    <t>—</t>
  </si>
  <si>
    <t>Número de serie</t>
  </si>
  <si>
    <t>Permite trazar qué aparato tomó cada medición</t>
  </si>
  <si>
    <t>Fecha de adquisición</t>
  </si>
  <si>
    <t>2024-03-15</t>
  </si>
  <si>
    <t>Presión declarada por el fabricante (g/mm²)</t>
  </si>
  <si>
    <t>El estándar es 10 g/mm²</t>
  </si>
  <si>
    <t>Rango de medición (mm)</t>
  </si>
  <si>
    <t>0 a 80</t>
  </si>
  <si>
    <t>Resolución de la escala (mm)</t>
  </si>
  <si>
    <t>Cuánto vale la división más pequeña</t>
  </si>
  <si>
    <t>Fecha de la última verificación</t>
  </si>
  <si>
    <t>2026-07-20</t>
  </si>
  <si>
    <t>Estado del instrumento</t>
  </si>
  <si>
    <t>Correcto</t>
  </si>
  <si>
    <t>EVALUADOR</t>
  </si>
  <si>
    <t>Nombre del evaluador</t>
  </si>
  <si>
    <t>Caso de ejemplo</t>
  </si>
  <si>
    <t>Nivel de acreditación</t>
  </si>
  <si>
    <t>En formación</t>
  </si>
  <si>
    <t>Condiciona el error esperable</t>
  </si>
  <si>
    <t>Fecha de la última evaluación de error</t>
  </si>
  <si>
    <t>Número de mediciones realizadas en el último año</t>
  </si>
  <si>
    <t>¿Midió siempre el mismo lado del cuerpo?</t>
  </si>
  <si>
    <t>Sí</t>
  </si>
  <si>
    <t>Por convención se mide el lado derecho</t>
  </si>
  <si>
    <t>Observaciones</t>
  </si>
  <si>
    <t>Registre siempre QUIÉN midió y CON QUÉ aparato. Un cambio de evaluador o de instrumento entre dos evaluaciones introduce una fuente de variación que puede superar el cambio biológico que se busca detectar: en ese caso la comparación entre ambas mediciones deja de ser válida.</t>
  </si>
  <si>
    <t>Control del instrumento · verificación periódica</t>
  </si>
  <si>
    <t>Un plicómetro descalibrado produce mediciones consistentes pero equivocadas: el error no se detecta repitiendo la medida, porque se repite igual. La única forma de detectarlo es verificar contra un patrón de espesor conocido y revisar la tensión del resorte.</t>
  </si>
  <si>
    <t>VERIFICACIÓN CONTRA PATRONES DE ESPESOR CONOCIDO</t>
  </si>
  <si>
    <t>Patrón</t>
  </si>
  <si>
    <t>Espesor real (mm)</t>
  </si>
  <si>
    <t>Lectura 1</t>
  </si>
  <si>
    <t>Lectura 2</t>
  </si>
  <si>
    <t>Lectura 3</t>
  </si>
  <si>
    <t>Media</t>
  </si>
  <si>
    <t>Error (mm)</t>
  </si>
  <si>
    <t>Resultado</t>
  </si>
  <si>
    <t>Bloque patrón A</t>
  </si>
  <si>
    <t>Bloque patrón B</t>
  </si>
  <si>
    <t>Bloque patrón C</t>
  </si>
  <si>
    <t>Bloque patrón D</t>
  </si>
  <si>
    <t>Error medio del instrumento</t>
  </si>
  <si>
    <t>REVISIÓN MECÁNICA</t>
  </si>
  <si>
    <t>¿La aguja marca cero con las ramas cerradas?</t>
  </si>
  <si>
    <t>¿Las ramas cierran de forma paralela?</t>
  </si>
  <si>
    <t>¿El resorte recupera su posición sin trabarse?</t>
  </si>
  <si>
    <t>¿Las superficies de contacto están limpias y sin desgaste?</t>
  </si>
  <si>
    <t>¿La escala se lee con nitidez?</t>
  </si>
  <si>
    <t>¿El instrumento ha sufrido caídas o golpes desde la última revisión?</t>
  </si>
  <si>
    <t>No</t>
  </si>
  <si>
    <t>Verificaciones conformes</t>
  </si>
  <si>
    <t>La última pregunta invierte el sentido: allí lo esperable es No</t>
  </si>
  <si>
    <t>Estado de la revisión mecánica</t>
  </si>
  <si>
    <t>DICTAMEN DEL INSTRUMENTO</t>
  </si>
  <si>
    <t>Verifique el instrumento al menos cada seis meses, y siempre después de una caída o de un periodo prolongado sin uso. Un plicómetro cuya lectura se desvía de forma constante introduce un sesgo sistemático: todas las mediciones quedan corridas en la misma dirección, algo que ningún cálculo posterior puede corregir si no se documentó.</t>
  </si>
  <si>
    <t>Procedimiento de medición · sitios y secuencia</t>
  </si>
  <si>
    <t>SECUENCIA DE CADA MEDICIÓN</t>
  </si>
  <si>
    <t>Marque el punto anatómico antes de tomar el pliegue: si se mide sin marcar, cada repetición cae en un lugar distinto y el error se dispara.</t>
  </si>
  <si>
    <t>Tome el pliegue con los dedos pulgar e índice, a un centímetro del punto marcado, levantando piel y tejido subcutáneo sin incluir músculo.</t>
  </si>
  <si>
    <t>Aplique las ramas del plicómetro perpendiculares al pliegue, sobre el punto marcado, manteniendo la toma con los dedos.</t>
  </si>
  <si>
    <t>Espere dos segundos antes de leer: el tejido se comprime y la aguja se estabiliza. Leer antes sobreestima; esperar demasiado subestima.</t>
  </si>
  <si>
    <t>Lea sin soltar el pliegue y registre de inmediato.</t>
  </si>
  <si>
    <t>Mida todos los sitios en orden y recién entonces repita la serie completa: medir dos veces seguidas el mismo sitio subestima la segunda lectura por compresión del tejido.</t>
  </si>
  <si>
    <t>REFERENCIA DE SITIOS ANATÓMICOS</t>
  </si>
  <si>
    <t>Sitio</t>
  </si>
  <si>
    <t>Ubicación del punto</t>
  </si>
  <si>
    <t>Dirección del pliegue</t>
  </si>
  <si>
    <t>Posición de la persona</t>
  </si>
  <si>
    <t>CONDICIONES QUE ALTERAN LA MEDICIÓN</t>
  </si>
  <si>
    <t>Ejercicio reciente</t>
  </si>
  <si>
    <t>La redistribución de líquido tras el ejercicio modifica el espesor del pliegue: mida antes de entrenar o varias horas después.</t>
  </si>
  <si>
    <t>Estado de hidratación</t>
  </si>
  <si>
    <t>La deshidratación y la retención de líquido cambian el resultado sin que haya cambiado la grasa corporal.</t>
  </si>
  <si>
    <t>Momento del ciclo menstrual</t>
  </si>
  <si>
    <t>La retención de líquido puede alterar las mediciones: registre en qué fase se midió y procure repetir en la misma.</t>
  </si>
  <si>
    <t>Temperatura ambiente</t>
  </si>
  <si>
    <t>El frío contrae los tejidos y dificulta tomar el pliegue de forma reproducible.</t>
  </si>
  <si>
    <t>Cambio de evaluador</t>
  </si>
  <si>
    <t>Es la principal fuente de variación entre dos evaluaciones. Si cambia el evaluador, la comparación pierde validez salvo que se conozca el error entre ambos.</t>
  </si>
  <si>
    <t>Cambio de instrumento</t>
  </si>
  <si>
    <t>Dos plicómetros de marcas distintas pueden diferir de forma sistemática: no compare mediciones tomadas con aparatos diferentes.</t>
  </si>
  <si>
    <t>Estandarizar las condiciones importa tanto como la técnica. Una medición tomada en condiciones distintas a la anterior no es comparable, aunque la técnica haya sido impecable en ambas.</t>
  </si>
  <si>
    <t>Error técnico de medición · cuánto se equivoca este evaluador</t>
  </si>
  <si>
    <t>Para conocer su propio error, mida el mismo pliegue DOS veces en al menos diez personas distintas, completando la serie de sitios entre ambas repeticiones. No mida dos veces seguidas el mismo sitio: la compresión del tejido hace que la segunda lectura sea menor y el error calculado saldría falsamente bajo.</t>
  </si>
  <si>
    <t>MEDICIONES POR DUPLICADO</t>
  </si>
  <si>
    <t>Nº</t>
  </si>
  <si>
    <t>Sujeto</t>
  </si>
  <si>
    <t>Sitio medido</t>
  </si>
  <si>
    <t>Medida 1 (mm)</t>
  </si>
  <si>
    <t>Medida 2 (mm)</t>
  </si>
  <si>
    <t>Diferencia</t>
  </si>
  <si>
    <t>Diferencia²</t>
  </si>
  <si>
    <t>Control</t>
  </si>
  <si>
    <t>Sujeto 1</t>
  </si>
  <si>
    <t>Tríceps</t>
  </si>
  <si>
    <t>Sujeto 2</t>
  </si>
  <si>
    <t>Sujeto 3</t>
  </si>
  <si>
    <t>Sujeto 4</t>
  </si>
  <si>
    <t>Sujeto 5</t>
  </si>
  <si>
    <t>Sujeto 6</t>
  </si>
  <si>
    <t>Sujeto 7</t>
  </si>
  <si>
    <t>Sujeto 8</t>
  </si>
  <si>
    <t>Sujeto 9</t>
  </si>
  <si>
    <t>Sujeto 10</t>
  </si>
  <si>
    <t>TOTALES</t>
  </si>
  <si>
    <t>CÁLCULO DEL ERROR TÉCNICO DE MEDICIÓN</t>
  </si>
  <si>
    <t>Número de pares medidos</t>
  </si>
  <si>
    <t>Suma de las diferencias al cuadrado</t>
  </si>
  <si>
    <t>Media general de las mediciones (mm)</t>
  </si>
  <si>
    <t>ERROR TÉCNICO DE MEDICIÓN (mm)</t>
  </si>
  <si>
    <t>Raíz de la suma de diferencias al cuadrado dividida por dos veces n</t>
  </si>
  <si>
    <t>ERROR RELATIVO (%)</t>
  </si>
  <si>
    <t>Desviación estándar entre sujetos (mm)</t>
  </si>
  <si>
    <t>Coeficiente de fiabilidad</t>
  </si>
  <si>
    <t>Proporción de la variación observada que NO se explica por error de medición</t>
  </si>
  <si>
    <t>LECTURA DE LA FIABILIDAD</t>
  </si>
  <si>
    <t>Error relativo frente al criterio</t>
  </si>
  <si>
    <t>Coeficiente de fiabilidad frente al criterio</t>
  </si>
  <si>
    <t>Pares con diferencia sobre el cinco por ciento</t>
  </si>
  <si>
    <t>Cada uno merece revisión: suelen indicar un punto anatómico mal marcado</t>
  </si>
  <si>
    <t>CAMBIO MÍNIMO DETECTABLE</t>
  </si>
  <si>
    <t>Cambio mínimo detectable en un pliegue (mm)</t>
  </si>
  <si>
    <t>Bajo este valor, un cambio no se distingue del error de medición</t>
  </si>
  <si>
    <t>Comparación con la resolución del instrumento</t>
  </si>
  <si>
    <t>El error técnico de medición es específico de cada evaluador, cada sitio anatómico y cada rango de espesor: un evaluador puede ser preciso en tríceps y no en suprailíaco. Repita este ejercicio por sitio cuando el seguimiento lo justifique, y siempre que cambie de instrumento.</t>
  </si>
  <si>
    <t>¿El cambio observado es real o es error de medición?</t>
  </si>
  <si>
    <t>Esta es la pregunta que un plicómetro debe poder responder y que casi ningún software responde. Un pliegue que baja de 18 a 17 milímetros puede reflejar un cambio real o simplemente el error de quien mide. Aquí se compara el cambio observado con el error propio del evaluador.</t>
  </si>
  <si>
    <t>COMPARACIÓN ENTRE DOS EVALUACIONES</t>
  </si>
  <si>
    <t>Evaluación inicial (mm)</t>
  </si>
  <si>
    <t>Evaluación de control (mm)</t>
  </si>
  <si>
    <t>Cambio (mm)</t>
  </si>
  <si>
    <t>Cambio mínimo detectable</t>
  </si>
  <si>
    <t>¿Distinguible del error?</t>
  </si>
  <si>
    <t>Subescapular</t>
  </si>
  <si>
    <t>Bíceps</t>
  </si>
  <si>
    <t>Suprailíaco</t>
  </si>
  <si>
    <t>Abdominal</t>
  </si>
  <si>
    <t>Muslo anterior</t>
  </si>
  <si>
    <t>SUMA DE PLIEGUES</t>
  </si>
  <si>
    <t>POR QUÉ LA SUMA ES MÁS SENSIBLE QUE UN PLIEGUE AISLADO</t>
  </si>
  <si>
    <t>Error de un pliegue individual (mm)</t>
  </si>
  <si>
    <t>Número de pliegues sumados</t>
  </si>
  <si>
    <t>Error de la suma (mm)</t>
  </si>
  <si>
    <t>El error crece con la raíz del número de pliegues, no de forma proporcional</t>
  </si>
  <si>
    <t>Cambio relativo mínimo detectable en la suma</t>
  </si>
  <si>
    <t>Qué significa</t>
  </si>
  <si>
    <t>CONDICIONES DE COMPARABILIDAD</t>
  </si>
  <si>
    <t>¿Midió el mismo evaluador ambas veces?</t>
  </si>
  <si>
    <t>¿Usó el mismo plicómetro?</t>
  </si>
  <si>
    <t>¿Se respetaron condiciones similares de hidratación y horario?</t>
  </si>
  <si>
    <t>¿El instrumento estaba verificado en ambas ocasiones?</t>
  </si>
  <si>
    <t>Validez de la comparación</t>
  </si>
  <si>
    <t>CONCLUSIÓN DEL SEGUIMIENTO</t>
  </si>
  <si>
    <t>Informar un cambio que no supera el error de medición es un error frecuente y evitable. Si la variación queda dentro del margen del método, la respuesta correcta es que no se puede afirmar que haya cambiado, no que se mantuvo igual: ambas cosas son distintas.</t>
  </si>
  <si>
    <t>Referencias, fórmulas y trazabilidad</t>
  </si>
  <si>
    <t>MÉTODOS Y REFERENCIAS</t>
  </si>
  <si>
    <t>Elemento</t>
  </si>
  <si>
    <t>Detalle</t>
  </si>
  <si>
    <t>Protocolo de medición</t>
  </si>
  <si>
    <t>Sitios anatómicos, dirección del pliegue y posición corporal siguen el protocolo de la Sociedad Internacional para el Avance de la Cineantropometría, de uso extendido en evaluación antropométrica. Este libro describe el procedimiento pero NO sustituye la formación práctica supervisada, que es la única vía para alcanzar los criterios de error exigidos.</t>
  </si>
  <si>
    <t>Se calcula como la raíz cuadrada de la suma de las diferencias al cuadrado entre mediciones duplicadas, dividida por dos veces el número de pares. Es la medida clásica de error de medición en antropometría y se expresa en las mismas unidades que la variable, en este caso milímetros.</t>
  </si>
  <si>
    <t>Error relativo</t>
  </si>
  <si>
    <t>Es el error técnico expresado como porcentaje de la media de las mediciones. Permite comparar el desempeño entre sitios de distinto espesor: un error de medio milímetro pesa mucho más en un pliegue de seis milímetros que en uno de treinta.</t>
  </si>
  <si>
    <t>Criterios de aceptación</t>
  </si>
  <si>
    <t>Los límites de cinco por ciento para un mismo evaluador y siete coma cinco por ciento entre evaluadores corresponden a los criterios de acreditación antropométrica de uso internacional para pliegues cutáneos. Son editables en CONFIG.</t>
  </si>
  <si>
    <t>Se obtiene restando de uno el cociente entre el cuadrado del error técnico y el cuadrado de la desviación estándar entre sujetos. Expresa qué proporción de la variación observada corresponde a diferencias reales y no a error de medición. El mínimo habitual es 0,95.</t>
  </si>
  <si>
    <t>Se calcula multiplicando el error técnico por la raíz de dos y por el valor de la distribución normal para el nivel de confianza elegido, 1,96 para el noventa y cinco por ciento. Un cambio menor que ese valor no puede distinguirse del error del método.</t>
  </si>
  <si>
    <t>Error de una suma de pliegues</t>
  </si>
  <si>
    <t>Al sumar varios pliegues los errores independientes se combinan según la raíz del número de sitios, no de forma proporcional. Por eso el cambio mínimo detectable de una suma representa una proporción menor del total que el de un pliegue aislado, y el seguimiento resulta más sensible sobre la suma.</t>
  </si>
  <si>
    <t>Presión del instrumento</t>
  </si>
  <si>
    <t>Los plicómetros de uso profesional están construidos para ejercer una presión constante de diez gramos por milímetro cuadrado sobre las superficies de contacto, con independencia de la apertura de las ramas. Esa presión constante es lo que hace comparable la medición: un instrumento con el resorte alterado deja de cumplirla.</t>
  </si>
  <si>
    <t>Verificación con patrones</t>
  </si>
  <si>
    <t>La comprobación contra bloques de espesor conocido detecta desviaciones sistemáticas del instrumento, que no se revelan repitiendo mediciones sobre personas porque se repiten de forma idéntica. Ninguna corrección estadística posterior puede recuperar mediciones tomadas con un instrumento descalibrado si esa desviación no fue documentada.</t>
  </si>
  <si>
    <t>Qué NO hace este libro</t>
  </si>
  <si>
    <t>No estima densidad corporal, porcentaje de grasa ni somatotipo: para eso están los módulos específicos de la colección. No reemplaza la formación práctica ni la acreditación del evaluador. No corrige mediciones mal tomadas. No está validado clínicamente.</t>
  </si>
  <si>
    <t>Relación con otros módulos</t>
  </si>
  <si>
    <t>NMX-36 aplica ecuaciones de composición corporal a partir de pliegues. NMX-20 integra pliegues, somatotipo y recordatorio en un formulario único. Este módulo se ocupa de lo previo: que el instrumento esté verificado y que el error del evaluador sea conocido.</t>
  </si>
  <si>
    <t>Control de calidad del motor de cálculo</t>
  </si>
  <si>
    <t>Los valores esperados se calcularon de forma independiente del motor del libro (verificación externa).</t>
  </si>
  <si>
    <t>Bloque</t>
  </si>
  <si>
    <t>Descripción de la prueba</t>
  </si>
  <si>
    <t>Obtenido</t>
  </si>
  <si>
    <t>Esperado</t>
  </si>
  <si>
    <t>Estado</t>
  </si>
  <si>
    <t>A</t>
  </si>
  <si>
    <t>Media del primer par (12,4 y 12,1)</t>
  </si>
  <si>
    <t>Diferencia del primer par</t>
  </si>
  <si>
    <t>Diferencia al cuadrado del primer par</t>
  </si>
  <si>
    <t>Media general de las mediciones</t>
  </si>
  <si>
    <t>B</t>
  </si>
  <si>
    <t>ERROR TÉCNICO DE MEDICIÓN</t>
  </si>
  <si>
    <t>Desviación estándar entre sujetos</t>
  </si>
  <si>
    <t>C</t>
  </si>
  <si>
    <t>El error relativo cumple el criterio de un mismo evaluador</t>
  </si>
  <si>
    <t>CUMPLE</t>
  </si>
  <si>
    <t>La fiabilidad alcanza el mínimo exigido</t>
  </si>
  <si>
    <t>ALCANZA</t>
  </si>
  <si>
    <t>Ningún par supera el 5% de diferencia entre medidas</t>
  </si>
  <si>
    <t>D</t>
  </si>
  <si>
    <t>Cambio mínimo detectable en un pliegue</t>
  </si>
  <si>
    <t>Error de la suma de 6 pliegues</t>
  </si>
  <si>
    <t>Cambio mínimo detectable de la suma</t>
  </si>
  <si>
    <t>El error de la suma es menor que 6 veces el individual</t>
  </si>
  <si>
    <t>MENOR</t>
  </si>
  <si>
    <t>E</t>
  </si>
  <si>
    <t>Suma inicial de los 6 pliegues</t>
  </si>
  <si>
    <t>Suma de control</t>
  </si>
  <si>
    <t>Cambio de la suma</t>
  </si>
  <si>
    <t>El cambio de la suma supera el umbral</t>
  </si>
  <si>
    <t>SUPERA</t>
  </si>
  <si>
    <t>Cambio del bíceps (de 6,0 a 5,6)</t>
  </si>
  <si>
    <t>Ese cambio individual NO es distinguible del error</t>
  </si>
  <si>
    <t>NO DISTINGUIBLE</t>
  </si>
  <si>
    <t>Cambio del suprailíaco (de 16,0 a 14,2)</t>
  </si>
  <si>
    <t>Ese cambio individual SÍ es distinguible</t>
  </si>
  <si>
    <t>DISTINGUIBLE</t>
  </si>
  <si>
    <t>F</t>
  </si>
  <si>
    <t>Error medio del instrumento en la verificación</t>
  </si>
  <si>
    <t>La verificación queda dentro de tolerancia</t>
  </si>
  <si>
    <t>DENTRO</t>
  </si>
  <si>
    <t>Puntos conformes de la revisión mecánica</t>
  </si>
  <si>
    <t>Dictamen del instrumento</t>
  </si>
  <si>
    <t>APTO PARA USO</t>
  </si>
  <si>
    <t>G</t>
  </si>
  <si>
    <t>Un valor ausente NO se interpreta como cero</t>
  </si>
  <si>
    <t>ND</t>
  </si>
  <si>
    <t>RESUMEN</t>
  </si>
  <si>
    <t>Pruebas aprobadas</t>
  </si>
  <si>
    <t>Configuración · umbrales de calidad de la medición</t>
  </si>
  <si>
    <t>UMBRALES DE ERROR TÉCNICO DE MEDICIÓN</t>
  </si>
  <si>
    <t>Error relativo aceptable · un mismo evaluador</t>
  </si>
  <si>
    <t>%</t>
  </si>
  <si>
    <t>Error relativo aceptable · entre evaluadores</t>
  </si>
  <si>
    <t>Coeficiente de fiabilidad mínimo aceptable</t>
  </si>
  <si>
    <t>R</t>
  </si>
  <si>
    <t>Nivel de confianza para el cambio mínimo detectable</t>
  </si>
  <si>
    <t>z</t>
  </si>
  <si>
    <t>Presión estándar del plicómetro</t>
  </si>
  <si>
    <t>g/mm²</t>
  </si>
  <si>
    <t>Tolerancia aceptada en la verificación con patrón</t>
  </si>
  <si>
    <t>mm</t>
  </si>
  <si>
    <t>Diferencia máxima entre dos medidas del mismo pliegue</t>
  </si>
  <si>
    <t>Número mínimo de sujetos para estimar el error</t>
  </si>
  <si>
    <t>sujetos</t>
  </si>
  <si>
    <t>Tolerancia de las pruebas</t>
  </si>
  <si>
    <t>±</t>
  </si>
  <si>
    <t>Los límites de cinco y siete coma cinco por ciento corresponden a los criterios de acreditación de la Sociedad Internacional para el Avance de la Cineantropometría para medidas de pliegues. Son exigentes y se alcanzan con entrenamiento: un evaluador sin práctica supervisada rara vez los cumple al inicio.</t>
  </si>
  <si>
    <t>SITIOS ANATÓMICOS DE REFERENCIA</t>
  </si>
  <si>
    <t>Punto medio entre acromion y olécranon, cara posterior del brazo</t>
  </si>
  <si>
    <t>Vertical</t>
  </si>
  <si>
    <t>De pie, brazo relajado</t>
  </si>
  <si>
    <t>Dos centímetros por debajo del ángulo inferior de la escápula</t>
  </si>
  <si>
    <t>Oblicua, hacia abajo y afuera</t>
  </si>
  <si>
    <t>De pie, brazos a los lados</t>
  </si>
  <si>
    <t>Punto medio del brazo, cara anterior, sobre el vientre del bíceps</t>
  </si>
  <si>
    <t>De pie, brazo relajado y supinado</t>
  </si>
  <si>
    <t>Sobre la cresta ilíaca, en la línea axilar media</t>
  </si>
  <si>
    <t>Oblicua, siguiendo la cresta</t>
  </si>
  <si>
    <t>De pie, brazo separado</t>
  </si>
  <si>
    <t>Supraespinal</t>
  </si>
  <si>
    <t>Intersección de la línea axilar anterior con la cresta ilíaca</t>
  </si>
  <si>
    <t>Oblicua, hacia abajo y adentro</t>
  </si>
  <si>
    <t>Cinco centímetros a la derecha del ombligo</t>
  </si>
  <si>
    <t>De pie, abdomen relajado</t>
  </si>
  <si>
    <t>Punto medio entre pliegue inguinal y borde superior de la rótula</t>
  </si>
  <si>
    <t>Sentado, rodilla a noventa grados</t>
  </si>
  <si>
    <t>Pantorrilla medial</t>
  </si>
  <si>
    <t>Cara medial, en el perímetro máximo</t>
  </si>
  <si>
    <t>Sentado o de pie con la pierna apoyada</t>
  </si>
  <si>
    <t>LISTAS</t>
  </si>
  <si>
    <t>MARCA</t>
  </si>
  <si>
    <t>SI</t>
  </si>
  <si>
    <t>ESTADO</t>
  </si>
  <si>
    <t>NIVEL</t>
  </si>
  <si>
    <t>Holtain</t>
  </si>
  <si>
    <t>Requiere ajuste</t>
  </si>
  <si>
    <t>Acreditado nivel 1</t>
  </si>
  <si>
    <t>Lange</t>
  </si>
  <si>
    <t>Fuera de servicio</t>
  </si>
  <si>
    <t>Acreditado nivel 2</t>
  </si>
  <si>
    <t>Slim Guide</t>
  </si>
  <si>
    <t>Acreditado nivel 3 o superior</t>
  </si>
  <si>
    <t>Otro</t>
  </si>
  <si>
    <t>Historial de versiones</t>
  </si>
  <si>
    <t>Cambio</t>
  </si>
  <si>
    <t>Versión inicial de NMX-41: software acompañante para plicómetro, centrado en la calidad del instrumento y del evaluador.</t>
  </si>
  <si>
    <t>Fase 7 · Especialidades y productos complementarios.</t>
  </si>
  <si>
    <t>Hoja de verificación del instrumento contra patrones de espesor conocido, con dictamen de aptitud.</t>
  </si>
  <si>
    <t>Una desviación sistemática del plicómetro no se detecta repitiendo mediciones: se repite igual.</t>
  </si>
  <si>
    <t>Cálculo del error técnico de medición, error relativo y coeficiente de fiabilidad a partir de mediciones por duplicado.</t>
  </si>
  <si>
    <t>Permite que cada evaluador conozca su propio error en lugar de suponerlo.</t>
  </si>
  <si>
    <t>Cambio mínimo detectable por pliegue y para la suma de pliegues.</t>
  </si>
  <si>
    <t>Responde la pregunta central de quien usa plicómetro: si el cambio observado es real o es ruido del método.</t>
  </si>
  <si>
    <t>Se explicita que el error de una suma crece con la raíz del número de pliegues.</t>
  </si>
  <si>
    <t>Fundamenta por qué el seguimiento se hace sobre la suma y no sobre pliegues aislados.</t>
  </si>
  <si>
    <t>Lista de condiciones de comparabilidad que invalidan la comparación si no se cumplen.</t>
  </si>
  <si>
    <t>Un cambio de evaluador o de instrumento puede superar el cambio biológico que se busca detectar.</t>
  </si>
  <si>
    <t>Advertencia sobre no medir dos veces seguidas el mismo sitio.</t>
  </si>
  <si>
    <t>La compresión del tejido subestima la segunda lectura y el error calculado saldría falsamente bajo.</t>
  </si>
  <si>
    <t>Diseño visual, barra de navegación y enlaces de retorno replicados de NMX-10 aprobado.</t>
  </si>
  <si>
    <t>Unificar la identidad de la colección.</t>
  </si>
  <si>
    <t>1.0.1</t>
  </si>
  <si>
    <t>2026-08-01</t>
  </si>
  <si>
    <t>Actualizado el valor esperado de la prueba F (error medio del instrumento) de 0,1 al valor preciso 0,091666667, en linea con la alta precision del resto de las pruebas. 30 pruebas aprobadas.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</si>
</sst>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
  </numFmts>
  <fonts count="27">
    <font>
      <sz val="11"/>
      <color theme="1"/>
      <name val="Calibri"/>
      <family val="2"/>
      <charset val="1"/>
    </font>
    <font>
      <b/>
      <sz val="20"/>
      <color rgb="FFFFFFFF"/>
      <name val="Arial"/>
      <charset val="1"/>
    </font>
    <font>
      <b/>
      <sz val="14"/>
      <color rgb="FFFFFFFF"/>
      <name val="Arial"/>
      <charset val="1"/>
    </font>
    <font>
      <b/>
      <sz val="10"/>
      <color rgb="FFFFFFFF"/>
      <name val="Aptos"/>
      <charset val="1"/>
    </font>
    <font>
      <sz val="11"/>
      <color rgb="FF155E6C"/>
      <name val="Aptos"/>
      <charset val="1"/>
    </font>
    <font>
      <b/>
      <sz val="11"/>
      <color rgb="FF1A1A1A"/>
      <name val="Arial"/>
      <charset val="1"/>
    </font>
    <font>
      <b/>
      <sz val="10"/>
      <color rgb="FF1A1A1A"/>
      <name val="Arial"/>
      <charset val="1"/>
    </font>
    <font>
      <b/>
      <sz val="11"/>
      <color rgb="FFFFFFFF"/>
      <name val="Arial"/>
      <charset val="1"/>
    </font>
    <font>
      <b/>
      <sz val="10"/>
      <color rgb="FF155E6C"/>
      <name val="Arial"/>
      <charset val="1"/>
    </font>
    <font>
      <b/>
      <sz val="12"/>
      <color rgb="FF1A1A1A"/>
      <name val="Arial"/>
      <charset val="1"/>
    </font>
    <font>
      <b/>
      <i/>
      <sz val="12"/>
      <color rgb="FF1A1A1A"/>
      <name val="Arial"/>
      <family val="2"/>
      <charset val="1"/>
    </font>
    <font>
      <b/>
      <sz val="10"/>
      <color rgb="FF0000CC"/>
      <name val="Arial"/>
      <charset val="1"/>
    </font>
    <font>
      <sz val="9"/>
      <color rgb="FF5A6B70"/>
      <name val="Arial"/>
      <charset val="1"/>
    </font>
    <font>
      <b/>
      <sz val="10"/>
      <color rgb="FFFFFFFF"/>
      <name val="Arial"/>
      <charset val="1"/>
    </font>
    <font>
      <sz val="10"/>
      <color rgb="FF1A1A1A"/>
      <name val="Arial"/>
      <charset val="1"/>
    </font>
    <font>
      <b/>
      <sz val="9"/>
      <color rgb="FFB45309"/>
      <name val="Arial"/>
      <charset val="1"/>
    </font>
    <font>
      <b/>
      <sz val="10"/>
      <color rgb="FFB45309"/>
      <name val="Arial"/>
      <charset val="1"/>
    </font>
    <font>
      <b/>
      <sz val="12"/>
      <color rgb="FF1C6B72"/>
      <name val="Arial"/>
      <charset val="1"/>
    </font>
    <font>
      <sz val="9"/>
      <color rgb="FF1A1A1A"/>
      <name val="Arial"/>
      <charset val="1"/>
    </font>
    <font>
      <b/>
      <sz val="13"/>
      <color rgb="FF1C6B72"/>
      <name val="Arial"/>
      <charset val="1"/>
    </font>
    <font>
      <b/>
      <sz val="11"/>
      <color rgb="FF1C6B72"/>
      <name val="Arial"/>
      <charset val="1"/>
    </font>
    <font>
      <b/>
      <sz val="9"/>
      <color rgb="FFFFFFFF"/>
      <name val="Arial"/>
      <charset val="1"/>
    </font>
    <font>
      <b/>
      <sz val="9"/>
      <color rgb="FF1A1A1A"/>
      <name val="Arial"/>
      <charset val="1"/>
    </font>
    <font>
      <b/>
      <sz val="10"/>
      <color rgb="FF1C6B72"/>
      <name val="Arial"/>
      <charset val="1"/>
    </font>
    <font>
      <b/>
      <sz val="11"/>
      <color rgb="FF1A1A1A"/>
      <name val="Arial"/>
      <family val="2"/>
    </font>
    <font>
      <b/>
      <sz val="12"/>
      <color rgb="FF1A1A1A"/>
      <name val="Arial"/>
      <family val="2"/>
    </font>
    <font>
      <sz val="11"/>
      <color rgb="FF1A1A1A"/>
      <name val="Arial"/>
      <family val="2"/>
    </font>
  </fonts>
  <fills count="11">
    <fill>
      <patternFill patternType="none"/>
    </fill>
    <fill>
      <patternFill patternType="gray125"/>
    </fill>
    <fill>
      <patternFill patternType="solid">
        <fgColor rgb="FF0F3B44"/>
        <bgColor rgb="FF17324D"/>
      </patternFill>
    </fill>
    <fill>
      <patternFill patternType="solid">
        <fgColor rgb="FF1C6B72"/>
        <bgColor rgb="FF155E6C"/>
      </patternFill>
    </fill>
    <fill>
      <patternFill patternType="solid">
        <fgColor rgb="FF17324D"/>
        <bgColor rgb="FF0F3B44"/>
      </patternFill>
    </fill>
    <fill>
      <patternFill patternType="solid">
        <fgColor rgb="FFDCEFF1"/>
        <bgColor rgb="FFDFF0E3"/>
      </patternFill>
    </fill>
    <fill>
      <patternFill patternType="solid">
        <fgColor rgb="FFE7E0F5"/>
        <bgColor rgb="FFD8E7E2"/>
      </patternFill>
    </fill>
    <fill>
      <patternFill patternType="solid">
        <fgColor rgb="FFFBE4D5"/>
        <bgColor rgb="FFFCEFCE"/>
      </patternFill>
    </fill>
    <fill>
      <patternFill patternType="solid">
        <fgColor rgb="FFFCEFCE"/>
        <bgColor rgb="FFFBE4D5"/>
      </patternFill>
    </fill>
    <fill>
      <patternFill patternType="solid">
        <fgColor rgb="FFF4F6F7"/>
        <bgColor rgb="FFFFFFFF"/>
      </patternFill>
    </fill>
    <fill>
      <patternFill patternType="solid">
        <fgColor rgb="FFDFF0E3"/>
        <bgColor rgb="FFDCEFF1"/>
      </patternFill>
    </fill>
  </fills>
  <borders count="8">
    <border>
      <left/>
      <right/>
      <top/>
      <bottom/>
      <diagonal/>
    </border>
    <border>
      <left style="thin">
        <color rgb="FFB7C7CB"/>
      </left>
      <right style="thin">
        <color rgb="FFB7C7CB"/>
      </right>
      <top style="thin">
        <color rgb="FFB7C7CB"/>
      </top>
      <bottom style="thin">
        <color rgb="FFB7C7CB"/>
      </bottom>
      <diagonal/>
    </border>
    <border>
      <left style="thin">
        <color auto="1"/>
      </left>
      <right style="thin">
        <color auto="1"/>
      </right>
      <top style="thin">
        <color auto="1"/>
      </top>
      <bottom style="thin">
        <color auto="1"/>
      </bottom>
      <diagonal/>
    </border>
    <border>
      <left style="thin">
        <color rgb="FFB7C7CB"/>
      </left>
      <right/>
      <top/>
      <bottom style="thin">
        <color rgb="FFB7C7CB"/>
      </bottom>
      <diagonal/>
    </border>
    <border>
      <left style="thin">
        <color rgb="FFB7C7CB"/>
      </left>
      <right/>
      <top/>
      <bottom/>
      <diagonal/>
    </border>
    <border>
      <left style="thin">
        <color rgb="FFB7C7CB"/>
      </left>
      <right/>
      <top style="thin">
        <color rgb="FFB7C7CB"/>
      </top>
      <bottom style="thin">
        <color rgb="FFB7C7CB"/>
      </bottom>
      <diagonal/>
    </border>
    <border>
      <left/>
      <right/>
      <top style="thin">
        <color rgb="FFB7C7CB"/>
      </top>
      <bottom style="thin">
        <color rgb="FFB7C7CB"/>
      </bottom>
      <diagonal/>
    </border>
    <border>
      <left/>
      <right style="thin">
        <color rgb="FFB7C7CB"/>
      </right>
      <top style="thin">
        <color rgb="FFB7C7CB"/>
      </top>
      <bottom style="thin">
        <color rgb="FFB7C7CB"/>
      </bottom>
      <diagonal/>
    </border>
  </borders>
  <cellStyleXfs count="1">
    <xf numFmtId="0" fontId="0" fillId="0" borderId="0"/>
  </cellStyleXfs>
  <cellXfs count="76">
    <xf numFmtId="0" fontId="0" fillId="0" borderId="0" xfId="0"/>
    <xf numFmtId="0" fontId="11" fillId="8" borderId="1" xfId="0" applyFont="1" applyFill="1" applyBorder="1" applyAlignment="1">
      <alignment horizontal="left" vertical="center" wrapText="1"/>
    </xf>
    <xf numFmtId="0" fontId="10" fillId="7" borderId="1" xfId="0" applyFont="1" applyFill="1" applyBorder="1" applyAlignment="1">
      <alignment horizontal="left" vertical="top" wrapText="1"/>
    </xf>
    <xf numFmtId="0" fontId="9" fillId="5" borderId="1" xfId="0" applyFont="1" applyFill="1" applyBorder="1" applyAlignment="1">
      <alignment horizontal="center" vertical="center"/>
    </xf>
    <xf numFmtId="0" fontId="6" fillId="7"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3" borderId="1" xfId="0" applyFont="1" applyFill="1" applyBorder="1" applyAlignment="1">
      <alignment horizontal="left" vertical="center"/>
    </xf>
    <xf numFmtId="0" fontId="6" fillId="6" borderId="1" xfId="0" applyFont="1" applyFill="1" applyBorder="1" applyAlignment="1">
      <alignment horizontal="left" vertical="center" wrapText="1"/>
    </xf>
    <xf numFmtId="0" fontId="5" fillId="6" borderId="1" xfId="0" applyFont="1" applyFill="1" applyBorder="1" applyAlignment="1">
      <alignment horizontal="left" vertical="center"/>
    </xf>
    <xf numFmtId="0" fontId="4" fillId="5"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0" xfId="0" applyFont="1" applyFill="1" applyBorder="1" applyAlignment="1">
      <alignment horizontal="left" vertical="center" wrapText="1"/>
    </xf>
    <xf numFmtId="0" fontId="1" fillId="2" borderId="0" xfId="0" applyFont="1" applyFill="1" applyBorder="1" applyAlignment="1">
      <alignment horizontal="left" vertical="center"/>
    </xf>
    <xf numFmtId="0" fontId="0" fillId="0" borderId="0" xfId="0" applyAlignment="1"/>
    <xf numFmtId="0" fontId="6" fillId="7" borderId="1" xfId="0" applyFont="1" applyFill="1" applyBorder="1" applyAlignment="1">
      <alignment horizontal="left" vertical="center" wrapText="1"/>
    </xf>
    <xf numFmtId="0" fontId="13" fillId="3" borderId="1" xfId="0" applyFont="1" applyFill="1" applyBorder="1" applyAlignment="1">
      <alignment horizontal="center" vertical="center" wrapText="1"/>
    </xf>
    <xf numFmtId="0" fontId="14" fillId="9" borderId="1" xfId="0" applyFont="1" applyFill="1" applyBorder="1" applyAlignment="1">
      <alignment horizontal="left" vertical="center"/>
    </xf>
    <xf numFmtId="0" fontId="11" fillId="8" borderId="1" xfId="0" applyFont="1" applyFill="1" applyBorder="1" applyAlignment="1">
      <alignment horizontal="center" vertical="center"/>
    </xf>
    <xf numFmtId="2" fontId="14" fillId="9" borderId="1" xfId="0" applyNumberFormat="1" applyFont="1" applyFill="1" applyBorder="1" applyAlignment="1">
      <alignment horizontal="center" vertical="center"/>
    </xf>
    <xf numFmtId="0" fontId="15" fillId="7" borderId="1" xfId="0" applyFont="1" applyFill="1" applyBorder="1" applyAlignment="1">
      <alignment horizontal="left" vertical="center"/>
    </xf>
    <xf numFmtId="2" fontId="5" fillId="10" borderId="1" xfId="0" applyNumberFormat="1" applyFont="1" applyFill="1" applyBorder="1" applyAlignment="1">
      <alignment horizontal="left" vertical="center"/>
    </xf>
    <xf numFmtId="2" fontId="5" fillId="10" borderId="1" xfId="0" applyNumberFormat="1" applyFont="1" applyFill="1" applyBorder="1" applyAlignment="1">
      <alignment horizontal="center" vertical="center"/>
    </xf>
    <xf numFmtId="2" fontId="16" fillId="7" borderId="1" xfId="0" applyNumberFormat="1" applyFont="1" applyFill="1" applyBorder="1" applyAlignment="1">
      <alignment horizontal="left" vertical="center"/>
    </xf>
    <xf numFmtId="0" fontId="18" fillId="9" borderId="1" xfId="0" applyFont="1" applyFill="1" applyBorder="1" applyAlignment="1">
      <alignment horizontal="left" vertical="center" wrapText="1"/>
    </xf>
    <xf numFmtId="0" fontId="12" fillId="6" borderId="1" xfId="0" applyFont="1" applyFill="1" applyBorder="1" applyAlignment="1">
      <alignment horizontal="center" vertical="center"/>
    </xf>
    <xf numFmtId="0" fontId="11" fillId="8" borderId="1" xfId="0" applyFont="1" applyFill="1" applyBorder="1" applyAlignment="1">
      <alignment horizontal="left" vertical="center"/>
    </xf>
    <xf numFmtId="164" fontId="18" fillId="9" borderId="1" xfId="0" applyNumberFormat="1" applyFont="1" applyFill="1" applyBorder="1" applyAlignment="1">
      <alignment horizontal="center" vertical="center"/>
    </xf>
    <xf numFmtId="164" fontId="5" fillId="5" borderId="1" xfId="0" applyNumberFormat="1" applyFont="1" applyFill="1" applyBorder="1" applyAlignment="1">
      <alignment horizontal="center" vertical="center"/>
    </xf>
    <xf numFmtId="164" fontId="16" fillId="7" borderId="1" xfId="0" applyNumberFormat="1" applyFont="1" applyFill="1" applyBorder="1" applyAlignment="1">
      <alignment horizontal="left" vertical="center"/>
    </xf>
    <xf numFmtId="0" fontId="21" fillId="3" borderId="1" xfId="0" applyFont="1" applyFill="1" applyBorder="1" applyAlignment="1">
      <alignment horizontal="center" vertical="center"/>
    </xf>
    <xf numFmtId="2" fontId="18" fillId="9" borderId="1" xfId="0" applyNumberFormat="1" applyFont="1" applyFill="1" applyBorder="1" applyAlignment="1">
      <alignment horizontal="center" vertical="center"/>
    </xf>
    <xf numFmtId="0" fontId="13" fillId="3" borderId="1" xfId="0" applyFont="1" applyFill="1" applyBorder="1" applyAlignment="1">
      <alignment horizontal="center" vertical="center"/>
    </xf>
    <xf numFmtId="0" fontId="22" fillId="9" borderId="1" xfId="0" applyFont="1" applyFill="1" applyBorder="1" applyAlignment="1">
      <alignment horizontal="left" vertical="top" wrapText="1"/>
    </xf>
    <xf numFmtId="0" fontId="12" fillId="0" borderId="0" xfId="0" applyFont="1" applyAlignment="1">
      <alignment horizontal="left" vertical="center"/>
    </xf>
    <xf numFmtId="0" fontId="18" fillId="9" borderId="1" xfId="0" applyFont="1" applyFill="1" applyBorder="1" applyAlignment="1">
      <alignment horizontal="center" vertical="center"/>
    </xf>
    <xf numFmtId="0" fontId="18" fillId="9" borderId="1" xfId="0" applyFont="1" applyFill="1" applyBorder="1" applyAlignment="1">
      <alignment horizontal="left" vertical="center"/>
    </xf>
    <xf numFmtId="0" fontId="22" fillId="10" borderId="1" xfId="0" applyFont="1" applyFill="1" applyBorder="1" applyAlignment="1">
      <alignment horizontal="center" vertical="center"/>
    </xf>
    <xf numFmtId="10" fontId="18" fillId="9" borderId="1" xfId="0" applyNumberFormat="1" applyFont="1" applyFill="1" applyBorder="1" applyAlignment="1">
      <alignment horizontal="center" vertical="center"/>
    </xf>
    <xf numFmtId="165" fontId="18" fillId="9" borderId="1" xfId="0" applyNumberFormat="1" applyFont="1" applyFill="1" applyBorder="1" applyAlignment="1">
      <alignment horizontal="center" vertical="center"/>
    </xf>
    <xf numFmtId="0" fontId="23" fillId="5" borderId="1" xfId="0" applyFont="1" applyFill="1" applyBorder="1" applyAlignment="1">
      <alignment horizontal="center" vertical="center"/>
    </xf>
    <xf numFmtId="0" fontId="23" fillId="5" borderId="1" xfId="0" applyFont="1" applyFill="1" applyBorder="1" applyAlignment="1">
      <alignment horizontal="left" vertical="center"/>
    </xf>
    <xf numFmtId="0" fontId="12" fillId="9" borderId="1" xfId="0" applyFont="1" applyFill="1" applyBorder="1" applyAlignment="1">
      <alignment horizontal="center" vertical="center"/>
    </xf>
    <xf numFmtId="166" fontId="11" fillId="8" borderId="1" xfId="0" applyNumberFormat="1" applyFont="1" applyFill="1" applyBorder="1" applyAlignment="1">
      <alignment horizontal="center" vertical="center"/>
    </xf>
    <xf numFmtId="0" fontId="18" fillId="9" borderId="1" xfId="0" applyFont="1" applyFill="1" applyBorder="1" applyAlignment="1">
      <alignment horizontal="center" vertical="top"/>
    </xf>
    <xf numFmtId="0" fontId="12" fillId="0" borderId="0" xfId="0" applyFont="1" applyBorder="1" applyAlignment="1">
      <alignment horizontal="left" vertical="center" wrapText="1"/>
    </xf>
    <xf numFmtId="0" fontId="6" fillId="7" borderId="1" xfId="0" applyFont="1" applyFill="1" applyBorder="1" applyAlignment="1">
      <alignment horizontal="left" vertical="top" wrapText="1"/>
    </xf>
    <xf numFmtId="2" fontId="5" fillId="10" borderId="1" xfId="0" applyNumberFormat="1" applyFont="1" applyFill="1" applyBorder="1" applyAlignment="1">
      <alignment horizontal="left" vertical="center"/>
    </xf>
    <xf numFmtId="0" fontId="11" fillId="8" borderId="2" xfId="0" applyFont="1" applyFill="1" applyBorder="1" applyAlignment="1">
      <alignment vertical="center" wrapText="1"/>
    </xf>
    <xf numFmtId="0" fontId="5" fillId="6" borderId="1" xfId="0" applyFont="1" applyFill="1" applyBorder="1" applyAlignment="1">
      <alignment horizontal="left" vertical="center" wrapText="1"/>
    </xf>
    <xf numFmtId="0" fontId="6" fillId="9" borderId="1" xfId="0" applyFont="1" applyFill="1" applyBorder="1" applyAlignment="1">
      <alignment horizontal="left" vertical="center" wrapText="1"/>
    </xf>
    <xf numFmtId="0" fontId="16" fillId="7" borderId="1" xfId="0" applyFont="1" applyFill="1" applyBorder="1" applyAlignment="1">
      <alignment horizontal="left" vertical="center" wrapText="1"/>
    </xf>
    <xf numFmtId="0" fontId="17" fillId="10" borderId="1" xfId="0" applyFont="1" applyFill="1" applyBorder="1" applyAlignment="1">
      <alignment horizontal="center" vertical="center"/>
    </xf>
    <xf numFmtId="0" fontId="14" fillId="6" borderId="1" xfId="0" applyFont="1" applyFill="1" applyBorder="1" applyAlignment="1">
      <alignment horizontal="left" vertical="center" wrapText="1"/>
    </xf>
    <xf numFmtId="0" fontId="18" fillId="7" borderId="1" xfId="0" applyFont="1" applyFill="1" applyBorder="1" applyAlignment="1">
      <alignment horizontal="left" vertical="center" wrapText="1"/>
    </xf>
    <xf numFmtId="164" fontId="5" fillId="5" borderId="1" xfId="0" applyNumberFormat="1" applyFont="1" applyFill="1" applyBorder="1" applyAlignment="1">
      <alignment horizontal="left" vertical="center"/>
    </xf>
    <xf numFmtId="164" fontId="6" fillId="9" borderId="1" xfId="0" applyNumberFormat="1" applyFont="1" applyFill="1" applyBorder="1" applyAlignment="1">
      <alignment horizontal="left" vertical="center" wrapText="1"/>
    </xf>
    <xf numFmtId="0" fontId="19" fillId="10" borderId="1" xfId="0" applyFont="1" applyFill="1" applyBorder="1" applyAlignment="1">
      <alignment horizontal="center" vertical="center"/>
    </xf>
    <xf numFmtId="10" fontId="17" fillId="10" borderId="1" xfId="0" applyNumberFormat="1" applyFont="1" applyFill="1" applyBorder="1" applyAlignment="1">
      <alignment horizontal="center" vertical="center"/>
    </xf>
    <xf numFmtId="165" fontId="5" fillId="10" borderId="1" xfId="0" applyNumberFormat="1" applyFont="1" applyFill="1" applyBorder="1" applyAlignment="1">
      <alignment horizontal="center" vertical="center"/>
    </xf>
    <xf numFmtId="0" fontId="16" fillId="7" borderId="1" xfId="0" applyFont="1" applyFill="1" applyBorder="1" applyAlignment="1">
      <alignment horizontal="left" vertical="top" wrapText="1"/>
    </xf>
    <xf numFmtId="166" fontId="6" fillId="9" borderId="1" xfId="0" applyNumberFormat="1" applyFont="1" applyFill="1" applyBorder="1" applyAlignment="1">
      <alignment horizontal="left" vertical="center" wrapText="1"/>
    </xf>
    <xf numFmtId="0" fontId="20" fillId="10" borderId="1" xfId="0" applyFont="1" applyFill="1" applyBorder="1" applyAlignment="1">
      <alignment horizontal="left" vertical="top" wrapText="1"/>
    </xf>
    <xf numFmtId="0" fontId="13" fillId="3" borderId="1" xfId="0" applyFont="1" applyFill="1" applyBorder="1" applyAlignment="1">
      <alignment horizontal="center" vertical="center"/>
    </xf>
    <xf numFmtId="0" fontId="18" fillId="9" borderId="1" xfId="0" applyFont="1" applyFill="1" applyBorder="1" applyAlignment="1">
      <alignment horizontal="left" vertical="top" wrapText="1"/>
    </xf>
    <xf numFmtId="0" fontId="14" fillId="9" borderId="1" xfId="0" applyFont="1" applyFill="1" applyBorder="1" applyAlignment="1">
      <alignment horizontal="left" vertical="center"/>
    </xf>
    <xf numFmtId="0" fontId="13" fillId="3"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0" xfId="0" applyFont="1" applyFill="1" applyBorder="1" applyAlignment="1">
      <alignment horizontal="center" vertical="center"/>
    </xf>
    <xf numFmtId="0" fontId="24" fillId="7" borderId="1" xfId="0" applyFont="1" applyFill="1" applyBorder="1" applyAlignment="1">
      <alignment horizontal="left" vertical="top" wrapText="1"/>
    </xf>
    <xf numFmtId="0" fontId="25" fillId="7" borderId="1" xfId="0" applyFont="1" applyFill="1" applyBorder="1" applyAlignment="1">
      <alignment horizontal="left" vertical="top" wrapText="1"/>
    </xf>
    <xf numFmtId="2" fontId="26" fillId="9" borderId="1" xfId="0" applyNumberFormat="1" applyFont="1" applyFill="1" applyBorder="1" applyAlignment="1">
      <alignment horizontal="center" vertical="center"/>
    </xf>
    <xf numFmtId="2" fontId="24" fillId="9" borderId="1" xfId="0" applyNumberFormat="1" applyFont="1" applyFill="1" applyBorder="1" applyAlignment="1">
      <alignment horizontal="left" vertical="center"/>
    </xf>
    <xf numFmtId="0" fontId="18" fillId="9" borderId="5" xfId="0" applyFont="1" applyFill="1" applyBorder="1" applyAlignment="1">
      <alignment horizontal="center" vertical="top" wrapText="1"/>
    </xf>
    <xf numFmtId="0" fontId="18" fillId="9" borderId="6" xfId="0" applyFont="1" applyFill="1" applyBorder="1" applyAlignment="1">
      <alignment horizontal="center" vertical="top" wrapText="1"/>
    </xf>
    <xf numFmtId="0" fontId="18" fillId="9" borderId="7"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CC"/>
      <rgbColor rgb="FFFFFF00"/>
      <rgbColor rgb="FFFF00FF"/>
      <rgbColor rgb="FF00FFFF"/>
      <rgbColor rgb="FF800000"/>
      <rgbColor rgb="FF008000"/>
      <rgbColor rgb="FF000080"/>
      <rgbColor rgb="FF808000"/>
      <rgbColor rgb="FF800080"/>
      <rgbColor rgb="FF1C6B72"/>
      <rgbColor rgb="FFB7C7CB"/>
      <rgbColor rgb="FF878787"/>
      <rgbColor rgb="FF9999FF"/>
      <rgbColor rgb="FFC0504D"/>
      <rgbColor rgb="FFFCEFCE"/>
      <rgbColor rgb="FFDCEFF1"/>
      <rgbColor rgb="FF660066"/>
      <rgbColor rgb="FFFF8080"/>
      <rgbColor rgb="FF0066CC"/>
      <rgbColor rgb="FFD9D9D9"/>
      <rgbColor rgb="FF000080"/>
      <rgbColor rgb="FFFF00FF"/>
      <rgbColor rgb="FFFFFF00"/>
      <rgbColor rgb="FF00FFFF"/>
      <rgbColor rgb="FF800080"/>
      <rgbColor rgb="FF800000"/>
      <rgbColor rgb="FF155E6C"/>
      <rgbColor rgb="FF0000FF"/>
      <rgbColor rgb="FF00CCFF"/>
      <rgbColor rgb="FFD8E7E2"/>
      <rgbColor rgb="FFDFF0E3"/>
      <rgbColor rgb="FFF4F6F7"/>
      <rgbColor rgb="FFE7E0F5"/>
      <rgbColor rgb="FFFF99CC"/>
      <rgbColor rgb="FFCC99FF"/>
      <rgbColor rgb="FFFBE4D5"/>
      <rgbColor rgb="FF4F81BD"/>
      <rgbColor rgb="FF4BACC6"/>
      <rgbColor rgb="FF9BBB59"/>
      <rgbColor rgb="FFFFCC00"/>
      <rgbColor rgb="FFF79646"/>
      <rgbColor rgb="FFFF6600"/>
      <rgbColor rgb="FF8064A2"/>
      <rgbColor rgb="FF969696"/>
      <rgbColor rgb="FF17324D"/>
      <rgbColor rgb="FF5A6B70"/>
      <rgbColor rgb="FF003300"/>
      <rgbColor rgb="FF1A1A1A"/>
      <rgbColor rgb="FFB45309"/>
      <rgbColor rgb="FF993366"/>
      <rgbColor rgb="FF333399"/>
      <rgbColor rgb="FF0F3B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L" sz="1800" b="1" strike="noStrike" spc="-1">
                <a:solidFill>
                  <a:srgbClr val="000000"/>
                </a:solidFill>
                <a:latin typeface="Calibri"/>
              </a:defRPr>
            </a:pPr>
            <a:r>
              <a:rPr lang="es-CL" sz="1800" b="1" strike="noStrike" spc="-1">
                <a:solidFill>
                  <a:srgbClr val="000000"/>
                </a:solidFill>
                <a:latin typeface="Calibri"/>
              </a:rPr>
              <a:t>Cambio por sitio entre ambas evaluaciones</a:t>
            </a:r>
          </a:p>
        </c:rich>
      </c:tx>
      <c:overlay val="0"/>
      <c:spPr>
        <a:noFill/>
        <a:ln w="0">
          <a:noFill/>
        </a:ln>
      </c:spPr>
    </c:title>
    <c:autoTitleDeleted val="0"/>
    <c:plotArea>
      <c:layout/>
      <c:barChart>
        <c:barDir val="bar"/>
        <c:grouping val="clustered"/>
        <c:varyColors val="1"/>
        <c:ser>
          <c:idx val="0"/>
          <c:order val="0"/>
          <c:tx>
            <c:strRef>
              <c:f>SEGUIMIENTO!$B$38</c:f>
              <c:strCache>
                <c:ptCount val="1"/>
                <c:pt idx="0">
                  <c:v>Cambio (mm)</c:v>
                </c:pt>
              </c:strCache>
            </c:strRef>
          </c:tx>
          <c:spPr>
            <a:solidFill>
              <a:srgbClr val="4F81BD"/>
            </a:solidFill>
            <a:ln w="0">
              <a:noFill/>
            </a:ln>
          </c:spPr>
          <c:invertIfNegative val="0"/>
          <c:dPt>
            <c:idx val="0"/>
            <c:invertIfNegative val="1"/>
            <c:bubble3D val="0"/>
            <c:spPr>
              <a:solidFill>
                <a:srgbClr val="4F81BD"/>
              </a:solidFill>
              <a:ln w="0">
                <a:noFill/>
              </a:ln>
            </c:spPr>
            <c:extLst>
              <c:ext xmlns:c16="http://schemas.microsoft.com/office/drawing/2014/chart" uri="{C3380CC4-5D6E-409C-BE32-E72D297353CC}">
                <c16:uniqueId val="{00000001-0786-473C-828A-4790A4B397BA}"/>
              </c:ext>
            </c:extLst>
          </c:dPt>
          <c:dPt>
            <c:idx val="1"/>
            <c:invertIfNegative val="1"/>
            <c:bubble3D val="0"/>
            <c:spPr>
              <a:solidFill>
                <a:srgbClr val="C0504D"/>
              </a:solidFill>
              <a:ln w="0">
                <a:noFill/>
              </a:ln>
            </c:spPr>
            <c:extLst>
              <c:ext xmlns:c16="http://schemas.microsoft.com/office/drawing/2014/chart" uri="{C3380CC4-5D6E-409C-BE32-E72D297353CC}">
                <c16:uniqueId val="{00000003-0786-473C-828A-4790A4B397BA}"/>
              </c:ext>
            </c:extLst>
          </c:dPt>
          <c:dPt>
            <c:idx val="2"/>
            <c:invertIfNegative val="1"/>
            <c:bubble3D val="0"/>
            <c:spPr>
              <a:solidFill>
                <a:srgbClr val="9BBB59"/>
              </a:solidFill>
              <a:ln w="0">
                <a:noFill/>
              </a:ln>
            </c:spPr>
            <c:extLst>
              <c:ext xmlns:c16="http://schemas.microsoft.com/office/drawing/2014/chart" uri="{C3380CC4-5D6E-409C-BE32-E72D297353CC}">
                <c16:uniqueId val="{00000005-0786-473C-828A-4790A4B397BA}"/>
              </c:ext>
            </c:extLst>
          </c:dPt>
          <c:dPt>
            <c:idx val="3"/>
            <c:invertIfNegative val="1"/>
            <c:bubble3D val="0"/>
            <c:spPr>
              <a:solidFill>
                <a:srgbClr val="8064A2"/>
              </a:solidFill>
              <a:ln w="0">
                <a:noFill/>
              </a:ln>
            </c:spPr>
            <c:extLst>
              <c:ext xmlns:c16="http://schemas.microsoft.com/office/drawing/2014/chart" uri="{C3380CC4-5D6E-409C-BE32-E72D297353CC}">
                <c16:uniqueId val="{00000007-0786-473C-828A-4790A4B397BA}"/>
              </c:ext>
            </c:extLst>
          </c:dPt>
          <c:dPt>
            <c:idx val="4"/>
            <c:invertIfNegative val="1"/>
            <c:bubble3D val="0"/>
            <c:spPr>
              <a:solidFill>
                <a:srgbClr val="4BACC6"/>
              </a:solidFill>
              <a:ln w="0">
                <a:noFill/>
              </a:ln>
            </c:spPr>
            <c:extLst>
              <c:ext xmlns:c16="http://schemas.microsoft.com/office/drawing/2014/chart" uri="{C3380CC4-5D6E-409C-BE32-E72D297353CC}">
                <c16:uniqueId val="{00000009-0786-473C-828A-4790A4B397BA}"/>
              </c:ext>
            </c:extLst>
          </c:dPt>
          <c:dPt>
            <c:idx val="5"/>
            <c:invertIfNegative val="1"/>
            <c:bubble3D val="0"/>
            <c:spPr>
              <a:solidFill>
                <a:srgbClr val="F79646"/>
              </a:solidFill>
              <a:ln w="0">
                <a:noFill/>
              </a:ln>
            </c:spPr>
            <c:extLst>
              <c:ext xmlns:c16="http://schemas.microsoft.com/office/drawing/2014/chart" uri="{C3380CC4-5D6E-409C-BE32-E72D297353CC}">
                <c16:uniqueId val="{0000000B-0786-473C-828A-4790A4B397BA}"/>
              </c:ext>
            </c:extLst>
          </c:dPt>
          <c:dLbls>
            <c:dLbl>
              <c:idx val="0"/>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1-0786-473C-828A-4790A4B397BA}"/>
                </c:ext>
              </c:extLst>
            </c:dLbl>
            <c:dLbl>
              <c:idx val="1"/>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3-0786-473C-828A-4790A4B397BA}"/>
                </c:ext>
              </c:extLst>
            </c:dLbl>
            <c:dLbl>
              <c:idx val="2"/>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5-0786-473C-828A-4790A4B397BA}"/>
                </c:ext>
              </c:extLst>
            </c:dLbl>
            <c:dLbl>
              <c:idx val="3"/>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7-0786-473C-828A-4790A4B397BA}"/>
                </c:ext>
              </c:extLst>
            </c:dLbl>
            <c:dLbl>
              <c:idx val="4"/>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9-0786-473C-828A-4790A4B397BA}"/>
                </c:ext>
              </c:extLst>
            </c:dLbl>
            <c:dLbl>
              <c:idx val="5"/>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extLst>
                <c:ext xmlns:c16="http://schemas.microsoft.com/office/drawing/2014/chart" uri="{C3380CC4-5D6E-409C-BE32-E72D297353CC}">
                  <c16:uniqueId val="{0000000B-0786-473C-828A-4790A4B397BA}"/>
                </c:ext>
              </c:extLst>
            </c:dLbl>
            <c:spPr>
              <a:noFill/>
              <a:ln>
                <a:noFill/>
              </a:ln>
              <a:effectLst/>
            </c:spPr>
            <c:txPr>
              <a:bodyPr wrap="square"/>
              <a:lstStyle/>
              <a:p>
                <a:pPr>
                  <a:defRPr sz="1000" b="0" strike="noStrike" spc="-1">
                    <a:solidFill>
                      <a:srgbClr val="000000"/>
                    </a:solidFill>
                    <a:latin typeface="Calibri"/>
                  </a:defRPr>
                </a:pPr>
                <a:endParaRPr lang="es-CL"/>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SEGUIMIENTO!$A$39:$A$44</c:f>
              <c:strCache>
                <c:ptCount val="6"/>
                <c:pt idx="0">
                  <c:v>Tríceps</c:v>
                </c:pt>
                <c:pt idx="1">
                  <c:v>Subescapular</c:v>
                </c:pt>
                <c:pt idx="2">
                  <c:v>Bíceps</c:v>
                </c:pt>
                <c:pt idx="3">
                  <c:v>Suprailíaco</c:v>
                </c:pt>
                <c:pt idx="4">
                  <c:v>Abdominal</c:v>
                </c:pt>
                <c:pt idx="5">
                  <c:v>Muslo anterior</c:v>
                </c:pt>
              </c:strCache>
            </c:strRef>
          </c:cat>
          <c:val>
            <c:numRef>
              <c:f>SEGUIMIENTO!$B$39:$B$44</c:f>
              <c:numCache>
                <c:formatCode>0.00</c:formatCode>
                <c:ptCount val="6"/>
                <c:pt idx="0">
                  <c:v>-1.4000000000000004</c:v>
                </c:pt>
                <c:pt idx="1">
                  <c:v>-1.1999999999999993</c:v>
                </c:pt>
                <c:pt idx="2">
                  <c:v>-0.40000000000000036</c:v>
                </c:pt>
                <c:pt idx="3">
                  <c:v>-1.8000000000000007</c:v>
                </c:pt>
                <c:pt idx="4">
                  <c:v>-1.8000000000000007</c:v>
                </c:pt>
                <c:pt idx="5">
                  <c:v>-0.79999999999999893</c:v>
                </c:pt>
              </c:numCache>
            </c:numRef>
          </c:val>
          <c:extLst>
            <c:ext xmlns:c16="http://schemas.microsoft.com/office/drawing/2014/chart" uri="{C3380CC4-5D6E-409C-BE32-E72D297353CC}">
              <c16:uniqueId val="{0000000C-0786-473C-828A-4790A4B397BA}"/>
            </c:ext>
          </c:extLst>
        </c:ser>
        <c:dLbls>
          <c:showLegendKey val="0"/>
          <c:showVal val="0"/>
          <c:showCatName val="0"/>
          <c:showSerName val="0"/>
          <c:showPercent val="0"/>
          <c:showBubbleSize val="0"/>
        </c:dLbls>
        <c:gapWidth val="150"/>
        <c:axId val="93351574"/>
        <c:axId val="5123009"/>
      </c:barChart>
      <c:catAx>
        <c:axId val="93351574"/>
        <c:scaling>
          <c:orientation val="minMax"/>
        </c:scaling>
        <c:delete val="1"/>
        <c:axPos val="l"/>
        <c:title>
          <c:tx>
            <c:rich>
              <a:bodyPr rot="-5400000"/>
              <a:lstStyle/>
              <a:p>
                <a:pPr>
                  <a:defRPr lang="es-CL" sz="1000" b="1" strike="noStrike" spc="-1">
                    <a:solidFill>
                      <a:srgbClr val="000000"/>
                    </a:solidFill>
                    <a:latin typeface="Calibri"/>
                  </a:defRPr>
                </a:pPr>
                <a:r>
                  <a:rPr lang="es-CL" sz="1000" b="1" strike="noStrike" spc="-1">
                    <a:solidFill>
                      <a:srgbClr val="000000"/>
                    </a:solidFill>
                    <a:latin typeface="Calibri"/>
                  </a:rPr>
                  <a:t>milímetros</a:t>
                </a:r>
              </a:p>
            </c:rich>
          </c:tx>
          <c:overlay val="0"/>
          <c:spPr>
            <a:noFill/>
            <a:ln w="0">
              <a:noFill/>
            </a:ln>
          </c:spPr>
        </c:title>
        <c:numFmt formatCode="General" sourceLinked="1"/>
        <c:majorTickMark val="none"/>
        <c:minorTickMark val="none"/>
        <c:tickLblPos val="nextTo"/>
        <c:crossAx val="5123009"/>
        <c:crosses val="autoZero"/>
        <c:auto val="1"/>
        <c:lblAlgn val="ctr"/>
        <c:lblOffset val="100"/>
        <c:noMultiLvlLbl val="0"/>
      </c:catAx>
      <c:valAx>
        <c:axId val="5123009"/>
        <c:scaling>
          <c:orientation val="minMax"/>
        </c:scaling>
        <c:delete val="1"/>
        <c:axPos val="b"/>
        <c:majorGridlines>
          <c:spPr>
            <a:ln w="9360">
              <a:solidFill>
                <a:srgbClr val="878787"/>
              </a:solidFill>
              <a:round/>
            </a:ln>
          </c:spPr>
        </c:majorGridlines>
        <c:numFmt formatCode="0.00" sourceLinked="1"/>
        <c:majorTickMark val="none"/>
        <c:minorTickMark val="none"/>
        <c:tickLblPos val="nextTo"/>
        <c:crossAx val="9335157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L"/>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266700</xdr:colOff>
      <xdr:row>36</xdr:row>
      <xdr:rowOff>66675</xdr:rowOff>
    </xdr:from>
    <xdr:to>
      <xdr:col>5</xdr:col>
      <xdr:colOff>1954860</xdr:colOff>
      <xdr:row>43</xdr:row>
      <xdr:rowOff>298185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3B44"/>
  </sheetPr>
  <dimension ref="A1:Q38"/>
  <sheetViews>
    <sheetView showGridLines="0" zoomScaleNormal="100" workbookViewId="0">
      <selection sqref="A1:Q1"/>
    </sheetView>
  </sheetViews>
  <sheetFormatPr baseColWidth="10" defaultColWidth="9.140625" defaultRowHeight="15"/>
  <cols>
    <col min="1" max="1" width="18.5703125" style="14" customWidth="1"/>
    <col min="2" max="2" width="15" style="14" customWidth="1"/>
    <col min="3" max="3" width="12"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7.75" customHeight="1">
      <c r="A4" s="11" t="s">
        <v>2</v>
      </c>
      <c r="B4" s="11"/>
      <c r="C4" s="11"/>
      <c r="D4" s="11"/>
      <c r="E4" s="11"/>
      <c r="F4" s="11"/>
      <c r="G4" s="11"/>
      <c r="H4" s="11"/>
      <c r="I4" s="11"/>
      <c r="J4" s="11"/>
      <c r="K4" s="11"/>
      <c r="L4" s="11"/>
      <c r="M4" s="11"/>
      <c r="N4" s="11"/>
      <c r="O4" s="11"/>
      <c r="P4" s="11"/>
      <c r="Q4" s="11"/>
    </row>
    <row r="5" spans="1:17" ht="27.75" customHeight="1">
      <c r="A5" s="10" t="str">
        <f>HYPERLINK("#DATOS!A1","▶  DATOS")</f>
        <v>▶  DATOS</v>
      </c>
      <c r="B5" s="10"/>
      <c r="C5" s="10" t="str">
        <f>HYPERLINK("#CALIBRACION!A1","▶  CALIBRACION")</f>
        <v>▶  CALIBRACION</v>
      </c>
      <c r="D5" s="10"/>
      <c r="E5" s="10" t="str">
        <f>HYPERLINK("#TECNICA!A1","▶  TECNICA")</f>
        <v>▶  TECNICA</v>
      </c>
      <c r="F5" s="10"/>
      <c r="G5" s="10" t="str">
        <f>HYPERLINK("#FIABILIDAD!A1","▶  FIABILIDAD")</f>
        <v>▶  FIABILIDAD</v>
      </c>
      <c r="H5" s="10"/>
      <c r="I5" s="10" t="str">
        <f>HYPERLINK("#SEGUIMIENTO!A1","▶  SEGUIMIENTO")</f>
        <v>▶  SEGUIMIENTO</v>
      </c>
      <c r="J5" s="10"/>
      <c r="K5" s="10" t="str">
        <f>HYPERLINK("#FUENTES!A1","▶  FUENTES")</f>
        <v>▶  FUENTES</v>
      </c>
      <c r="L5" s="10"/>
      <c r="M5" s="10" t="str">
        <f>HYPERLINK("#PRUEBAS!A1","▶  PRUEBAS")</f>
        <v>▶  PRUEBAS</v>
      </c>
      <c r="N5" s="10"/>
      <c r="O5" s="10" t="str">
        <f>HYPERLINK("#CONFIG!A1","▶  CONFIG")</f>
        <v>▶  CONFIG</v>
      </c>
      <c r="P5" s="10"/>
      <c r="Q5" s="10"/>
    </row>
    <row r="6" spans="1:17" ht="29.25" customHeight="1">
      <c r="A6" s="9" t="s">
        <v>3</v>
      </c>
      <c r="B6" s="9"/>
      <c r="C6" s="9" t="s">
        <v>4</v>
      </c>
      <c r="D6" s="9"/>
      <c r="E6" s="9" t="s">
        <v>5</v>
      </c>
      <c r="F6" s="9"/>
      <c r="G6" s="9" t="s">
        <v>6</v>
      </c>
      <c r="H6" s="9"/>
      <c r="I6" s="9" t="s">
        <v>7</v>
      </c>
      <c r="J6" s="9"/>
      <c r="K6" s="9" t="s">
        <v>8</v>
      </c>
      <c r="L6" s="9"/>
      <c r="M6" s="9" t="s">
        <v>9</v>
      </c>
      <c r="N6" s="9"/>
      <c r="O6" s="9" t="s">
        <v>10</v>
      </c>
      <c r="P6" s="9"/>
      <c r="Q6" s="9"/>
    </row>
    <row r="7" spans="1:17" ht="27.75" customHeight="1">
      <c r="A7" s="10" t="str">
        <f>HYPERLINK("#CHANGELOG!A1","▶  CHANGELOG")</f>
        <v>▶  CHANGELOG</v>
      </c>
      <c r="B7" s="10"/>
    </row>
    <row r="8" spans="1:17" ht="29.25" customHeight="1">
      <c r="A8" s="9" t="s">
        <v>11</v>
      </c>
      <c r="B8" s="9"/>
    </row>
    <row r="10" spans="1:17" ht="15" customHeight="1">
      <c r="A10" s="8" t="s">
        <v>12</v>
      </c>
      <c r="B10" s="8"/>
      <c r="C10" s="7" t="s">
        <v>13</v>
      </c>
      <c r="D10" s="7"/>
      <c r="E10" s="7"/>
      <c r="F10" s="7"/>
      <c r="G10" s="7"/>
      <c r="H10" s="7"/>
      <c r="I10" s="7"/>
      <c r="J10" s="7"/>
      <c r="K10" s="7"/>
    </row>
    <row r="11" spans="1:17" ht="15" customHeight="1">
      <c r="A11" s="8" t="s">
        <v>14</v>
      </c>
      <c r="B11" s="8"/>
      <c r="C11" s="7" t="s">
        <v>15</v>
      </c>
      <c r="D11" s="7"/>
      <c r="E11" s="7"/>
      <c r="F11" s="7"/>
      <c r="G11" s="7"/>
      <c r="H11" s="7"/>
      <c r="I11" s="7"/>
      <c r="J11" s="7"/>
      <c r="K11" s="7"/>
    </row>
    <row r="12" spans="1:17" ht="15" customHeight="1">
      <c r="A12" s="8" t="s">
        <v>16</v>
      </c>
      <c r="B12" s="8"/>
      <c r="C12" s="7" t="s">
        <v>17</v>
      </c>
      <c r="D12" s="7"/>
      <c r="E12" s="7"/>
      <c r="F12" s="7"/>
      <c r="G12" s="7"/>
      <c r="H12" s="7"/>
      <c r="I12" s="7"/>
      <c r="J12" s="7"/>
      <c r="K12" s="7"/>
    </row>
    <row r="13" spans="1:17" ht="15" customHeight="1">
      <c r="A13" s="8" t="s">
        <v>18</v>
      </c>
      <c r="B13" s="8"/>
      <c r="C13" s="7" t="s">
        <v>19</v>
      </c>
      <c r="D13" s="7"/>
      <c r="E13" s="7"/>
      <c r="F13" s="7"/>
      <c r="G13" s="7"/>
      <c r="H13" s="7"/>
      <c r="I13" s="7"/>
      <c r="J13" s="7"/>
      <c r="K13" s="7"/>
    </row>
    <row r="14" spans="1:17" ht="15" customHeight="1">
      <c r="A14" s="8" t="s">
        <v>20</v>
      </c>
      <c r="B14" s="8"/>
      <c r="C14" s="7" t="s">
        <v>21</v>
      </c>
      <c r="D14" s="7"/>
      <c r="E14" s="7"/>
      <c r="F14" s="7"/>
      <c r="G14" s="7"/>
      <c r="H14" s="7"/>
      <c r="I14" s="7"/>
      <c r="J14" s="7"/>
      <c r="K14" s="7"/>
    </row>
    <row r="15" spans="1:17" ht="15" customHeight="1">
      <c r="A15" s="8" t="s">
        <v>22</v>
      </c>
      <c r="B15" s="8"/>
      <c r="C15" s="7" t="s">
        <v>23</v>
      </c>
      <c r="D15" s="7"/>
      <c r="E15" s="7"/>
      <c r="F15" s="7"/>
      <c r="G15" s="7"/>
      <c r="H15" s="7"/>
      <c r="I15" s="7"/>
      <c r="J15" s="7"/>
      <c r="K15" s="7"/>
    </row>
    <row r="16" spans="1:17" ht="15" customHeight="1">
      <c r="A16" s="8" t="s">
        <v>24</v>
      </c>
      <c r="B16" s="8"/>
      <c r="C16" s="7" t="s">
        <v>25</v>
      </c>
      <c r="D16" s="7"/>
      <c r="E16" s="7"/>
      <c r="F16" s="7"/>
      <c r="G16" s="7"/>
      <c r="H16" s="7"/>
      <c r="I16" s="7"/>
      <c r="J16" s="7"/>
      <c r="K16" s="7"/>
    </row>
    <row r="18" spans="1:17" ht="19.5" customHeight="1">
      <c r="A18" s="6" t="s">
        <v>26</v>
      </c>
      <c r="B18" s="6"/>
      <c r="C18" s="6"/>
      <c r="D18" s="6"/>
      <c r="E18" s="6"/>
      <c r="F18" s="6"/>
      <c r="G18" s="6"/>
      <c r="H18" s="6"/>
      <c r="I18" s="6"/>
      <c r="J18" s="6"/>
      <c r="K18" s="6"/>
      <c r="L18" s="6"/>
      <c r="M18" s="6"/>
      <c r="N18" s="6"/>
      <c r="O18" s="6"/>
      <c r="P18" s="6"/>
      <c r="Q18" s="6"/>
    </row>
    <row r="19" spans="1:17" ht="31.5" customHeight="1">
      <c r="A19" s="5" t="s">
        <v>27</v>
      </c>
      <c r="B19" s="5"/>
      <c r="C19" s="5"/>
      <c r="D19" s="5"/>
      <c r="E19" s="5"/>
      <c r="F19" s="5"/>
      <c r="G19" s="5"/>
      <c r="H19" s="5"/>
      <c r="I19" s="5"/>
      <c r="J19" s="5"/>
      <c r="K19" s="5"/>
      <c r="L19" s="5"/>
      <c r="M19" s="5"/>
      <c r="N19" s="5"/>
      <c r="O19" s="5"/>
      <c r="P19" s="5"/>
      <c r="Q19" s="5"/>
    </row>
    <row r="20" spans="1:17" ht="31.5" customHeight="1">
      <c r="A20" s="5" t="s">
        <v>28</v>
      </c>
      <c r="B20" s="5"/>
      <c r="C20" s="5"/>
      <c r="D20" s="5"/>
      <c r="E20" s="5"/>
      <c r="F20" s="5"/>
      <c r="G20" s="5"/>
      <c r="H20" s="5"/>
      <c r="I20" s="5"/>
      <c r="J20" s="5"/>
      <c r="K20" s="5"/>
      <c r="L20" s="5"/>
      <c r="M20" s="5"/>
      <c r="N20" s="5"/>
      <c r="O20" s="5"/>
      <c r="P20" s="5"/>
      <c r="Q20" s="5"/>
    </row>
    <row r="21" spans="1:17" ht="31.5" customHeight="1">
      <c r="A21" s="5" t="s">
        <v>29</v>
      </c>
      <c r="B21" s="5"/>
      <c r="C21" s="5"/>
      <c r="D21" s="5"/>
      <c r="E21" s="5"/>
      <c r="F21" s="5"/>
      <c r="G21" s="5"/>
      <c r="H21" s="5"/>
      <c r="I21" s="5"/>
      <c r="J21" s="5"/>
      <c r="K21" s="5"/>
      <c r="L21" s="5"/>
      <c r="M21" s="5"/>
      <c r="N21" s="5"/>
      <c r="O21" s="5"/>
      <c r="P21" s="5"/>
      <c r="Q21" s="5"/>
    </row>
    <row r="22" spans="1:17" ht="31.5" customHeight="1">
      <c r="A22" s="5" t="s">
        <v>30</v>
      </c>
      <c r="B22" s="5"/>
      <c r="C22" s="5"/>
      <c r="D22" s="5"/>
      <c r="E22" s="5"/>
      <c r="F22" s="5"/>
      <c r="G22" s="5"/>
      <c r="H22" s="5"/>
      <c r="I22" s="5"/>
      <c r="J22" s="5"/>
      <c r="K22" s="5"/>
      <c r="L22" s="5"/>
      <c r="M22" s="5"/>
      <c r="N22" s="5"/>
      <c r="O22" s="5"/>
      <c r="P22" s="5"/>
      <c r="Q22" s="5"/>
    </row>
    <row r="24" spans="1:17" ht="19.5" customHeight="1">
      <c r="A24" s="6" t="s">
        <v>31</v>
      </c>
      <c r="B24" s="6"/>
      <c r="C24" s="6"/>
      <c r="D24" s="6"/>
      <c r="E24" s="6"/>
      <c r="F24" s="6"/>
      <c r="G24" s="6"/>
      <c r="H24" s="6"/>
      <c r="I24" s="6"/>
      <c r="J24" s="6"/>
      <c r="K24" s="6"/>
      <c r="L24" s="6"/>
      <c r="M24" s="6"/>
      <c r="N24" s="6"/>
      <c r="O24" s="6"/>
      <c r="P24" s="6"/>
      <c r="Q24" s="6"/>
    </row>
    <row r="25" spans="1:17" ht="27.75" customHeight="1">
      <c r="A25" s="4" t="s">
        <v>32</v>
      </c>
      <c r="B25" s="4"/>
      <c r="C25" s="4"/>
      <c r="D25" s="4"/>
      <c r="E25" s="4"/>
      <c r="F25" s="4"/>
      <c r="G25" s="4"/>
      <c r="H25" s="4"/>
      <c r="I25" s="4"/>
      <c r="J25" s="4"/>
      <c r="K25" s="4"/>
      <c r="L25" s="4"/>
      <c r="M25" s="4"/>
      <c r="N25" s="4"/>
      <c r="O25" s="4"/>
      <c r="P25" s="4"/>
      <c r="Q25" s="4"/>
    </row>
    <row r="26" spans="1:17" ht="27.75" customHeight="1">
      <c r="A26" s="4" t="s">
        <v>33</v>
      </c>
      <c r="B26" s="4"/>
      <c r="C26" s="4"/>
      <c r="D26" s="4"/>
      <c r="E26" s="4"/>
      <c r="F26" s="4"/>
      <c r="G26" s="4"/>
      <c r="H26" s="4"/>
      <c r="I26" s="4"/>
      <c r="J26" s="4"/>
      <c r="K26" s="4"/>
      <c r="L26" s="4"/>
      <c r="M26" s="4"/>
      <c r="N26" s="4"/>
      <c r="O26" s="4"/>
      <c r="P26" s="4"/>
      <c r="Q26" s="4"/>
    </row>
    <row r="27" spans="1:17" ht="27.75" customHeight="1">
      <c r="A27" s="4" t="s">
        <v>34</v>
      </c>
      <c r="B27" s="4"/>
      <c r="C27" s="4"/>
      <c r="D27" s="4"/>
      <c r="E27" s="4"/>
      <c r="F27" s="4"/>
      <c r="G27" s="4"/>
      <c r="H27" s="4"/>
      <c r="I27" s="4"/>
      <c r="J27" s="4"/>
      <c r="K27" s="4"/>
      <c r="L27" s="4"/>
      <c r="M27" s="4"/>
      <c r="N27" s="4"/>
      <c r="O27" s="4"/>
      <c r="P27" s="4"/>
      <c r="Q27" s="4"/>
    </row>
    <row r="28" spans="1:17" ht="27.75" customHeight="1">
      <c r="A28" s="4" t="s">
        <v>35</v>
      </c>
      <c r="B28" s="4"/>
      <c r="C28" s="4"/>
      <c r="D28" s="4"/>
      <c r="E28" s="4"/>
      <c r="F28" s="4"/>
      <c r="G28" s="4"/>
      <c r="H28" s="4"/>
      <c r="I28" s="4"/>
      <c r="J28" s="4"/>
      <c r="K28" s="4"/>
      <c r="L28" s="4"/>
      <c r="M28" s="4"/>
      <c r="N28" s="4"/>
      <c r="O28" s="4"/>
      <c r="P28" s="4"/>
      <c r="Q28" s="4"/>
    </row>
    <row r="29" spans="1:17" ht="27.75" customHeight="1">
      <c r="A29" s="4" t="s">
        <v>36</v>
      </c>
      <c r="B29" s="4"/>
      <c r="C29" s="4"/>
      <c r="D29" s="4"/>
      <c r="E29" s="4"/>
      <c r="F29" s="4"/>
      <c r="G29" s="4"/>
      <c r="H29" s="4"/>
      <c r="I29" s="4"/>
      <c r="J29" s="4"/>
      <c r="K29" s="4"/>
      <c r="L29" s="4"/>
      <c r="M29" s="4"/>
      <c r="N29" s="4"/>
      <c r="O29" s="4"/>
      <c r="P29" s="4"/>
      <c r="Q29" s="4"/>
    </row>
    <row r="30" spans="1:17" ht="27.75" customHeight="1">
      <c r="A30" s="4" t="s">
        <v>37</v>
      </c>
      <c r="B30" s="4"/>
      <c r="C30" s="4"/>
      <c r="D30" s="4"/>
      <c r="E30" s="4"/>
      <c r="F30" s="4"/>
      <c r="G30" s="4"/>
      <c r="H30" s="4"/>
      <c r="I30" s="4"/>
      <c r="J30" s="4"/>
      <c r="K30" s="4"/>
      <c r="L30" s="4"/>
      <c r="M30" s="4"/>
      <c r="N30" s="4"/>
      <c r="O30" s="4"/>
      <c r="P30" s="4"/>
      <c r="Q30" s="4"/>
    </row>
    <row r="32" spans="1:17" ht="19.5" customHeight="1">
      <c r="A32" s="6" t="s">
        <v>38</v>
      </c>
      <c r="B32" s="6"/>
      <c r="C32" s="6"/>
      <c r="D32" s="6"/>
      <c r="E32" s="6"/>
      <c r="F32" s="6"/>
      <c r="G32" s="6"/>
      <c r="H32" s="6"/>
      <c r="I32" s="6"/>
      <c r="J32" s="6"/>
      <c r="K32" s="6"/>
      <c r="L32" s="6"/>
      <c r="M32" s="6"/>
      <c r="N32" s="6"/>
      <c r="O32" s="6"/>
      <c r="P32" s="6"/>
      <c r="Q32" s="6"/>
    </row>
    <row r="33" spans="1:17" ht="25.5" customHeight="1">
      <c r="A33" s="3">
        <v>1</v>
      </c>
      <c r="B33" s="3"/>
      <c r="C33" s="7" t="s">
        <v>39</v>
      </c>
      <c r="D33" s="7"/>
      <c r="E33" s="7"/>
      <c r="F33" s="7"/>
      <c r="G33" s="7"/>
      <c r="H33" s="7"/>
      <c r="I33" s="7"/>
      <c r="J33" s="7"/>
      <c r="K33" s="7"/>
      <c r="L33" s="7"/>
      <c r="M33" s="7"/>
      <c r="N33" s="7"/>
      <c r="O33" s="7"/>
      <c r="P33" s="7"/>
      <c r="Q33" s="7"/>
    </row>
    <row r="34" spans="1:17" ht="25.5" customHeight="1">
      <c r="A34" s="3">
        <v>2</v>
      </c>
      <c r="B34" s="3"/>
      <c r="C34" s="7" t="s">
        <v>40</v>
      </c>
      <c r="D34" s="7"/>
      <c r="E34" s="7"/>
      <c r="F34" s="7"/>
      <c r="G34" s="7"/>
      <c r="H34" s="7"/>
      <c r="I34" s="7"/>
      <c r="J34" s="7"/>
      <c r="K34" s="7"/>
      <c r="L34" s="7"/>
      <c r="M34" s="7"/>
      <c r="N34" s="7"/>
      <c r="O34" s="7"/>
      <c r="P34" s="7"/>
      <c r="Q34" s="7"/>
    </row>
    <row r="35" spans="1:17" ht="25.5" customHeight="1">
      <c r="A35" s="3">
        <v>3</v>
      </c>
      <c r="B35" s="3"/>
      <c r="C35" s="7" t="s">
        <v>41</v>
      </c>
      <c r="D35" s="7"/>
      <c r="E35" s="7"/>
      <c r="F35" s="7"/>
      <c r="G35" s="7"/>
      <c r="H35" s="7"/>
      <c r="I35" s="7"/>
      <c r="J35" s="7"/>
      <c r="K35" s="7"/>
      <c r="L35" s="7"/>
      <c r="M35" s="7"/>
      <c r="N35" s="7"/>
      <c r="O35" s="7"/>
      <c r="P35" s="7"/>
      <c r="Q35" s="7"/>
    </row>
    <row r="36" spans="1:17" ht="25.5" customHeight="1">
      <c r="A36" s="3">
        <v>4</v>
      </c>
      <c r="B36" s="3"/>
      <c r="C36" s="7" t="s">
        <v>42</v>
      </c>
      <c r="D36" s="7"/>
      <c r="E36" s="7"/>
      <c r="F36" s="7"/>
      <c r="G36" s="7"/>
      <c r="H36" s="7"/>
      <c r="I36" s="7"/>
      <c r="J36" s="7"/>
      <c r="K36" s="7"/>
      <c r="L36" s="7"/>
      <c r="M36" s="7"/>
      <c r="N36" s="7"/>
      <c r="O36" s="7"/>
      <c r="P36" s="7"/>
      <c r="Q36" s="7"/>
    </row>
    <row r="37" spans="1:17" ht="25.5" customHeight="1">
      <c r="A37" s="3">
        <v>5</v>
      </c>
      <c r="B37" s="3"/>
      <c r="C37" s="7" t="s">
        <v>43</v>
      </c>
      <c r="D37" s="7"/>
      <c r="E37" s="7"/>
      <c r="F37" s="7"/>
      <c r="G37" s="7"/>
      <c r="H37" s="7"/>
      <c r="I37" s="7"/>
      <c r="J37" s="7"/>
      <c r="K37" s="7"/>
      <c r="L37" s="7"/>
      <c r="M37" s="7"/>
      <c r="N37" s="7"/>
      <c r="O37" s="7"/>
      <c r="P37" s="7"/>
      <c r="Q37" s="7"/>
    </row>
    <row r="38" spans="1:17" ht="25.5" customHeight="1">
      <c r="A38" s="3">
        <v>6</v>
      </c>
      <c r="B38" s="3"/>
      <c r="C38" s="7" t="s">
        <v>44</v>
      </c>
      <c r="D38" s="7"/>
      <c r="E38" s="7"/>
      <c r="F38" s="7"/>
      <c r="G38" s="7"/>
      <c r="H38" s="7"/>
      <c r="I38" s="7"/>
      <c r="J38" s="7"/>
      <c r="K38" s="7"/>
      <c r="L38" s="7"/>
      <c r="M38" s="7"/>
      <c r="N38" s="7"/>
      <c r="O38" s="7"/>
      <c r="P38" s="7"/>
      <c r="Q38" s="7"/>
    </row>
  </sheetData>
  <sheetProtection algorithmName="SHA-512" hashValue="1Ph7tGWt8xdFl6lmUE4XNd6zPdAnroZU9rJQPMCYwQ85bHKYRs+okGG+pjXM5k6VtlTZk5DTT4DQUrljy/isjA==" saltValue="uYFy09rfrpPhKdxjnoIsmg==" spinCount="100000" sheet="1" objects="1" scenarios="1"/>
  <mergeCells count="60">
    <mergeCell ref="A36:B36"/>
    <mergeCell ref="C36:Q36"/>
    <mergeCell ref="A37:B37"/>
    <mergeCell ref="C37:Q37"/>
    <mergeCell ref="A38:B38"/>
    <mergeCell ref="C38:Q38"/>
    <mergeCell ref="A33:B33"/>
    <mergeCell ref="C33:Q33"/>
    <mergeCell ref="A34:B34"/>
    <mergeCell ref="C34:Q34"/>
    <mergeCell ref="A35:B35"/>
    <mergeCell ref="C35:Q35"/>
    <mergeCell ref="A27:Q27"/>
    <mergeCell ref="A28:Q28"/>
    <mergeCell ref="A29:Q29"/>
    <mergeCell ref="A30:Q30"/>
    <mergeCell ref="A32:Q32"/>
    <mergeCell ref="A21:Q21"/>
    <mergeCell ref="A22:Q22"/>
    <mergeCell ref="A24:Q24"/>
    <mergeCell ref="A25:Q25"/>
    <mergeCell ref="A26:Q26"/>
    <mergeCell ref="A16:B16"/>
    <mergeCell ref="C16:K16"/>
    <mergeCell ref="A18:Q18"/>
    <mergeCell ref="A19:Q19"/>
    <mergeCell ref="A20:Q20"/>
    <mergeCell ref="A13:B13"/>
    <mergeCell ref="C13:K13"/>
    <mergeCell ref="A14:B14"/>
    <mergeCell ref="C14:K14"/>
    <mergeCell ref="A15:B15"/>
    <mergeCell ref="C15:K15"/>
    <mergeCell ref="A10:B10"/>
    <mergeCell ref="C10:K10"/>
    <mergeCell ref="A11:B11"/>
    <mergeCell ref="C11:K11"/>
    <mergeCell ref="A12:B12"/>
    <mergeCell ref="C12:K12"/>
    <mergeCell ref="K6:L6"/>
    <mergeCell ref="M6:N6"/>
    <mergeCell ref="O6:Q6"/>
    <mergeCell ref="A7:B7"/>
    <mergeCell ref="A8:B8"/>
    <mergeCell ref="A6:B6"/>
    <mergeCell ref="C6:D6"/>
    <mergeCell ref="E6:F6"/>
    <mergeCell ref="G6:H6"/>
    <mergeCell ref="I6:J6"/>
    <mergeCell ref="A1:Q1"/>
    <mergeCell ref="A2:Q3"/>
    <mergeCell ref="A4:Q4"/>
    <mergeCell ref="A5:B5"/>
    <mergeCell ref="C5:D5"/>
    <mergeCell ref="E5:F5"/>
    <mergeCell ref="G5:H5"/>
    <mergeCell ref="I5:J5"/>
    <mergeCell ref="K5:L5"/>
    <mergeCell ref="M5:N5"/>
    <mergeCell ref="O5:Q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CEFCE"/>
  </sheetPr>
  <dimension ref="A1:Q31"/>
  <sheetViews>
    <sheetView showGridLines="0" zoomScaleNormal="100" workbookViewId="0">
      <selection activeCell="S11" sqref="S11"/>
    </sheetView>
  </sheetViews>
  <sheetFormatPr baseColWidth="10" defaultColWidth="9.140625" defaultRowHeight="15"/>
  <cols>
    <col min="1" max="1" width="18.5703125" style="14" customWidth="1"/>
    <col min="2" max="2" width="33.140625" style="14" customWidth="1"/>
    <col min="3" max="3" width="12"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45</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5" customHeight="1">
      <c r="A6" s="2" t="s">
        <v>46</v>
      </c>
      <c r="B6" s="2"/>
      <c r="C6" s="2"/>
      <c r="D6" s="2"/>
      <c r="E6" s="2"/>
      <c r="F6" s="2"/>
      <c r="G6" s="2"/>
      <c r="H6" s="2"/>
      <c r="I6" s="2"/>
      <c r="J6" s="2"/>
      <c r="K6" s="2"/>
      <c r="L6" s="2"/>
      <c r="M6" s="2"/>
      <c r="N6" s="2"/>
      <c r="O6" s="2"/>
      <c r="P6" s="2"/>
      <c r="Q6" s="2"/>
    </row>
    <row r="7" spans="1:17" ht="15" customHeight="1">
      <c r="A7" s="2"/>
      <c r="B7" s="2"/>
      <c r="C7" s="2"/>
      <c r="D7" s="2"/>
      <c r="E7" s="2"/>
      <c r="F7" s="2"/>
      <c r="G7" s="2"/>
      <c r="H7" s="2"/>
      <c r="I7" s="2"/>
      <c r="J7" s="2"/>
      <c r="K7" s="2"/>
      <c r="L7" s="2"/>
      <c r="M7" s="2"/>
      <c r="N7" s="2"/>
      <c r="O7" s="2"/>
      <c r="P7" s="2"/>
      <c r="Q7" s="2"/>
    </row>
    <row r="8" spans="1:17" ht="15" customHeight="1">
      <c r="A8" s="2"/>
      <c r="B8" s="2"/>
      <c r="C8" s="2"/>
      <c r="D8" s="2"/>
      <c r="E8" s="2"/>
      <c r="F8" s="2"/>
      <c r="G8" s="2"/>
      <c r="H8" s="2"/>
      <c r="I8" s="2"/>
      <c r="J8" s="2"/>
      <c r="K8" s="2"/>
      <c r="L8" s="2"/>
      <c r="M8" s="2"/>
      <c r="N8" s="2"/>
      <c r="O8" s="2"/>
      <c r="P8" s="2"/>
      <c r="Q8" s="2"/>
    </row>
    <row r="10" spans="1:17" ht="19.5" customHeight="1">
      <c r="A10" s="6" t="s">
        <v>47</v>
      </c>
      <c r="B10" s="6"/>
      <c r="C10" s="6"/>
      <c r="D10" s="6"/>
      <c r="E10" s="6"/>
      <c r="F10" s="6"/>
      <c r="G10" s="6"/>
      <c r="H10" s="6"/>
      <c r="I10" s="6"/>
      <c r="J10" s="6"/>
      <c r="K10" s="6"/>
      <c r="L10" s="6"/>
      <c r="M10" s="6"/>
      <c r="N10" s="6"/>
      <c r="O10" s="6"/>
      <c r="P10" s="6"/>
      <c r="Q10" s="6"/>
    </row>
    <row r="11" spans="1:17" ht="18" customHeight="1">
      <c r="A11" s="8" t="s">
        <v>48</v>
      </c>
      <c r="B11" s="8"/>
      <c r="C11" s="1" t="s">
        <v>49</v>
      </c>
      <c r="D11" s="1"/>
      <c r="E11" s="1"/>
      <c r="F11" s="1"/>
      <c r="G11" s="1"/>
      <c r="H11" s="1"/>
      <c r="I11" s="1"/>
      <c r="J11" s="1"/>
      <c r="K11" s="1"/>
    </row>
    <row r="12" spans="1:17" ht="18" customHeight="1">
      <c r="A12" s="8" t="s">
        <v>50</v>
      </c>
      <c r="B12" s="8"/>
      <c r="C12" s="1" t="s">
        <v>51</v>
      </c>
      <c r="D12" s="1"/>
      <c r="E12" s="1"/>
      <c r="F12" s="1"/>
      <c r="G12" s="1"/>
      <c r="H12" s="1"/>
      <c r="I12" s="1"/>
      <c r="J12" s="1"/>
      <c r="K12" s="1"/>
    </row>
    <row r="13" spans="1:17" ht="18" customHeight="1">
      <c r="A13" s="8" t="s">
        <v>52</v>
      </c>
      <c r="B13" s="8"/>
      <c r="C13" s="1" t="s">
        <v>51</v>
      </c>
      <c r="D13" s="1"/>
      <c r="E13" s="1"/>
      <c r="F13" s="1"/>
      <c r="G13" s="1"/>
      <c r="H13" s="1"/>
      <c r="I13" s="1"/>
      <c r="J13" s="1"/>
      <c r="K13" s="1"/>
      <c r="L13" s="45" t="s">
        <v>53</v>
      </c>
      <c r="M13" s="45"/>
      <c r="N13" s="45"/>
      <c r="O13" s="45"/>
      <c r="P13" s="45"/>
      <c r="Q13" s="45"/>
    </row>
    <row r="14" spans="1:17" ht="18" customHeight="1">
      <c r="A14" s="8" t="s">
        <v>54</v>
      </c>
      <c r="B14" s="8"/>
      <c r="C14" s="1" t="s">
        <v>55</v>
      </c>
      <c r="D14" s="1"/>
      <c r="E14" s="1"/>
      <c r="F14" s="1"/>
      <c r="G14" s="1"/>
      <c r="H14" s="1"/>
      <c r="I14" s="1"/>
      <c r="J14" s="1"/>
      <c r="K14" s="1"/>
    </row>
    <row r="15" spans="1:17" ht="18" customHeight="1">
      <c r="A15" s="8" t="s">
        <v>56</v>
      </c>
      <c r="B15" s="8"/>
      <c r="C15" s="1">
        <v>10</v>
      </c>
      <c r="D15" s="1"/>
      <c r="E15" s="1"/>
      <c r="F15" s="1"/>
      <c r="G15" s="1"/>
      <c r="H15" s="1"/>
      <c r="I15" s="1"/>
      <c r="J15" s="1"/>
      <c r="K15" s="1"/>
      <c r="L15" s="45" t="s">
        <v>57</v>
      </c>
      <c r="M15" s="45"/>
      <c r="N15" s="45"/>
      <c r="O15" s="45"/>
      <c r="P15" s="45"/>
      <c r="Q15" s="45"/>
    </row>
    <row r="16" spans="1:17" ht="18" customHeight="1">
      <c r="A16" s="8" t="s">
        <v>58</v>
      </c>
      <c r="B16" s="8"/>
      <c r="C16" s="1" t="s">
        <v>59</v>
      </c>
      <c r="D16" s="1"/>
      <c r="E16" s="1"/>
      <c r="F16" s="1"/>
      <c r="G16" s="1"/>
      <c r="H16" s="1"/>
      <c r="I16" s="1"/>
      <c r="J16" s="1"/>
      <c r="K16" s="1"/>
    </row>
    <row r="17" spans="1:17" ht="18" customHeight="1">
      <c r="A17" s="8" t="s">
        <v>60</v>
      </c>
      <c r="B17" s="8"/>
      <c r="C17" s="1">
        <v>0.2</v>
      </c>
      <c r="D17" s="1"/>
      <c r="E17" s="1"/>
      <c r="F17" s="1"/>
      <c r="G17" s="1"/>
      <c r="H17" s="1"/>
      <c r="I17" s="1"/>
      <c r="J17" s="1"/>
      <c r="K17" s="1"/>
      <c r="L17" s="45" t="s">
        <v>61</v>
      </c>
      <c r="M17" s="45"/>
      <c r="N17" s="45"/>
      <c r="O17" s="45"/>
      <c r="P17" s="45"/>
      <c r="Q17" s="45"/>
    </row>
    <row r="18" spans="1:17" ht="18" customHeight="1">
      <c r="A18" s="8" t="s">
        <v>62</v>
      </c>
      <c r="B18" s="8"/>
      <c r="C18" s="1" t="s">
        <v>63</v>
      </c>
      <c r="D18" s="1"/>
      <c r="E18" s="1"/>
      <c r="F18" s="1"/>
      <c r="G18" s="1"/>
      <c r="H18" s="1"/>
      <c r="I18" s="1"/>
      <c r="J18" s="1"/>
      <c r="K18" s="1"/>
    </row>
    <row r="19" spans="1:17" ht="18" customHeight="1">
      <c r="A19" s="8" t="s">
        <v>64</v>
      </c>
      <c r="B19" s="8"/>
      <c r="C19" s="1" t="s">
        <v>65</v>
      </c>
      <c r="D19" s="1"/>
      <c r="E19" s="1"/>
      <c r="F19" s="1"/>
      <c r="G19" s="1"/>
      <c r="H19" s="1"/>
      <c r="I19" s="1"/>
      <c r="J19" s="1"/>
      <c r="K19" s="1"/>
    </row>
    <row r="21" spans="1:17" ht="19.5" customHeight="1">
      <c r="A21" s="6" t="s">
        <v>66</v>
      </c>
      <c r="B21" s="6"/>
      <c r="C21" s="6"/>
      <c r="D21" s="6"/>
      <c r="E21" s="6"/>
      <c r="F21" s="6"/>
      <c r="G21" s="6"/>
      <c r="H21" s="6"/>
      <c r="I21" s="6"/>
      <c r="J21" s="6"/>
      <c r="K21" s="6"/>
      <c r="L21" s="6"/>
      <c r="M21" s="6"/>
      <c r="N21" s="6"/>
      <c r="O21" s="6"/>
      <c r="P21" s="6"/>
      <c r="Q21" s="6"/>
    </row>
    <row r="22" spans="1:17" ht="18" customHeight="1">
      <c r="A22" s="8" t="s">
        <v>67</v>
      </c>
      <c r="B22" s="8"/>
      <c r="C22" s="1" t="s">
        <v>68</v>
      </c>
      <c r="D22" s="1"/>
      <c r="E22" s="1"/>
      <c r="F22" s="1"/>
      <c r="G22" s="1"/>
      <c r="H22" s="1"/>
      <c r="I22" s="1"/>
      <c r="J22" s="1"/>
      <c r="K22" s="1"/>
    </row>
    <row r="23" spans="1:17" ht="18" customHeight="1">
      <c r="A23" s="8" t="s">
        <v>69</v>
      </c>
      <c r="B23" s="8"/>
      <c r="C23" s="1" t="s">
        <v>70</v>
      </c>
      <c r="D23" s="1"/>
      <c r="E23" s="1"/>
      <c r="F23" s="1"/>
      <c r="G23" s="1"/>
      <c r="H23" s="1"/>
      <c r="I23" s="1"/>
      <c r="J23" s="1"/>
      <c r="K23" s="1"/>
      <c r="L23" s="45" t="s">
        <v>71</v>
      </c>
      <c r="M23" s="45"/>
      <c r="N23" s="45"/>
      <c r="O23" s="45"/>
      <c r="P23" s="45"/>
      <c r="Q23" s="45"/>
    </row>
    <row r="24" spans="1:17" ht="18" customHeight="1">
      <c r="A24" s="8" t="s">
        <v>72</v>
      </c>
      <c r="B24" s="8"/>
      <c r="C24" s="1" t="s">
        <v>63</v>
      </c>
      <c r="D24" s="1"/>
      <c r="E24" s="1"/>
      <c r="F24" s="1"/>
      <c r="G24" s="1"/>
      <c r="H24" s="1"/>
      <c r="I24" s="1"/>
      <c r="J24" s="1"/>
      <c r="K24" s="1"/>
    </row>
    <row r="25" spans="1:17" ht="18" customHeight="1">
      <c r="A25" s="8" t="s">
        <v>73</v>
      </c>
      <c r="B25" s="8"/>
      <c r="C25" s="1">
        <v>120</v>
      </c>
      <c r="D25" s="1"/>
      <c r="E25" s="1"/>
      <c r="F25" s="1"/>
      <c r="G25" s="1"/>
      <c r="H25" s="1"/>
      <c r="I25" s="1"/>
      <c r="J25" s="1"/>
      <c r="K25" s="1"/>
    </row>
    <row r="26" spans="1:17" ht="18" customHeight="1">
      <c r="A26" s="8" t="s">
        <v>74</v>
      </c>
      <c r="B26" s="8"/>
      <c r="C26" s="1" t="s">
        <v>75</v>
      </c>
      <c r="D26" s="1"/>
      <c r="E26" s="1"/>
      <c r="F26" s="1"/>
      <c r="G26" s="1"/>
      <c r="H26" s="1"/>
      <c r="I26" s="1"/>
      <c r="J26" s="1"/>
      <c r="K26" s="1"/>
      <c r="L26" s="45" t="s">
        <v>76</v>
      </c>
      <c r="M26" s="45"/>
      <c r="N26" s="45"/>
      <c r="O26" s="45"/>
      <c r="P26" s="45"/>
      <c r="Q26" s="45"/>
    </row>
    <row r="27" spans="1:17" ht="18" customHeight="1">
      <c r="A27" s="8" t="s">
        <v>77</v>
      </c>
      <c r="B27" s="8"/>
      <c r="C27" s="1" t="s">
        <v>51</v>
      </c>
      <c r="D27" s="1"/>
      <c r="E27" s="1"/>
      <c r="F27" s="1"/>
      <c r="G27" s="1"/>
      <c r="H27" s="1"/>
      <c r="I27" s="1"/>
      <c r="J27" s="1"/>
      <c r="K27" s="1"/>
    </row>
    <row r="29" spans="1:17" ht="15" customHeight="1">
      <c r="A29" s="46" t="s">
        <v>78</v>
      </c>
      <c r="B29" s="46"/>
      <c r="C29" s="46"/>
      <c r="D29" s="46"/>
      <c r="E29" s="46"/>
      <c r="F29" s="46"/>
      <c r="G29" s="46"/>
      <c r="H29" s="46"/>
      <c r="I29" s="46"/>
      <c r="J29" s="46"/>
      <c r="K29" s="46"/>
      <c r="L29" s="46"/>
      <c r="M29" s="46"/>
      <c r="N29" s="46"/>
      <c r="O29" s="46"/>
      <c r="P29" s="46"/>
      <c r="Q29" s="46"/>
    </row>
    <row r="30" spans="1:17" ht="15" customHeight="1">
      <c r="A30" s="46"/>
      <c r="B30" s="46"/>
      <c r="C30" s="46"/>
      <c r="D30" s="46"/>
      <c r="E30" s="46"/>
      <c r="F30" s="46"/>
      <c r="G30" s="46"/>
      <c r="H30" s="46"/>
      <c r="I30" s="46"/>
      <c r="J30" s="46"/>
      <c r="K30" s="46"/>
      <c r="L30" s="46"/>
      <c r="M30" s="46"/>
      <c r="N30" s="46"/>
      <c r="O30" s="46"/>
      <c r="P30" s="46"/>
      <c r="Q30" s="46"/>
    </row>
    <row r="31" spans="1:17" ht="15" customHeight="1">
      <c r="A31" s="46"/>
      <c r="B31" s="46"/>
      <c r="C31" s="46"/>
      <c r="D31" s="46"/>
      <c r="E31" s="46"/>
      <c r="F31" s="46"/>
      <c r="G31" s="46"/>
      <c r="H31" s="46"/>
      <c r="I31" s="46"/>
      <c r="J31" s="46"/>
      <c r="K31" s="46"/>
      <c r="L31" s="46"/>
      <c r="M31" s="46"/>
      <c r="N31" s="46"/>
      <c r="O31" s="46"/>
      <c r="P31" s="46"/>
      <c r="Q31" s="46"/>
    </row>
  </sheetData>
  <sheetProtection algorithmName="SHA-512" hashValue="Bm3zr22MOPVNbX/N9u+6GI9nzeoxJCeuHKKv90vs9MXsV+/D80a/pvDCQRKgKUzow2TIoAvjEQHFjYpO4rx5Lg==" saltValue="Ig1uvGCN9+Pnxm/csfhSnQ==" spinCount="100000" sheet="1" objects="1" scenarios="1"/>
  <protectedRanges>
    <protectedRange sqref="C22:K27" name="Rango2"/>
    <protectedRange sqref="C11:K19" name="Rango1"/>
  </protectedRanges>
  <mergeCells count="42">
    <mergeCell ref="L26:Q26"/>
    <mergeCell ref="A27:B27"/>
    <mergeCell ref="C27:K27"/>
    <mergeCell ref="A29:Q31"/>
    <mergeCell ref="A24:B24"/>
    <mergeCell ref="C24:K24"/>
    <mergeCell ref="A25:B25"/>
    <mergeCell ref="C25:K25"/>
    <mergeCell ref="A26:B26"/>
    <mergeCell ref="C26:K26"/>
    <mergeCell ref="A22:B22"/>
    <mergeCell ref="C22:K22"/>
    <mergeCell ref="A23:B23"/>
    <mergeCell ref="C23:K23"/>
    <mergeCell ref="L23:Q23"/>
    <mergeCell ref="A18:B18"/>
    <mergeCell ref="C18:K18"/>
    <mergeCell ref="A19:B19"/>
    <mergeCell ref="C19:K19"/>
    <mergeCell ref="A21:Q21"/>
    <mergeCell ref="A16:B16"/>
    <mergeCell ref="C16:K16"/>
    <mergeCell ref="A17:B17"/>
    <mergeCell ref="C17:K17"/>
    <mergeCell ref="L17:Q17"/>
    <mergeCell ref="L13:Q13"/>
    <mergeCell ref="A14:B14"/>
    <mergeCell ref="C14:K14"/>
    <mergeCell ref="A15:B15"/>
    <mergeCell ref="C15:K15"/>
    <mergeCell ref="L15:Q15"/>
    <mergeCell ref="A11:B11"/>
    <mergeCell ref="C11:K11"/>
    <mergeCell ref="A12:B12"/>
    <mergeCell ref="C12:K12"/>
    <mergeCell ref="A13:B13"/>
    <mergeCell ref="C13:K13"/>
    <mergeCell ref="A1:Q1"/>
    <mergeCell ref="A2:Q3"/>
    <mergeCell ref="A4:B4"/>
    <mergeCell ref="A6:Q8"/>
    <mergeCell ref="A10:Q10"/>
  </mergeCells>
  <dataValidations count="4">
    <dataValidation type="list" allowBlank="1" sqref="C11" xr:uid="{00000000-0002-0000-0100-000000000000}">
      <formula1>lst_marca</formula1>
      <formula2>0</formula2>
    </dataValidation>
    <dataValidation type="list" allowBlank="1" sqref="C19" xr:uid="{00000000-0002-0000-0100-000001000000}">
      <formula1>lst_estado</formula1>
      <formula2>0</formula2>
    </dataValidation>
    <dataValidation type="list" allowBlank="1" sqref="C23" xr:uid="{00000000-0002-0000-0100-000002000000}">
      <formula1>lst_nivel</formula1>
      <formula2>0</formula2>
    </dataValidation>
    <dataValidation type="list" allowBlank="1" sqref="C26" xr:uid="{00000000-0002-0000-0100-000003000000}">
      <formula1>lst_si</formula1>
      <formula2>0</formula2>
    </dataValidation>
  </dataValidation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7E0F5"/>
  </sheetPr>
  <dimension ref="A1:Q33"/>
  <sheetViews>
    <sheetView showGridLines="0" topLeftCell="A7" zoomScaleNormal="100" workbookViewId="0">
      <selection activeCell="J23" sqref="J23"/>
    </sheetView>
  </sheetViews>
  <sheetFormatPr baseColWidth="10" defaultColWidth="9.140625" defaultRowHeight="15"/>
  <cols>
    <col min="1" max="1" width="30" style="14" customWidth="1"/>
    <col min="2" max="2" width="28.42578125" style="14" customWidth="1"/>
    <col min="3" max="6" width="13" style="14" customWidth="1"/>
    <col min="7" max="7" width="14" style="14" customWidth="1"/>
    <col min="8" max="8" width="44"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79</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5" customHeight="1">
      <c r="A6" s="46" t="s">
        <v>80</v>
      </c>
      <c r="B6" s="46"/>
      <c r="C6" s="46"/>
      <c r="D6" s="46"/>
      <c r="E6" s="46"/>
      <c r="F6" s="46"/>
      <c r="G6" s="46"/>
      <c r="H6" s="46"/>
      <c r="I6" s="46"/>
      <c r="J6" s="46"/>
      <c r="K6" s="46"/>
      <c r="L6" s="46"/>
      <c r="M6" s="46"/>
      <c r="N6" s="46"/>
      <c r="O6" s="46"/>
      <c r="P6" s="46"/>
      <c r="Q6" s="46"/>
    </row>
    <row r="7" spans="1:17" ht="15" customHeight="1">
      <c r="A7" s="46"/>
      <c r="B7" s="46"/>
      <c r="C7" s="46"/>
      <c r="D7" s="46"/>
      <c r="E7" s="46"/>
      <c r="F7" s="46"/>
      <c r="G7" s="46"/>
      <c r="H7" s="46"/>
      <c r="I7" s="46"/>
      <c r="J7" s="46"/>
      <c r="K7" s="46"/>
      <c r="L7" s="46"/>
      <c r="M7" s="46"/>
      <c r="N7" s="46"/>
      <c r="O7" s="46"/>
      <c r="P7" s="46"/>
      <c r="Q7" s="46"/>
    </row>
    <row r="8" spans="1:17" ht="15" customHeight="1">
      <c r="A8" s="46"/>
      <c r="B8" s="46"/>
      <c r="C8" s="46"/>
      <c r="D8" s="46"/>
      <c r="E8" s="46"/>
      <c r="F8" s="46"/>
      <c r="G8" s="46"/>
      <c r="H8" s="46"/>
      <c r="I8" s="46"/>
      <c r="J8" s="46"/>
      <c r="K8" s="46"/>
      <c r="L8" s="46"/>
      <c r="M8" s="46"/>
      <c r="N8" s="46"/>
      <c r="O8" s="46"/>
      <c r="P8" s="46"/>
      <c r="Q8" s="46"/>
    </row>
    <row r="10" spans="1:17" ht="19.5" customHeight="1">
      <c r="A10" s="6" t="s">
        <v>81</v>
      </c>
      <c r="B10" s="6"/>
      <c r="C10" s="6"/>
      <c r="D10" s="6"/>
      <c r="E10" s="6"/>
      <c r="F10" s="6"/>
      <c r="G10" s="6"/>
      <c r="H10" s="6"/>
      <c r="I10" s="6"/>
      <c r="J10" s="6"/>
      <c r="K10" s="6"/>
      <c r="L10" s="6"/>
      <c r="M10" s="6"/>
      <c r="N10" s="6"/>
      <c r="O10" s="6"/>
      <c r="P10" s="6"/>
      <c r="Q10" s="6"/>
    </row>
    <row r="11" spans="1:17" ht="30" customHeight="1">
      <c r="A11" s="16" t="s">
        <v>82</v>
      </c>
      <c r="B11" s="16" t="s">
        <v>83</v>
      </c>
      <c r="C11" s="16" t="s">
        <v>84</v>
      </c>
      <c r="D11" s="16" t="s">
        <v>85</v>
      </c>
      <c r="E11" s="16" t="s">
        <v>86</v>
      </c>
      <c r="F11" s="16" t="s">
        <v>87</v>
      </c>
      <c r="G11" s="16" t="s">
        <v>88</v>
      </c>
      <c r="H11" s="16" t="s">
        <v>89</v>
      </c>
    </row>
    <row r="12" spans="1:17" ht="15" customHeight="1">
      <c r="A12" s="17" t="s">
        <v>90</v>
      </c>
      <c r="B12" s="18">
        <v>10</v>
      </c>
      <c r="C12" s="18">
        <v>10</v>
      </c>
      <c r="D12" s="18">
        <v>10.1</v>
      </c>
      <c r="E12" s="18">
        <v>10</v>
      </c>
      <c r="F12" s="19">
        <f>IF(COUNT(C12:E12)=0,"ND",AVERAGE(C12:E12))</f>
        <v>10.033333333333333</v>
      </c>
      <c r="G12" s="19">
        <f>IF(OR(NOT(ISNUMBER(F12)),NOT(ISNUMBER(B12))),"ND",F12-B12)</f>
        <v>3.3333333333333215E-2</v>
      </c>
      <c r="H12" s="20" t="str">
        <f>IF(NOT(ISNUMBER(G12)),"ND",IF(ABS(G12)&lt;=u_patron,"Dentro de tolerancia","FUERA DE TOLERANCIA: el instrumento requiere ajuste"))</f>
        <v>Dentro de tolerancia</v>
      </c>
    </row>
    <row r="13" spans="1:17" ht="15" customHeight="1">
      <c r="A13" s="17" t="s">
        <v>91</v>
      </c>
      <c r="B13" s="18">
        <v>20</v>
      </c>
      <c r="C13" s="18">
        <v>20</v>
      </c>
      <c r="D13" s="18">
        <v>20</v>
      </c>
      <c r="E13" s="18">
        <v>20.100000000000001</v>
      </c>
      <c r="F13" s="19">
        <f>IF(COUNT(C13:E13)=0,"ND",AVERAGE(C13:E13))</f>
        <v>20.033333333333335</v>
      </c>
      <c r="G13" s="19">
        <f>IF(OR(NOT(ISNUMBER(F13)),NOT(ISNUMBER(B13))),"ND",F13-B13)</f>
        <v>3.3333333333334991E-2</v>
      </c>
      <c r="H13" s="20" t="str">
        <f>IF(NOT(ISNUMBER(G13)),"ND",IF(ABS(G13)&lt;=u_patron,"Dentro de tolerancia","FUERA DE TOLERANCIA: el instrumento requiere ajuste"))</f>
        <v>Dentro de tolerancia</v>
      </c>
    </row>
    <row r="14" spans="1:17" ht="15" customHeight="1">
      <c r="A14" s="17" t="s">
        <v>92</v>
      </c>
      <c r="B14" s="18">
        <v>40</v>
      </c>
      <c r="C14" s="18">
        <v>40.200000000000003</v>
      </c>
      <c r="D14" s="18">
        <v>40.1</v>
      </c>
      <c r="E14" s="18">
        <v>40.200000000000003</v>
      </c>
      <c r="F14" s="19">
        <f>IF(COUNT(C14:E14)=0,"ND",AVERAGE(C14:E14))</f>
        <v>40.166666666666671</v>
      </c>
      <c r="G14" s="19">
        <f>IF(OR(NOT(ISNUMBER(F14)),NOT(ISNUMBER(B14))),"ND",F14-B14)</f>
        <v>0.1666666666666714</v>
      </c>
      <c r="H14" s="20" t="str">
        <f>IF(NOT(ISNUMBER(G14)),"ND",IF(ABS(G14)&lt;=u_patron,"Dentro de tolerancia","FUERA DE TOLERANCIA: el instrumento requiere ajuste"))</f>
        <v>Dentro de tolerancia</v>
      </c>
    </row>
    <row r="15" spans="1:17" ht="15" customHeight="1">
      <c r="A15" s="17" t="s">
        <v>93</v>
      </c>
      <c r="B15" s="18">
        <v>60</v>
      </c>
      <c r="C15" s="18">
        <v>60.1</v>
      </c>
      <c r="D15" s="18">
        <v>60.2</v>
      </c>
      <c r="E15" s="18">
        <v>60.1</v>
      </c>
      <c r="F15" s="19">
        <f>IF(COUNT(C15:E15)=0,"ND",AVERAGE(C15:E15))</f>
        <v>60.133333333333333</v>
      </c>
      <c r="G15" s="19">
        <f>IF(OR(NOT(ISNUMBER(F15)),NOT(ISNUMBER(B15))),"ND",F15-B15)</f>
        <v>0.13333333333333286</v>
      </c>
      <c r="H15" s="20" t="str">
        <f>IF(NOT(ISNUMBER(G15)),"ND",IF(ABS(G15)&lt;=u_patron,"Dentro de tolerancia","FUERA DE TOLERANCIA: el instrumento requiere ajuste"))</f>
        <v>Dentro de tolerancia</v>
      </c>
    </row>
    <row r="16" spans="1:17" ht="15" customHeight="1">
      <c r="A16" s="47" t="s">
        <v>94</v>
      </c>
      <c r="B16" s="47"/>
      <c r="C16" s="47"/>
      <c r="D16" s="47"/>
      <c r="E16" s="47"/>
      <c r="F16" s="47"/>
      <c r="G16" s="22">
        <f>IF(COUNT(G12:G15)=0,"ND",AVERAGE(G12:G15))</f>
        <v>9.1666666666668117E-2</v>
      </c>
      <c r="H16" s="23" t="str">
        <f>IF(NOT(ISNUMBER(G16)),"ND",IF(ABS(G16)&lt;=u_patron,"Instrumento apto para uso","Instrumento NO apto: derive a ajuste antes de seguir midiendo"))</f>
        <v>Instrumento apto para uso</v>
      </c>
    </row>
    <row r="18" spans="1:17" ht="19.5" customHeight="1">
      <c r="A18" s="6" t="s">
        <v>95</v>
      </c>
      <c r="B18" s="6"/>
      <c r="C18" s="6"/>
      <c r="D18" s="6"/>
      <c r="E18" s="6"/>
      <c r="F18" s="6"/>
      <c r="G18" s="6"/>
      <c r="H18" s="6"/>
      <c r="I18" s="6"/>
      <c r="J18" s="6"/>
      <c r="K18" s="6"/>
      <c r="L18" s="6"/>
      <c r="M18" s="6"/>
      <c r="N18" s="6"/>
      <c r="O18" s="6"/>
      <c r="P18" s="6"/>
      <c r="Q18" s="6"/>
    </row>
    <row r="19" spans="1:17" ht="18" customHeight="1">
      <c r="A19" s="8" t="s">
        <v>96</v>
      </c>
      <c r="B19" s="8"/>
      <c r="C19" s="48" t="s">
        <v>75</v>
      </c>
      <c r="D19" s="48"/>
      <c r="E19" s="48"/>
      <c r="F19" s="48"/>
      <c r="G19" s="48"/>
      <c r="H19" s="48"/>
    </row>
    <row r="20" spans="1:17" ht="18" customHeight="1">
      <c r="A20" s="8" t="s">
        <v>97</v>
      </c>
      <c r="B20" s="8"/>
      <c r="C20" s="48" t="s">
        <v>75</v>
      </c>
      <c r="D20" s="48"/>
      <c r="E20" s="48"/>
      <c r="F20" s="48"/>
      <c r="G20" s="48"/>
      <c r="H20" s="48"/>
    </row>
    <row r="21" spans="1:17" ht="24" customHeight="1">
      <c r="A21" s="8" t="s">
        <v>98</v>
      </c>
      <c r="B21" s="8"/>
      <c r="C21" s="48" t="s">
        <v>75</v>
      </c>
      <c r="D21" s="48"/>
      <c r="E21" s="48"/>
      <c r="F21" s="48"/>
      <c r="G21" s="48"/>
      <c r="H21" s="48"/>
    </row>
    <row r="22" spans="1:17" ht="27.75" customHeight="1">
      <c r="A22" s="49" t="s">
        <v>99</v>
      </c>
      <c r="B22" s="49"/>
      <c r="C22" s="48" t="s">
        <v>75</v>
      </c>
      <c r="D22" s="48"/>
      <c r="E22" s="48"/>
      <c r="F22" s="48"/>
      <c r="G22" s="48"/>
      <c r="H22" s="48"/>
    </row>
    <row r="23" spans="1:17" ht="27.75" customHeight="1">
      <c r="A23" s="8" t="s">
        <v>100</v>
      </c>
      <c r="B23" s="8"/>
      <c r="C23" s="48" t="s">
        <v>75</v>
      </c>
      <c r="D23" s="48"/>
      <c r="E23" s="48"/>
      <c r="F23" s="48"/>
      <c r="G23" s="48"/>
      <c r="H23" s="48"/>
    </row>
    <row r="24" spans="1:17" ht="29.25" customHeight="1">
      <c r="A24" s="49" t="s">
        <v>101</v>
      </c>
      <c r="B24" s="49"/>
      <c r="C24" s="48" t="s">
        <v>102</v>
      </c>
      <c r="D24" s="48"/>
      <c r="E24" s="48"/>
      <c r="F24" s="48"/>
      <c r="G24" s="48"/>
      <c r="H24" s="48"/>
    </row>
    <row r="26" spans="1:17" ht="18" customHeight="1">
      <c r="A26" s="8" t="s">
        <v>103</v>
      </c>
      <c r="B26" s="8"/>
      <c r="C26" s="50">
        <f>COUNTIF(C19:C23,"Sí")+COUNTIF(C24,"No")</f>
        <v>6</v>
      </c>
      <c r="D26" s="50"/>
      <c r="E26" s="50"/>
      <c r="F26" s="50"/>
      <c r="G26" s="50"/>
      <c r="H26" s="50"/>
      <c r="I26" s="50"/>
      <c r="J26" s="50"/>
      <c r="K26" s="50"/>
      <c r="L26" s="45" t="s">
        <v>104</v>
      </c>
      <c r="M26" s="45"/>
      <c r="N26" s="45"/>
      <c r="O26" s="45"/>
      <c r="P26" s="45"/>
      <c r="Q26" s="45"/>
    </row>
    <row r="27" spans="1:17" ht="27.75" customHeight="1">
      <c r="A27" s="8" t="s">
        <v>105</v>
      </c>
      <c r="B27" s="8"/>
      <c r="C27" s="51" t="str">
        <f>IF(C26=6,"Revisión mecánica conforme en los seis puntos.","REVISAR: "&amp;(6-C26)&amp;" punto(s) no conforme(s). Resuélvalos antes de usar el instrumento.")</f>
        <v>Revisión mecánica conforme en los seis puntos.</v>
      </c>
      <c r="D27" s="51"/>
      <c r="E27" s="51"/>
      <c r="F27" s="51"/>
      <c r="G27" s="51"/>
      <c r="H27" s="51"/>
      <c r="I27" s="51"/>
      <c r="J27" s="51"/>
      <c r="K27" s="51"/>
    </row>
    <row r="28" spans="1:17" ht="25.5" customHeight="1">
      <c r="A28" s="8" t="s">
        <v>106</v>
      </c>
      <c r="B28" s="8"/>
      <c r="C28" s="52" t="str">
        <f>IF(OR(NOT(ISNUMBER(G16)),NOT(ISNUMBER(C26))),"ND",IF(AND(ABS(G16)&lt;=u_patron,C26=6),"APTO PARA USO","NO APTO: corrija los hallazgos antes de continuar midiendo"))</f>
        <v>APTO PARA USO</v>
      </c>
      <c r="D28" s="52"/>
      <c r="E28" s="52"/>
      <c r="F28" s="52"/>
      <c r="G28" s="52"/>
      <c r="H28" s="52"/>
      <c r="I28" s="52"/>
      <c r="J28" s="52"/>
      <c r="K28" s="52"/>
    </row>
    <row r="30" spans="1:17" ht="15" customHeight="1">
      <c r="A30" s="46" t="s">
        <v>107</v>
      </c>
      <c r="B30" s="46"/>
      <c r="C30" s="46"/>
      <c r="D30" s="46"/>
      <c r="E30" s="46"/>
      <c r="F30" s="46"/>
      <c r="G30" s="46"/>
      <c r="H30" s="46"/>
      <c r="I30" s="46"/>
      <c r="J30" s="46"/>
      <c r="K30" s="46"/>
      <c r="L30" s="46"/>
      <c r="M30" s="46"/>
      <c r="N30" s="46"/>
      <c r="O30" s="46"/>
      <c r="P30" s="46"/>
      <c r="Q30" s="46"/>
    </row>
    <row r="31" spans="1:17" ht="15" customHeight="1">
      <c r="A31" s="46"/>
      <c r="B31" s="46"/>
      <c r="C31" s="46"/>
      <c r="D31" s="46"/>
      <c r="E31" s="46"/>
      <c r="F31" s="46"/>
      <c r="G31" s="46"/>
      <c r="H31" s="46"/>
      <c r="I31" s="46"/>
      <c r="J31" s="46"/>
      <c r="K31" s="46"/>
      <c r="L31" s="46"/>
      <c r="M31" s="46"/>
      <c r="N31" s="46"/>
      <c r="O31" s="46"/>
      <c r="P31" s="46"/>
      <c r="Q31" s="46"/>
    </row>
    <row r="32" spans="1:17" ht="15" customHeight="1">
      <c r="A32" s="46"/>
      <c r="B32" s="46"/>
      <c r="C32" s="46"/>
      <c r="D32" s="46"/>
      <c r="E32" s="46"/>
      <c r="F32" s="46"/>
      <c r="G32" s="46"/>
      <c r="H32" s="46"/>
      <c r="I32" s="46"/>
      <c r="J32" s="46"/>
      <c r="K32" s="46"/>
      <c r="L32" s="46"/>
      <c r="M32" s="46"/>
      <c r="N32" s="46"/>
      <c r="O32" s="46"/>
      <c r="P32" s="46"/>
      <c r="Q32" s="46"/>
    </row>
    <row r="33" spans="1:17" ht="15" customHeight="1">
      <c r="A33" s="46"/>
      <c r="B33" s="46"/>
      <c r="C33" s="46"/>
      <c r="D33" s="46"/>
      <c r="E33" s="46"/>
      <c r="F33" s="46"/>
      <c r="G33" s="46"/>
      <c r="H33" s="46"/>
      <c r="I33" s="46"/>
      <c r="J33" s="46"/>
      <c r="K33" s="46"/>
      <c r="L33" s="46"/>
      <c r="M33" s="46"/>
      <c r="N33" s="46"/>
      <c r="O33" s="46"/>
      <c r="P33" s="46"/>
      <c r="Q33" s="46"/>
    </row>
  </sheetData>
  <sheetProtection algorithmName="SHA-512" hashValue="llOWseL2rvjSujkbtsTtkOp+U+PZpzz959gtqof3Abm+yPRwd7Q/Niu1jeFolvksnzA/syNTdQYgeCnzSSN5Xg==" saltValue="gTou4DYkRsK1DV5BDntdHA==" spinCount="100000" sheet="1" objects="1" scenarios="1"/>
  <protectedRanges>
    <protectedRange sqref="C19:H24" name="Rango2"/>
    <protectedRange sqref="B12:E15" name="Rango1"/>
  </protectedRanges>
  <mergeCells count="27">
    <mergeCell ref="A27:B27"/>
    <mergeCell ref="C27:K27"/>
    <mergeCell ref="A28:B28"/>
    <mergeCell ref="C28:K28"/>
    <mergeCell ref="A30:Q33"/>
    <mergeCell ref="A24:B24"/>
    <mergeCell ref="C24:H24"/>
    <mergeCell ref="A26:B26"/>
    <mergeCell ref="C26:K26"/>
    <mergeCell ref="L26:Q26"/>
    <mergeCell ref="A21:B21"/>
    <mergeCell ref="C21:H21"/>
    <mergeCell ref="A22:B22"/>
    <mergeCell ref="C22:H22"/>
    <mergeCell ref="A23:B23"/>
    <mergeCell ref="C23:H23"/>
    <mergeCell ref="A16:F16"/>
    <mergeCell ref="A18:Q18"/>
    <mergeCell ref="A19:B19"/>
    <mergeCell ref="C19:H19"/>
    <mergeCell ref="A20:B20"/>
    <mergeCell ref="C20:H20"/>
    <mergeCell ref="A1:Q1"/>
    <mergeCell ref="A2:Q3"/>
    <mergeCell ref="A4:B4"/>
    <mergeCell ref="A6:Q8"/>
    <mergeCell ref="A10:Q10"/>
  </mergeCells>
  <dataValidations count="1">
    <dataValidation type="list" allowBlank="1" sqref="C19:C24" xr:uid="{00000000-0002-0000-0200-000000000000}">
      <formula1>lst_si</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CEFF1"/>
  </sheetPr>
  <dimension ref="A1:Q35"/>
  <sheetViews>
    <sheetView showGridLines="0" topLeftCell="A7" zoomScaleNormal="100" workbookViewId="0">
      <selection sqref="A1:Q1"/>
    </sheetView>
  </sheetViews>
  <sheetFormatPr baseColWidth="10" defaultColWidth="9.140625" defaultRowHeight="15"/>
  <cols>
    <col min="1" max="1" width="30" style="14" customWidth="1"/>
    <col min="2" max="2" width="56" style="14" customWidth="1"/>
    <col min="3" max="3" width="30" style="14" customWidth="1"/>
    <col min="4" max="4" width="34" style="14" customWidth="1"/>
    <col min="5"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108</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9.5" customHeight="1">
      <c r="A6" s="6" t="s">
        <v>109</v>
      </c>
      <c r="B6" s="6"/>
      <c r="C6" s="6"/>
      <c r="D6" s="6"/>
      <c r="E6" s="6"/>
      <c r="F6" s="6"/>
      <c r="G6" s="6"/>
      <c r="H6" s="6"/>
      <c r="I6" s="6"/>
      <c r="J6" s="6"/>
      <c r="K6" s="6"/>
      <c r="L6" s="6"/>
      <c r="M6" s="6"/>
      <c r="N6" s="6"/>
      <c r="O6" s="6"/>
      <c r="P6" s="6"/>
      <c r="Q6" s="6"/>
    </row>
    <row r="7" spans="1:17" ht="30" customHeight="1">
      <c r="A7" s="3">
        <v>1</v>
      </c>
      <c r="B7" s="3"/>
      <c r="C7" s="53" t="s">
        <v>110</v>
      </c>
      <c r="D7" s="53"/>
      <c r="E7" s="53"/>
      <c r="F7" s="53"/>
      <c r="G7" s="53"/>
      <c r="H7" s="53"/>
      <c r="I7" s="53"/>
      <c r="J7" s="53"/>
      <c r="K7" s="53"/>
      <c r="L7" s="53"/>
      <c r="M7" s="53"/>
      <c r="N7" s="53"/>
      <c r="O7" s="53"/>
      <c r="P7" s="53"/>
      <c r="Q7" s="53"/>
    </row>
    <row r="8" spans="1:17" ht="30" customHeight="1">
      <c r="A8" s="3">
        <v>2</v>
      </c>
      <c r="B8" s="3"/>
      <c r="C8" s="53" t="s">
        <v>111</v>
      </c>
      <c r="D8" s="53"/>
      <c r="E8" s="53"/>
      <c r="F8" s="53"/>
      <c r="G8" s="53"/>
      <c r="H8" s="53"/>
      <c r="I8" s="53"/>
      <c r="J8" s="53"/>
      <c r="K8" s="53"/>
      <c r="L8" s="53"/>
      <c r="M8" s="53"/>
      <c r="N8" s="53"/>
      <c r="O8" s="53"/>
      <c r="P8" s="53"/>
      <c r="Q8" s="53"/>
    </row>
    <row r="9" spans="1:17" ht="30" customHeight="1">
      <c r="A9" s="3">
        <v>3</v>
      </c>
      <c r="B9" s="3"/>
      <c r="C9" s="53" t="s">
        <v>112</v>
      </c>
      <c r="D9" s="53"/>
      <c r="E9" s="53"/>
      <c r="F9" s="53"/>
      <c r="G9" s="53"/>
      <c r="H9" s="53"/>
      <c r="I9" s="53"/>
      <c r="J9" s="53"/>
      <c r="K9" s="53"/>
      <c r="L9" s="53"/>
      <c r="M9" s="53"/>
      <c r="N9" s="53"/>
      <c r="O9" s="53"/>
      <c r="P9" s="53"/>
      <c r="Q9" s="53"/>
    </row>
    <row r="10" spans="1:17" ht="30" customHeight="1">
      <c r="A10" s="3">
        <v>4</v>
      </c>
      <c r="B10" s="3"/>
      <c r="C10" s="53" t="s">
        <v>113</v>
      </c>
      <c r="D10" s="53"/>
      <c r="E10" s="53"/>
      <c r="F10" s="53"/>
      <c r="G10" s="53"/>
      <c r="H10" s="53"/>
      <c r="I10" s="53"/>
      <c r="J10" s="53"/>
      <c r="K10" s="53"/>
      <c r="L10" s="53"/>
      <c r="M10" s="53"/>
      <c r="N10" s="53"/>
      <c r="O10" s="53"/>
      <c r="P10" s="53"/>
      <c r="Q10" s="53"/>
    </row>
    <row r="11" spans="1:17" ht="30" customHeight="1">
      <c r="A11" s="3">
        <v>5</v>
      </c>
      <c r="B11" s="3"/>
      <c r="C11" s="53" t="s">
        <v>114</v>
      </c>
      <c r="D11" s="53"/>
      <c r="E11" s="53"/>
      <c r="F11" s="53"/>
      <c r="G11" s="53"/>
      <c r="H11" s="53"/>
      <c r="I11" s="53"/>
      <c r="J11" s="53"/>
      <c r="K11" s="53"/>
      <c r="L11" s="53"/>
      <c r="M11" s="53"/>
      <c r="N11" s="53"/>
      <c r="O11" s="53"/>
      <c r="P11" s="53"/>
      <c r="Q11" s="53"/>
    </row>
    <row r="12" spans="1:17" ht="30" customHeight="1">
      <c r="A12" s="3">
        <v>6</v>
      </c>
      <c r="B12" s="3"/>
      <c r="C12" s="53" t="s">
        <v>115</v>
      </c>
      <c r="D12" s="53"/>
      <c r="E12" s="53"/>
      <c r="F12" s="53"/>
      <c r="G12" s="53"/>
      <c r="H12" s="53"/>
      <c r="I12" s="53"/>
      <c r="J12" s="53"/>
      <c r="K12" s="53"/>
      <c r="L12" s="53"/>
      <c r="M12" s="53"/>
      <c r="N12" s="53"/>
      <c r="O12" s="53"/>
      <c r="P12" s="53"/>
      <c r="Q12" s="53"/>
    </row>
    <row r="14" spans="1:17" ht="19.5" customHeight="1">
      <c r="A14" s="6" t="s">
        <v>116</v>
      </c>
      <c r="B14" s="6"/>
      <c r="C14" s="6"/>
      <c r="D14" s="6"/>
      <c r="E14" s="6"/>
      <c r="F14" s="6"/>
      <c r="G14" s="6"/>
      <c r="H14" s="6"/>
      <c r="I14" s="6"/>
      <c r="J14" s="6"/>
      <c r="K14" s="6"/>
      <c r="L14" s="6"/>
      <c r="M14" s="6"/>
      <c r="N14" s="6"/>
      <c r="O14" s="6"/>
      <c r="P14" s="6"/>
      <c r="Q14" s="6"/>
    </row>
    <row r="15" spans="1:17" ht="27.75" customHeight="1">
      <c r="A15" s="16" t="s">
        <v>117</v>
      </c>
      <c r="B15" s="16" t="s">
        <v>118</v>
      </c>
      <c r="C15" s="16" t="s">
        <v>119</v>
      </c>
      <c r="D15" s="16" t="s">
        <v>120</v>
      </c>
    </row>
    <row r="16" spans="1:17" ht="25.5" customHeight="1">
      <c r="A16" s="24" t="str">
        <f>INDEX(rng_sitios,1,1)</f>
        <v>Tríceps</v>
      </c>
      <c r="B16" s="24" t="str">
        <f>INDEX(rng_sitios,1,2)</f>
        <v>Punto medio entre acromion y olécranon, cara posterior del brazo</v>
      </c>
      <c r="C16" s="24" t="str">
        <f>INDEX(rng_sitios,1,3)</f>
        <v>Vertical</v>
      </c>
      <c r="D16" s="24" t="str">
        <f>INDEX(rng_sitios,1,4)</f>
        <v>De pie, brazo relajado</v>
      </c>
    </row>
    <row r="17" spans="1:17" ht="25.5" customHeight="1">
      <c r="A17" s="24" t="str">
        <f>INDEX(rng_sitios,2,1)</f>
        <v>Subescapular</v>
      </c>
      <c r="B17" s="24" t="str">
        <f>INDEX(rng_sitios,2,2)</f>
        <v>Dos centímetros por debajo del ángulo inferior de la escápula</v>
      </c>
      <c r="C17" s="24" t="str">
        <f>INDEX(rng_sitios,2,3)</f>
        <v>Oblicua, hacia abajo y afuera</v>
      </c>
      <c r="D17" s="24" t="str">
        <f>INDEX(rng_sitios,2,4)</f>
        <v>De pie, brazos a los lados</v>
      </c>
    </row>
    <row r="18" spans="1:17" ht="25.5" customHeight="1">
      <c r="A18" s="24" t="str">
        <f>INDEX(rng_sitios,3,1)</f>
        <v>Bíceps</v>
      </c>
      <c r="B18" s="24" t="str">
        <f>INDEX(rng_sitios,3,2)</f>
        <v>Punto medio del brazo, cara anterior, sobre el vientre del bíceps</v>
      </c>
      <c r="C18" s="24" t="str">
        <f>INDEX(rng_sitios,3,3)</f>
        <v>Vertical</v>
      </c>
      <c r="D18" s="24" t="str">
        <f>INDEX(rng_sitios,3,4)</f>
        <v>De pie, brazo relajado y supinado</v>
      </c>
    </row>
    <row r="19" spans="1:17" ht="25.5" customHeight="1">
      <c r="A19" s="24" t="str">
        <f>INDEX(rng_sitios,4,1)</f>
        <v>Suprailíaco</v>
      </c>
      <c r="B19" s="24" t="str">
        <f>INDEX(rng_sitios,4,2)</f>
        <v>Sobre la cresta ilíaca, en la línea axilar media</v>
      </c>
      <c r="C19" s="24" t="str">
        <f>INDEX(rng_sitios,4,3)</f>
        <v>Oblicua, siguiendo la cresta</v>
      </c>
      <c r="D19" s="24" t="str">
        <f>INDEX(rng_sitios,4,4)</f>
        <v>De pie, brazo separado</v>
      </c>
    </row>
    <row r="20" spans="1:17" ht="25.5" customHeight="1">
      <c r="A20" s="24" t="str">
        <f>INDEX(rng_sitios,5,1)</f>
        <v>Supraespinal</v>
      </c>
      <c r="B20" s="24" t="str">
        <f>INDEX(rng_sitios,5,2)</f>
        <v>Intersección de la línea axilar anterior con la cresta ilíaca</v>
      </c>
      <c r="C20" s="24" t="str">
        <f>INDEX(rng_sitios,5,3)</f>
        <v>Oblicua, hacia abajo y adentro</v>
      </c>
      <c r="D20" s="24" t="str">
        <f>INDEX(rng_sitios,5,4)</f>
        <v>De pie, brazo relajado</v>
      </c>
    </row>
    <row r="21" spans="1:17" ht="25.5" customHeight="1">
      <c r="A21" s="24" t="str">
        <f>INDEX(rng_sitios,6,1)</f>
        <v>Abdominal</v>
      </c>
      <c r="B21" s="24" t="str">
        <f>INDEX(rng_sitios,6,2)</f>
        <v>Cinco centímetros a la derecha del ombligo</v>
      </c>
      <c r="C21" s="24" t="str">
        <f>INDEX(rng_sitios,6,3)</f>
        <v>Vertical</v>
      </c>
      <c r="D21" s="24" t="str">
        <f>INDEX(rng_sitios,6,4)</f>
        <v>De pie, abdomen relajado</v>
      </c>
    </row>
    <row r="22" spans="1:17" ht="25.5" customHeight="1">
      <c r="A22" s="24" t="str">
        <f>INDEX(rng_sitios,7,1)</f>
        <v>Muslo anterior</v>
      </c>
      <c r="B22" s="24" t="str">
        <f>INDEX(rng_sitios,7,2)</f>
        <v>Punto medio entre pliegue inguinal y borde superior de la rótula</v>
      </c>
      <c r="C22" s="24" t="str">
        <f>INDEX(rng_sitios,7,3)</f>
        <v>Vertical</v>
      </c>
      <c r="D22" s="24" t="str">
        <f>INDEX(rng_sitios,7,4)</f>
        <v>Sentado, rodilla a noventa grados</v>
      </c>
    </row>
    <row r="23" spans="1:17" ht="25.5" customHeight="1">
      <c r="A23" s="24" t="str">
        <f>INDEX(rng_sitios,8,1)</f>
        <v>Pantorrilla medial</v>
      </c>
      <c r="B23" s="24" t="str">
        <f>INDEX(rng_sitios,8,2)</f>
        <v>Cara medial, en el perímetro máximo</v>
      </c>
      <c r="C23" s="24" t="str">
        <f>INDEX(rng_sitios,8,3)</f>
        <v>Vertical</v>
      </c>
      <c r="D23" s="24" t="str">
        <f>INDEX(rng_sitios,8,4)</f>
        <v>Sentado o de pie con la pierna apoyada</v>
      </c>
    </row>
    <row r="25" spans="1:17" ht="19.5" customHeight="1">
      <c r="A25" s="6" t="s">
        <v>121</v>
      </c>
      <c r="B25" s="6"/>
      <c r="C25" s="6"/>
      <c r="D25" s="6"/>
      <c r="E25" s="6"/>
      <c r="F25" s="6"/>
      <c r="G25" s="6"/>
      <c r="H25" s="6"/>
      <c r="I25" s="6"/>
      <c r="J25" s="6"/>
      <c r="K25" s="6"/>
      <c r="L25" s="6"/>
      <c r="M25" s="6"/>
      <c r="N25" s="6"/>
      <c r="O25" s="6"/>
      <c r="P25" s="6"/>
      <c r="Q25" s="6"/>
    </row>
    <row r="26" spans="1:17" ht="30" customHeight="1">
      <c r="A26" s="15" t="s">
        <v>122</v>
      </c>
      <c r="B26" s="54" t="s">
        <v>123</v>
      </c>
      <c r="C26" s="54"/>
      <c r="D26" s="54"/>
      <c r="E26" s="54"/>
      <c r="F26" s="54"/>
      <c r="G26" s="54"/>
      <c r="H26" s="54"/>
      <c r="I26" s="54"/>
      <c r="J26" s="54"/>
      <c r="K26" s="54"/>
      <c r="L26" s="54"/>
      <c r="M26" s="54"/>
      <c r="N26" s="54"/>
      <c r="O26" s="54"/>
      <c r="P26" s="54"/>
      <c r="Q26" s="54"/>
    </row>
    <row r="27" spans="1:17" ht="30" customHeight="1">
      <c r="A27" s="15" t="s">
        <v>124</v>
      </c>
      <c r="B27" s="54" t="s">
        <v>125</v>
      </c>
      <c r="C27" s="54"/>
      <c r="D27" s="54"/>
      <c r="E27" s="54"/>
      <c r="F27" s="54"/>
      <c r="G27" s="54"/>
      <c r="H27" s="54"/>
      <c r="I27" s="54"/>
      <c r="J27" s="54"/>
      <c r="K27" s="54"/>
      <c r="L27" s="54"/>
      <c r="M27" s="54"/>
      <c r="N27" s="54"/>
      <c r="O27" s="54"/>
      <c r="P27" s="54"/>
      <c r="Q27" s="54"/>
    </row>
    <row r="28" spans="1:17" ht="30" customHeight="1">
      <c r="A28" s="15" t="s">
        <v>126</v>
      </c>
      <c r="B28" s="54" t="s">
        <v>127</v>
      </c>
      <c r="C28" s="54"/>
      <c r="D28" s="54"/>
      <c r="E28" s="54"/>
      <c r="F28" s="54"/>
      <c r="G28" s="54"/>
      <c r="H28" s="54"/>
      <c r="I28" s="54"/>
      <c r="J28" s="54"/>
      <c r="K28" s="54"/>
      <c r="L28" s="54"/>
      <c r="M28" s="54"/>
      <c r="N28" s="54"/>
      <c r="O28" s="54"/>
      <c r="P28" s="54"/>
      <c r="Q28" s="54"/>
    </row>
    <row r="29" spans="1:17" ht="30" customHeight="1">
      <c r="A29" s="15" t="s">
        <v>128</v>
      </c>
      <c r="B29" s="54" t="s">
        <v>129</v>
      </c>
      <c r="C29" s="54"/>
      <c r="D29" s="54"/>
      <c r="E29" s="54"/>
      <c r="F29" s="54"/>
      <c r="G29" s="54"/>
      <c r="H29" s="54"/>
      <c r="I29" s="54"/>
      <c r="J29" s="54"/>
      <c r="K29" s="54"/>
      <c r="L29" s="54"/>
      <c r="M29" s="54"/>
      <c r="N29" s="54"/>
      <c r="O29" s="54"/>
      <c r="P29" s="54"/>
      <c r="Q29" s="54"/>
    </row>
    <row r="30" spans="1:17" ht="30" customHeight="1">
      <c r="A30" s="15" t="s">
        <v>130</v>
      </c>
      <c r="B30" s="54" t="s">
        <v>131</v>
      </c>
      <c r="C30" s="54"/>
      <c r="D30" s="54"/>
      <c r="E30" s="54"/>
      <c r="F30" s="54"/>
      <c r="G30" s="54"/>
      <c r="H30" s="54"/>
      <c r="I30" s="54"/>
      <c r="J30" s="54"/>
      <c r="K30" s="54"/>
      <c r="L30" s="54"/>
      <c r="M30" s="54"/>
      <c r="N30" s="54"/>
      <c r="O30" s="54"/>
      <c r="P30" s="54"/>
      <c r="Q30" s="54"/>
    </row>
    <row r="31" spans="1:17" ht="30" customHeight="1">
      <c r="A31" s="15" t="s">
        <v>132</v>
      </c>
      <c r="B31" s="54" t="s">
        <v>133</v>
      </c>
      <c r="C31" s="54"/>
      <c r="D31" s="54"/>
      <c r="E31" s="54"/>
      <c r="F31" s="54"/>
      <c r="G31" s="54"/>
      <c r="H31" s="54"/>
      <c r="I31" s="54"/>
      <c r="J31" s="54"/>
      <c r="K31" s="54"/>
      <c r="L31" s="54"/>
      <c r="M31" s="54"/>
      <c r="N31" s="54"/>
      <c r="O31" s="54"/>
      <c r="P31" s="54"/>
      <c r="Q31" s="54"/>
    </row>
    <row r="33" spans="1:17" ht="15" customHeight="1">
      <c r="A33" s="46" t="s">
        <v>134</v>
      </c>
      <c r="B33" s="46"/>
      <c r="C33" s="46"/>
      <c r="D33" s="46"/>
      <c r="E33" s="46"/>
      <c r="F33" s="46"/>
      <c r="G33" s="46"/>
      <c r="H33" s="46"/>
      <c r="I33" s="46"/>
      <c r="J33" s="46"/>
      <c r="K33" s="46"/>
      <c r="L33" s="46"/>
      <c r="M33" s="46"/>
      <c r="N33" s="46"/>
      <c r="O33" s="46"/>
      <c r="P33" s="46"/>
      <c r="Q33" s="46"/>
    </row>
    <row r="34" spans="1:17" ht="15" customHeight="1">
      <c r="A34" s="46"/>
      <c r="B34" s="46"/>
      <c r="C34" s="46"/>
      <c r="D34" s="46"/>
      <c r="E34" s="46"/>
      <c r="F34" s="46"/>
      <c r="G34" s="46"/>
      <c r="H34" s="46"/>
      <c r="I34" s="46"/>
      <c r="J34" s="46"/>
      <c r="K34" s="46"/>
      <c r="L34" s="46"/>
      <c r="M34" s="46"/>
      <c r="N34" s="46"/>
      <c r="O34" s="46"/>
      <c r="P34" s="46"/>
      <c r="Q34" s="46"/>
    </row>
    <row r="35" spans="1:17" ht="15" customHeight="1">
      <c r="A35" s="46"/>
      <c r="B35" s="46"/>
      <c r="C35" s="46"/>
      <c r="D35" s="46"/>
      <c r="E35" s="46"/>
      <c r="F35" s="46"/>
      <c r="G35" s="46"/>
      <c r="H35" s="46"/>
      <c r="I35" s="46"/>
      <c r="J35" s="46"/>
      <c r="K35" s="46"/>
      <c r="L35" s="46"/>
      <c r="M35" s="46"/>
      <c r="N35" s="46"/>
      <c r="O35" s="46"/>
      <c r="P35" s="46"/>
      <c r="Q35" s="46"/>
    </row>
  </sheetData>
  <sheetProtection algorithmName="SHA-512" hashValue="cqI6UCgfWg7tJxCOEZQ/7Te96DKEAwnc5PMVKykgwXzmVvYN6hFkPHfYuNcShNKpYVNx97Txd//PGZ7Rm+Ofqw==" saltValue="YRzcIA55GivW7kCUWkrGEg==" spinCount="100000" sheet="1" objects="1" scenarios="1"/>
  <mergeCells count="25">
    <mergeCell ref="B30:Q30"/>
    <mergeCell ref="B31:Q31"/>
    <mergeCell ref="A33:Q35"/>
    <mergeCell ref="A25:Q25"/>
    <mergeCell ref="B26:Q26"/>
    <mergeCell ref="B27:Q27"/>
    <mergeCell ref="B28:Q28"/>
    <mergeCell ref="B29:Q29"/>
    <mergeCell ref="A11:B11"/>
    <mergeCell ref="C11:Q11"/>
    <mergeCell ref="A12:B12"/>
    <mergeCell ref="C12:Q12"/>
    <mergeCell ref="A14:Q14"/>
    <mergeCell ref="A8:B8"/>
    <mergeCell ref="C8:Q8"/>
    <mergeCell ref="A9:B9"/>
    <mergeCell ref="C9:Q9"/>
    <mergeCell ref="A10:B10"/>
    <mergeCell ref="C10:Q10"/>
    <mergeCell ref="A1:Q1"/>
    <mergeCell ref="A2:Q3"/>
    <mergeCell ref="A4:B4"/>
    <mergeCell ref="A6:Q6"/>
    <mergeCell ref="A7:B7"/>
    <mergeCell ref="C7:Q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C6B72"/>
  </sheetPr>
  <dimension ref="A1:Q55"/>
  <sheetViews>
    <sheetView showGridLines="0" topLeftCell="A16" zoomScaleNormal="100" workbookViewId="0">
      <selection activeCell="K24" sqref="K23:K24"/>
    </sheetView>
  </sheetViews>
  <sheetFormatPr baseColWidth="10" defaultColWidth="9.140625" defaultRowHeight="15"/>
  <cols>
    <col min="1" max="1" width="5" style="14" customWidth="1"/>
    <col min="2" max="2" width="39.85546875" style="14" customWidth="1"/>
    <col min="3" max="3" width="20" style="14" customWidth="1"/>
    <col min="4" max="5" width="14" style="14" customWidth="1"/>
    <col min="6" max="6" width="12" style="14" customWidth="1"/>
    <col min="7" max="8" width="13" style="14" customWidth="1"/>
    <col min="9" max="9" width="42"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135</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67" t="str">
        <f>HYPERLINK("#INICIO!A1","▶  VOLVER A INICIO")</f>
        <v>▶  VOLVER A INICIO</v>
      </c>
      <c r="B4" s="68"/>
      <c r="C4" s="68"/>
    </row>
    <row r="6" spans="1:17" ht="15" customHeight="1">
      <c r="A6" s="70" t="s">
        <v>136</v>
      </c>
      <c r="B6" s="70"/>
      <c r="C6" s="70"/>
      <c r="D6" s="70"/>
      <c r="E6" s="70"/>
      <c r="F6" s="70"/>
      <c r="G6" s="70"/>
      <c r="H6" s="70"/>
      <c r="I6" s="70"/>
      <c r="J6" s="70"/>
      <c r="K6" s="70"/>
      <c r="L6" s="70"/>
      <c r="M6" s="70"/>
      <c r="N6" s="70"/>
      <c r="O6" s="70"/>
      <c r="P6" s="70"/>
      <c r="Q6" s="70"/>
    </row>
    <row r="7" spans="1:17" ht="15" customHeight="1">
      <c r="A7" s="70"/>
      <c r="B7" s="70"/>
      <c r="C7" s="70"/>
      <c r="D7" s="70"/>
      <c r="E7" s="70"/>
      <c r="F7" s="70"/>
      <c r="G7" s="70"/>
      <c r="H7" s="70"/>
      <c r="I7" s="70"/>
      <c r="J7" s="70"/>
      <c r="K7" s="70"/>
      <c r="L7" s="70"/>
      <c r="M7" s="70"/>
      <c r="N7" s="70"/>
      <c r="O7" s="70"/>
      <c r="P7" s="70"/>
      <c r="Q7" s="70"/>
    </row>
    <row r="8" spans="1:17" ht="15" customHeight="1">
      <c r="A8" s="70"/>
      <c r="B8" s="70"/>
      <c r="C8" s="70"/>
      <c r="D8" s="70"/>
      <c r="E8" s="70"/>
      <c r="F8" s="70"/>
      <c r="G8" s="70"/>
      <c r="H8" s="70"/>
      <c r="I8" s="70"/>
      <c r="J8" s="70"/>
      <c r="K8" s="70"/>
      <c r="L8" s="70"/>
      <c r="M8" s="70"/>
      <c r="N8" s="70"/>
      <c r="O8" s="70"/>
      <c r="P8" s="70"/>
      <c r="Q8" s="70"/>
    </row>
    <row r="9" spans="1:17" ht="15" customHeight="1">
      <c r="A9" s="70"/>
      <c r="B9" s="70"/>
      <c r="C9" s="70"/>
      <c r="D9" s="70"/>
      <c r="E9" s="70"/>
      <c r="F9" s="70"/>
      <c r="G9" s="70"/>
      <c r="H9" s="70"/>
      <c r="I9" s="70"/>
      <c r="J9" s="70"/>
      <c r="K9" s="70"/>
      <c r="L9" s="70"/>
      <c r="M9" s="70"/>
      <c r="N9" s="70"/>
      <c r="O9" s="70"/>
      <c r="P9" s="70"/>
      <c r="Q9" s="70"/>
    </row>
    <row r="11" spans="1:17" ht="19.5" customHeight="1">
      <c r="A11" s="6" t="s">
        <v>137</v>
      </c>
      <c r="B11" s="6"/>
      <c r="C11" s="6"/>
      <c r="D11" s="6"/>
      <c r="E11" s="6"/>
      <c r="F11" s="6"/>
      <c r="G11" s="6"/>
      <c r="H11" s="6"/>
      <c r="I11" s="6"/>
      <c r="J11" s="6"/>
      <c r="K11" s="6"/>
      <c r="L11" s="6"/>
      <c r="M11" s="6"/>
      <c r="N11" s="6"/>
      <c r="O11" s="6"/>
      <c r="P11" s="6"/>
      <c r="Q11" s="6"/>
    </row>
    <row r="12" spans="1:17" ht="31.5" customHeight="1">
      <c r="A12" s="16" t="s">
        <v>138</v>
      </c>
      <c r="B12" s="16" t="s">
        <v>139</v>
      </c>
      <c r="C12" s="16" t="s">
        <v>140</v>
      </c>
      <c r="D12" s="16" t="s">
        <v>141</v>
      </c>
      <c r="E12" s="16" t="s">
        <v>142</v>
      </c>
      <c r="F12" s="16" t="s">
        <v>87</v>
      </c>
      <c r="G12" s="16" t="s">
        <v>143</v>
      </c>
      <c r="H12" s="16" t="s">
        <v>144</v>
      </c>
      <c r="I12" s="16" t="s">
        <v>145</v>
      </c>
    </row>
    <row r="13" spans="1:17" ht="15" customHeight="1">
      <c r="A13" s="25">
        <v>1</v>
      </c>
      <c r="B13" s="26" t="s">
        <v>146</v>
      </c>
      <c r="C13" s="26" t="s">
        <v>147</v>
      </c>
      <c r="D13" s="18">
        <v>12.4</v>
      </c>
      <c r="E13" s="18">
        <v>12.1</v>
      </c>
      <c r="F13" s="27">
        <f t="shared" ref="F13:F32" si="0">IF(OR(NOT(ISNUMBER(D13)),NOT(ISNUMBER(E13))),"",(D13+E13)/2)</f>
        <v>12.25</v>
      </c>
      <c r="G13" s="27">
        <f t="shared" ref="G13:G32" si="1">IF(OR(NOT(ISNUMBER(D13)),NOT(ISNUMBER(E13))),"",D13-E13)</f>
        <v>0.30000000000000071</v>
      </c>
      <c r="H13" s="27">
        <f t="shared" ref="H13:H32" si="2">IF(NOT(ISNUMBER(G13)),"",G13^2)</f>
        <v>9.0000000000000427E-2</v>
      </c>
      <c r="I13" s="20" t="str">
        <f t="shared" ref="I13:I32" si="3">IF(OR(NOT(ISNUMBER(G13)),NOT(ISNUMBER(F13)),F13=0),"",IF(ABS(G13)/F13&gt;u_dif,"REVISAR: las dos medidas difieren más del 5%","OK"))</f>
        <v>OK</v>
      </c>
    </row>
    <row r="14" spans="1:17" ht="15" customHeight="1">
      <c r="A14" s="25">
        <v>2</v>
      </c>
      <c r="B14" s="26" t="s">
        <v>148</v>
      </c>
      <c r="C14" s="26" t="s">
        <v>147</v>
      </c>
      <c r="D14" s="18">
        <v>18.600000000000001</v>
      </c>
      <c r="E14" s="18">
        <v>18.899999999999999</v>
      </c>
      <c r="F14" s="27">
        <f t="shared" si="0"/>
        <v>18.75</v>
      </c>
      <c r="G14" s="27">
        <f t="shared" si="1"/>
        <v>-0.29999999999999716</v>
      </c>
      <c r="H14" s="27">
        <f t="shared" si="2"/>
        <v>8.999999999999829E-2</v>
      </c>
      <c r="I14" s="20" t="str">
        <f t="shared" si="3"/>
        <v>OK</v>
      </c>
    </row>
    <row r="15" spans="1:17" ht="15" customHeight="1">
      <c r="A15" s="25">
        <v>3</v>
      </c>
      <c r="B15" s="26" t="s">
        <v>149</v>
      </c>
      <c r="C15" s="26" t="s">
        <v>147</v>
      </c>
      <c r="D15" s="18">
        <v>9.1999999999999993</v>
      </c>
      <c r="E15" s="18">
        <v>9.5</v>
      </c>
      <c r="F15" s="27">
        <f t="shared" si="0"/>
        <v>9.35</v>
      </c>
      <c r="G15" s="27">
        <f t="shared" si="1"/>
        <v>-0.30000000000000071</v>
      </c>
      <c r="H15" s="27">
        <f t="shared" si="2"/>
        <v>9.0000000000000427E-2</v>
      </c>
      <c r="I15" s="20" t="str">
        <f t="shared" si="3"/>
        <v>OK</v>
      </c>
    </row>
    <row r="16" spans="1:17" ht="15" customHeight="1">
      <c r="A16" s="25">
        <v>4</v>
      </c>
      <c r="B16" s="26" t="s">
        <v>150</v>
      </c>
      <c r="C16" s="26" t="s">
        <v>147</v>
      </c>
      <c r="D16" s="18">
        <v>24.8</v>
      </c>
      <c r="E16" s="18">
        <v>24.2</v>
      </c>
      <c r="F16" s="27">
        <f t="shared" si="0"/>
        <v>24.5</v>
      </c>
      <c r="G16" s="27">
        <f t="shared" si="1"/>
        <v>0.60000000000000142</v>
      </c>
      <c r="H16" s="27">
        <f t="shared" si="2"/>
        <v>0.36000000000000171</v>
      </c>
      <c r="I16" s="20" t="str">
        <f t="shared" si="3"/>
        <v>OK</v>
      </c>
    </row>
    <row r="17" spans="1:9" ht="15" customHeight="1">
      <c r="A17" s="25">
        <v>5</v>
      </c>
      <c r="B17" s="26" t="s">
        <v>151</v>
      </c>
      <c r="C17" s="26" t="s">
        <v>147</v>
      </c>
      <c r="D17" s="18">
        <v>15</v>
      </c>
      <c r="E17" s="18">
        <v>15.4</v>
      </c>
      <c r="F17" s="27">
        <f t="shared" si="0"/>
        <v>15.2</v>
      </c>
      <c r="G17" s="27">
        <f t="shared" si="1"/>
        <v>-0.40000000000000036</v>
      </c>
      <c r="H17" s="27">
        <f t="shared" si="2"/>
        <v>0.16000000000000028</v>
      </c>
      <c r="I17" s="20" t="str">
        <f t="shared" si="3"/>
        <v>OK</v>
      </c>
    </row>
    <row r="18" spans="1:9" ht="15" customHeight="1">
      <c r="A18" s="25">
        <v>6</v>
      </c>
      <c r="B18" s="26" t="s">
        <v>152</v>
      </c>
      <c r="C18" s="26" t="s">
        <v>147</v>
      </c>
      <c r="D18" s="18">
        <v>21.3</v>
      </c>
      <c r="E18" s="18">
        <v>21</v>
      </c>
      <c r="F18" s="27">
        <f t="shared" si="0"/>
        <v>21.15</v>
      </c>
      <c r="G18" s="27">
        <f t="shared" si="1"/>
        <v>0.30000000000000071</v>
      </c>
      <c r="H18" s="27">
        <f t="shared" si="2"/>
        <v>9.0000000000000427E-2</v>
      </c>
      <c r="I18" s="20" t="str">
        <f t="shared" si="3"/>
        <v>OK</v>
      </c>
    </row>
    <row r="19" spans="1:9" ht="15" customHeight="1">
      <c r="A19" s="25">
        <v>7</v>
      </c>
      <c r="B19" s="26" t="s">
        <v>153</v>
      </c>
      <c r="C19" s="26" t="s">
        <v>147</v>
      </c>
      <c r="D19" s="18">
        <v>11.7</v>
      </c>
      <c r="E19" s="18">
        <v>11.4</v>
      </c>
      <c r="F19" s="27">
        <f t="shared" si="0"/>
        <v>11.55</v>
      </c>
      <c r="G19" s="27">
        <f t="shared" si="1"/>
        <v>0.29999999999999893</v>
      </c>
      <c r="H19" s="27">
        <f t="shared" si="2"/>
        <v>8.9999999999999358E-2</v>
      </c>
      <c r="I19" s="20" t="str">
        <f t="shared" si="3"/>
        <v>OK</v>
      </c>
    </row>
    <row r="20" spans="1:9" ht="15" customHeight="1">
      <c r="A20" s="25">
        <v>8</v>
      </c>
      <c r="B20" s="26" t="s">
        <v>154</v>
      </c>
      <c r="C20" s="26" t="s">
        <v>147</v>
      </c>
      <c r="D20" s="18">
        <v>17.399999999999999</v>
      </c>
      <c r="E20" s="18">
        <v>17.899999999999999</v>
      </c>
      <c r="F20" s="27">
        <f t="shared" si="0"/>
        <v>17.649999999999999</v>
      </c>
      <c r="G20" s="27">
        <f t="shared" si="1"/>
        <v>-0.5</v>
      </c>
      <c r="H20" s="27">
        <f t="shared" si="2"/>
        <v>0.25</v>
      </c>
      <c r="I20" s="20" t="str">
        <f t="shared" si="3"/>
        <v>OK</v>
      </c>
    </row>
    <row r="21" spans="1:9" ht="15" customHeight="1">
      <c r="A21" s="25">
        <v>9</v>
      </c>
      <c r="B21" s="26" t="s">
        <v>155</v>
      </c>
      <c r="C21" s="26" t="s">
        <v>147</v>
      </c>
      <c r="D21" s="18">
        <v>28.2</v>
      </c>
      <c r="E21" s="18">
        <v>27.6</v>
      </c>
      <c r="F21" s="27">
        <f t="shared" si="0"/>
        <v>27.9</v>
      </c>
      <c r="G21" s="27">
        <f t="shared" si="1"/>
        <v>0.59999999999999787</v>
      </c>
      <c r="H21" s="27">
        <f t="shared" si="2"/>
        <v>0.35999999999999743</v>
      </c>
      <c r="I21" s="20" t="str">
        <f t="shared" si="3"/>
        <v>OK</v>
      </c>
    </row>
    <row r="22" spans="1:9" ht="15" customHeight="1">
      <c r="A22" s="25">
        <v>10</v>
      </c>
      <c r="B22" s="26" t="s">
        <v>156</v>
      </c>
      <c r="C22" s="26" t="s">
        <v>147</v>
      </c>
      <c r="D22" s="18">
        <v>13.9</v>
      </c>
      <c r="E22" s="18">
        <v>14.3</v>
      </c>
      <c r="F22" s="27">
        <f t="shared" si="0"/>
        <v>14.100000000000001</v>
      </c>
      <c r="G22" s="27">
        <f t="shared" si="1"/>
        <v>-0.40000000000000036</v>
      </c>
      <c r="H22" s="27">
        <f t="shared" si="2"/>
        <v>0.16000000000000028</v>
      </c>
      <c r="I22" s="20" t="str">
        <f t="shared" si="3"/>
        <v>OK</v>
      </c>
    </row>
    <row r="23" spans="1:9" ht="15" customHeight="1">
      <c r="A23" s="25">
        <v>11</v>
      </c>
      <c r="B23" s="26"/>
      <c r="C23" s="26"/>
      <c r="D23" s="18"/>
      <c r="E23" s="18"/>
      <c r="F23" s="27" t="str">
        <f t="shared" si="0"/>
        <v/>
      </c>
      <c r="G23" s="27" t="str">
        <f t="shared" si="1"/>
        <v/>
      </c>
      <c r="H23" s="27" t="str">
        <f t="shared" si="2"/>
        <v/>
      </c>
      <c r="I23" s="20" t="str">
        <f t="shared" si="3"/>
        <v/>
      </c>
    </row>
    <row r="24" spans="1:9" ht="15" customHeight="1">
      <c r="A24" s="25">
        <v>12</v>
      </c>
      <c r="B24" s="26"/>
      <c r="C24" s="26"/>
      <c r="D24" s="18"/>
      <c r="E24" s="18"/>
      <c r="F24" s="27" t="str">
        <f t="shared" si="0"/>
        <v/>
      </c>
      <c r="G24" s="27" t="str">
        <f t="shared" si="1"/>
        <v/>
      </c>
      <c r="H24" s="27" t="str">
        <f t="shared" si="2"/>
        <v/>
      </c>
      <c r="I24" s="20" t="str">
        <f t="shared" si="3"/>
        <v/>
      </c>
    </row>
    <row r="25" spans="1:9" ht="15" customHeight="1">
      <c r="A25" s="25">
        <v>13</v>
      </c>
      <c r="B25" s="26"/>
      <c r="C25" s="26"/>
      <c r="D25" s="18"/>
      <c r="E25" s="18"/>
      <c r="F25" s="27" t="str">
        <f t="shared" si="0"/>
        <v/>
      </c>
      <c r="G25" s="27" t="str">
        <f t="shared" si="1"/>
        <v/>
      </c>
      <c r="H25" s="27" t="str">
        <f t="shared" si="2"/>
        <v/>
      </c>
      <c r="I25" s="20" t="str">
        <f t="shared" si="3"/>
        <v/>
      </c>
    </row>
    <row r="26" spans="1:9" ht="15" customHeight="1">
      <c r="A26" s="25">
        <v>14</v>
      </c>
      <c r="B26" s="26"/>
      <c r="C26" s="26"/>
      <c r="D26" s="18"/>
      <c r="E26" s="18"/>
      <c r="F26" s="27" t="str">
        <f t="shared" si="0"/>
        <v/>
      </c>
      <c r="G26" s="27" t="str">
        <f t="shared" si="1"/>
        <v/>
      </c>
      <c r="H26" s="27" t="str">
        <f t="shared" si="2"/>
        <v/>
      </c>
      <c r="I26" s="20" t="str">
        <f t="shared" si="3"/>
        <v/>
      </c>
    </row>
    <row r="27" spans="1:9" ht="15" customHeight="1">
      <c r="A27" s="25">
        <v>15</v>
      </c>
      <c r="B27" s="26"/>
      <c r="C27" s="26"/>
      <c r="D27" s="18"/>
      <c r="E27" s="18"/>
      <c r="F27" s="27" t="str">
        <f t="shared" si="0"/>
        <v/>
      </c>
      <c r="G27" s="27" t="str">
        <f t="shared" si="1"/>
        <v/>
      </c>
      <c r="H27" s="27" t="str">
        <f t="shared" si="2"/>
        <v/>
      </c>
      <c r="I27" s="20" t="str">
        <f t="shared" si="3"/>
        <v/>
      </c>
    </row>
    <row r="28" spans="1:9" ht="15" customHeight="1">
      <c r="A28" s="25">
        <v>16</v>
      </c>
      <c r="B28" s="26"/>
      <c r="C28" s="26"/>
      <c r="D28" s="18"/>
      <c r="E28" s="18"/>
      <c r="F28" s="27" t="str">
        <f t="shared" si="0"/>
        <v/>
      </c>
      <c r="G28" s="27" t="str">
        <f t="shared" si="1"/>
        <v/>
      </c>
      <c r="H28" s="27" t="str">
        <f t="shared" si="2"/>
        <v/>
      </c>
      <c r="I28" s="20" t="str">
        <f t="shared" si="3"/>
        <v/>
      </c>
    </row>
    <row r="29" spans="1:9" ht="15" customHeight="1">
      <c r="A29" s="25">
        <v>17</v>
      </c>
      <c r="B29" s="26"/>
      <c r="C29" s="26"/>
      <c r="D29" s="18"/>
      <c r="E29" s="18"/>
      <c r="F29" s="27" t="str">
        <f t="shared" si="0"/>
        <v/>
      </c>
      <c r="G29" s="27" t="str">
        <f t="shared" si="1"/>
        <v/>
      </c>
      <c r="H29" s="27" t="str">
        <f t="shared" si="2"/>
        <v/>
      </c>
      <c r="I29" s="20" t="str">
        <f t="shared" si="3"/>
        <v/>
      </c>
    </row>
    <row r="30" spans="1:9" ht="15" customHeight="1">
      <c r="A30" s="25">
        <v>18</v>
      </c>
      <c r="B30" s="26"/>
      <c r="C30" s="26"/>
      <c r="D30" s="18"/>
      <c r="E30" s="18"/>
      <c r="F30" s="27" t="str">
        <f t="shared" si="0"/>
        <v/>
      </c>
      <c r="G30" s="27" t="str">
        <f t="shared" si="1"/>
        <v/>
      </c>
      <c r="H30" s="27" t="str">
        <f t="shared" si="2"/>
        <v/>
      </c>
      <c r="I30" s="20" t="str">
        <f t="shared" si="3"/>
        <v/>
      </c>
    </row>
    <row r="31" spans="1:9" ht="15" customHeight="1">
      <c r="A31" s="25">
        <v>19</v>
      </c>
      <c r="B31" s="26"/>
      <c r="C31" s="26"/>
      <c r="D31" s="18"/>
      <c r="E31" s="18"/>
      <c r="F31" s="27" t="str">
        <f t="shared" si="0"/>
        <v/>
      </c>
      <c r="G31" s="27" t="str">
        <f t="shared" si="1"/>
        <v/>
      </c>
      <c r="H31" s="27" t="str">
        <f t="shared" si="2"/>
        <v/>
      </c>
      <c r="I31" s="20" t="str">
        <f t="shared" si="3"/>
        <v/>
      </c>
    </row>
    <row r="32" spans="1:9" ht="15" customHeight="1">
      <c r="A32" s="25">
        <v>20</v>
      </c>
      <c r="B32" s="26"/>
      <c r="C32" s="26"/>
      <c r="D32" s="18"/>
      <c r="E32" s="18"/>
      <c r="F32" s="27" t="str">
        <f t="shared" si="0"/>
        <v/>
      </c>
      <c r="G32" s="27" t="str">
        <f t="shared" si="1"/>
        <v/>
      </c>
      <c r="H32" s="27" t="str">
        <f t="shared" si="2"/>
        <v/>
      </c>
      <c r="I32" s="20" t="str">
        <f t="shared" si="3"/>
        <v/>
      </c>
    </row>
    <row r="33" spans="1:17" ht="15" customHeight="1">
      <c r="A33" s="55" t="s">
        <v>157</v>
      </c>
      <c r="B33" s="55"/>
      <c r="C33" s="55"/>
      <c r="D33" s="55"/>
      <c r="E33" s="55"/>
      <c r="F33" s="28">
        <f>IF(COUNT(F13:F32)=0,"ND",AVERAGE(F13:F32))</f>
        <v>17.239999999999998</v>
      </c>
      <c r="G33" s="28">
        <f>COUNT(G13:G32)</f>
        <v>10</v>
      </c>
      <c r="H33" s="28">
        <f>SUM(H13:H32)</f>
        <v>1.7399999999999987</v>
      </c>
      <c r="I33" s="29" t="str">
        <f>COUNTIF(I13:I32,"REVISAR*")&amp;" con diferencia sobre el 5%"</f>
        <v>0 con diferencia sobre el 5%</v>
      </c>
    </row>
    <row r="35" spans="1:17" ht="19.5" customHeight="1">
      <c r="A35" s="6" t="s">
        <v>158</v>
      </c>
      <c r="B35" s="6"/>
      <c r="C35" s="6"/>
      <c r="D35" s="6"/>
      <c r="E35" s="6"/>
      <c r="F35" s="6"/>
      <c r="G35" s="6"/>
      <c r="H35" s="6"/>
      <c r="I35" s="6"/>
      <c r="J35" s="6"/>
      <c r="K35" s="6"/>
      <c r="L35" s="6"/>
      <c r="M35" s="6"/>
      <c r="N35" s="6"/>
      <c r="O35" s="6"/>
      <c r="P35" s="6"/>
      <c r="Q35" s="6"/>
    </row>
    <row r="36" spans="1:17" ht="18" customHeight="1">
      <c r="A36" s="8" t="s">
        <v>159</v>
      </c>
      <c r="B36" s="8"/>
      <c r="C36" s="56">
        <f>G33</f>
        <v>10</v>
      </c>
      <c r="D36" s="56"/>
      <c r="E36" s="56"/>
      <c r="F36" s="56"/>
      <c r="G36" s="56"/>
      <c r="H36" s="56"/>
      <c r="I36" s="56"/>
      <c r="J36" s="56"/>
      <c r="K36" s="56"/>
    </row>
    <row r="37" spans="1:17" ht="18" customHeight="1">
      <c r="A37" s="8" t="s">
        <v>160</v>
      </c>
      <c r="B37" s="8"/>
      <c r="C37" s="56">
        <f>H33</f>
        <v>1.7399999999999987</v>
      </c>
      <c r="D37" s="56"/>
      <c r="E37" s="56"/>
      <c r="F37" s="56"/>
      <c r="G37" s="56"/>
      <c r="H37" s="56"/>
      <c r="I37" s="56"/>
      <c r="J37" s="56"/>
      <c r="K37" s="56"/>
    </row>
    <row r="38" spans="1:17" ht="18" customHeight="1">
      <c r="A38" s="8" t="s">
        <v>161</v>
      </c>
      <c r="B38" s="8"/>
      <c r="C38" s="56">
        <f>F33</f>
        <v>17.239999999999998</v>
      </c>
      <c r="D38" s="56"/>
      <c r="E38" s="56"/>
      <c r="F38" s="56"/>
      <c r="G38" s="56"/>
      <c r="H38" s="56"/>
      <c r="I38" s="56"/>
      <c r="J38" s="56"/>
      <c r="K38" s="56"/>
    </row>
    <row r="39" spans="1:17" ht="25.5" customHeight="1">
      <c r="A39" s="8" t="s">
        <v>162</v>
      </c>
      <c r="B39" s="8"/>
      <c r="C39" s="57">
        <f>IF(OR(NOT(ISNUMBER(C36)),C36=0,NOT(ISNUMBER(C37))),"ND: faltan mediciones",SQRT(C37/(2*C36)))</f>
        <v>0.29495762407505244</v>
      </c>
      <c r="D39" s="57"/>
      <c r="E39" s="57"/>
      <c r="F39" s="57"/>
      <c r="G39" s="57"/>
      <c r="H39" s="57"/>
      <c r="I39" s="57"/>
      <c r="J39" s="57"/>
      <c r="K39" s="57"/>
      <c r="L39" s="45" t="s">
        <v>163</v>
      </c>
      <c r="M39" s="45"/>
      <c r="N39" s="45"/>
      <c r="O39" s="45"/>
      <c r="P39" s="45"/>
      <c r="Q39" s="45"/>
    </row>
    <row r="40" spans="1:17" ht="18" customHeight="1">
      <c r="A40" s="8" t="s">
        <v>164</v>
      </c>
      <c r="B40" s="8"/>
      <c r="C40" s="58">
        <f>IF(OR(NOT(ISNUMBER(C39)),NOT(ISNUMBER(C38)),C38=0),"ND",C39/C38)</f>
        <v>1.7108910909225779E-2</v>
      </c>
      <c r="D40" s="58"/>
      <c r="E40" s="58"/>
      <c r="F40" s="58"/>
      <c r="G40" s="58"/>
      <c r="H40" s="58"/>
      <c r="I40" s="58"/>
      <c r="J40" s="58"/>
      <c r="K40" s="58"/>
    </row>
    <row r="41" spans="1:17" ht="18" customHeight="1">
      <c r="A41" s="8" t="s">
        <v>165</v>
      </c>
      <c r="B41" s="8"/>
      <c r="C41" s="50">
        <f>IF(COUNT(F13:F32)&lt;2,"ND",STDEV(F13:F32))</f>
        <v>5.9407163802954948</v>
      </c>
      <c r="D41" s="50"/>
      <c r="E41" s="50"/>
      <c r="F41" s="50"/>
      <c r="G41" s="50"/>
      <c r="H41" s="50"/>
      <c r="I41" s="50"/>
      <c r="J41" s="50"/>
      <c r="K41" s="50"/>
    </row>
    <row r="42" spans="1:17" ht="18" customHeight="1">
      <c r="A42" s="8" t="s">
        <v>166</v>
      </c>
      <c r="B42" s="8"/>
      <c r="C42" s="59">
        <f>IF(OR(NOT(ISNUMBER(C39)),NOT(ISNUMBER(C41)),C41=0),"ND",1-(C39^2/C41^2))</f>
        <v>0.99753485985221757</v>
      </c>
      <c r="D42" s="59"/>
      <c r="E42" s="59"/>
      <c r="F42" s="59"/>
      <c r="G42" s="59"/>
      <c r="H42" s="59"/>
      <c r="I42" s="59"/>
      <c r="J42" s="59"/>
      <c r="K42" s="59"/>
      <c r="L42" s="45" t="s">
        <v>167</v>
      </c>
      <c r="M42" s="45"/>
      <c r="N42" s="45"/>
      <c r="O42" s="45"/>
      <c r="P42" s="45"/>
      <c r="Q42" s="45"/>
    </row>
    <row r="44" spans="1:17" ht="19.5" customHeight="1">
      <c r="A44" s="6" t="s">
        <v>168</v>
      </c>
      <c r="B44" s="6"/>
      <c r="C44" s="6"/>
      <c r="D44" s="6"/>
      <c r="E44" s="6"/>
      <c r="F44" s="6"/>
      <c r="G44" s="6"/>
      <c r="H44" s="6"/>
      <c r="I44" s="6"/>
      <c r="J44" s="6"/>
      <c r="K44" s="6"/>
      <c r="L44" s="6"/>
      <c r="M44" s="6"/>
      <c r="N44" s="6"/>
      <c r="O44" s="6"/>
      <c r="P44" s="6"/>
      <c r="Q44" s="6"/>
    </row>
    <row r="45" spans="1:17" ht="48" customHeight="1">
      <c r="A45" s="8" t="s">
        <v>169</v>
      </c>
      <c r="B45" s="8"/>
      <c r="C45" s="60" t="str">
        <f>IF(NOT(ISNUMBER(C40)),"ND",IF(C40&lt;=u_intra,"El error relativo de "&amp;TEXT(C40,"0.00%")&amp;" cumple el criterio para un mismo evaluador, que es de "&amp;TEXT(u_intra,"0%")&amp;".",IF(C40&lt;=u_inter,"El error relativo de "&amp;TEXT(C40,"0.00%")&amp;" supera el criterio para un mismo evaluador pero se mantiene bajo el criterio entre evaluadores. Conviene entrenar la técnica antes de usar estas mediciones para seguimiento fino.","El error relativo de "&amp;TEXT(C40,"0.00%")&amp;" SUPERA ambos criterios. Las mediciones no son suficientemente reproducibles: revise la técnica con supervisión antes de continuar.")))</f>
        <v>El error relativo de 002% cumple el criterio para un mismo evaluador, que es de 5%.</v>
      </c>
      <c r="D45" s="60"/>
      <c r="E45" s="60"/>
      <c r="F45" s="60"/>
      <c r="G45" s="60"/>
      <c r="H45" s="60"/>
      <c r="I45" s="60"/>
      <c r="J45" s="60"/>
      <c r="K45" s="60"/>
    </row>
    <row r="46" spans="1:17" ht="43.5" customHeight="1">
      <c r="A46" s="8" t="s">
        <v>170</v>
      </c>
      <c r="B46" s="8"/>
      <c r="C46" s="60" t="str">
        <f>IF(NOT(ISNUMBER(C42)),"ND",IF(C42&gt;=u_R,"La fiabilidad de "&amp;TEXT(C42,"0.000")&amp;" alcanza el mínimo de "&amp;TEXT(u_R,"0.00")&amp;": la variación observada entre sujetos se debe mayormente a diferencias reales y no al error del método.","La fiabilidad de "&amp;TEXT(C42,"0.000")&amp;" queda bajo el mínimo: una parte importante de lo que usted observa es error de medición, no diferencia real."))</f>
        <v>La fiabilidad de 0.001 alcanza el mínimo de 001: la variación observada entre sujetos se debe mayormente a diferencias reales y no al error del método.</v>
      </c>
      <c r="D46" s="60"/>
      <c r="E46" s="60"/>
      <c r="F46" s="60"/>
      <c r="G46" s="60"/>
      <c r="H46" s="60"/>
      <c r="I46" s="60"/>
      <c r="J46" s="60"/>
      <c r="K46" s="60"/>
    </row>
    <row r="47" spans="1:17" ht="34.5" customHeight="1">
      <c r="A47" s="49" t="s">
        <v>171</v>
      </c>
      <c r="B47" s="49"/>
      <c r="C47" s="50">
        <f>COUNTIF(I13:I32,"REVISAR*")</f>
        <v>0</v>
      </c>
      <c r="D47" s="50"/>
      <c r="E47" s="50"/>
      <c r="F47" s="50"/>
      <c r="G47" s="50"/>
      <c r="H47" s="50"/>
      <c r="I47" s="50"/>
      <c r="J47" s="50"/>
      <c r="K47" s="50"/>
      <c r="L47" s="45" t="s">
        <v>172</v>
      </c>
      <c r="M47" s="45"/>
      <c r="N47" s="45"/>
      <c r="O47" s="45"/>
      <c r="P47" s="45"/>
      <c r="Q47" s="45"/>
    </row>
    <row r="49" spans="1:17" ht="19.5" customHeight="1">
      <c r="A49" s="6" t="s">
        <v>173</v>
      </c>
      <c r="B49" s="6"/>
      <c r="C49" s="6"/>
      <c r="D49" s="6"/>
      <c r="E49" s="6"/>
      <c r="F49" s="6"/>
      <c r="G49" s="6"/>
      <c r="H49" s="6"/>
      <c r="I49" s="6"/>
      <c r="J49" s="6"/>
      <c r="K49" s="6"/>
      <c r="L49" s="6"/>
      <c r="M49" s="6"/>
      <c r="N49" s="6"/>
      <c r="O49" s="6"/>
      <c r="P49" s="6"/>
      <c r="Q49" s="6"/>
    </row>
    <row r="50" spans="1:17" ht="30" customHeight="1">
      <c r="A50" s="49" t="s">
        <v>174</v>
      </c>
      <c r="B50" s="49"/>
      <c r="C50" s="52">
        <f>IF(NOT(ISNUMBER(C39)),"ND",k_z*SQRT(2)*C39)</f>
        <v>0.81758082169287682</v>
      </c>
      <c r="D50" s="52"/>
      <c r="E50" s="52"/>
      <c r="F50" s="52"/>
      <c r="G50" s="52"/>
      <c r="H50" s="52"/>
      <c r="I50" s="52"/>
      <c r="J50" s="52"/>
      <c r="K50" s="52"/>
      <c r="L50" s="45" t="s">
        <v>175</v>
      </c>
      <c r="M50" s="45"/>
      <c r="N50" s="45"/>
      <c r="O50" s="45"/>
      <c r="P50" s="45"/>
      <c r="Q50" s="45"/>
    </row>
    <row r="51" spans="1:17" ht="31.5" customHeight="1">
      <c r="A51" s="49" t="s">
        <v>176</v>
      </c>
      <c r="B51" s="49"/>
      <c r="C51" s="51" t="str">
        <f>IF(OR(NOT(ISNUMBER(C50)),NOT(ISNUMBER(v_resol))),"ND",IF(C50&lt;v_resol,"El error del evaluador es menor que la resolución del instrumento: la escala del plicómetro pasa a ser el factor limitante.","El error del evaluador supera la resolución del instrumento en "&amp;TEXT(C50/v_resol,"0.0")&amp;" veces: el "&amp;"factor limitante es la técnica, no el aparato."))</f>
        <v>El error del evaluador supera la resolución del instrumento en 04 veces: el factor limitante es la técnica, no el aparato.</v>
      </c>
      <c r="D51" s="51"/>
      <c r="E51" s="51"/>
      <c r="F51" s="51"/>
      <c r="G51" s="51"/>
      <c r="H51" s="51"/>
      <c r="I51" s="51"/>
      <c r="J51" s="51"/>
      <c r="K51" s="51"/>
    </row>
    <row r="53" spans="1:17" ht="15" customHeight="1">
      <c r="A53" s="46" t="s">
        <v>177</v>
      </c>
      <c r="B53" s="46"/>
      <c r="C53" s="46"/>
      <c r="D53" s="46"/>
      <c r="E53" s="46"/>
      <c r="F53" s="46"/>
      <c r="G53" s="46"/>
      <c r="H53" s="46"/>
      <c r="I53" s="46"/>
      <c r="J53" s="46"/>
      <c r="K53" s="46"/>
      <c r="L53" s="46"/>
      <c r="M53" s="46"/>
      <c r="N53" s="46"/>
      <c r="O53" s="46"/>
      <c r="P53" s="46"/>
      <c r="Q53" s="46"/>
    </row>
    <row r="54" spans="1:17" ht="15" customHeight="1">
      <c r="A54" s="46"/>
      <c r="B54" s="46"/>
      <c r="C54" s="46"/>
      <c r="D54" s="46"/>
      <c r="E54" s="46"/>
      <c r="F54" s="46"/>
      <c r="G54" s="46"/>
      <c r="H54" s="46"/>
      <c r="I54" s="46"/>
      <c r="J54" s="46"/>
      <c r="K54" s="46"/>
      <c r="L54" s="46"/>
      <c r="M54" s="46"/>
      <c r="N54" s="46"/>
      <c r="O54" s="46"/>
      <c r="P54" s="46"/>
      <c r="Q54" s="46"/>
    </row>
    <row r="55" spans="1:17" ht="15" customHeight="1">
      <c r="A55" s="46"/>
      <c r="B55" s="46"/>
      <c r="C55" s="46"/>
      <c r="D55" s="46"/>
      <c r="E55" s="46"/>
      <c r="F55" s="46"/>
      <c r="G55" s="46"/>
      <c r="H55" s="46"/>
      <c r="I55" s="46"/>
      <c r="J55" s="46"/>
      <c r="K55" s="46"/>
      <c r="L55" s="46"/>
      <c r="M55" s="46"/>
      <c r="N55" s="46"/>
      <c r="O55" s="46"/>
      <c r="P55" s="46"/>
      <c r="Q55" s="46"/>
    </row>
  </sheetData>
  <sheetProtection algorithmName="SHA-512" hashValue="BBZLdptyrlDhXg5FKjV5xfFC0cE+4dEHDgwSWr6tOkuEsXJYveTvriiYSmIf6HjrSdNtaLAnm6XE8EX6bOTr5Q==" saltValue="jpt3TGwRPWxYQjkrsBHwPg==" spinCount="100000" sheet="1" objects="1" scenarios="1"/>
  <protectedRanges>
    <protectedRange sqref="B13:E32" name="Rango1"/>
  </protectedRanges>
  <mergeCells count="38">
    <mergeCell ref="A51:B51"/>
    <mergeCell ref="C51:K51"/>
    <mergeCell ref="A53:Q55"/>
    <mergeCell ref="A4:C4"/>
    <mergeCell ref="A47:B47"/>
    <mergeCell ref="C47:K47"/>
    <mergeCell ref="L47:Q47"/>
    <mergeCell ref="A49:Q49"/>
    <mergeCell ref="A50:B50"/>
    <mergeCell ref="C50:K50"/>
    <mergeCell ref="L50:Q50"/>
    <mergeCell ref="L42:Q42"/>
    <mergeCell ref="A44:Q44"/>
    <mergeCell ref="A45:B45"/>
    <mergeCell ref="C45:K45"/>
    <mergeCell ref="A46:B46"/>
    <mergeCell ref="C46:K46"/>
    <mergeCell ref="A40:B40"/>
    <mergeCell ref="C40:K40"/>
    <mergeCell ref="A41:B41"/>
    <mergeCell ref="C41:K41"/>
    <mergeCell ref="A42:B42"/>
    <mergeCell ref="C42:K42"/>
    <mergeCell ref="A38:B38"/>
    <mergeCell ref="C38:K38"/>
    <mergeCell ref="A39:B39"/>
    <mergeCell ref="C39:K39"/>
    <mergeCell ref="L39:Q39"/>
    <mergeCell ref="A33:E33"/>
    <mergeCell ref="A35:Q35"/>
    <mergeCell ref="A36:B36"/>
    <mergeCell ref="C36:K36"/>
    <mergeCell ref="A37:B37"/>
    <mergeCell ref="C37:K37"/>
    <mergeCell ref="A1:Q1"/>
    <mergeCell ref="A2:Q3"/>
    <mergeCell ref="A6:Q9"/>
    <mergeCell ref="A11:Q11"/>
  </mergeCells>
  <dataValidations count="1">
    <dataValidation type="list" allowBlank="1" sqref="C13:C32" xr:uid="{00000000-0002-0000-0400-000000000000}">
      <formula1>lst_sitios</formula1>
      <formula2>0</formula2>
    </dataValidation>
  </dataValidations>
  <pageMargins left="0.75" right="0.75" top="1" bottom="1"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FF0E3"/>
  </sheetPr>
  <dimension ref="A1:Q48"/>
  <sheetViews>
    <sheetView showGridLines="0" topLeftCell="A3" zoomScale="85" zoomScaleNormal="85" workbookViewId="0">
      <selection activeCell="A46" sqref="A46:Q48"/>
    </sheetView>
  </sheetViews>
  <sheetFormatPr baseColWidth="10" defaultColWidth="9.140625" defaultRowHeight="15"/>
  <cols>
    <col min="1" max="1" width="26" style="14" customWidth="1"/>
    <col min="2" max="2" width="28.85546875" style="14" customWidth="1"/>
    <col min="3" max="3" width="24" style="14" customWidth="1"/>
    <col min="4" max="4" width="16" style="14" customWidth="1"/>
    <col min="5" max="5" width="22" style="14" customWidth="1"/>
    <col min="6" max="6" width="40" style="14" customWidth="1"/>
    <col min="7"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178</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5" customHeight="1">
      <c r="A6" s="69" t="s">
        <v>179</v>
      </c>
      <c r="B6" s="69"/>
      <c r="C6" s="69"/>
      <c r="D6" s="69"/>
      <c r="E6" s="69"/>
      <c r="F6" s="69"/>
      <c r="G6" s="69"/>
      <c r="H6" s="69"/>
      <c r="I6" s="69"/>
      <c r="J6" s="69"/>
      <c r="K6" s="69"/>
      <c r="L6" s="69"/>
      <c r="M6" s="69"/>
      <c r="N6" s="69"/>
      <c r="O6" s="69"/>
      <c r="P6" s="69"/>
      <c r="Q6" s="69"/>
    </row>
    <row r="7" spans="1:17" ht="15" customHeight="1">
      <c r="A7" s="69"/>
      <c r="B7" s="69"/>
      <c r="C7" s="69"/>
      <c r="D7" s="69"/>
      <c r="E7" s="69"/>
      <c r="F7" s="69"/>
      <c r="G7" s="69"/>
      <c r="H7" s="69"/>
      <c r="I7" s="69"/>
      <c r="J7" s="69"/>
      <c r="K7" s="69"/>
      <c r="L7" s="69"/>
      <c r="M7" s="69"/>
      <c r="N7" s="69"/>
      <c r="O7" s="69"/>
      <c r="P7" s="69"/>
      <c r="Q7" s="69"/>
    </row>
    <row r="8" spans="1:17" ht="15" customHeight="1">
      <c r="A8" s="69"/>
      <c r="B8" s="69"/>
      <c r="C8" s="69"/>
      <c r="D8" s="69"/>
      <c r="E8" s="69"/>
      <c r="F8" s="69"/>
      <c r="G8" s="69"/>
      <c r="H8" s="69"/>
      <c r="I8" s="69"/>
      <c r="J8" s="69"/>
      <c r="K8" s="69"/>
      <c r="L8" s="69"/>
      <c r="M8" s="69"/>
      <c r="N8" s="69"/>
      <c r="O8" s="69"/>
      <c r="P8" s="69"/>
      <c r="Q8" s="69"/>
    </row>
    <row r="10" spans="1:17" ht="19.5" customHeight="1">
      <c r="A10" s="6" t="s">
        <v>180</v>
      </c>
      <c r="B10" s="6"/>
      <c r="C10" s="6"/>
      <c r="D10" s="6"/>
      <c r="E10" s="6"/>
      <c r="F10" s="6"/>
      <c r="G10" s="6"/>
      <c r="H10" s="6"/>
      <c r="I10" s="6"/>
      <c r="J10" s="6"/>
      <c r="K10" s="6"/>
      <c r="L10" s="6"/>
      <c r="M10" s="6"/>
      <c r="N10" s="6"/>
      <c r="O10" s="6"/>
      <c r="P10" s="6"/>
      <c r="Q10" s="6"/>
    </row>
    <row r="11" spans="1:17" ht="36" customHeight="1">
      <c r="A11" s="16" t="s">
        <v>117</v>
      </c>
      <c r="B11" s="16" t="s">
        <v>181</v>
      </c>
      <c r="C11" s="16" t="s">
        <v>182</v>
      </c>
      <c r="D11" s="16" t="s">
        <v>183</v>
      </c>
      <c r="E11" s="16" t="s">
        <v>184</v>
      </c>
      <c r="F11" s="16" t="s">
        <v>185</v>
      </c>
    </row>
    <row r="12" spans="1:17" ht="15" customHeight="1">
      <c r="A12" s="26" t="s">
        <v>147</v>
      </c>
      <c r="B12" s="18">
        <v>12.4</v>
      </c>
      <c r="C12" s="18">
        <v>11</v>
      </c>
      <c r="D12" s="19">
        <f t="shared" ref="D12:D20" si="0">IF(OR(NOT(ISNUMBER(B12)),NOT(ISNUMBER(C12))),"",C12-B12)</f>
        <v>-1.4000000000000004</v>
      </c>
      <c r="E12" s="19">
        <f t="shared" ref="E12:E19" si="1">IF(NOT(ISNUMBER(D12)),"",v_mdc)</f>
        <v>0.81758082169287682</v>
      </c>
      <c r="F12" s="20" t="str">
        <f t="shared" ref="F12:F19" si="2">IF(NOT(ISNUMBER(D12)),"",IF(ABS(D12)&gt;v_mdc,"Sí · el cambio supera el error","No · queda dentro del error de medición"))</f>
        <v>Sí · el cambio supera el error</v>
      </c>
    </row>
    <row r="13" spans="1:17" ht="15" customHeight="1">
      <c r="A13" s="26" t="s">
        <v>186</v>
      </c>
      <c r="B13" s="18">
        <v>14</v>
      </c>
      <c r="C13" s="18">
        <v>12.8</v>
      </c>
      <c r="D13" s="19">
        <f t="shared" si="0"/>
        <v>-1.1999999999999993</v>
      </c>
      <c r="E13" s="19">
        <f t="shared" si="1"/>
        <v>0.81758082169287682</v>
      </c>
      <c r="F13" s="20" t="str">
        <f t="shared" si="2"/>
        <v>Sí · el cambio supera el error</v>
      </c>
    </row>
    <row r="14" spans="1:17" ht="15" customHeight="1">
      <c r="A14" s="26" t="s">
        <v>187</v>
      </c>
      <c r="B14" s="18">
        <v>6</v>
      </c>
      <c r="C14" s="18">
        <v>5.6</v>
      </c>
      <c r="D14" s="19">
        <f t="shared" si="0"/>
        <v>-0.40000000000000036</v>
      </c>
      <c r="E14" s="19">
        <f t="shared" si="1"/>
        <v>0.81758082169287682</v>
      </c>
      <c r="F14" s="20" t="str">
        <f t="shared" si="2"/>
        <v>No · queda dentro del error de medición</v>
      </c>
    </row>
    <row r="15" spans="1:17" ht="15" customHeight="1">
      <c r="A15" s="26" t="s">
        <v>188</v>
      </c>
      <c r="B15" s="18">
        <v>16</v>
      </c>
      <c r="C15" s="18">
        <v>14.2</v>
      </c>
      <c r="D15" s="19">
        <f t="shared" si="0"/>
        <v>-1.8000000000000007</v>
      </c>
      <c r="E15" s="19">
        <f t="shared" si="1"/>
        <v>0.81758082169287682</v>
      </c>
      <c r="F15" s="20" t="str">
        <f t="shared" si="2"/>
        <v>Sí · el cambio supera el error</v>
      </c>
    </row>
    <row r="16" spans="1:17" ht="15" customHeight="1">
      <c r="A16" s="26" t="s">
        <v>189</v>
      </c>
      <c r="B16" s="18">
        <v>18</v>
      </c>
      <c r="C16" s="18">
        <v>16.2</v>
      </c>
      <c r="D16" s="19">
        <f t="shared" si="0"/>
        <v>-1.8000000000000007</v>
      </c>
      <c r="E16" s="19">
        <f t="shared" si="1"/>
        <v>0.81758082169287682</v>
      </c>
      <c r="F16" s="20" t="str">
        <f t="shared" si="2"/>
        <v>Sí · el cambio supera el error</v>
      </c>
    </row>
    <row r="17" spans="1:17" ht="15" customHeight="1">
      <c r="A17" s="26" t="s">
        <v>190</v>
      </c>
      <c r="B17" s="18">
        <v>10.199999999999999</v>
      </c>
      <c r="C17" s="18">
        <v>9.4</v>
      </c>
      <c r="D17" s="19">
        <f t="shared" si="0"/>
        <v>-0.79999999999999893</v>
      </c>
      <c r="E17" s="19">
        <f t="shared" si="1"/>
        <v>0.81758082169287682</v>
      </c>
      <c r="F17" s="20" t="str">
        <f t="shared" si="2"/>
        <v>No · queda dentro del error de medición</v>
      </c>
    </row>
    <row r="18" spans="1:17" ht="15" customHeight="1">
      <c r="A18" s="26"/>
      <c r="B18" s="18"/>
      <c r="C18" s="18"/>
      <c r="D18" s="19" t="str">
        <f t="shared" si="0"/>
        <v/>
      </c>
      <c r="E18" s="19" t="str">
        <f t="shared" si="1"/>
        <v/>
      </c>
      <c r="F18" s="20" t="str">
        <f t="shared" si="2"/>
        <v/>
      </c>
    </row>
    <row r="19" spans="1:17" ht="15" customHeight="1">
      <c r="A19" s="26"/>
      <c r="B19" s="18"/>
      <c r="C19" s="18"/>
      <c r="D19" s="19" t="str">
        <f t="shared" si="0"/>
        <v/>
      </c>
      <c r="E19" s="19" t="str">
        <f t="shared" si="1"/>
        <v/>
      </c>
      <c r="F19" s="20" t="str">
        <f t="shared" si="2"/>
        <v/>
      </c>
    </row>
    <row r="20" spans="1:17" ht="15" customHeight="1">
      <c r="A20" s="21" t="s">
        <v>191</v>
      </c>
      <c r="B20" s="22">
        <f>SUM(B12:B19)</f>
        <v>76.600000000000009</v>
      </c>
      <c r="C20" s="22">
        <f>SUM(C12:C19)</f>
        <v>69.2</v>
      </c>
      <c r="D20" s="22">
        <f t="shared" si="0"/>
        <v>-7.4000000000000057</v>
      </c>
      <c r="E20" s="22">
        <f>IF(COUNT(D12:D19)=0,"ND",k_z*SQRT(2)*v_etm*SQRT(COUNT(D12:D19)))</f>
        <v>2.0026558366329441</v>
      </c>
      <c r="F20" s="23" t="str">
        <f>IF(OR(NOT(ISNUMBER(D20)),NOT(ISNUMBER(E20))),"ND",IF(ABS(D20)&gt;E20,"Sí · el cambio de la suma supera el error","No · queda dentro del error de medición"))</f>
        <v>Sí · el cambio de la suma supera el error</v>
      </c>
    </row>
    <row r="22" spans="1:17" ht="19.5" customHeight="1">
      <c r="A22" s="6" t="s">
        <v>192</v>
      </c>
      <c r="B22" s="6"/>
      <c r="C22" s="6"/>
      <c r="D22" s="6"/>
      <c r="E22" s="6"/>
      <c r="F22" s="6"/>
      <c r="G22" s="6"/>
      <c r="H22" s="6"/>
      <c r="I22" s="6"/>
      <c r="J22" s="6"/>
      <c r="K22" s="6"/>
      <c r="L22" s="6"/>
      <c r="M22" s="6"/>
      <c r="N22" s="6"/>
      <c r="O22" s="6"/>
      <c r="P22" s="6"/>
      <c r="Q22" s="6"/>
    </row>
    <row r="23" spans="1:17" ht="18" customHeight="1">
      <c r="A23" s="8" t="s">
        <v>193</v>
      </c>
      <c r="B23" s="8"/>
      <c r="C23" s="50">
        <f>v_etm</f>
        <v>0.29495762407505244</v>
      </c>
      <c r="D23" s="50"/>
      <c r="E23" s="50"/>
      <c r="F23" s="50"/>
      <c r="G23" s="50"/>
      <c r="H23" s="50"/>
      <c r="I23" s="50"/>
      <c r="J23" s="50"/>
      <c r="K23" s="50"/>
    </row>
    <row r="24" spans="1:17" ht="18" customHeight="1">
      <c r="A24" s="8" t="s">
        <v>194</v>
      </c>
      <c r="B24" s="8"/>
      <c r="C24" s="50">
        <f>COUNT(D12:D19)</f>
        <v>6</v>
      </c>
      <c r="D24" s="50"/>
      <c r="E24" s="50"/>
      <c r="F24" s="50"/>
      <c r="G24" s="50"/>
      <c r="H24" s="50"/>
      <c r="I24" s="50"/>
      <c r="J24" s="50"/>
      <c r="K24" s="50"/>
    </row>
    <row r="25" spans="1:17" ht="18" customHeight="1">
      <c r="A25" s="8" t="s">
        <v>195</v>
      </c>
      <c r="B25" s="8"/>
      <c r="C25" s="50">
        <f>IF(OR(NOT(ISNUMBER(v_etm)),NOT(ISNUMBER(C24))),"ND",v_etm*SQRT(C24))</f>
        <v>0.72249567472753751</v>
      </c>
      <c r="D25" s="50"/>
      <c r="E25" s="50"/>
      <c r="F25" s="50"/>
      <c r="G25" s="50"/>
      <c r="H25" s="50"/>
      <c r="I25" s="50"/>
      <c r="J25" s="50"/>
      <c r="K25" s="50"/>
      <c r="L25" s="45" t="s">
        <v>196</v>
      </c>
      <c r="M25" s="45"/>
      <c r="N25" s="45"/>
      <c r="O25" s="45"/>
      <c r="P25" s="45"/>
      <c r="Q25" s="45"/>
    </row>
    <row r="26" spans="1:17" ht="18" customHeight="1">
      <c r="A26" s="8" t="s">
        <v>197</v>
      </c>
      <c r="B26" s="8"/>
      <c r="C26" s="61">
        <f>IF(OR(NOT(ISNUMBER(E20)),NOT(ISNUMBER(B20)),B20=0),"ND",E20/B20)</f>
        <v>2.614433207092616E-2</v>
      </c>
      <c r="D26" s="61"/>
      <c r="E26" s="61"/>
      <c r="F26" s="61"/>
      <c r="G26" s="61"/>
      <c r="H26" s="61"/>
      <c r="I26" s="61"/>
      <c r="J26" s="61"/>
      <c r="K26" s="61"/>
    </row>
    <row r="27" spans="1:17" ht="48" customHeight="1">
      <c r="A27" s="8" t="s">
        <v>198</v>
      </c>
      <c r="B27" s="8"/>
      <c r="C27" s="60" t="str">
        <f>IF(OR(NOT(ISNUMBER(E20)),NOT(ISNUMBER(v_mdc))),"ND","Cada pliegue por separado necesita cambiar más de "&amp;TEXT(v_mdc,"0.00")&amp;" mm para ser distinguible del error. La suma de "&amp;TEXT(C24,"0")&amp;" pliegues necesita cambiar más de "&amp;TEXT(E20,"0.00")&amp;" mm, que representa una proporción MENOR del total: por eso el seguimiento se hace sobre la suma y no sobre pliegues aislados.")</f>
        <v>Cada pliegue por separado necesita cambiar más de 001 mm para ser distinguible del error. La suma de 6 pliegues necesita cambiar más de 002 mm, que representa una proporción MENOR del total: por eso el seguimiento se hace sobre la suma y no sobre pliegues aislados.</v>
      </c>
      <c r="D27" s="60"/>
      <c r="E27" s="60"/>
      <c r="F27" s="60"/>
      <c r="G27" s="60"/>
      <c r="H27" s="60"/>
      <c r="I27" s="60"/>
      <c r="J27" s="60"/>
      <c r="K27" s="60"/>
    </row>
    <row r="29" spans="1:17" ht="19.5" customHeight="1">
      <c r="A29" s="6" t="s">
        <v>199</v>
      </c>
      <c r="B29" s="6"/>
      <c r="C29" s="6"/>
      <c r="D29" s="6"/>
      <c r="E29" s="6"/>
      <c r="F29" s="6"/>
      <c r="G29" s="6"/>
      <c r="H29" s="6"/>
      <c r="I29" s="6"/>
      <c r="J29" s="6"/>
      <c r="K29" s="6"/>
      <c r="L29" s="6"/>
      <c r="M29" s="6"/>
      <c r="N29" s="6"/>
      <c r="O29" s="6"/>
      <c r="P29" s="6"/>
      <c r="Q29" s="6"/>
    </row>
    <row r="30" spans="1:17" ht="18" customHeight="1">
      <c r="A30" s="8" t="s">
        <v>200</v>
      </c>
      <c r="B30" s="8"/>
      <c r="C30" s="1" t="s">
        <v>75</v>
      </c>
      <c r="D30" s="1"/>
      <c r="E30" s="1"/>
      <c r="F30" s="1"/>
      <c r="G30" s="1"/>
      <c r="H30" s="1"/>
      <c r="I30" s="1"/>
      <c r="J30" s="1"/>
      <c r="K30" s="1"/>
    </row>
    <row r="31" spans="1:17" ht="18" customHeight="1">
      <c r="A31" s="8" t="s">
        <v>201</v>
      </c>
      <c r="B31" s="8"/>
      <c r="C31" s="1" t="s">
        <v>75</v>
      </c>
      <c r="D31" s="1"/>
      <c r="E31" s="1"/>
      <c r="F31" s="1"/>
      <c r="G31" s="1"/>
      <c r="H31" s="1"/>
      <c r="I31" s="1"/>
      <c r="J31" s="1"/>
      <c r="K31" s="1"/>
    </row>
    <row r="32" spans="1:17" ht="33.75" customHeight="1">
      <c r="A32" s="49" t="s">
        <v>202</v>
      </c>
      <c r="B32" s="49"/>
      <c r="C32" s="1" t="s">
        <v>75</v>
      </c>
      <c r="D32" s="1"/>
      <c r="E32" s="1"/>
      <c r="F32" s="1"/>
      <c r="G32" s="1"/>
      <c r="H32" s="1"/>
      <c r="I32" s="1"/>
      <c r="J32" s="1"/>
      <c r="K32" s="1"/>
    </row>
    <row r="33" spans="1:17" ht="32.25" customHeight="1">
      <c r="A33" s="49" t="s">
        <v>203</v>
      </c>
      <c r="B33" s="49"/>
      <c r="C33" s="1" t="s">
        <v>75</v>
      </c>
      <c r="D33" s="1"/>
      <c r="E33" s="1"/>
      <c r="F33" s="1"/>
      <c r="G33" s="1"/>
      <c r="H33" s="1"/>
      <c r="I33" s="1"/>
      <c r="J33" s="1"/>
      <c r="K33" s="1"/>
    </row>
    <row r="34" spans="1:17" ht="39.75" customHeight="1">
      <c r="A34" s="8" t="s">
        <v>204</v>
      </c>
      <c r="B34" s="8"/>
      <c r="C34" s="60" t="str">
        <f>IF(COUNTIF(C30:C33,"Sí")=4,"Las cuatro condiciones se cumplen: la comparación entre ambas evaluaciones es válida.","ATENCIÓN: "&amp;(4-COUNTIF(C30:C33,"Sí"))&amp;" condición(es) no se cumple(n). El cambio observado puede deberse a esa diferencia y no a un cambio real de la persona.")</f>
        <v>Las cuatro condiciones se cumplen: la comparación entre ambas evaluaciones es válida.</v>
      </c>
      <c r="D34" s="60"/>
      <c r="E34" s="60"/>
      <c r="F34" s="60"/>
      <c r="G34" s="60"/>
      <c r="H34" s="60"/>
      <c r="I34" s="60"/>
      <c r="J34" s="60"/>
      <c r="K34" s="60"/>
    </row>
    <row r="36" spans="1:17" ht="43.5" customHeight="1">
      <c r="A36" s="8" t="s">
        <v>205</v>
      </c>
      <c r="B36" s="8"/>
      <c r="C36" s="62" t="str">
        <f>IF(OR(NOT(ISNUMBER(D20)),NOT(ISNUMBER(E20))),"ND: faltan datos",IF(COUNTIF(C30:C33,"Sí")&lt;4,"No concluyente: primero resuelva las condiciones de comparabilidad.",IF(ABS(D20)&gt;E20,"Cambio DISTINGUIBLE del error de medición: la suma de pliegues varió "&amp;TEXT(D20,"+0.0;-0.0")&amp;" mm, por sobre el umbral de "&amp;TEXT(E20,"0.00")&amp;" mm.","Cambio NO distinguible del error: la variación de "&amp;TEXT(D20,"+0.0;-0.0")&amp;" mm queda dentro del margen del método. No informe un cambio como si fuera real.")))</f>
        <v>Cambio DISTINGUIBLE del error de medición: la suma de pliegues varió -07 mm, por sobre el umbral de 002 mm.</v>
      </c>
      <c r="D36" s="62"/>
      <c r="E36" s="62"/>
      <c r="F36" s="62"/>
      <c r="G36" s="62"/>
      <c r="H36" s="62"/>
      <c r="I36" s="62"/>
      <c r="J36" s="62"/>
      <c r="K36" s="62"/>
    </row>
    <row r="38" spans="1:17" ht="32.25" customHeight="1">
      <c r="A38" s="30" t="s">
        <v>117</v>
      </c>
      <c r="B38" s="30" t="s">
        <v>183</v>
      </c>
    </row>
    <row r="39" spans="1:17" ht="32.25" customHeight="1">
      <c r="A39" s="72" t="str">
        <f t="shared" ref="A39:A44" si="3">A12</f>
        <v>Tríceps</v>
      </c>
      <c r="B39" s="71">
        <f t="shared" ref="B39:B44" si="4">D12</f>
        <v>-1.4000000000000004</v>
      </c>
    </row>
    <row r="40" spans="1:17" ht="32.25" customHeight="1">
      <c r="A40" s="72" t="str">
        <f t="shared" si="3"/>
        <v>Subescapular</v>
      </c>
      <c r="B40" s="71">
        <f t="shared" si="4"/>
        <v>-1.1999999999999993</v>
      </c>
    </row>
    <row r="41" spans="1:17" ht="32.25" customHeight="1">
      <c r="A41" s="72" t="str">
        <f t="shared" si="3"/>
        <v>Bíceps</v>
      </c>
      <c r="B41" s="71">
        <f t="shared" si="4"/>
        <v>-0.40000000000000036</v>
      </c>
    </row>
    <row r="42" spans="1:17" ht="32.25" customHeight="1">
      <c r="A42" s="72" t="str">
        <f t="shared" si="3"/>
        <v>Suprailíaco</v>
      </c>
      <c r="B42" s="71">
        <f t="shared" si="4"/>
        <v>-1.8000000000000007</v>
      </c>
    </row>
    <row r="43" spans="1:17" ht="32.25" customHeight="1">
      <c r="A43" s="72" t="str">
        <f t="shared" si="3"/>
        <v>Abdominal</v>
      </c>
      <c r="B43" s="71">
        <f t="shared" si="4"/>
        <v>-1.8000000000000007</v>
      </c>
    </row>
    <row r="44" spans="1:17" ht="32.25" customHeight="1">
      <c r="A44" s="72" t="str">
        <f t="shared" si="3"/>
        <v>Muslo anterior</v>
      </c>
      <c r="B44" s="71">
        <f t="shared" si="4"/>
        <v>-0.79999999999999893</v>
      </c>
    </row>
    <row r="46" spans="1:17" ht="15" customHeight="1">
      <c r="A46" s="69" t="s">
        <v>206</v>
      </c>
      <c r="B46" s="69"/>
      <c r="C46" s="69"/>
      <c r="D46" s="69"/>
      <c r="E46" s="69"/>
      <c r="F46" s="69"/>
      <c r="G46" s="69"/>
      <c r="H46" s="69"/>
      <c r="I46" s="69"/>
      <c r="J46" s="69"/>
      <c r="K46" s="69"/>
      <c r="L46" s="69"/>
      <c r="M46" s="69"/>
      <c r="N46" s="69"/>
      <c r="O46" s="69"/>
      <c r="P46" s="69"/>
      <c r="Q46" s="69"/>
    </row>
    <row r="47" spans="1:17" ht="15" customHeight="1">
      <c r="A47" s="69"/>
      <c r="B47" s="69"/>
      <c r="C47" s="69"/>
      <c r="D47" s="69"/>
      <c r="E47" s="69"/>
      <c r="F47" s="69"/>
      <c r="G47" s="69"/>
      <c r="H47" s="69"/>
      <c r="I47" s="69"/>
      <c r="J47" s="69"/>
      <c r="K47" s="69"/>
      <c r="L47" s="69"/>
      <c r="M47" s="69"/>
      <c r="N47" s="69"/>
      <c r="O47" s="69"/>
      <c r="P47" s="69"/>
      <c r="Q47" s="69"/>
    </row>
    <row r="48" spans="1:17" ht="15" customHeight="1">
      <c r="A48" s="69"/>
      <c r="B48" s="69"/>
      <c r="C48" s="69"/>
      <c r="D48" s="69"/>
      <c r="E48" s="69"/>
      <c r="F48" s="69"/>
      <c r="G48" s="69"/>
      <c r="H48" s="69"/>
      <c r="I48" s="69"/>
      <c r="J48" s="69"/>
      <c r="K48" s="69"/>
      <c r="L48" s="69"/>
      <c r="M48" s="69"/>
      <c r="N48" s="69"/>
      <c r="O48" s="69"/>
      <c r="P48" s="69"/>
      <c r="Q48" s="69"/>
    </row>
  </sheetData>
  <sheetProtection algorithmName="SHA-512" hashValue="kpiGBFmzTz8Bani/b9nf1IdexsobE9gqOv7D6QZkdZIw6dI6hJGM7uq013L1rIU7zqJriX9WPTPrntuOI7LKSQ==" saltValue="VicgmzRSdvU22LrFIMmzlg==" spinCount="100000" sheet="1" objects="1" scenarios="1"/>
  <protectedRanges>
    <protectedRange sqref="A12:C19" name="Rango1"/>
  </protectedRanges>
  <mergeCells count="31">
    <mergeCell ref="A34:B34"/>
    <mergeCell ref="C34:K34"/>
    <mergeCell ref="A36:B36"/>
    <mergeCell ref="C36:K36"/>
    <mergeCell ref="A46:Q48"/>
    <mergeCell ref="A31:B31"/>
    <mergeCell ref="C31:K31"/>
    <mergeCell ref="A32:B32"/>
    <mergeCell ref="C32:K32"/>
    <mergeCell ref="A33:B33"/>
    <mergeCell ref="C33:K33"/>
    <mergeCell ref="A27:B27"/>
    <mergeCell ref="C27:K27"/>
    <mergeCell ref="A29:Q29"/>
    <mergeCell ref="A30:B30"/>
    <mergeCell ref="C30:K30"/>
    <mergeCell ref="A25:B25"/>
    <mergeCell ref="C25:K25"/>
    <mergeCell ref="L25:Q25"/>
    <mergeCell ref="A26:B26"/>
    <mergeCell ref="C26:K26"/>
    <mergeCell ref="A22:Q22"/>
    <mergeCell ref="A23:B23"/>
    <mergeCell ref="C23:K23"/>
    <mergeCell ref="A24:B24"/>
    <mergeCell ref="C24:K24"/>
    <mergeCell ref="A1:Q1"/>
    <mergeCell ref="A2:Q3"/>
    <mergeCell ref="A4:B4"/>
    <mergeCell ref="A6:Q8"/>
    <mergeCell ref="A10:Q10"/>
  </mergeCells>
  <dataValidations count="2">
    <dataValidation type="list" allowBlank="1" sqref="A12:A19" xr:uid="{00000000-0002-0000-0500-000000000000}">
      <formula1>lst_sitios</formula1>
      <formula2>0</formula2>
    </dataValidation>
    <dataValidation type="list" allowBlank="1" sqref="C30:C33" xr:uid="{00000000-0002-0000-0500-000001000000}">
      <formula1>lst_si</formula1>
      <formula2>0</formula2>
    </dataValidation>
  </dataValidation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8E7E2"/>
  </sheetPr>
  <dimension ref="A1:Q18"/>
  <sheetViews>
    <sheetView showGridLines="0" zoomScaleNormal="100" workbookViewId="0">
      <selection activeCell="A4" sqref="A4:D4"/>
    </sheetView>
  </sheetViews>
  <sheetFormatPr baseColWidth="10" defaultColWidth="9.140625" defaultRowHeight="15"/>
  <cols>
    <col min="1" max="1" width="34" style="14" customWidth="1"/>
    <col min="2" max="2" width="15" style="14" customWidth="1"/>
    <col min="3" max="3" width="12"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207</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67" t="str">
        <f>HYPERLINK("#INICIO!A1","▶  VOLVER A INICIO")</f>
        <v>▶  VOLVER A INICIO</v>
      </c>
      <c r="B4" s="68"/>
      <c r="C4" s="68"/>
      <c r="D4" s="68"/>
    </row>
    <row r="6" spans="1:17" ht="19.5" customHeight="1">
      <c r="A6" s="6" t="s">
        <v>208</v>
      </c>
      <c r="B6" s="6"/>
      <c r="C6" s="6"/>
      <c r="D6" s="6"/>
      <c r="E6" s="6"/>
      <c r="F6" s="6"/>
      <c r="G6" s="6"/>
      <c r="H6" s="6"/>
      <c r="I6" s="6"/>
      <c r="J6" s="6"/>
      <c r="K6" s="6"/>
      <c r="L6" s="6"/>
      <c r="M6" s="6"/>
      <c r="N6" s="6"/>
      <c r="O6" s="6"/>
      <c r="P6" s="6"/>
      <c r="Q6" s="6"/>
    </row>
    <row r="7" spans="1:17" ht="15" customHeight="1">
      <c r="A7" s="32" t="s">
        <v>209</v>
      </c>
      <c r="B7" s="63" t="s">
        <v>210</v>
      </c>
      <c r="C7" s="63"/>
      <c r="D7" s="63"/>
      <c r="E7" s="63"/>
      <c r="F7" s="63"/>
      <c r="G7" s="63"/>
      <c r="H7" s="63"/>
      <c r="I7" s="63"/>
      <c r="J7" s="63"/>
      <c r="K7" s="63"/>
      <c r="L7" s="63"/>
      <c r="M7" s="63"/>
      <c r="N7" s="63"/>
      <c r="O7" s="63"/>
      <c r="P7" s="63"/>
      <c r="Q7" s="63"/>
    </row>
    <row r="8" spans="1:17" ht="61.5" customHeight="1">
      <c r="A8" s="33" t="s">
        <v>211</v>
      </c>
      <c r="B8" s="64" t="s">
        <v>212</v>
      </c>
      <c r="C8" s="64"/>
      <c r="D8" s="64"/>
      <c r="E8" s="64"/>
      <c r="F8" s="64"/>
      <c r="G8" s="64"/>
      <c r="H8" s="64"/>
      <c r="I8" s="64"/>
      <c r="J8" s="64"/>
      <c r="K8" s="64"/>
      <c r="L8" s="64"/>
      <c r="M8" s="64"/>
      <c r="N8" s="64"/>
      <c r="O8" s="64"/>
      <c r="P8" s="64"/>
      <c r="Q8" s="64"/>
    </row>
    <row r="9" spans="1:17" ht="61.5" customHeight="1">
      <c r="A9" s="33" t="s">
        <v>6</v>
      </c>
      <c r="B9" s="64" t="s">
        <v>213</v>
      </c>
      <c r="C9" s="64"/>
      <c r="D9" s="64"/>
      <c r="E9" s="64"/>
      <c r="F9" s="64"/>
      <c r="G9" s="64"/>
      <c r="H9" s="64"/>
      <c r="I9" s="64"/>
      <c r="J9" s="64"/>
      <c r="K9" s="64"/>
      <c r="L9" s="64"/>
      <c r="M9" s="64"/>
      <c r="N9" s="64"/>
      <c r="O9" s="64"/>
      <c r="P9" s="64"/>
      <c r="Q9" s="64"/>
    </row>
    <row r="10" spans="1:17" ht="61.5" customHeight="1">
      <c r="A10" s="33" t="s">
        <v>214</v>
      </c>
      <c r="B10" s="64" t="s">
        <v>215</v>
      </c>
      <c r="C10" s="64"/>
      <c r="D10" s="64"/>
      <c r="E10" s="64"/>
      <c r="F10" s="64"/>
      <c r="G10" s="64"/>
      <c r="H10" s="64"/>
      <c r="I10" s="64"/>
      <c r="J10" s="64"/>
      <c r="K10" s="64"/>
      <c r="L10" s="64"/>
      <c r="M10" s="64"/>
      <c r="N10" s="64"/>
      <c r="O10" s="64"/>
      <c r="P10" s="64"/>
      <c r="Q10" s="64"/>
    </row>
    <row r="11" spans="1:17" ht="61.5" customHeight="1">
      <c r="A11" s="33" t="s">
        <v>216</v>
      </c>
      <c r="B11" s="64" t="s">
        <v>217</v>
      </c>
      <c r="C11" s="64"/>
      <c r="D11" s="64"/>
      <c r="E11" s="64"/>
      <c r="F11" s="64"/>
      <c r="G11" s="64"/>
      <c r="H11" s="64"/>
      <c r="I11" s="64"/>
      <c r="J11" s="64"/>
      <c r="K11" s="64"/>
      <c r="L11" s="64"/>
      <c r="M11" s="64"/>
      <c r="N11" s="64"/>
      <c r="O11" s="64"/>
      <c r="P11" s="64"/>
      <c r="Q11" s="64"/>
    </row>
    <row r="12" spans="1:17" ht="61.5" customHeight="1">
      <c r="A12" s="33" t="s">
        <v>166</v>
      </c>
      <c r="B12" s="64" t="s">
        <v>218</v>
      </c>
      <c r="C12" s="64"/>
      <c r="D12" s="64"/>
      <c r="E12" s="64"/>
      <c r="F12" s="64"/>
      <c r="G12" s="64"/>
      <c r="H12" s="64"/>
      <c r="I12" s="64"/>
      <c r="J12" s="64"/>
      <c r="K12" s="64"/>
      <c r="L12" s="64"/>
      <c r="M12" s="64"/>
      <c r="N12" s="64"/>
      <c r="O12" s="64"/>
      <c r="P12" s="64"/>
      <c r="Q12" s="64"/>
    </row>
    <row r="13" spans="1:17" ht="61.5" customHeight="1">
      <c r="A13" s="33" t="s">
        <v>184</v>
      </c>
      <c r="B13" s="64" t="s">
        <v>219</v>
      </c>
      <c r="C13" s="64"/>
      <c r="D13" s="64"/>
      <c r="E13" s="64"/>
      <c r="F13" s="64"/>
      <c r="G13" s="64"/>
      <c r="H13" s="64"/>
      <c r="I13" s="64"/>
      <c r="J13" s="64"/>
      <c r="K13" s="64"/>
      <c r="L13" s="64"/>
      <c r="M13" s="64"/>
      <c r="N13" s="64"/>
      <c r="O13" s="64"/>
      <c r="P13" s="64"/>
      <c r="Q13" s="64"/>
    </row>
    <row r="14" spans="1:17" ht="61.5" customHeight="1">
      <c r="A14" s="33" t="s">
        <v>220</v>
      </c>
      <c r="B14" s="64" t="s">
        <v>221</v>
      </c>
      <c r="C14" s="64"/>
      <c r="D14" s="64"/>
      <c r="E14" s="64"/>
      <c r="F14" s="64"/>
      <c r="G14" s="64"/>
      <c r="H14" s="64"/>
      <c r="I14" s="64"/>
      <c r="J14" s="64"/>
      <c r="K14" s="64"/>
      <c r="L14" s="64"/>
      <c r="M14" s="64"/>
      <c r="N14" s="64"/>
      <c r="O14" s="64"/>
      <c r="P14" s="64"/>
      <c r="Q14" s="64"/>
    </row>
    <row r="15" spans="1:17" ht="61.5" customHeight="1">
      <c r="A15" s="33" t="s">
        <v>222</v>
      </c>
      <c r="B15" s="64" t="s">
        <v>223</v>
      </c>
      <c r="C15" s="64"/>
      <c r="D15" s="64"/>
      <c r="E15" s="64"/>
      <c r="F15" s="64"/>
      <c r="G15" s="64"/>
      <c r="H15" s="64"/>
      <c r="I15" s="64"/>
      <c r="J15" s="64"/>
      <c r="K15" s="64"/>
      <c r="L15" s="64"/>
      <c r="M15" s="64"/>
      <c r="N15" s="64"/>
      <c r="O15" s="64"/>
      <c r="P15" s="64"/>
      <c r="Q15" s="64"/>
    </row>
    <row r="16" spans="1:17" ht="61.5" customHeight="1">
      <c r="A16" s="33" t="s">
        <v>224</v>
      </c>
      <c r="B16" s="64" t="s">
        <v>225</v>
      </c>
      <c r="C16" s="64"/>
      <c r="D16" s="64"/>
      <c r="E16" s="64"/>
      <c r="F16" s="64"/>
      <c r="G16" s="64"/>
      <c r="H16" s="64"/>
      <c r="I16" s="64"/>
      <c r="J16" s="64"/>
      <c r="K16" s="64"/>
      <c r="L16" s="64"/>
      <c r="M16" s="64"/>
      <c r="N16" s="64"/>
      <c r="O16" s="64"/>
      <c r="P16" s="64"/>
      <c r="Q16" s="64"/>
    </row>
    <row r="17" spans="1:17" ht="61.5" customHeight="1">
      <c r="A17" s="33" t="s">
        <v>226</v>
      </c>
      <c r="B17" s="64" t="s">
        <v>227</v>
      </c>
      <c r="C17" s="64"/>
      <c r="D17" s="64"/>
      <c r="E17" s="64"/>
      <c r="F17" s="64"/>
      <c r="G17" s="64"/>
      <c r="H17" s="64"/>
      <c r="I17" s="64"/>
      <c r="J17" s="64"/>
      <c r="K17" s="64"/>
      <c r="L17" s="64"/>
      <c r="M17" s="64"/>
      <c r="N17" s="64"/>
      <c r="O17" s="64"/>
      <c r="P17" s="64"/>
      <c r="Q17" s="64"/>
    </row>
    <row r="18" spans="1:17" ht="61.5" customHeight="1">
      <c r="A18" s="33" t="s">
        <v>228</v>
      </c>
      <c r="B18" s="64" t="s">
        <v>229</v>
      </c>
      <c r="C18" s="64"/>
      <c r="D18" s="64"/>
      <c r="E18" s="64"/>
      <c r="F18" s="64"/>
      <c r="G18" s="64"/>
      <c r="H18" s="64"/>
      <c r="I18" s="64"/>
      <c r="J18" s="64"/>
      <c r="K18" s="64"/>
      <c r="L18" s="64"/>
      <c r="M18" s="64"/>
      <c r="N18" s="64"/>
      <c r="O18" s="64"/>
      <c r="P18" s="64"/>
      <c r="Q18" s="64"/>
    </row>
  </sheetData>
  <sheetProtection algorithmName="SHA-512" hashValue="vc1A5onNaSQBSUKGDZ+bXFrlC8f5ehBQAupViiAZBp4CgNC5jazKZnDZoBh2XvVbfH69u7nCjQxK3lDgXkhwlQ==" saltValue="HAtwCqctOjlK2JFPWqXK/Q==" spinCount="100000" sheet="1" objects="1" scenarios="1"/>
  <mergeCells count="16">
    <mergeCell ref="B18:Q18"/>
    <mergeCell ref="A4:D4"/>
    <mergeCell ref="B13:Q13"/>
    <mergeCell ref="B14:Q14"/>
    <mergeCell ref="B15:Q15"/>
    <mergeCell ref="B16:Q16"/>
    <mergeCell ref="B17:Q17"/>
    <mergeCell ref="B8:Q8"/>
    <mergeCell ref="B9:Q9"/>
    <mergeCell ref="B10:Q10"/>
    <mergeCell ref="B11:Q11"/>
    <mergeCell ref="B12:Q12"/>
    <mergeCell ref="A1:Q1"/>
    <mergeCell ref="A2:Q3"/>
    <mergeCell ref="A6:Q6"/>
    <mergeCell ref="B7:Q7"/>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BE4D5"/>
  </sheetPr>
  <dimension ref="A1:Q40"/>
  <sheetViews>
    <sheetView showGridLines="0" zoomScaleNormal="100" workbookViewId="0"/>
  </sheetViews>
  <sheetFormatPr baseColWidth="10" defaultColWidth="9.140625" defaultRowHeight="15"/>
  <cols>
    <col min="1" max="1" width="18.5703125" style="14" customWidth="1"/>
    <col min="2" max="2" width="56" style="14" customWidth="1"/>
    <col min="3" max="5" width="20"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230</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5" customHeight="1">
      <c r="A6" s="34" t="s">
        <v>231</v>
      </c>
    </row>
    <row r="8" spans="1:17" ht="15" customHeight="1">
      <c r="A8" s="32" t="s">
        <v>232</v>
      </c>
      <c r="B8" s="32" t="s">
        <v>233</v>
      </c>
      <c r="C8" s="32" t="s">
        <v>234</v>
      </c>
      <c r="D8" s="32" t="s">
        <v>235</v>
      </c>
      <c r="E8" s="32" t="s">
        <v>236</v>
      </c>
    </row>
    <row r="9" spans="1:17" ht="15" customHeight="1">
      <c r="A9" s="35" t="s">
        <v>237</v>
      </c>
      <c r="B9" s="36" t="s">
        <v>238</v>
      </c>
      <c r="C9" s="27">
        <f>FIABILIDAD!F13</f>
        <v>12.25</v>
      </c>
      <c r="D9" s="35">
        <v>12.25</v>
      </c>
      <c r="E9" s="37" t="str">
        <f t="shared" ref="E9:E38" si="0">IF(AND(ISNUMBER(C9),ISNUMBER(D9)),IF(ABS(C9-D9)&lt;=0.001,"APROBADO","REVISAR"),IF(EXACT(C9&amp;"",D9&amp;""),"APROBADO","REVISAR"))</f>
        <v>APROBADO</v>
      </c>
    </row>
    <row r="10" spans="1:17" ht="15" customHeight="1">
      <c r="A10" s="35" t="s">
        <v>237</v>
      </c>
      <c r="B10" s="36" t="s">
        <v>239</v>
      </c>
      <c r="C10" s="27">
        <f>FIABILIDAD!G13</f>
        <v>0.30000000000000071</v>
      </c>
      <c r="D10" s="35">
        <v>0.3</v>
      </c>
      <c r="E10" s="37" t="str">
        <f t="shared" si="0"/>
        <v>APROBADO</v>
      </c>
    </row>
    <row r="11" spans="1:17" ht="15" customHeight="1">
      <c r="A11" s="35" t="s">
        <v>237</v>
      </c>
      <c r="B11" s="36" t="s">
        <v>240</v>
      </c>
      <c r="C11" s="27">
        <f>FIABILIDAD!H13</f>
        <v>9.0000000000000427E-2</v>
      </c>
      <c r="D11" s="35">
        <v>0.09</v>
      </c>
      <c r="E11" s="37" t="str">
        <f t="shared" si="0"/>
        <v>APROBADO</v>
      </c>
    </row>
    <row r="12" spans="1:17" ht="15" customHeight="1">
      <c r="A12" s="35" t="s">
        <v>237</v>
      </c>
      <c r="B12" s="36" t="s">
        <v>159</v>
      </c>
      <c r="C12" s="27">
        <f>FIABILIDAD!C36</f>
        <v>10</v>
      </c>
      <c r="D12" s="35">
        <v>10</v>
      </c>
      <c r="E12" s="37" t="str">
        <f t="shared" si="0"/>
        <v>APROBADO</v>
      </c>
    </row>
    <row r="13" spans="1:17" ht="15" customHeight="1">
      <c r="A13" s="35" t="s">
        <v>237</v>
      </c>
      <c r="B13" s="36" t="s">
        <v>160</v>
      </c>
      <c r="C13" s="27">
        <f>FIABILIDAD!C37</f>
        <v>1.7399999999999987</v>
      </c>
      <c r="D13" s="35">
        <v>1.74</v>
      </c>
      <c r="E13" s="37" t="str">
        <f t="shared" si="0"/>
        <v>APROBADO</v>
      </c>
    </row>
    <row r="14" spans="1:17" ht="15" customHeight="1">
      <c r="A14" s="35" t="s">
        <v>237</v>
      </c>
      <c r="B14" s="36" t="s">
        <v>241</v>
      </c>
      <c r="C14" s="27">
        <f>FIABILIDAD!C38</f>
        <v>17.239999999999998</v>
      </c>
      <c r="D14" s="35">
        <v>17.239999999999998</v>
      </c>
      <c r="E14" s="37" t="str">
        <f t="shared" si="0"/>
        <v>APROBADO</v>
      </c>
    </row>
    <row r="15" spans="1:17" ht="15" customHeight="1">
      <c r="A15" s="35" t="s">
        <v>242</v>
      </c>
      <c r="B15" s="36" t="s">
        <v>243</v>
      </c>
      <c r="C15" s="35">
        <f>FIABILIDAD!C39</f>
        <v>0.29495762407505244</v>
      </c>
      <c r="D15" s="35">
        <v>0.29495762399999997</v>
      </c>
      <c r="E15" s="37" t="str">
        <f t="shared" si="0"/>
        <v>APROBADO</v>
      </c>
    </row>
    <row r="16" spans="1:17" ht="15" customHeight="1">
      <c r="A16" s="35" t="s">
        <v>242</v>
      </c>
      <c r="B16" s="36" t="s">
        <v>214</v>
      </c>
      <c r="C16" s="38">
        <f>FIABILIDAD!C40</f>
        <v>1.7108910909225779E-2</v>
      </c>
      <c r="D16" s="35">
        <v>1.7108911000000001E-2</v>
      </c>
      <c r="E16" s="37" t="str">
        <f t="shared" si="0"/>
        <v>APROBADO</v>
      </c>
    </row>
    <row r="17" spans="1:5" ht="15" customHeight="1">
      <c r="A17" s="35" t="s">
        <v>242</v>
      </c>
      <c r="B17" s="36" t="s">
        <v>244</v>
      </c>
      <c r="C17" s="35">
        <f>FIABILIDAD!C41</f>
        <v>5.9407163802954948</v>
      </c>
      <c r="D17" s="35">
        <v>5.9407163799999996</v>
      </c>
      <c r="E17" s="37" t="str">
        <f t="shared" si="0"/>
        <v>APROBADO</v>
      </c>
    </row>
    <row r="18" spans="1:5" ht="15" customHeight="1">
      <c r="A18" s="35" t="s">
        <v>242</v>
      </c>
      <c r="B18" s="36" t="s">
        <v>166</v>
      </c>
      <c r="C18" s="39">
        <f>FIABILIDAD!C42</f>
        <v>0.99753485985221757</v>
      </c>
      <c r="D18" s="35">
        <v>0.99753486000000002</v>
      </c>
      <c r="E18" s="37" t="str">
        <f t="shared" si="0"/>
        <v>APROBADO</v>
      </c>
    </row>
    <row r="19" spans="1:5" ht="15" customHeight="1">
      <c r="A19" s="35" t="s">
        <v>245</v>
      </c>
      <c r="B19" s="36" t="s">
        <v>246</v>
      </c>
      <c r="C19" s="35" t="str">
        <f>IF(FIABILIDAD!C40&lt;=u_intra,"CUMPLE","NO CUMPLE")</f>
        <v>CUMPLE</v>
      </c>
      <c r="D19" s="35" t="s">
        <v>247</v>
      </c>
      <c r="E19" s="37" t="str">
        <f t="shared" si="0"/>
        <v>APROBADO</v>
      </c>
    </row>
    <row r="20" spans="1:5" ht="15" customHeight="1">
      <c r="A20" s="35" t="s">
        <v>245</v>
      </c>
      <c r="B20" s="36" t="s">
        <v>248</v>
      </c>
      <c r="C20" s="35" t="str">
        <f>IF(FIABILIDAD!C42&gt;=u_R,"ALCANZA","NO ALCANZA")</f>
        <v>ALCANZA</v>
      </c>
      <c r="D20" s="35" t="s">
        <v>249</v>
      </c>
      <c r="E20" s="37" t="str">
        <f t="shared" si="0"/>
        <v>APROBADO</v>
      </c>
    </row>
    <row r="21" spans="1:5" ht="15" customHeight="1">
      <c r="A21" s="35" t="s">
        <v>245</v>
      </c>
      <c r="B21" s="36" t="s">
        <v>250</v>
      </c>
      <c r="C21" s="35">
        <f>COUNTIF(FIABILIDAD!I13:I32,"REVISAR*")</f>
        <v>0</v>
      </c>
      <c r="D21" s="35">
        <v>0</v>
      </c>
      <c r="E21" s="37" t="str">
        <f t="shared" si="0"/>
        <v>APROBADO</v>
      </c>
    </row>
    <row r="22" spans="1:5" ht="15" customHeight="1">
      <c r="A22" s="35" t="s">
        <v>251</v>
      </c>
      <c r="B22" s="36" t="s">
        <v>252</v>
      </c>
      <c r="C22" s="35">
        <f>FIABILIDAD!C50</f>
        <v>0.81758082169287682</v>
      </c>
      <c r="D22" s="35">
        <v>0.81758082200000004</v>
      </c>
      <c r="E22" s="37" t="str">
        <f t="shared" si="0"/>
        <v>APROBADO</v>
      </c>
    </row>
    <row r="23" spans="1:5" ht="15" customHeight="1">
      <c r="A23" s="35" t="s">
        <v>251</v>
      </c>
      <c r="B23" s="36" t="s">
        <v>253</v>
      </c>
      <c r="C23" s="35">
        <f>SEGUIMIENTO!C25</f>
        <v>0.72249567472753751</v>
      </c>
      <c r="D23" s="35">
        <v>0.722495675</v>
      </c>
      <c r="E23" s="37" t="str">
        <f t="shared" si="0"/>
        <v>APROBADO</v>
      </c>
    </row>
    <row r="24" spans="1:5" ht="15" customHeight="1">
      <c r="A24" s="35" t="s">
        <v>251</v>
      </c>
      <c r="B24" s="36" t="s">
        <v>254</v>
      </c>
      <c r="C24" s="31">
        <f>SEGUIMIENTO!E20</f>
        <v>2.0026558366329441</v>
      </c>
      <c r="D24" s="35">
        <v>2.0026558369999998</v>
      </c>
      <c r="E24" s="37" t="str">
        <f t="shared" si="0"/>
        <v>APROBADO</v>
      </c>
    </row>
    <row r="25" spans="1:5" ht="15" customHeight="1">
      <c r="A25" s="35" t="s">
        <v>251</v>
      </c>
      <c r="B25" s="36" t="s">
        <v>255</v>
      </c>
      <c r="C25" s="35" t="str">
        <f>IF(SEGUIMIENTO!C25&lt;6*FIABILIDAD!C39,"MENOR","MAYOR")</f>
        <v>MENOR</v>
      </c>
      <c r="D25" s="35" t="s">
        <v>256</v>
      </c>
      <c r="E25" s="37" t="str">
        <f t="shared" si="0"/>
        <v>APROBADO</v>
      </c>
    </row>
    <row r="26" spans="1:5" ht="15" customHeight="1">
      <c r="A26" s="35" t="s">
        <v>257</v>
      </c>
      <c r="B26" s="36" t="s">
        <v>258</v>
      </c>
      <c r="C26" s="31">
        <f>SEGUIMIENTO!B20</f>
        <v>76.600000000000009</v>
      </c>
      <c r="D26" s="35">
        <v>76.599999999999994</v>
      </c>
      <c r="E26" s="37" t="str">
        <f t="shared" si="0"/>
        <v>APROBADO</v>
      </c>
    </row>
    <row r="27" spans="1:5" ht="15" customHeight="1">
      <c r="A27" s="35" t="s">
        <v>257</v>
      </c>
      <c r="B27" s="36" t="s">
        <v>259</v>
      </c>
      <c r="C27" s="31">
        <f>SEGUIMIENTO!C20</f>
        <v>69.2</v>
      </c>
      <c r="D27" s="35">
        <v>69.2</v>
      </c>
      <c r="E27" s="37" t="str">
        <f t="shared" si="0"/>
        <v>APROBADO</v>
      </c>
    </row>
    <row r="28" spans="1:5" ht="15" customHeight="1">
      <c r="A28" s="35" t="s">
        <v>257</v>
      </c>
      <c r="B28" s="36" t="s">
        <v>260</v>
      </c>
      <c r="C28" s="31">
        <f>SEGUIMIENTO!D20</f>
        <v>-7.4000000000000057</v>
      </c>
      <c r="D28" s="35">
        <v>-7.4</v>
      </c>
      <c r="E28" s="37" t="str">
        <f t="shared" si="0"/>
        <v>APROBADO</v>
      </c>
    </row>
    <row r="29" spans="1:5" ht="15" customHeight="1">
      <c r="A29" s="35" t="s">
        <v>257</v>
      </c>
      <c r="B29" s="36" t="s">
        <v>261</v>
      </c>
      <c r="C29" s="35" t="str">
        <f>IF(ABS(SEGUIMIENTO!D20)&gt;SEGUIMIENTO!E20,"SUPERA","NO SUPERA")</f>
        <v>SUPERA</v>
      </c>
      <c r="D29" s="35" t="s">
        <v>262</v>
      </c>
      <c r="E29" s="37" t="str">
        <f t="shared" si="0"/>
        <v>APROBADO</v>
      </c>
    </row>
    <row r="30" spans="1:5" ht="15" customHeight="1">
      <c r="A30" s="35" t="s">
        <v>257</v>
      </c>
      <c r="B30" s="36" t="s">
        <v>263</v>
      </c>
      <c r="C30" s="31">
        <f>SEGUIMIENTO!D14</f>
        <v>-0.40000000000000036</v>
      </c>
      <c r="D30" s="35">
        <v>-0.4</v>
      </c>
      <c r="E30" s="37" t="str">
        <f t="shared" si="0"/>
        <v>APROBADO</v>
      </c>
    </row>
    <row r="31" spans="1:5" ht="15" customHeight="1">
      <c r="A31" s="35" t="s">
        <v>257</v>
      </c>
      <c r="B31" s="36" t="s">
        <v>264</v>
      </c>
      <c r="C31" s="35" t="str">
        <f>IF(ABS(SEGUIMIENTO!D14)&gt;v_mdc,"DISTINGUIBLE","NO DISTINGUIBLE")</f>
        <v>NO DISTINGUIBLE</v>
      </c>
      <c r="D31" s="35" t="s">
        <v>265</v>
      </c>
      <c r="E31" s="37" t="str">
        <f t="shared" si="0"/>
        <v>APROBADO</v>
      </c>
    </row>
    <row r="32" spans="1:5" ht="15" customHeight="1">
      <c r="A32" s="35" t="s">
        <v>257</v>
      </c>
      <c r="B32" s="36" t="s">
        <v>266</v>
      </c>
      <c r="C32" s="31">
        <f>SEGUIMIENTO!D15</f>
        <v>-1.8000000000000007</v>
      </c>
      <c r="D32" s="35">
        <v>-1.8</v>
      </c>
      <c r="E32" s="37" t="str">
        <f t="shared" si="0"/>
        <v>APROBADO</v>
      </c>
    </row>
    <row r="33" spans="1:5" ht="15" customHeight="1">
      <c r="A33" s="35" t="s">
        <v>257</v>
      </c>
      <c r="B33" s="36" t="s">
        <v>267</v>
      </c>
      <c r="C33" s="35" t="str">
        <f>IF(ABS(SEGUIMIENTO!D15)&gt;v_mdc,"DISTINGUIBLE","NO DISTINGUIBLE")</f>
        <v>DISTINGUIBLE</v>
      </c>
      <c r="D33" s="35" t="s">
        <v>268</v>
      </c>
      <c r="E33" s="37" t="str">
        <f t="shared" si="0"/>
        <v>APROBADO</v>
      </c>
    </row>
    <row r="34" spans="1:5" ht="15" customHeight="1">
      <c r="A34" s="35" t="s">
        <v>269</v>
      </c>
      <c r="B34" s="36" t="s">
        <v>270</v>
      </c>
      <c r="C34" s="31">
        <f>CALIBRACION!G16</f>
        <v>9.1666666666668117E-2</v>
      </c>
      <c r="D34" s="35">
        <v>9.1666666999999993E-2</v>
      </c>
      <c r="E34" s="37" t="str">
        <f t="shared" si="0"/>
        <v>APROBADO</v>
      </c>
    </row>
    <row r="35" spans="1:5" ht="15" customHeight="1">
      <c r="A35" s="35" t="s">
        <v>269</v>
      </c>
      <c r="B35" s="36" t="s">
        <v>271</v>
      </c>
      <c r="C35" s="35" t="str">
        <f>IF(ABS(CALIBRACION!G16)&lt;=u_patron,"DENTRO","FUERA")</f>
        <v>DENTRO</v>
      </c>
      <c r="D35" s="35" t="s">
        <v>272</v>
      </c>
      <c r="E35" s="37" t="str">
        <f t="shared" si="0"/>
        <v>APROBADO</v>
      </c>
    </row>
    <row r="36" spans="1:5" ht="15" customHeight="1">
      <c r="A36" s="35" t="s">
        <v>269</v>
      </c>
      <c r="B36" s="36" t="s">
        <v>273</v>
      </c>
      <c r="C36" s="35">
        <f>CALIBRACION!C26</f>
        <v>6</v>
      </c>
      <c r="D36" s="35">
        <v>6</v>
      </c>
      <c r="E36" s="37" t="str">
        <f t="shared" si="0"/>
        <v>APROBADO</v>
      </c>
    </row>
    <row r="37" spans="1:5" ht="15" customHeight="1">
      <c r="A37" s="35" t="s">
        <v>269</v>
      </c>
      <c r="B37" s="36" t="s">
        <v>274</v>
      </c>
      <c r="C37" s="35" t="str">
        <f>CALIBRACION!C28</f>
        <v>APTO PARA USO</v>
      </c>
      <c r="D37" s="35" t="s">
        <v>275</v>
      </c>
      <c r="E37" s="37" t="str">
        <f t="shared" si="0"/>
        <v>APROBADO</v>
      </c>
    </row>
    <row r="38" spans="1:5" ht="15" customHeight="1">
      <c r="A38" s="35" t="s">
        <v>276</v>
      </c>
      <c r="B38" s="36" t="s">
        <v>277</v>
      </c>
      <c r="C38" s="35" t="str">
        <f>IF(ISNUMBER(""),"NUMERO","ND")</f>
        <v>ND</v>
      </c>
      <c r="D38" s="35" t="s">
        <v>278</v>
      </c>
      <c r="E38" s="37" t="str">
        <f t="shared" si="0"/>
        <v>APROBADO</v>
      </c>
    </row>
    <row r="40" spans="1:5" ht="15" customHeight="1">
      <c r="A40" s="40" t="s">
        <v>279</v>
      </c>
      <c r="B40" s="41" t="s">
        <v>280</v>
      </c>
      <c r="C40" s="40">
        <f>COUNTIF(E9:E38,"APROBADO")</f>
        <v>30</v>
      </c>
      <c r="D40" s="40">
        <f>COUNTA(E9:E38)</f>
        <v>30</v>
      </c>
      <c r="E40" s="40" t="str">
        <f>IF(C40=D40,"TODAS APROBADAS","HAY PRUEBAS POR REVISAR")</f>
        <v>TODAS APROBADAS</v>
      </c>
    </row>
  </sheetData>
  <mergeCells count="3">
    <mergeCell ref="A1:Q1"/>
    <mergeCell ref="A2:Q3"/>
    <mergeCell ref="A4:B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A6B70"/>
  </sheetPr>
  <dimension ref="A1:Q37"/>
  <sheetViews>
    <sheetView showGridLines="0" zoomScaleNormal="100" workbookViewId="0">
      <selection activeCell="D42" sqref="D42"/>
    </sheetView>
  </sheetViews>
  <sheetFormatPr baseColWidth="10" defaultColWidth="9.140625" defaultRowHeight="15"/>
  <cols>
    <col min="1" max="1" width="30" style="14" customWidth="1"/>
    <col min="2" max="2" width="56" style="14" customWidth="1"/>
    <col min="3" max="3" width="30" style="14" customWidth="1"/>
    <col min="4" max="4" width="34" style="14" customWidth="1"/>
    <col min="5"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281</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10" t="str">
        <f>HYPERLINK("#INICIO!A1","▶  VOLVER A INICIO")</f>
        <v>▶  VOLVER A INICIO</v>
      </c>
      <c r="B4" s="10"/>
    </row>
    <row r="6" spans="1:17" ht="19.5" customHeight="1">
      <c r="A6" s="6" t="s">
        <v>282</v>
      </c>
      <c r="B6" s="6"/>
      <c r="C6" s="6"/>
      <c r="D6" s="6"/>
      <c r="E6" s="6"/>
      <c r="F6" s="6"/>
      <c r="G6" s="6"/>
      <c r="H6" s="6"/>
      <c r="I6" s="6"/>
      <c r="J6" s="6"/>
      <c r="K6" s="6"/>
      <c r="L6" s="6"/>
      <c r="M6" s="6"/>
      <c r="N6" s="6"/>
      <c r="O6" s="6"/>
      <c r="P6" s="6"/>
      <c r="Q6" s="6"/>
    </row>
    <row r="7" spans="1:17" ht="15" customHeight="1">
      <c r="A7" s="65" t="s">
        <v>283</v>
      </c>
      <c r="B7" s="65"/>
      <c r="C7" s="65"/>
      <c r="D7" s="42" t="s">
        <v>284</v>
      </c>
      <c r="E7" s="43">
        <v>0.05</v>
      </c>
    </row>
    <row r="8" spans="1:17" ht="15" customHeight="1">
      <c r="A8" s="65" t="s">
        <v>285</v>
      </c>
      <c r="B8" s="65"/>
      <c r="C8" s="65"/>
      <c r="D8" s="42" t="s">
        <v>284</v>
      </c>
      <c r="E8" s="43">
        <v>7.4999999999999997E-2</v>
      </c>
    </row>
    <row r="9" spans="1:17" ht="15" customHeight="1">
      <c r="A9" s="65" t="s">
        <v>286</v>
      </c>
      <c r="B9" s="65"/>
      <c r="C9" s="65"/>
      <c r="D9" s="42" t="s">
        <v>287</v>
      </c>
      <c r="E9" s="18">
        <v>0.95</v>
      </c>
    </row>
    <row r="10" spans="1:17" ht="15" customHeight="1">
      <c r="A10" s="65" t="s">
        <v>288</v>
      </c>
      <c r="B10" s="65"/>
      <c r="C10" s="65"/>
      <c r="D10" s="42" t="s">
        <v>289</v>
      </c>
      <c r="E10" s="18">
        <v>1.96</v>
      </c>
    </row>
    <row r="11" spans="1:17" ht="15" customHeight="1">
      <c r="A11" s="65" t="s">
        <v>290</v>
      </c>
      <c r="B11" s="65"/>
      <c r="C11" s="65"/>
      <c r="D11" s="42" t="s">
        <v>291</v>
      </c>
      <c r="E11" s="18">
        <v>10</v>
      </c>
    </row>
    <row r="12" spans="1:17" ht="15" customHeight="1">
      <c r="A12" s="65" t="s">
        <v>292</v>
      </c>
      <c r="B12" s="65"/>
      <c r="C12" s="65"/>
      <c r="D12" s="42" t="s">
        <v>293</v>
      </c>
      <c r="E12" s="18">
        <v>0.2</v>
      </c>
    </row>
    <row r="13" spans="1:17" ht="15" customHeight="1">
      <c r="A13" s="65" t="s">
        <v>294</v>
      </c>
      <c r="B13" s="65"/>
      <c r="C13" s="65"/>
      <c r="D13" s="42" t="s">
        <v>284</v>
      </c>
      <c r="E13" s="43">
        <v>0.05</v>
      </c>
    </row>
    <row r="14" spans="1:17" ht="15" customHeight="1">
      <c r="A14" s="65" t="s">
        <v>295</v>
      </c>
      <c r="B14" s="65"/>
      <c r="C14" s="65"/>
      <c r="D14" s="42" t="s">
        <v>296</v>
      </c>
      <c r="E14" s="18">
        <v>10</v>
      </c>
    </row>
    <row r="15" spans="1:17" ht="15" customHeight="1">
      <c r="A15" s="65" t="s">
        <v>297</v>
      </c>
      <c r="B15" s="65"/>
      <c r="C15" s="65"/>
      <c r="D15" s="42" t="s">
        <v>298</v>
      </c>
      <c r="E15" s="18">
        <v>1E-4</v>
      </c>
    </row>
    <row r="16" spans="1:17" ht="15" customHeight="1">
      <c r="A16" s="46" t="s">
        <v>299</v>
      </c>
      <c r="B16" s="46"/>
      <c r="C16" s="46"/>
      <c r="D16" s="46"/>
      <c r="E16" s="46"/>
      <c r="F16" s="46"/>
      <c r="G16" s="46"/>
      <c r="H16" s="46"/>
      <c r="I16" s="46"/>
      <c r="J16" s="46"/>
      <c r="K16" s="46"/>
      <c r="L16" s="46"/>
      <c r="M16" s="46"/>
      <c r="N16" s="46"/>
      <c r="O16" s="46"/>
      <c r="P16" s="46"/>
      <c r="Q16" s="46"/>
    </row>
    <row r="17" spans="1:17" ht="15" customHeight="1">
      <c r="A17" s="46"/>
      <c r="B17" s="46"/>
      <c r="C17" s="46"/>
      <c r="D17" s="46"/>
      <c r="E17" s="46"/>
      <c r="F17" s="46"/>
      <c r="G17" s="46"/>
      <c r="H17" s="46"/>
      <c r="I17" s="46"/>
      <c r="J17" s="46"/>
      <c r="K17" s="46"/>
      <c r="L17" s="46"/>
      <c r="M17" s="46"/>
      <c r="N17" s="46"/>
      <c r="O17" s="46"/>
      <c r="P17" s="46"/>
      <c r="Q17" s="46"/>
    </row>
    <row r="18" spans="1:17" ht="15" customHeight="1">
      <c r="A18" s="46"/>
      <c r="B18" s="46"/>
      <c r="C18" s="46"/>
      <c r="D18" s="46"/>
      <c r="E18" s="46"/>
      <c r="F18" s="46"/>
      <c r="G18" s="46"/>
      <c r="H18" s="46"/>
      <c r="I18" s="46"/>
      <c r="J18" s="46"/>
      <c r="K18" s="46"/>
      <c r="L18" s="46"/>
      <c r="M18" s="46"/>
      <c r="N18" s="46"/>
      <c r="O18" s="46"/>
      <c r="P18" s="46"/>
      <c r="Q18" s="46"/>
    </row>
    <row r="20" spans="1:17" ht="19.5" customHeight="1">
      <c r="A20" s="6" t="s">
        <v>300</v>
      </c>
      <c r="B20" s="6"/>
      <c r="C20" s="6"/>
      <c r="D20" s="6"/>
      <c r="E20" s="6"/>
      <c r="F20" s="6"/>
      <c r="G20" s="6"/>
      <c r="H20" s="6"/>
      <c r="I20" s="6"/>
      <c r="J20" s="6"/>
      <c r="K20" s="6"/>
      <c r="L20" s="6"/>
      <c r="M20" s="6"/>
      <c r="N20" s="6"/>
      <c r="O20" s="6"/>
      <c r="P20" s="6"/>
      <c r="Q20" s="6"/>
    </row>
    <row r="21" spans="1:17" ht="30" customHeight="1">
      <c r="A21" s="16" t="s">
        <v>117</v>
      </c>
      <c r="B21" s="16" t="s">
        <v>118</v>
      </c>
      <c r="C21" s="16" t="s">
        <v>119</v>
      </c>
      <c r="D21" s="16" t="s">
        <v>120</v>
      </c>
    </row>
    <row r="22" spans="1:17" ht="25.5" customHeight="1">
      <c r="A22" s="24" t="s">
        <v>147</v>
      </c>
      <c r="B22" s="24" t="s">
        <v>301</v>
      </c>
      <c r="C22" s="24" t="s">
        <v>302</v>
      </c>
      <c r="D22" s="24" t="s">
        <v>303</v>
      </c>
    </row>
    <row r="23" spans="1:17" ht="25.5" customHeight="1">
      <c r="A23" s="24" t="s">
        <v>186</v>
      </c>
      <c r="B23" s="24" t="s">
        <v>304</v>
      </c>
      <c r="C23" s="24" t="s">
        <v>305</v>
      </c>
      <c r="D23" s="24" t="s">
        <v>306</v>
      </c>
    </row>
    <row r="24" spans="1:17" ht="25.5" customHeight="1">
      <c r="A24" s="24" t="s">
        <v>187</v>
      </c>
      <c r="B24" s="24" t="s">
        <v>307</v>
      </c>
      <c r="C24" s="24" t="s">
        <v>302</v>
      </c>
      <c r="D24" s="24" t="s">
        <v>308</v>
      </c>
    </row>
    <row r="25" spans="1:17" ht="25.5" customHeight="1">
      <c r="A25" s="24" t="s">
        <v>188</v>
      </c>
      <c r="B25" s="24" t="s">
        <v>309</v>
      </c>
      <c r="C25" s="24" t="s">
        <v>310</v>
      </c>
      <c r="D25" s="24" t="s">
        <v>311</v>
      </c>
    </row>
    <row r="26" spans="1:17" ht="25.5" customHeight="1">
      <c r="A26" s="24" t="s">
        <v>312</v>
      </c>
      <c r="B26" s="24" t="s">
        <v>313</v>
      </c>
      <c r="C26" s="24" t="s">
        <v>314</v>
      </c>
      <c r="D26" s="24" t="s">
        <v>303</v>
      </c>
    </row>
    <row r="27" spans="1:17" ht="25.5" customHeight="1">
      <c r="A27" s="24" t="s">
        <v>189</v>
      </c>
      <c r="B27" s="24" t="s">
        <v>315</v>
      </c>
      <c r="C27" s="24" t="s">
        <v>302</v>
      </c>
      <c r="D27" s="24" t="s">
        <v>316</v>
      </c>
    </row>
    <row r="28" spans="1:17" ht="25.5" customHeight="1">
      <c r="A28" s="24" t="s">
        <v>190</v>
      </c>
      <c r="B28" s="24" t="s">
        <v>317</v>
      </c>
      <c r="C28" s="24" t="s">
        <v>302</v>
      </c>
      <c r="D28" s="24" t="s">
        <v>318</v>
      </c>
    </row>
    <row r="29" spans="1:17" ht="25.5" customHeight="1">
      <c r="A29" s="24" t="s">
        <v>319</v>
      </c>
      <c r="B29" s="24" t="s">
        <v>320</v>
      </c>
      <c r="C29" s="24" t="s">
        <v>302</v>
      </c>
      <c r="D29" s="24" t="s">
        <v>321</v>
      </c>
    </row>
    <row r="31" spans="1:17" ht="19.5" customHeight="1">
      <c r="A31" s="6" t="s">
        <v>322</v>
      </c>
      <c r="B31" s="6"/>
      <c r="C31" s="6"/>
      <c r="D31" s="6"/>
      <c r="E31" s="6"/>
      <c r="F31" s="6"/>
      <c r="G31" s="6"/>
      <c r="H31" s="6"/>
      <c r="I31" s="6"/>
      <c r="J31" s="6"/>
      <c r="K31" s="6"/>
      <c r="L31" s="6"/>
      <c r="M31" s="6"/>
      <c r="N31" s="6"/>
      <c r="O31" s="6"/>
      <c r="P31" s="6"/>
      <c r="Q31" s="6"/>
    </row>
    <row r="32" spans="1:17" ht="15" customHeight="1">
      <c r="A32" s="32" t="s">
        <v>323</v>
      </c>
      <c r="B32" s="32" t="s">
        <v>324</v>
      </c>
      <c r="C32" s="32" t="s">
        <v>325</v>
      </c>
      <c r="D32" s="32" t="s">
        <v>326</v>
      </c>
    </row>
    <row r="33" spans="1:4" ht="15" customHeight="1">
      <c r="A33" s="17" t="s">
        <v>49</v>
      </c>
      <c r="B33" s="17" t="s">
        <v>75</v>
      </c>
      <c r="C33" s="17" t="s">
        <v>65</v>
      </c>
      <c r="D33" s="17" t="s">
        <v>70</v>
      </c>
    </row>
    <row r="34" spans="1:4" ht="15" customHeight="1">
      <c r="A34" s="17" t="s">
        <v>327</v>
      </c>
      <c r="B34" s="17" t="s">
        <v>102</v>
      </c>
      <c r="C34" s="17" t="s">
        <v>328</v>
      </c>
      <c r="D34" s="17" t="s">
        <v>329</v>
      </c>
    </row>
    <row r="35" spans="1:4" ht="15" customHeight="1">
      <c r="A35" s="17" t="s">
        <v>330</v>
      </c>
      <c r="C35" s="17" t="s">
        <v>331</v>
      </c>
      <c r="D35" s="17" t="s">
        <v>332</v>
      </c>
    </row>
    <row r="36" spans="1:4" ht="15" customHeight="1">
      <c r="A36" s="17" t="s">
        <v>333</v>
      </c>
      <c r="D36" s="17" t="s">
        <v>334</v>
      </c>
    </row>
    <row r="37" spans="1:4" ht="15" customHeight="1">
      <c r="A37" s="17" t="s">
        <v>335</v>
      </c>
    </row>
  </sheetData>
  <mergeCells count="16">
    <mergeCell ref="A31:Q31"/>
    <mergeCell ref="A13:C13"/>
    <mergeCell ref="A14:C14"/>
    <mergeCell ref="A15:C15"/>
    <mergeCell ref="A16:Q18"/>
    <mergeCell ref="A20:Q20"/>
    <mergeCell ref="A8:C8"/>
    <mergeCell ref="A9:C9"/>
    <mergeCell ref="A10:C10"/>
    <mergeCell ref="A11:C11"/>
    <mergeCell ref="A12:C12"/>
    <mergeCell ref="A1:Q1"/>
    <mergeCell ref="A2:Q3"/>
    <mergeCell ref="A4:B4"/>
    <mergeCell ref="A6:Q6"/>
    <mergeCell ref="A7:C7"/>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7C7CB"/>
  </sheetPr>
  <dimension ref="A1:Q15"/>
  <sheetViews>
    <sheetView showGridLines="0" tabSelected="1" topLeftCell="A7" zoomScaleNormal="100" workbookViewId="0">
      <selection activeCell="U12" sqref="U12"/>
    </sheetView>
  </sheetViews>
  <sheetFormatPr baseColWidth="10" defaultColWidth="9.140625" defaultRowHeight="15"/>
  <cols>
    <col min="1" max="1" width="12" style="14" customWidth="1"/>
    <col min="2" max="2" width="14" style="14" customWidth="1"/>
    <col min="3" max="3" width="12" style="14" customWidth="1"/>
    <col min="4" max="5" width="11" style="14" customWidth="1"/>
    <col min="6" max="7" width="10" style="14" customWidth="1"/>
    <col min="8" max="8" width="9.85546875" style="14" customWidth="1"/>
    <col min="9" max="9" width="10" style="14" customWidth="1"/>
    <col min="10" max="10" width="11.28515625" style="14" customWidth="1"/>
    <col min="11" max="11" width="15.42578125" style="14" customWidth="1"/>
    <col min="12" max="12" width="9" style="14" customWidth="1"/>
    <col min="13" max="16" width="11" style="14" customWidth="1"/>
    <col min="17" max="17" width="12" style="14" customWidth="1"/>
  </cols>
  <sheetData>
    <row r="1" spans="1:17" ht="25.5" customHeight="1">
      <c r="A1" s="13" t="s">
        <v>0</v>
      </c>
      <c r="B1" s="13"/>
      <c r="C1" s="13"/>
      <c r="D1" s="13"/>
      <c r="E1" s="13"/>
      <c r="F1" s="13"/>
      <c r="G1" s="13"/>
      <c r="H1" s="13"/>
      <c r="I1" s="13"/>
      <c r="J1" s="13"/>
      <c r="K1" s="13"/>
      <c r="L1" s="13"/>
      <c r="M1" s="13"/>
      <c r="N1" s="13"/>
      <c r="O1" s="13"/>
      <c r="P1" s="13"/>
      <c r="Q1" s="13"/>
    </row>
    <row r="2" spans="1:17" ht="15" customHeight="1">
      <c r="A2" s="12" t="s">
        <v>336</v>
      </c>
      <c r="B2" s="12"/>
      <c r="C2" s="12"/>
      <c r="D2" s="12"/>
      <c r="E2" s="12"/>
      <c r="F2" s="12"/>
      <c r="G2" s="12"/>
      <c r="H2" s="12"/>
      <c r="I2" s="12"/>
      <c r="J2" s="12"/>
      <c r="K2" s="12"/>
      <c r="L2" s="12"/>
      <c r="M2" s="12"/>
      <c r="N2" s="12"/>
      <c r="O2" s="12"/>
      <c r="P2" s="12"/>
      <c r="Q2" s="12"/>
    </row>
    <row r="3" spans="1:17" ht="15" customHeight="1">
      <c r="A3" s="12"/>
      <c r="B3" s="12"/>
      <c r="C3" s="12"/>
      <c r="D3" s="12"/>
      <c r="E3" s="12"/>
      <c r="F3" s="12"/>
      <c r="G3" s="12"/>
      <c r="H3" s="12"/>
      <c r="I3" s="12"/>
      <c r="J3" s="12"/>
      <c r="K3" s="12"/>
      <c r="L3" s="12"/>
      <c r="M3" s="12"/>
      <c r="N3" s="12"/>
      <c r="O3" s="12"/>
      <c r="P3" s="12"/>
      <c r="Q3" s="12"/>
    </row>
    <row r="4" spans="1:17" ht="24" customHeight="1">
      <c r="A4" s="67" t="str">
        <f>HYPERLINK("#INICIO!A1","▶  VOLVER A INICIO")</f>
        <v>▶  VOLVER A INICIO</v>
      </c>
      <c r="B4" s="68"/>
      <c r="C4" s="68"/>
      <c r="D4" s="68"/>
      <c r="E4" s="68"/>
      <c r="F4" s="68"/>
      <c r="G4" s="68"/>
    </row>
    <row r="6" spans="1:17" ht="20.25" customHeight="1">
      <c r="A6" s="32" t="s">
        <v>14</v>
      </c>
      <c r="B6" s="32" t="s">
        <v>16</v>
      </c>
      <c r="C6" s="66" t="s">
        <v>337</v>
      </c>
      <c r="D6" s="66"/>
      <c r="E6" s="66"/>
      <c r="F6" s="66"/>
      <c r="G6" s="66"/>
      <c r="H6" s="66"/>
      <c r="I6" s="66"/>
      <c r="J6" s="66"/>
      <c r="K6" s="66"/>
      <c r="L6" s="66"/>
      <c r="M6" s="66"/>
      <c r="N6" s="66"/>
      <c r="O6" s="66"/>
      <c r="P6" s="66"/>
      <c r="Q6" s="66"/>
    </row>
    <row r="7" spans="1:17" ht="45.75" customHeight="1">
      <c r="A7" s="44" t="s">
        <v>15</v>
      </c>
      <c r="B7" s="44" t="s">
        <v>17</v>
      </c>
      <c r="C7" s="64" t="s">
        <v>338</v>
      </c>
      <c r="D7" s="64"/>
      <c r="E7" s="64"/>
      <c r="F7" s="64"/>
      <c r="G7" s="64"/>
      <c r="H7" s="64"/>
      <c r="I7" s="64"/>
      <c r="J7" s="64" t="s">
        <v>339</v>
      </c>
      <c r="K7" s="64"/>
      <c r="L7" s="64"/>
      <c r="M7" s="64"/>
      <c r="N7" s="64"/>
      <c r="O7" s="64"/>
      <c r="P7" s="64"/>
      <c r="Q7" s="64"/>
    </row>
    <row r="8" spans="1:17" ht="45.75" customHeight="1">
      <c r="A8" s="44" t="s">
        <v>15</v>
      </c>
      <c r="B8" s="44" t="s">
        <v>17</v>
      </c>
      <c r="C8" s="64" t="s">
        <v>340</v>
      </c>
      <c r="D8" s="64"/>
      <c r="E8" s="64"/>
      <c r="F8" s="64"/>
      <c r="G8" s="64"/>
      <c r="H8" s="64"/>
      <c r="I8" s="64"/>
      <c r="J8" s="64" t="s">
        <v>341</v>
      </c>
      <c r="K8" s="64"/>
      <c r="L8" s="64"/>
      <c r="M8" s="64"/>
      <c r="N8" s="64"/>
      <c r="O8" s="64"/>
      <c r="P8" s="64"/>
      <c r="Q8" s="64"/>
    </row>
    <row r="9" spans="1:17" ht="45.75" customHeight="1">
      <c r="A9" s="44" t="s">
        <v>15</v>
      </c>
      <c r="B9" s="44" t="s">
        <v>17</v>
      </c>
      <c r="C9" s="64" t="s">
        <v>342</v>
      </c>
      <c r="D9" s="64"/>
      <c r="E9" s="64"/>
      <c r="F9" s="64"/>
      <c r="G9" s="64"/>
      <c r="H9" s="64"/>
      <c r="I9" s="64"/>
      <c r="J9" s="64" t="s">
        <v>343</v>
      </c>
      <c r="K9" s="64"/>
      <c r="L9" s="64"/>
      <c r="M9" s="64"/>
      <c r="N9" s="64"/>
      <c r="O9" s="64"/>
      <c r="P9" s="64"/>
      <c r="Q9" s="64"/>
    </row>
    <row r="10" spans="1:17" ht="45.75" customHeight="1">
      <c r="A10" s="44" t="s">
        <v>15</v>
      </c>
      <c r="B10" s="44" t="s">
        <v>17</v>
      </c>
      <c r="C10" s="64" t="s">
        <v>344</v>
      </c>
      <c r="D10" s="64"/>
      <c r="E10" s="64"/>
      <c r="F10" s="64"/>
      <c r="G10" s="64"/>
      <c r="H10" s="64"/>
      <c r="I10" s="64"/>
      <c r="J10" s="64" t="s">
        <v>345</v>
      </c>
      <c r="K10" s="64"/>
      <c r="L10" s="64"/>
      <c r="M10" s="64"/>
      <c r="N10" s="64"/>
      <c r="O10" s="64"/>
      <c r="P10" s="64"/>
      <c r="Q10" s="64"/>
    </row>
    <row r="11" spans="1:17" ht="45.75" customHeight="1">
      <c r="A11" s="44" t="s">
        <v>15</v>
      </c>
      <c r="B11" s="44" t="s">
        <v>17</v>
      </c>
      <c r="C11" s="64" t="s">
        <v>346</v>
      </c>
      <c r="D11" s="64"/>
      <c r="E11" s="64"/>
      <c r="F11" s="64"/>
      <c r="G11" s="64"/>
      <c r="H11" s="64"/>
      <c r="I11" s="64"/>
      <c r="J11" s="64" t="s">
        <v>347</v>
      </c>
      <c r="K11" s="64"/>
      <c r="L11" s="64"/>
      <c r="M11" s="64"/>
      <c r="N11" s="64"/>
      <c r="O11" s="64"/>
      <c r="P11" s="64"/>
      <c r="Q11" s="64"/>
    </row>
    <row r="12" spans="1:17" ht="45.75" customHeight="1">
      <c r="A12" s="44" t="s">
        <v>15</v>
      </c>
      <c r="B12" s="44" t="s">
        <v>17</v>
      </c>
      <c r="C12" s="64" t="s">
        <v>348</v>
      </c>
      <c r="D12" s="64"/>
      <c r="E12" s="64"/>
      <c r="F12" s="64"/>
      <c r="G12" s="64"/>
      <c r="H12" s="64"/>
      <c r="I12" s="64"/>
      <c r="J12" s="64" t="s">
        <v>349</v>
      </c>
      <c r="K12" s="64"/>
      <c r="L12" s="64"/>
      <c r="M12" s="64"/>
      <c r="N12" s="64"/>
      <c r="O12" s="64"/>
      <c r="P12" s="64"/>
      <c r="Q12" s="64"/>
    </row>
    <row r="13" spans="1:17" ht="45.75" customHeight="1">
      <c r="A13" s="44" t="s">
        <v>15</v>
      </c>
      <c r="B13" s="44" t="s">
        <v>17</v>
      </c>
      <c r="C13" s="64" t="s">
        <v>350</v>
      </c>
      <c r="D13" s="64"/>
      <c r="E13" s="64"/>
      <c r="F13" s="64"/>
      <c r="G13" s="64"/>
      <c r="H13" s="64"/>
      <c r="I13" s="64"/>
      <c r="J13" s="64" t="s">
        <v>351</v>
      </c>
      <c r="K13" s="64"/>
      <c r="L13" s="64"/>
      <c r="M13" s="64"/>
      <c r="N13" s="64"/>
      <c r="O13" s="64"/>
      <c r="P13" s="64"/>
      <c r="Q13" s="64"/>
    </row>
    <row r="14" spans="1:17" ht="45.75" customHeight="1">
      <c r="A14" s="44" t="s">
        <v>15</v>
      </c>
      <c r="B14" s="44" t="s">
        <v>17</v>
      </c>
      <c r="C14" s="64" t="s">
        <v>352</v>
      </c>
      <c r="D14" s="64"/>
      <c r="E14" s="64"/>
      <c r="F14" s="64"/>
      <c r="G14" s="64"/>
      <c r="H14" s="64"/>
      <c r="I14" s="64"/>
      <c r="J14" s="64" t="s">
        <v>353</v>
      </c>
      <c r="K14" s="64"/>
      <c r="L14" s="64"/>
      <c r="M14" s="64"/>
      <c r="N14" s="64"/>
      <c r="O14" s="64"/>
      <c r="P14" s="64"/>
      <c r="Q14" s="64"/>
    </row>
    <row r="15" spans="1:17" ht="28.5" customHeight="1">
      <c r="A15" s="44" t="s">
        <v>354</v>
      </c>
      <c r="B15" s="44" t="s">
        <v>355</v>
      </c>
      <c r="C15" s="73" t="s">
        <v>356</v>
      </c>
      <c r="D15" s="74"/>
      <c r="E15" s="74"/>
      <c r="F15" s="74"/>
      <c r="G15" s="74"/>
      <c r="H15" s="74"/>
      <c r="I15" s="74"/>
      <c r="J15" s="74"/>
      <c r="K15" s="74"/>
      <c r="L15" s="74"/>
      <c r="M15" s="74"/>
      <c r="N15" s="74"/>
      <c r="O15" s="74"/>
      <c r="P15" s="74"/>
      <c r="Q15" s="75"/>
    </row>
  </sheetData>
  <sheetProtection algorithmName="SHA-512" hashValue="Ykcx3bIcZVl5i294/a/BPdsGRnDIs6KUmYAOhelBgBFWJCBZMaFUOyHPXWhriqxmr2k6gFEiw1nQLGD58GfobQ==" saltValue="fNWWe2I0Jy9Jgbs+9JTWtA==" spinCount="100000" sheet="1" objects="1" scenarios="1"/>
  <mergeCells count="21">
    <mergeCell ref="C14:I14"/>
    <mergeCell ref="J14:Q14"/>
    <mergeCell ref="A4:G4"/>
    <mergeCell ref="C15:Q15"/>
    <mergeCell ref="C11:I11"/>
    <mergeCell ref="J11:Q11"/>
    <mergeCell ref="C12:I12"/>
    <mergeCell ref="J12:Q12"/>
    <mergeCell ref="C13:I13"/>
    <mergeCell ref="J13:Q13"/>
    <mergeCell ref="C8:I8"/>
    <mergeCell ref="J8:Q8"/>
    <mergeCell ref="C9:I9"/>
    <mergeCell ref="J9:Q9"/>
    <mergeCell ref="C10:I10"/>
    <mergeCell ref="J10:Q10"/>
    <mergeCell ref="A1:Q1"/>
    <mergeCell ref="A2:Q3"/>
    <mergeCell ref="C6:Q6"/>
    <mergeCell ref="C7:I7"/>
    <mergeCell ref="J7:Q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21</vt:i4>
      </vt:variant>
    </vt:vector>
  </HeadingPairs>
  <TitlesOfParts>
    <vt:vector size="31" baseType="lpstr">
      <vt:lpstr>INICIO</vt:lpstr>
      <vt:lpstr>DATOS</vt:lpstr>
      <vt:lpstr>CALIBRACION</vt:lpstr>
      <vt:lpstr>TECNICA</vt:lpstr>
      <vt:lpstr>FIABILIDAD</vt:lpstr>
      <vt:lpstr>SEGUIMIENTO</vt:lpstr>
      <vt:lpstr>FUENTES</vt:lpstr>
      <vt:lpstr>PRUEBAS</vt:lpstr>
      <vt:lpstr>CONFIG</vt:lpstr>
      <vt:lpstr>CHANGELOG</vt:lpstr>
      <vt:lpstr>k_nMin</vt:lpstr>
      <vt:lpstr>k_presion</vt:lpstr>
      <vt:lpstr>k_tol</vt:lpstr>
      <vt:lpstr>k_z</vt:lpstr>
      <vt:lpstr>lst_estado</vt:lpstr>
      <vt:lpstr>lst_marca</vt:lpstr>
      <vt:lpstr>lst_nivel</vt:lpstr>
      <vt:lpstr>lst_si</vt:lpstr>
      <vt:lpstr>lst_sitios</vt:lpstr>
      <vt:lpstr>rng_sitios</vt:lpstr>
      <vt:lpstr>u_dif</vt:lpstr>
      <vt:lpstr>u_inter</vt:lpstr>
      <vt:lpstr>u_intra</vt:lpstr>
      <vt:lpstr>u_patron</vt:lpstr>
      <vt:lpstr>u_R</vt:lpstr>
      <vt:lpstr>v_dictamen</vt:lpstr>
      <vt:lpstr>v_etm</vt:lpstr>
      <vt:lpstr>v_mdc</vt:lpstr>
      <vt:lpstr>v_petm</vt:lpstr>
      <vt:lpstr>v_R</vt:lpstr>
      <vt:lpstr>v_resol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cp:lastModifiedBy>
  <cp:revision>2</cp:revision>
  <dcterms:created xsi:type="dcterms:W3CDTF">2026-07-24T03:29:04Z</dcterms:created>
  <dcterms:modified xsi:type="dcterms:W3CDTF">2026-08-13T17:34:46Z</dcterms:modified>
  <dc:language>en-US</dc:language>
</cp:coreProperties>
</file>
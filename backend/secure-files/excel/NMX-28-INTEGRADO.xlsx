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niel\AppData\Local\Temp\Rar$DIa91372.37761\"/>
    </mc:Choice>
  </mc:AlternateContent>
  <xr:revisionPtr revIDLastSave="0" documentId="13_ncr:1_{748A17CF-A73E-4B0E-98B5-106043AD72D0}" xr6:coauthVersionLast="47" xr6:coauthVersionMax="47" xr10:uidLastSave="{00000000-0000-0000-0000-000000000000}"/>
  <bookViews>
    <workbookView xWindow="-120" yWindow="-120" windowWidth="29040" windowHeight="15840" tabRatio="972" activeTab="2" xr2:uid="{00000000-000D-0000-FFFF-FFFF00000000}"/>
  </bookViews>
  <sheets>
    <sheet name="INICIO" sheetId="1" r:id="rId1"/>
    <sheet name="DATOS" sheetId="2" r:id="rId2"/>
    <sheet name="MEDICIONES" sheetId="3" r:id="rId3"/>
    <sheet name="SEGUIMIENTO" sheetId="4" r:id="rId4"/>
    <sheet name="CURVAS" sheetId="5" r:id="rId5"/>
    <sheet name="RESULTADOS" sheetId="6" r:id="rId6"/>
    <sheet name="M41_INICIO" sheetId="7" r:id="rId7"/>
    <sheet name="M41_DATOS" sheetId="8" r:id="rId8"/>
    <sheet name="M41_CALIBRACION" sheetId="9" r:id="rId9"/>
    <sheet name="M41_TECNICA" sheetId="10" r:id="rId10"/>
    <sheet name="M41_SEGUIMIENTO" sheetId="12" r:id="rId11"/>
    <sheet name="M41_FIABILIDAD" sheetId="11" r:id="rId12"/>
    <sheet name="M41_FUENTES" sheetId="13" r:id="rId13"/>
    <sheet name="M41_PRUEBAS" sheetId="14" r:id="rId14"/>
    <sheet name="M41_CONFIG" sheetId="15" r:id="rId15"/>
    <sheet name="M41_CHANGELOG" sheetId="16" r:id="rId16"/>
    <sheet name="M36_INICIO" sheetId="17" r:id="rId17"/>
    <sheet name="M36_DATOS" sheetId="18" r:id="rId18"/>
    <sheet name="M36_PLIEGUES" sheetId="19" r:id="rId19"/>
    <sheet name="M36_CALCULOS" sheetId="20" r:id="rId20"/>
    <sheet name="M36_RESULTADOS" sheetId="21" r:id="rId21"/>
    <sheet name="M36_FUENTES" sheetId="22" r:id="rId22"/>
    <sheet name="M36_PRUEBAS" sheetId="23" r:id="rId23"/>
    <sheet name="M36_CONFIG" sheetId="24" r:id="rId24"/>
    <sheet name="M36_CHANGELOG" sheetId="25" r:id="rId25"/>
    <sheet name="M12_INICIO" sheetId="26" r:id="rId26"/>
    <sheet name="M12_DATOS" sheetId="27" r:id="rId27"/>
    <sheet name="M12_CALCULOS" sheetId="28" r:id="rId28"/>
    <sheet name="M12_RESULTADOS" sheetId="29" r:id="rId29"/>
    <sheet name="M12_FUENTES" sheetId="30" r:id="rId30"/>
    <sheet name="M12_PRUEBAS" sheetId="31" r:id="rId31"/>
    <sheet name="M12_CONFIG" sheetId="32" r:id="rId32"/>
    <sheet name="M12_CHANGELOG" sheetId="33" r:id="rId33"/>
    <sheet name="M16_INICIO" sheetId="34" r:id="rId34"/>
    <sheet name="M16_DATOS" sheetId="35" r:id="rId35"/>
    <sheet name="M16_MEDIDAS" sheetId="36" r:id="rId36"/>
    <sheet name="M16_CALCULOS" sheetId="37" r:id="rId37"/>
    <sheet name="M16_RESULTADOS" sheetId="38" r:id="rId38"/>
    <sheet name="M16_FUENTES" sheetId="39" r:id="rId39"/>
    <sheet name="M16_PRUEBAS" sheetId="40" r:id="rId40"/>
    <sheet name="M16_CONFIG" sheetId="41" r:id="rId41"/>
    <sheet name="M16_CHANGELOG" sheetId="42" r:id="rId42"/>
    <sheet name="M34_INICIO" sheetId="43" r:id="rId43"/>
    <sheet name="M34_DATOS" sheetId="44" r:id="rId44"/>
    <sheet name="M34_CALCULO" sheetId="45" r:id="rId45"/>
    <sheet name="M34_SENSIBILIDAD" sheetId="46" r:id="rId46"/>
    <sheet name="M34_INTERPRETACION" sheetId="47" r:id="rId47"/>
    <sheet name="M34_FUENTES" sheetId="48" r:id="rId48"/>
    <sheet name="M34_PRUEBAS" sheetId="49" r:id="rId49"/>
    <sheet name="M34_CONFIG" sheetId="50" r:id="rId50"/>
    <sheet name="M34_CHANGELOG" sheetId="51" r:id="rId51"/>
    <sheet name="MAPA_MODULOS" sheetId="52" r:id="rId52"/>
    <sheet name="FUENTES" sheetId="53" r:id="rId53"/>
    <sheet name="LICENCIAS" sheetId="54" r:id="rId54"/>
    <sheet name="PRUEBAS" sheetId="55" r:id="rId55"/>
    <sheet name="CONFIG" sheetId="56" state="hidden" r:id="rId56"/>
    <sheet name="CHANGELOG" sheetId="57" r:id="rId57"/>
    <sheet name="AUDITORIA_INTEGRACION" sheetId="58" r:id="rId58"/>
    <sheet name="PROTOCOLOS_UDD" sheetId="59" r:id="rId59"/>
    <sheet name="COMPARADOR_PROTOCOLOS" sheetId="60" r:id="rId60"/>
    <sheet name="ECUACIONES_UDD" sheetId="61" r:id="rId61"/>
    <sheet name="FUENTES_UDD" sheetId="62" r:id="rId62"/>
    <sheet name="PRUEBAS_UDD" sheetId="63" r:id="rId63"/>
  </sheets>
  <definedNames>
    <definedName name="_xlnm.Print_Area" localSheetId="1">DATOS!$A$1:$B$17</definedName>
    <definedName name="_xlnm.Print_Area" localSheetId="0">INICIO!$A$1:$B$10</definedName>
    <definedName name="_xlnm.Print_Area" localSheetId="2">MEDICIONES!$A$1:$L$22</definedName>
    <definedName name="_xlnm.Print_Area" localSheetId="5">RESULTADOS!$A$1:$C$30</definedName>
    <definedName name="M12_AM_C1">M12_CONFIG!$B$49</definedName>
    <definedName name="M12_AM_C2">M12_CONFIG!$B$50</definedName>
    <definedName name="M12_AM_C3">M12_CONFIG!$B$51</definedName>
    <definedName name="M12_BRO_A">M12_CONFIG!$B$31</definedName>
    <definedName name="M12_BRO_B">M12_CONFIG!$B$32</definedName>
    <definedName name="M12_c_ampl">M12_CALCULOS!$B$30</definedName>
    <definedName name="M12_c_ClaseGrasa">M12_CALCULOS!$B$48</definedName>
    <definedName name="M12_c_ClaseIMC">M12_CALCULOS!$B$47</definedName>
    <definedName name="M12_c_Dens">M12_CALCULOS!$B$18</definedName>
    <definedName name="M12_c_DWc">M12_CALCULOS!$B$16</definedName>
    <definedName name="M12_c_DWm">M12_CALCULOS!$B$17</definedName>
    <definedName name="M12_c_estado">M12_CALCULOS!$B$31</definedName>
    <definedName name="M12_c_Gate">M12_CALCULOS!$B$13</definedName>
    <definedName name="M12_c_GrDeu">M12_CALCULOS!$B$21</definedName>
    <definedName name="M12_c_GrNavy">M12_CALCULOS!$B$20</definedName>
    <definedName name="M12_c_GrPli">M12_CALCULOS!$B$19</definedName>
    <definedName name="M12_c_GrRep">M12_CALCULOS!$B$24</definedName>
    <definedName name="M12_c_ICC">M12_CALCULOS!$B$40</definedName>
    <definedName name="M12_c_ICE">M12_CALCULOS!$B$41</definedName>
    <definedName name="M12_c_IMC">M12_CALCULOS!$B$9</definedName>
    <definedName name="M12_c_IMG">M12_CALCULOS!$B$36</definedName>
    <definedName name="M12_c_IMLG">M12_CALCULOS!$B$37</definedName>
    <definedName name="M12_c_max">M12_CALCULOS!$B$28</definedName>
    <definedName name="M12_c_MG">M12_CALCULOS!$B$34</definedName>
    <definedName name="M12_c_min">M12_CALCULOS!$B$27</definedName>
    <definedName name="M12_c_MLG">M12_CALCULOS!$B$35</definedName>
    <definedName name="M12_c_n">M12_CALCULOS!$B$25</definedName>
    <definedName name="M12_c_prom">M12_CALCULOS!$B$26</definedName>
    <definedName name="M12_c_rango">M12_CALCULOS!$B$29</definedName>
    <definedName name="M12_c_RiesgoCint">M12_CALCULOS!$B$42</definedName>
    <definedName name="M12_c_RiesgoICC">M12_CALCULOS!$B$43</definedName>
    <definedName name="M12_c_RiesgoICE">M12_CALCULOS!$B$44</definedName>
    <definedName name="M12_c_SumPli">M12_CALCULOS!$B$10</definedName>
    <definedName name="M12_c_TallaM">M12_CALCULOS!$B$8</definedName>
    <definedName name="M12_CAD_MAX">M12_CONFIG!$B$23</definedName>
    <definedName name="M12_CAD_MIN">M12_CONFIG!$B$22</definedName>
    <definedName name="M12_CIN_MAX">M12_CONFIG!$B$21</definedName>
    <definedName name="M12_CIN_MIN">M12_CONFIG!$B$20</definedName>
    <definedName name="M12_CINT_H">M12_CONFIG!$B$52</definedName>
    <definedName name="M12_CINT_M">M12_CONFIG!$B$53</definedName>
    <definedName name="M12_CUE_MAX">M12_CONFIG!$B$19</definedName>
    <definedName name="M12_CUE_MIN">M12_CONFIG!$B$18</definedName>
    <definedName name="M12_DEU_CONST">M12_CONFIG!$B$42</definedName>
    <definedName name="M12_DEU_EDAD">M12_CONFIG!$B$40</definedName>
    <definedName name="M12_DEU_IMC">M12_CONFIG!$B$39</definedName>
    <definedName name="M12_DEU_SEXO">M12_CONFIG!$B$41</definedName>
    <definedName name="M12_DISP_MAX">M12_CONFIG!$B$26</definedName>
    <definedName name="M12_EDAD_AM">M12_CONFIG!$B$48</definedName>
    <definedName name="M12_EDAD_MAX">M12_CONFIG!$B$11</definedName>
    <definedName name="M12_EDAD_MIN">M12_CONFIG!$B$10</definedName>
    <definedName name="M12_EST_MAX">M12_CONFIG!$B$15</definedName>
    <definedName name="M12_EST_MIN">M12_CONFIG!$B$14</definedName>
    <definedName name="M12_GRASA_MAX">M12_CONFIG!$B$25</definedName>
    <definedName name="M12_GRASA_MIN">M12_CONFIG!$B$24</definedName>
    <definedName name="M12_ICC_H">M12_CONFIG!$B$54</definedName>
    <definedName name="M12_ICC_M">M12_CONFIG!$B$55</definedName>
    <definedName name="M12_ICE_R">M12_CONFIG!$B$56</definedName>
    <definedName name="M12_IMC_C1">M12_CONFIG!$B$43</definedName>
    <definedName name="M12_IMC_C2">M12_CONFIG!$B$44</definedName>
    <definedName name="M12_IMC_C3">M12_CONFIG!$B$45</definedName>
    <definedName name="M12_IMC_C4">M12_CONFIG!$B$46</definedName>
    <definedName name="M12_IMC_C5">M12_CONFIG!$B$47</definedName>
    <definedName name="M12_in_Cadera">M12_DATOS!$B$22</definedName>
    <definedName name="M12_in_Cintura">M12_DATOS!$B$21</definedName>
    <definedName name="M12_in_Conv">M12_DATOS!$B$15</definedName>
    <definedName name="M12_in_Cuello">M12_DATOS!$B$20</definedName>
    <definedName name="M12_in_Edad">M12_DATOS!$B$11</definedName>
    <definedName name="M12_in_Est">M12_DATOS!$B$13</definedName>
    <definedName name="M12_in_Fecha">M12_DATOS!$B$8</definedName>
    <definedName name="M12_in_ID">M12_DATOS!$B$7</definedName>
    <definedName name="M12_in_Metodo">M12_DATOS!$B$14</definedName>
    <definedName name="M12_in_Obs">M12_DATOS!$B$23</definedName>
    <definedName name="M12_in_Pac">M12_DATOS!$B$9</definedName>
    <definedName name="M12_in_Peso">M12_DATOS!$B$12</definedName>
    <definedName name="M12_in_PliBi">M12_DATOS!$B$16</definedName>
    <definedName name="M12_in_PliSub">M12_DATOS!$B$18</definedName>
    <definedName name="M12_in_PliSupra">M12_DATOS!$B$19</definedName>
    <definedName name="M12_in_PliTri">M12_DATOS!$B$17</definedName>
    <definedName name="M12_in_Sexo">M12_DATOS!$B$10</definedName>
    <definedName name="M12_LISTA_DEN">M12_CONFIG!$A$71:$A$72</definedName>
    <definedName name="M12_LISTA_MET">M12_CONFIG!$A$65:$A$67</definedName>
    <definedName name="M12_NAVY_H0">M12_CONFIG!$B$33</definedName>
    <definedName name="M12_NAVY_H1">M12_CONFIG!$B$34</definedName>
    <definedName name="M12_NAVY_H2">M12_CONFIG!$B$35</definedName>
    <definedName name="M12_NAVY_M0">M12_CONFIG!$B$36</definedName>
    <definedName name="M12_NAVY_M1">M12_CONFIG!$B$37</definedName>
    <definedName name="M12_NAVY_M2">M12_CONFIG!$B$38</definedName>
    <definedName name="M12_PESO_MAX">M12_CONFIG!$B$13</definedName>
    <definedName name="M12_PESO_MIN">M12_CONFIG!$B$12</definedName>
    <definedName name="M12_PLI_MAX">M12_CONFIG!$B$17</definedName>
    <definedName name="M12_PLI_MIN">M12_CONFIG!$B$16</definedName>
    <definedName name="M12_SEXOS">M12_CONFIG!$A$60:$A$61</definedName>
    <definedName name="M12_SINO">M12_CONFIG!$A$75:$A$76</definedName>
    <definedName name="M12_SIRI_A">M12_CONFIG!$B$29</definedName>
    <definedName name="M12_SIRI_B">M12_CONFIG!$B$30</definedName>
    <definedName name="M12_TOL_FRAC">M12_CONFIG!$B$27</definedName>
    <definedName name="M12_TOL_KG">M12_CONFIG!$B$28</definedName>
    <definedName name="M16_c_CAG">M16_CALCULOS!$B$11</definedName>
    <definedName name="M16_c_CCG">M16_CALCULOS!$B$12</definedName>
    <definedName name="M16_c_Clase">M16_CALCULOS!$B$30</definedName>
    <definedName name="M16_c_Ecto">M16_CALCULOS!$B$21</definedName>
    <definedName name="M16_c_Endo">M16_CALCULOS!$B$19</definedName>
    <definedName name="M16_c_Gate">M16_CALCULOS!$B$16</definedName>
    <definedName name="M16_c_HWR">M16_CALCULOS!$B$13</definedName>
    <definedName name="M16_c_Meso">M16_CALCULOS!$B$20</definedName>
    <definedName name="M16_c_mid">M16_CALCULOS!$B$29</definedName>
    <definedName name="M16_c_mn">M16_CALCULOS!$B$28</definedName>
    <definedName name="M16_c_mx">M16_CALCULOS!$B$27</definedName>
    <definedName name="M16_c_Soma">M16_CALCULOS!$B$22</definedName>
    <definedName name="M16_c_Sum3">M16_CALCULOS!$B$9</definedName>
    <definedName name="M16_c_SX">M16_CALCULOS!$B$25</definedName>
    <definedName name="M16_c_SY">M16_CALCULOS!$B$26</definedName>
    <definedName name="M16_c_TallaM">M16_CALCULOS!$B$8</definedName>
    <definedName name="M16_c_Xcorr">M16_CALCULOS!$B$10</definedName>
    <definedName name="M16_DIA_MAX">M16_CONFIG!$B$19</definedName>
    <definedName name="M16_DIA_MIN">M16_CONFIG!$B$18</definedName>
    <definedName name="M16_ECTO_A1">M16_CONFIG!$B$37</definedName>
    <definedName name="M16_ECTO_A2">M16_CONFIG!$B$39</definedName>
    <definedName name="M16_ECTO_B1">M16_CONFIG!$B$38</definedName>
    <definedName name="M16_ECTO_B2">M16_CONFIG!$B$40</definedName>
    <definedName name="M16_ECTO_T1">M16_CONFIG!$B$35</definedName>
    <definedName name="M16_ECTO_T2">M16_CONFIG!$B$36</definedName>
    <definedName name="M16_EDAD_MAX">M16_CONFIG!$B$11</definedName>
    <definedName name="M16_EDAD_MIN">M16_CONFIG!$B$10</definedName>
    <definedName name="M16_ENDO_C0">M16_CONFIG!$B$24</definedName>
    <definedName name="M16_ENDO_C1">M16_CONFIG!$B$25</definedName>
    <definedName name="M16_ENDO_C2">M16_CONFIG!$B$26</definedName>
    <definedName name="M16_ENDO_C3">M16_CONFIG!$B$27</definedName>
    <definedName name="M16_ENDO_HREF">M16_CONFIG!$B$28</definedName>
    <definedName name="M16_EST_MAX">M16_CONFIG!$B$15</definedName>
    <definedName name="M16_EST_MIN">M16_CONFIG!$B$14</definedName>
    <definedName name="M16_in_Edad">M16_DATOS!$B$11</definedName>
    <definedName name="M16_in_Est">M16_DATOS!$B$13</definedName>
    <definedName name="M16_in_Eval">M16_DATOS!$B$14</definedName>
    <definedName name="M16_in_Fecha">M16_DATOS!$B$8</definedName>
    <definedName name="M16_in_ID">M16_DATOS!$B$7</definedName>
    <definedName name="M16_in_Obs">M16_DATOS!$B$15</definedName>
    <definedName name="M16_in_Pac">M16_DATOS!$B$9</definedName>
    <definedName name="M16_in_Peso">M16_DATOS!$B$12</definedName>
    <definedName name="M16_in_Sexo">M16_DATOS!$B$10</definedName>
    <definedName name="M16_m_ArmG">M16_MEDIDAS!$C$16</definedName>
    <definedName name="M16_m_Calf">M16_MEDIDAS!$C$11</definedName>
    <definedName name="M16_m_CalfG">M16_MEDIDAS!$C$17</definedName>
    <definedName name="M16_m_Fem">M16_MEDIDAS!$C$14</definedName>
    <definedName name="M16_m_Hum">M16_MEDIDAS!$C$13</definedName>
    <definedName name="M16_m_Sub">M16_MEDIDAS!$C$9</definedName>
    <definedName name="M16_m_Sup">M16_MEDIDAS!$C$10</definedName>
    <definedName name="M16_m_Tri">M16_MEDIDAS!$C$8</definedName>
    <definedName name="M16_MESO_CAG">M16_CONFIG!$B$31</definedName>
    <definedName name="M16_MESO_CCG">M16_CONFIG!$B$32</definedName>
    <definedName name="M16_MESO_FB">M16_CONFIG!$B$30</definedName>
    <definedName name="M16_MESO_H">M16_CONFIG!$B$33</definedName>
    <definedName name="M16_MESO_HB">M16_CONFIG!$B$29</definedName>
    <definedName name="M16_MESO_K">M16_CONFIG!$B$34</definedName>
    <definedName name="M16_MIN_COMP">M16_CONFIG!$B$22</definedName>
    <definedName name="M16_PER_MAX">M16_CONFIG!$B$21</definedName>
    <definedName name="M16_PER_MIN">M16_CONFIG!$B$20</definedName>
    <definedName name="M16_PESO_MAX">M16_CONFIG!$B$13</definedName>
    <definedName name="M16_PESO_MIN">M16_CONFIG!$B$12</definedName>
    <definedName name="M16_PLI_MAX">M16_CONFIG!$B$17</definedName>
    <definedName name="M16_PLI_MIN">M16_CONFIG!$B$16</definedName>
    <definedName name="M16_SEXOS">M16_CONFIG!$A$44:$A$45</definedName>
    <definedName name="M16_SINO">M16_CONFIG!$A$48:$A$49</definedName>
    <definedName name="M16_TOL_U">M16_CONFIG!$B$23</definedName>
    <definedName name="M34_k_edad">M34_CONFIG!$B$11</definedName>
    <definedName name="M34_k_hombre">M34_CONFIG!$B$12</definedName>
    <definedName name="M34_k_kmConst">M34_CONFIG!$D$17</definedName>
    <definedName name="M34_k_kmFFM">M34_CONFIG!$D$18</definedName>
    <definedName name="M34_k_mujer">M34_CONFIG!$B$13</definedName>
    <definedName name="M34_k_peso">M34_CONFIG!$B$9</definedName>
    <definedName name="M34_k_talla">M34_CONFIG!$B$10</definedName>
    <definedName name="M34_k_tol">M34_CONFIG!$E$25</definedName>
    <definedName name="M34_lst_metodo">M34_CONFIG!$B$32:$B$35</definedName>
    <definedName name="M34_lst_sexo">M34_CONFIG!$A$32:$A$33</definedName>
    <definedName name="M34_lst_si">M34_CONFIG!$D$32:$D$33</definedName>
    <definedName name="M34_u_edadMax">M34_CONFIG!$E$24</definedName>
    <definedName name="M34_u_edadMin">M34_CONFIG!$E$23</definedName>
    <definedName name="M34_u_equiv">M34_CONFIG!$E$21</definedName>
    <definedName name="M34_u_implaus">M34_CONFIG!$E$22</definedName>
    <definedName name="M34_v_base">M34_CALCULO!$C$18</definedName>
    <definedName name="M34_v_difEdad">M34_CALCULO!$C$21</definedName>
    <definedName name="M34_v_edad">M34_DATOS!$C$12</definedName>
    <definedName name="M34_v_edadMet">M34_CALCULO!$C$19</definedName>
    <definedName name="M34_v_grasa">M34_DATOS!$C$16</definedName>
    <definedName name="M34_v_mlg">M34_DATOS!$C$23</definedName>
    <definedName name="M34_v_peso">M34_DATOS!$C$14</definedName>
    <definedName name="M34_v_sexo">M34_DATOS!$C$13</definedName>
    <definedName name="M34_v_talla">M34_DATOS!$C$15</definedName>
    <definedName name="M34_v_tmb">M34_CALCULO!$C$9</definedName>
    <definedName name="M34_v_tmbPob">M34_CALCULO!$C$13</definedName>
    <definedName name="M36_a_k">M36_PLIEGUES!$C$17</definedName>
    <definedName name="M36_a_MediaG">M36_PLIEGUES!$C$20</definedName>
    <definedName name="M36_a_Sd2">M36_PLIEGUES!$C$18</definedName>
    <definedName name="M36_a_Sum8">M36_PLIEGUES!$C$24</definedName>
    <definedName name="M36_a_TEMabs">M36_PLIEGUES!$C$19</definedName>
    <definedName name="M36_a_TEMrel">M36_PLIEGUES!$C$21</definedName>
    <definedName name="M36_a_TEMver">M36_PLIEGUES!$C$22</definedName>
    <definedName name="M36_BRO_A">M36_CONFIG!$B$28</definedName>
    <definedName name="M36_BRO_B">M36_CONFIG!$B$29</definedName>
    <definedName name="M36_c_ampl">M36_CALCULOS!$B$36</definedName>
    <definedName name="M36_c_BDdw">M36_CALCULOS!$B$25</definedName>
    <definedName name="M36_c_BDjp3">M36_CALCULOS!$B$21</definedName>
    <definedName name="M36_c_BDjp7">M36_CALCULOS!$B$19</definedName>
    <definedName name="M36_c_ClaseGrasa">M36_CALCULOS!$B$46</definedName>
    <definedName name="M36_c_DWc">M36_CALCULOS!$B$23</definedName>
    <definedName name="M36_c_DWm">M36_CALCULOS!$B$24</definedName>
    <definedName name="M36_c_estado">M36_CALCULOS!$B$37</definedName>
    <definedName name="M36_c_Gate">M36_CALCULOS!$B$16</definedName>
    <definedName name="M36_c_GrDW">M36_CALCULOS!$B$26</definedName>
    <definedName name="M36_c_GrFaulk">M36_CALCULOS!$B$27</definedName>
    <definedName name="M36_c_GrJP3">M36_CALCULOS!$B$22</definedName>
    <definedName name="M36_c_GrJP7">M36_CALCULOS!$B$20</definedName>
    <definedName name="M36_c_GrRep">M36_CALCULOS!$B$30</definedName>
    <definedName name="M36_c_IMC">M36_CALCULOS!$B$9</definedName>
    <definedName name="M36_c_IMG">M36_CALCULOS!$B$42</definedName>
    <definedName name="M36_c_IMLG">M36_CALCULOS!$B$43</definedName>
    <definedName name="M36_c_max">M36_CALCULOS!$B$34</definedName>
    <definedName name="M36_c_MG">M36_CALCULOS!$B$40</definedName>
    <definedName name="M36_c_min">M36_CALCULOS!$B$33</definedName>
    <definedName name="M36_c_MLG">M36_CALCULOS!$B$41</definedName>
    <definedName name="M36_c_n">M36_CALCULOS!$B$31</definedName>
    <definedName name="M36_c_prom">M36_CALCULOS!$B$32</definedName>
    <definedName name="M36_c_rango">M36_CALCULOS!$B$35</definedName>
    <definedName name="M36_c_Sum7">M36_CALCULOS!$B$10</definedName>
    <definedName name="M36_c_SumDW">M36_CALCULOS!$B$12</definedName>
    <definedName name="M36_c_SumFaulk">M36_CALCULOS!$B$13</definedName>
    <definedName name="M36_c_SumJP3">M36_CALCULOS!$B$11</definedName>
    <definedName name="M36_c_TallaM">M36_CALCULOS!$B$8</definedName>
    <definedName name="M36_DISP_MAX">M36_CONFIG!$B$20</definedName>
    <definedName name="M36_EDAD_MAX">M36_CONFIG!$B$11</definedName>
    <definedName name="M36_EDAD_MIN">M36_CONFIG!$B$10</definedName>
    <definedName name="M36_EST_MAX">M36_CONFIG!$B$15</definedName>
    <definedName name="M36_EST_MIN">M36_CONFIG!$B$14</definedName>
    <definedName name="M36_FAULK_A">M36_CONFIG!$B$30</definedName>
    <definedName name="M36_FAULK_B">M36_CONFIG!$B$31</definedName>
    <definedName name="M36_GRASA_MAX">M36_CONFIG!$B$19</definedName>
    <definedName name="M36_GRASA_MIN">M36_CONFIG!$B$18</definedName>
    <definedName name="M36_in_Conv">M36_DATOS!$B$15</definedName>
    <definedName name="M36_in_Ecu">M36_DATOS!$B$14</definedName>
    <definedName name="M36_in_Edad">M36_DATOS!$B$11</definedName>
    <definedName name="M36_in_Est">M36_DATOS!$B$13</definedName>
    <definedName name="M36_in_Eval">M36_DATOS!$B$16</definedName>
    <definedName name="M36_in_Fecha">M36_DATOS!$B$8</definedName>
    <definedName name="M36_in_ID">M36_DATOS!$B$7</definedName>
    <definedName name="M36_in_Obs">M36_DATOS!$B$17</definedName>
    <definedName name="M36_in_Pac">M36_DATOS!$B$9</definedName>
    <definedName name="M36_in_Peso">M36_DATOS!$B$12</definedName>
    <definedName name="M36_in_Sexo">M36_DATOS!$B$10</definedName>
    <definedName name="M36_JP3_HA">M36_CONFIG!$B$40</definedName>
    <definedName name="M36_JP3_HB1">M36_CONFIG!$B$41</definedName>
    <definedName name="M36_JP3_HB2">M36_CONFIG!$B$42</definedName>
    <definedName name="M36_JP3_HB3">M36_CONFIG!$B$43</definedName>
    <definedName name="M36_JP3_MA">M36_CONFIG!$B$44</definedName>
    <definedName name="M36_JP3_MB1">M36_CONFIG!$B$45</definedName>
    <definedName name="M36_JP3_MB2">M36_CONFIG!$B$46</definedName>
    <definedName name="M36_JP3_MB3">M36_CONFIG!$B$47</definedName>
    <definedName name="M36_JP7_HA">M36_CONFIG!$B$32</definedName>
    <definedName name="M36_JP7_HB1">M36_CONFIG!$B$33</definedName>
    <definedName name="M36_JP7_HB2">M36_CONFIG!$B$34</definedName>
    <definedName name="M36_JP7_HB3">M36_CONFIG!$B$35</definedName>
    <definedName name="M36_JP7_MA">M36_CONFIG!$B$36</definedName>
    <definedName name="M36_JP7_MB1">M36_CONFIG!$B$37</definedName>
    <definedName name="M36_JP7_MB2">M36_CONFIG!$B$38</definedName>
    <definedName name="M36_JP7_MB3">M36_CONFIG!$B$39</definedName>
    <definedName name="M36_LISTA_DEN">M36_CONFIG!$A$63:$A$64</definedName>
    <definedName name="M36_LISTA_ECU">M36_CONFIG!$A$56:$A$59</definedName>
    <definedName name="M36_p_Abd">M36_PLIEGUES!$E$13</definedName>
    <definedName name="M36_p_Axil">M36_PLIEGUES!$E$8</definedName>
    <definedName name="M36_p_Bic">M36_PLIEGUES!$E$11</definedName>
    <definedName name="M36_p_Muslo">M36_PLIEGUES!$E$14</definedName>
    <definedName name="M36_p_Pect">M36_PLIEGUES!$E$7</definedName>
    <definedName name="M36_p_Sub">M36_PLIEGUES!$E$10</definedName>
    <definedName name="M36_p_Supra">M36_PLIEGUES!$E$12</definedName>
    <definedName name="M36_p_Tri">M36_PLIEGUES!$E$9</definedName>
    <definedName name="M36_PESO_MAX">M36_CONFIG!$B$13</definedName>
    <definedName name="M36_PESO_MIN">M36_CONFIG!$B$12</definedName>
    <definedName name="M36_PLI_MAX">M36_CONFIG!$B$17</definedName>
    <definedName name="M36_PLI_MIN">M36_CONFIG!$B$16</definedName>
    <definedName name="M36_SEXOS">M36_CONFIG!$A$51:$A$52</definedName>
    <definedName name="M36_SINO">M36_CONFIG!$A$67:$A$68</definedName>
    <definedName name="M36_SIRI_A">M36_CONFIG!$B$26</definedName>
    <definedName name="M36_SIRI_B">M36_CONFIG!$B$27</definedName>
    <definedName name="M36_TEM_ACC">M36_CONFIG!$B$22</definedName>
    <definedName name="M36_TEM_OK">M36_CONFIG!$B$21</definedName>
    <definedName name="M36_TOL_FRAC">M36_CONFIG!$B$23</definedName>
    <definedName name="M36_TOL_KG">M36_CONFIG!$B$24</definedName>
    <definedName name="M36_TOL_MM">M36_CONFIG!$B$25</definedName>
    <definedName name="M41_k_nMin">M41_CONFIG!$E$14</definedName>
    <definedName name="M41_k_presion">M41_CONFIG!$E$11</definedName>
    <definedName name="M41_k_tol">M41_CONFIG!$E$15</definedName>
    <definedName name="M41_k_z">M41_CONFIG!$E$10</definedName>
    <definedName name="M41_lst_estado">M41_CONFIG!$C$33:$C$35</definedName>
    <definedName name="M41_lst_marca">M41_CONFIG!$A$33:$A$37</definedName>
    <definedName name="M41_lst_nivel">M41_CONFIG!$D$33:$D$36</definedName>
    <definedName name="M41_lst_si">M41_CONFIG!$B$33:$B$34</definedName>
    <definedName name="M41_lst_sitios">M41_CONFIG!$A$22:$A$29</definedName>
    <definedName name="M41_rng_sitios">M41_CONFIG!$A$22:$D$29</definedName>
    <definedName name="M41_u_dif">M41_CONFIG!$E$13</definedName>
    <definedName name="M41_u_inter">M41_CONFIG!$E$8</definedName>
    <definedName name="M41_u_intra">M41_CONFIG!$E$7</definedName>
    <definedName name="M41_u_patron">M41_CONFIG!$E$12</definedName>
    <definedName name="M41_u_R">M41_CONFIG!$E$9</definedName>
    <definedName name="M41_v_dictamen">M41_CALIBRACION!$C$28</definedName>
    <definedName name="M41_v_etm">M41_FIABILIDAD!$C$39</definedName>
    <definedName name="M41_v_mdc">M41_FIABILIDAD!$C$50</definedName>
    <definedName name="M41_v_petm">M41_FIABILIDAD!$C$40</definedName>
    <definedName name="M41_v_R">M41_FIABILIDAD!$C$42</definedName>
    <definedName name="M41_v_resol">M41_DATOS!$C$17</definedName>
    <definedName name="MED_Abd">MEDICIONES!$G$13</definedName>
    <definedName name="MED_Axil">MEDICIONES!$G$8</definedName>
    <definedName name="MED_Bic">MEDICIONES!$G$11</definedName>
    <definedName name="MED_BrazoG">MEDICIONES!$G$18</definedName>
    <definedName name="MED_Cadera">MEDICIONES!$G$17</definedName>
    <definedName name="MED_Cintura">MEDICIONES!$G$16</definedName>
    <definedName name="MED_Cuello">MEDICIONES!$G$15</definedName>
    <definedName name="MED_Fem">MEDICIONES!$G$22</definedName>
    <definedName name="MED_Hum">MEDICIONES!$G$21</definedName>
    <definedName name="MED_Muslo">MEDICIONES!$G$14</definedName>
    <definedName name="MED_Pant">MEDICIONES!$G$20</definedName>
    <definedName name="MED_PantG">MEDICIONES!$G$19</definedName>
    <definedName name="MED_Pect">MEDICIONES!$G$7</definedName>
    <definedName name="MED_Sub">MEDICIONES!$G$10</definedName>
    <definedName name="MED_Supra">MEDICIONES!$G$12</definedName>
    <definedName name="MED_Tri">MEDICIONES!$G$9</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 i="55" l="1"/>
  <c r="C16" i="55"/>
  <c r="C15" i="55"/>
  <c r="A4" i="51"/>
  <c r="A4" i="50"/>
  <c r="C27" i="49"/>
  <c r="E27" i="49" s="1"/>
  <c r="C18" i="49"/>
  <c r="E18" i="49" s="1"/>
  <c r="A4" i="49"/>
  <c r="A4" i="48"/>
  <c r="C40" i="47"/>
  <c r="C13" i="47"/>
  <c r="A4" i="47"/>
  <c r="C24" i="46"/>
  <c r="C16" i="47" s="1"/>
  <c r="C23" i="46"/>
  <c r="C19" i="49" s="1"/>
  <c r="E19" i="49" s="1"/>
  <c r="A20" i="46"/>
  <c r="B20" i="46" s="1"/>
  <c r="C20" i="46" s="1"/>
  <c r="A19" i="46"/>
  <c r="B19" i="46" s="1"/>
  <c r="C19" i="46" s="1"/>
  <c r="A18" i="46"/>
  <c r="B18" i="46" s="1"/>
  <c r="C18" i="46" s="1"/>
  <c r="A17" i="46"/>
  <c r="B17" i="46" s="1"/>
  <c r="C17" i="46" s="1"/>
  <c r="A16" i="46"/>
  <c r="B16" i="46" s="1"/>
  <c r="C16" i="46" s="1"/>
  <c r="A15" i="46"/>
  <c r="B15" i="46" s="1"/>
  <c r="C15" i="46" s="1"/>
  <c r="A14" i="46"/>
  <c r="B14" i="46" s="1"/>
  <c r="C14" i="46" s="1"/>
  <c r="A13" i="46"/>
  <c r="B13" i="46" s="1"/>
  <c r="C13" i="46" s="1"/>
  <c r="A12" i="46"/>
  <c r="B12" i="46" s="1"/>
  <c r="C12" i="46" s="1"/>
  <c r="A4" i="46"/>
  <c r="C20" i="45"/>
  <c r="C12" i="45"/>
  <c r="C18" i="45" s="1"/>
  <c r="A4" i="45"/>
  <c r="C24" i="44"/>
  <c r="C23" i="44"/>
  <c r="C9" i="49" s="1"/>
  <c r="E9" i="49" s="1"/>
  <c r="C22" i="44"/>
  <c r="A4" i="44"/>
  <c r="O5" i="43"/>
  <c r="M5" i="43"/>
  <c r="K5" i="43"/>
  <c r="I5" i="43"/>
  <c r="G5" i="43"/>
  <c r="E5" i="43"/>
  <c r="C5" i="43"/>
  <c r="A5" i="43"/>
  <c r="A3" i="42"/>
  <c r="A3" i="41"/>
  <c r="E58" i="40"/>
  <c r="F58" i="40" s="1"/>
  <c r="E57" i="40"/>
  <c r="F57" i="40" s="1"/>
  <c r="E56" i="40"/>
  <c r="F56" i="40" s="1"/>
  <c r="E55" i="40"/>
  <c r="F55" i="40" s="1"/>
  <c r="E54" i="40"/>
  <c r="F54" i="40" s="1"/>
  <c r="E53" i="40"/>
  <c r="F53" i="40" s="1"/>
  <c r="E52" i="40"/>
  <c r="F52" i="40" s="1"/>
  <c r="E51" i="40"/>
  <c r="F51" i="40" s="1"/>
  <c r="D47" i="40"/>
  <c r="E47" i="40" s="1"/>
  <c r="D46" i="40"/>
  <c r="E46" i="40" s="1"/>
  <c r="D45" i="40"/>
  <c r="E45" i="40" s="1"/>
  <c r="D44" i="40"/>
  <c r="E44" i="40" s="1"/>
  <c r="D43" i="40"/>
  <c r="E43" i="40" s="1"/>
  <c r="D42" i="40"/>
  <c r="E42" i="40" s="1"/>
  <c r="D41" i="40"/>
  <c r="E41" i="40" s="1"/>
  <c r="H37" i="40"/>
  <c r="J37" i="40" s="1"/>
  <c r="E37" i="40"/>
  <c r="G37" i="40" s="1"/>
  <c r="H36" i="40"/>
  <c r="J36" i="40" s="1"/>
  <c r="E36" i="40"/>
  <c r="G36" i="40" s="1"/>
  <c r="H35" i="40"/>
  <c r="J35" i="40" s="1"/>
  <c r="E35" i="40"/>
  <c r="G35" i="40" s="1"/>
  <c r="H34" i="40"/>
  <c r="J34" i="40" s="1"/>
  <c r="E34" i="40"/>
  <c r="G34" i="40" s="1"/>
  <c r="E30" i="40"/>
  <c r="G30" i="40" s="1"/>
  <c r="H30" i="40" s="1"/>
  <c r="E29" i="40"/>
  <c r="G29" i="40" s="1"/>
  <c r="H29" i="40" s="1"/>
  <c r="E28" i="40"/>
  <c r="G28" i="40" s="1"/>
  <c r="H28" i="40" s="1"/>
  <c r="E27" i="40"/>
  <c r="G27" i="40" s="1"/>
  <c r="H27" i="40" s="1"/>
  <c r="E26" i="40"/>
  <c r="G26" i="40" s="1"/>
  <c r="H26" i="40" s="1"/>
  <c r="E25" i="40"/>
  <c r="G25" i="40" s="1"/>
  <c r="H25" i="40" s="1"/>
  <c r="G21" i="40"/>
  <c r="I21" i="40" s="1"/>
  <c r="J21" i="40" s="1"/>
  <c r="G20" i="40"/>
  <c r="I20" i="40" s="1"/>
  <c r="J20" i="40" s="1"/>
  <c r="G19" i="40"/>
  <c r="I19" i="40" s="1"/>
  <c r="J19" i="40" s="1"/>
  <c r="G18" i="40"/>
  <c r="I18" i="40" s="1"/>
  <c r="J18" i="40" s="1"/>
  <c r="G17" i="40"/>
  <c r="I17" i="40" s="1"/>
  <c r="J17" i="40" s="1"/>
  <c r="E13" i="40"/>
  <c r="G13" i="40" s="1"/>
  <c r="H13" i="40" s="1"/>
  <c r="E12" i="40"/>
  <c r="G12" i="40" s="1"/>
  <c r="H12" i="40" s="1"/>
  <c r="E11" i="40"/>
  <c r="G11" i="40" s="1"/>
  <c r="H11" i="40" s="1"/>
  <c r="E10" i="40"/>
  <c r="G10" i="40" s="1"/>
  <c r="H10" i="40" s="1"/>
  <c r="E9" i="40"/>
  <c r="G9" i="40" s="1"/>
  <c r="H9" i="40" s="1"/>
  <c r="E8" i="40"/>
  <c r="G8" i="40" s="1"/>
  <c r="H8" i="40" s="1"/>
  <c r="A4" i="40"/>
  <c r="C4" i="39"/>
  <c r="B4" i="39"/>
  <c r="A4" i="39"/>
  <c r="C29" i="38"/>
  <c r="B29" i="38"/>
  <c r="A29" i="38"/>
  <c r="C28" i="38"/>
  <c r="B28" i="38"/>
  <c r="A28" i="38"/>
  <c r="C27" i="38"/>
  <c r="B27" i="38"/>
  <c r="A27" i="38"/>
  <c r="C26" i="38"/>
  <c r="B26" i="38"/>
  <c r="A26" i="38"/>
  <c r="G3" i="38"/>
  <c r="D3" i="38"/>
  <c r="B3" i="38"/>
  <c r="A3" i="38"/>
  <c r="B39" i="37"/>
  <c r="B45" i="38" s="1"/>
  <c r="C3" i="37"/>
  <c r="B3" i="37"/>
  <c r="A3" i="37"/>
  <c r="C4" i="36"/>
  <c r="A4" i="36"/>
  <c r="B15" i="35"/>
  <c r="B14" i="35"/>
  <c r="B9" i="38" s="1"/>
  <c r="B13" i="35"/>
  <c r="B8" i="37" s="1"/>
  <c r="B12" i="35"/>
  <c r="B11" i="35"/>
  <c r="B10" i="35"/>
  <c r="B9" i="35"/>
  <c r="B8" i="38" s="1"/>
  <c r="B8" i="35"/>
  <c r="B7" i="38" s="1"/>
  <c r="B7" i="35"/>
  <c r="B6" i="38" s="1"/>
  <c r="D3" i="35"/>
  <c r="B3" i="35"/>
  <c r="A3" i="35"/>
  <c r="N5" i="34"/>
  <c r="L5" i="34"/>
  <c r="J5" i="34"/>
  <c r="H5" i="34"/>
  <c r="F5" i="34"/>
  <c r="D5" i="34"/>
  <c r="B5" i="34"/>
  <c r="A5" i="34"/>
  <c r="A3" i="33"/>
  <c r="A3" i="32"/>
  <c r="C65" i="31"/>
  <c r="E65" i="31" s="1"/>
  <c r="E59" i="31"/>
  <c r="F59" i="31" s="1"/>
  <c r="E58" i="31"/>
  <c r="F58" i="31" s="1"/>
  <c r="E57" i="31"/>
  <c r="F57" i="31" s="1"/>
  <c r="E56" i="31"/>
  <c r="F56" i="31" s="1"/>
  <c r="E55" i="31"/>
  <c r="F55" i="31" s="1"/>
  <c r="E54" i="31"/>
  <c r="F54" i="31" s="1"/>
  <c r="E53" i="31"/>
  <c r="F53" i="31" s="1"/>
  <c r="E52" i="31"/>
  <c r="F52" i="31" s="1"/>
  <c r="E48" i="31"/>
  <c r="F48" i="31" s="1"/>
  <c r="E47" i="31"/>
  <c r="F47" i="31" s="1"/>
  <c r="E46" i="31"/>
  <c r="F46" i="31" s="1"/>
  <c r="E45" i="31"/>
  <c r="F45" i="31" s="1"/>
  <c r="E44" i="31"/>
  <c r="F44" i="31" s="1"/>
  <c r="E43" i="31"/>
  <c r="F43" i="31" s="1"/>
  <c r="E42" i="31"/>
  <c r="F42" i="31" s="1"/>
  <c r="H38" i="31"/>
  <c r="J38" i="31" s="1"/>
  <c r="E38" i="31"/>
  <c r="G38" i="31" s="1"/>
  <c r="H37" i="31"/>
  <c r="J37" i="31" s="1"/>
  <c r="E37" i="31"/>
  <c r="G37" i="31" s="1"/>
  <c r="H36" i="31"/>
  <c r="J36" i="31" s="1"/>
  <c r="E36" i="31"/>
  <c r="G36" i="31" s="1"/>
  <c r="H35" i="31"/>
  <c r="J35" i="31" s="1"/>
  <c r="E35" i="31"/>
  <c r="G35" i="31" s="1"/>
  <c r="F31" i="31"/>
  <c r="H31" i="31" s="1"/>
  <c r="I31" i="31" s="1"/>
  <c r="F30" i="31"/>
  <c r="H30" i="31" s="1"/>
  <c r="I30" i="31" s="1"/>
  <c r="F29" i="31"/>
  <c r="H29" i="31" s="1"/>
  <c r="I29" i="31" s="1"/>
  <c r="F28" i="31"/>
  <c r="H28" i="31" s="1"/>
  <c r="I28" i="31" s="1"/>
  <c r="F27" i="31"/>
  <c r="H27" i="31" s="1"/>
  <c r="I27" i="31" s="1"/>
  <c r="F26" i="31"/>
  <c r="H26" i="31" s="1"/>
  <c r="I26" i="31" s="1"/>
  <c r="H22" i="31"/>
  <c r="J22" i="31" s="1"/>
  <c r="K22" i="31" s="1"/>
  <c r="H21" i="31"/>
  <c r="J21" i="31" s="1"/>
  <c r="K21" i="31" s="1"/>
  <c r="H20" i="31"/>
  <c r="J20" i="31" s="1"/>
  <c r="K20" i="31" s="1"/>
  <c r="H19" i="31"/>
  <c r="J19" i="31" s="1"/>
  <c r="K19" i="31" s="1"/>
  <c r="H18" i="31"/>
  <c r="J18" i="31" s="1"/>
  <c r="K18" i="31" s="1"/>
  <c r="H17" i="31"/>
  <c r="J17" i="31" s="1"/>
  <c r="K17" i="31" s="1"/>
  <c r="I13" i="31"/>
  <c r="K13" i="31" s="1"/>
  <c r="L13" i="31" s="1"/>
  <c r="I12" i="31"/>
  <c r="K12" i="31" s="1"/>
  <c r="L12" i="31" s="1"/>
  <c r="I11" i="31"/>
  <c r="K11" i="31" s="1"/>
  <c r="L11" i="31" s="1"/>
  <c r="I10" i="31"/>
  <c r="K10" i="31" s="1"/>
  <c r="L10" i="31" s="1"/>
  <c r="I9" i="31"/>
  <c r="K9" i="31" s="1"/>
  <c r="L9" i="31" s="1"/>
  <c r="I8" i="31"/>
  <c r="K8" i="31" s="1"/>
  <c r="L8" i="31" s="1"/>
  <c r="A4" i="31"/>
  <c r="C4" i="30"/>
  <c r="B4" i="30"/>
  <c r="A4" i="30"/>
  <c r="C20" i="29"/>
  <c r="B11" i="29"/>
  <c r="E3" i="29"/>
  <c r="B3" i="29"/>
  <c r="A3" i="29"/>
  <c r="B58" i="28"/>
  <c r="B23" i="27"/>
  <c r="B13" i="29" s="1"/>
  <c r="B13" i="27"/>
  <c r="B12" i="27"/>
  <c r="B11" i="27"/>
  <c r="B10" i="27"/>
  <c r="E41" i="29" s="1"/>
  <c r="B9" i="27"/>
  <c r="B8" i="29" s="1"/>
  <c r="B8" i="27"/>
  <c r="B7" i="29" s="1"/>
  <c r="B7" i="27"/>
  <c r="B6" i="29" s="1"/>
  <c r="D3" i="27"/>
  <c r="B3" i="27"/>
  <c r="A3" i="27"/>
  <c r="L5" i="26"/>
  <c r="J5" i="26"/>
  <c r="H5" i="26"/>
  <c r="F5" i="26"/>
  <c r="D5" i="26"/>
  <c r="B5" i="26"/>
  <c r="A5" i="26"/>
  <c r="A3" i="25"/>
  <c r="A3" i="24"/>
  <c r="E56" i="23"/>
  <c r="F56" i="23" s="1"/>
  <c r="E55" i="23"/>
  <c r="F55" i="23" s="1"/>
  <c r="E54" i="23"/>
  <c r="F54" i="23" s="1"/>
  <c r="E53" i="23"/>
  <c r="F53" i="23" s="1"/>
  <c r="E52" i="23"/>
  <c r="F52" i="23" s="1"/>
  <c r="E51" i="23"/>
  <c r="F51" i="23" s="1"/>
  <c r="E50" i="23"/>
  <c r="F50" i="23" s="1"/>
  <c r="E49" i="23"/>
  <c r="F49" i="23" s="1"/>
  <c r="E48" i="23"/>
  <c r="F48" i="23" s="1"/>
  <c r="E47" i="23"/>
  <c r="F47" i="23" s="1"/>
  <c r="H43" i="23"/>
  <c r="J43" i="23" s="1"/>
  <c r="E43" i="23"/>
  <c r="G43" i="23" s="1"/>
  <c r="H42" i="23"/>
  <c r="J42" i="23" s="1"/>
  <c r="E42" i="23"/>
  <c r="G42" i="23" s="1"/>
  <c r="H41" i="23"/>
  <c r="J41" i="23" s="1"/>
  <c r="E41" i="23"/>
  <c r="G41" i="23" s="1"/>
  <c r="F37" i="23"/>
  <c r="I37" i="23" s="1"/>
  <c r="K37" i="23" s="1"/>
  <c r="F36" i="23"/>
  <c r="I36" i="23" s="1"/>
  <c r="K36" i="23" s="1"/>
  <c r="F35" i="23"/>
  <c r="I35" i="23" s="1"/>
  <c r="K35" i="23" s="1"/>
  <c r="G31" i="23"/>
  <c r="I31" i="23" s="1"/>
  <c r="J31" i="23" s="1"/>
  <c r="G30" i="23"/>
  <c r="I30" i="23" s="1"/>
  <c r="J30" i="23" s="1"/>
  <c r="G29" i="23"/>
  <c r="I29" i="23" s="1"/>
  <c r="J29" i="23" s="1"/>
  <c r="G28" i="23"/>
  <c r="I28" i="23" s="1"/>
  <c r="J28" i="23" s="1"/>
  <c r="G27" i="23"/>
  <c r="I27" i="23" s="1"/>
  <c r="J27" i="23" s="1"/>
  <c r="G26" i="23"/>
  <c r="I26" i="23" s="1"/>
  <c r="J26" i="23" s="1"/>
  <c r="F22" i="23"/>
  <c r="H22" i="23" s="1"/>
  <c r="I22" i="23" s="1"/>
  <c r="F21" i="23"/>
  <c r="H21" i="23" s="1"/>
  <c r="I21" i="23" s="1"/>
  <c r="F20" i="23"/>
  <c r="H20" i="23" s="1"/>
  <c r="I20" i="23" s="1"/>
  <c r="F19" i="23"/>
  <c r="H19" i="23" s="1"/>
  <c r="I19" i="23" s="1"/>
  <c r="F18" i="23"/>
  <c r="H18" i="23" s="1"/>
  <c r="I18" i="23" s="1"/>
  <c r="F17" i="23"/>
  <c r="H17" i="23" s="1"/>
  <c r="I17" i="23" s="1"/>
  <c r="F13" i="23"/>
  <c r="H13" i="23" s="1"/>
  <c r="I13" i="23" s="1"/>
  <c r="F12" i="23"/>
  <c r="H12" i="23" s="1"/>
  <c r="I12" i="23" s="1"/>
  <c r="F11" i="23"/>
  <c r="H11" i="23" s="1"/>
  <c r="I11" i="23" s="1"/>
  <c r="F10" i="23"/>
  <c r="H10" i="23" s="1"/>
  <c r="I10" i="23" s="1"/>
  <c r="F9" i="23"/>
  <c r="H9" i="23" s="1"/>
  <c r="I9" i="23" s="1"/>
  <c r="F8" i="23"/>
  <c r="H8" i="23" s="1"/>
  <c r="I8" i="23" s="1"/>
  <c r="A4" i="23"/>
  <c r="C4" i="22"/>
  <c r="B4" i="22"/>
  <c r="A4" i="22"/>
  <c r="C28" i="21"/>
  <c r="B12" i="21"/>
  <c r="E3" i="21"/>
  <c r="C3" i="21"/>
  <c r="B3" i="21"/>
  <c r="A3" i="21"/>
  <c r="B55" i="20"/>
  <c r="B62" i="21" s="1"/>
  <c r="E3" i="20"/>
  <c r="D3" i="20"/>
  <c r="B3" i="20"/>
  <c r="A3" i="20"/>
  <c r="C20" i="19"/>
  <c r="C18" i="19"/>
  <c r="C17" i="19"/>
  <c r="F14" i="19"/>
  <c r="F13" i="19"/>
  <c r="F12" i="19"/>
  <c r="F11" i="19"/>
  <c r="F10" i="19"/>
  <c r="F9" i="19"/>
  <c r="F8" i="19"/>
  <c r="F7" i="19"/>
  <c r="F4" i="19"/>
  <c r="C4" i="19"/>
  <c r="A4" i="19"/>
  <c r="B17" i="18"/>
  <c r="B16" i="18"/>
  <c r="B9" i="21" s="1"/>
  <c r="B13" i="18"/>
  <c r="B8" i="20" s="1"/>
  <c r="B12" i="18"/>
  <c r="B16" i="55" s="1"/>
  <c r="B11" i="18"/>
  <c r="B10" i="18"/>
  <c r="B9" i="18"/>
  <c r="B8" i="21" s="1"/>
  <c r="B8" i="18"/>
  <c r="B7" i="21" s="1"/>
  <c r="B7" i="18"/>
  <c r="B6" i="21" s="1"/>
  <c r="E3" i="18"/>
  <c r="C3" i="18"/>
  <c r="A3" i="18"/>
  <c r="N5" i="17"/>
  <c r="L5" i="17"/>
  <c r="J5" i="17"/>
  <c r="H5" i="17"/>
  <c r="F5" i="17"/>
  <c r="D5" i="17"/>
  <c r="B5" i="17"/>
  <c r="A5" i="17"/>
  <c r="A4" i="16"/>
  <c r="A4" i="15"/>
  <c r="C38" i="14"/>
  <c r="E38" i="14" s="1"/>
  <c r="A4" i="14"/>
  <c r="A4" i="13"/>
  <c r="A44" i="12"/>
  <c r="A43" i="12"/>
  <c r="A42" i="12"/>
  <c r="A41" i="12"/>
  <c r="A40" i="12"/>
  <c r="A39" i="12"/>
  <c r="C34" i="12"/>
  <c r="C20" i="12"/>
  <c r="C27" i="14" s="1"/>
  <c r="E27" i="14" s="1"/>
  <c r="B20" i="12"/>
  <c r="D19" i="12"/>
  <c r="F19" i="12" s="1"/>
  <c r="D18" i="12"/>
  <c r="E18" i="12" s="1"/>
  <c r="D17" i="12"/>
  <c r="B44" i="12" s="1"/>
  <c r="D16" i="12"/>
  <c r="D15" i="12"/>
  <c r="C32" i="14" s="1"/>
  <c r="E32" i="14" s="1"/>
  <c r="D14" i="12"/>
  <c r="C30" i="14" s="1"/>
  <c r="E30" i="14" s="1"/>
  <c r="D13" i="12"/>
  <c r="B40" i="12" s="1"/>
  <c r="D12" i="12"/>
  <c r="A4" i="12"/>
  <c r="G32" i="11"/>
  <c r="F32" i="11"/>
  <c r="G31" i="11"/>
  <c r="F31" i="11"/>
  <c r="G30" i="11"/>
  <c r="F30" i="11"/>
  <c r="G29" i="11"/>
  <c r="F29" i="11"/>
  <c r="G28" i="11"/>
  <c r="F28" i="11"/>
  <c r="G27" i="11"/>
  <c r="F27" i="11"/>
  <c r="G26" i="11"/>
  <c r="F26" i="11"/>
  <c r="G25" i="11"/>
  <c r="F25" i="11"/>
  <c r="G24" i="11"/>
  <c r="F24" i="11"/>
  <c r="G23" i="11"/>
  <c r="F23" i="11"/>
  <c r="G22" i="11"/>
  <c r="F22" i="11"/>
  <c r="G21" i="11"/>
  <c r="F21" i="11"/>
  <c r="G20" i="11"/>
  <c r="F20" i="11"/>
  <c r="G19" i="11"/>
  <c r="F19" i="11"/>
  <c r="G18" i="11"/>
  <c r="F18" i="11"/>
  <c r="G17" i="11"/>
  <c r="F17" i="11"/>
  <c r="G16" i="11"/>
  <c r="F16" i="11"/>
  <c r="G15" i="11"/>
  <c r="F15" i="11"/>
  <c r="G14" i="11"/>
  <c r="F14" i="11"/>
  <c r="G13" i="11"/>
  <c r="C10" i="14" s="1"/>
  <c r="E10" i="14" s="1"/>
  <c r="F13" i="11"/>
  <c r="A4" i="11"/>
  <c r="D23" i="10"/>
  <c r="C23" i="10"/>
  <c r="B23" i="10"/>
  <c r="A23" i="10"/>
  <c r="D22" i="10"/>
  <c r="C22" i="10"/>
  <c r="B22" i="10"/>
  <c r="A22" i="10"/>
  <c r="D21" i="10"/>
  <c r="C21" i="10"/>
  <c r="B21" i="10"/>
  <c r="A21" i="10"/>
  <c r="D20" i="10"/>
  <c r="C20" i="10"/>
  <c r="B20" i="10"/>
  <c r="A20" i="10"/>
  <c r="D19" i="10"/>
  <c r="C19" i="10"/>
  <c r="B19" i="10"/>
  <c r="A19" i="10"/>
  <c r="D18" i="10"/>
  <c r="C18" i="10"/>
  <c r="B18" i="10"/>
  <c r="A18" i="10"/>
  <c r="D17" i="10"/>
  <c r="C17" i="10"/>
  <c r="B17" i="10"/>
  <c r="A17" i="10"/>
  <c r="D16" i="10"/>
  <c r="C16" i="10"/>
  <c r="B16" i="10"/>
  <c r="A16" i="10"/>
  <c r="A4" i="10"/>
  <c r="C26" i="9"/>
  <c r="C36" i="14" s="1"/>
  <c r="E36" i="14" s="1"/>
  <c r="F15" i="9"/>
  <c r="G15" i="9" s="1"/>
  <c r="H15" i="9" s="1"/>
  <c r="F14" i="9"/>
  <c r="G14" i="9" s="1"/>
  <c r="H14" i="9" s="1"/>
  <c r="F13" i="9"/>
  <c r="G13" i="9" s="1"/>
  <c r="H13" i="9" s="1"/>
  <c r="F12" i="9"/>
  <c r="G12" i="9" s="1"/>
  <c r="H12" i="9" s="1"/>
  <c r="A4" i="9"/>
  <c r="A4" i="8"/>
  <c r="A7" i="7"/>
  <c r="O5" i="7"/>
  <c r="M5" i="7"/>
  <c r="K5" i="7"/>
  <c r="I5" i="7"/>
  <c r="G5" i="7"/>
  <c r="E5" i="7"/>
  <c r="C5" i="7"/>
  <c r="A5" i="7"/>
  <c r="A27" i="6"/>
  <c r="K22" i="3"/>
  <c r="G22" i="3"/>
  <c r="C14" i="36" s="1"/>
  <c r="E22" i="3"/>
  <c r="K21" i="3"/>
  <c r="G21" i="3"/>
  <c r="C13" i="36" s="1"/>
  <c r="E21" i="3"/>
  <c r="K20" i="3"/>
  <c r="G20" i="3"/>
  <c r="C11" i="36" s="1"/>
  <c r="E20" i="3"/>
  <c r="K19" i="3"/>
  <c r="G19" i="3"/>
  <c r="C17" i="36" s="1"/>
  <c r="E19" i="3"/>
  <c r="K18" i="3"/>
  <c r="G18" i="3"/>
  <c r="C16" i="36" s="1"/>
  <c r="E18" i="3"/>
  <c r="K17" i="3"/>
  <c r="G17" i="3"/>
  <c r="B22" i="27" s="1"/>
  <c r="E17" i="3"/>
  <c r="K16" i="3"/>
  <c r="G16" i="3"/>
  <c r="B21" i="27" s="1"/>
  <c r="E16" i="3"/>
  <c r="K15" i="3"/>
  <c r="G15" i="3"/>
  <c r="B20" i="27" s="1"/>
  <c r="E15" i="3"/>
  <c r="K14" i="3"/>
  <c r="G14" i="3"/>
  <c r="E14" i="19" s="1"/>
  <c r="E14" i="3"/>
  <c r="K13" i="3"/>
  <c r="G13" i="3"/>
  <c r="E13" i="19" s="1"/>
  <c r="E13" i="3"/>
  <c r="K12" i="3"/>
  <c r="G12" i="3"/>
  <c r="E12" i="3"/>
  <c r="K11" i="3"/>
  <c r="G11" i="3"/>
  <c r="E11" i="3"/>
  <c r="K10" i="3"/>
  <c r="G10" i="3"/>
  <c r="E10" i="3"/>
  <c r="K9" i="3"/>
  <c r="G9" i="3"/>
  <c r="C8" i="36" s="1"/>
  <c r="E9" i="3"/>
  <c r="K8" i="3"/>
  <c r="G8" i="3"/>
  <c r="E8" i="19" s="1"/>
  <c r="E8" i="3"/>
  <c r="K7" i="3"/>
  <c r="G7" i="3"/>
  <c r="E7" i="19" s="1"/>
  <c r="E7" i="3"/>
  <c r="A28" i="1"/>
  <c r="A27" i="1"/>
  <c r="A26" i="1"/>
  <c r="A25" i="1"/>
  <c r="A24" i="1"/>
  <c r="A23" i="1"/>
  <c r="A22" i="1"/>
  <c r="A21" i="1"/>
  <c r="A20" i="1"/>
  <c r="A19" i="1"/>
  <c r="A18" i="1"/>
  <c r="A17" i="1"/>
  <c r="A16" i="1"/>
  <c r="A15" i="1"/>
  <c r="A14" i="1"/>
  <c r="D16" i="55" l="1"/>
  <c r="B9" i="28"/>
  <c r="B47" i="28" s="1"/>
  <c r="B35" i="29" s="1"/>
  <c r="B16" i="37"/>
  <c r="B33" i="37" s="1"/>
  <c r="B39" i="38" s="1"/>
  <c r="C41" i="11"/>
  <c r="C17" i="14" s="1"/>
  <c r="E17" i="14" s="1"/>
  <c r="H35" i="23"/>
  <c r="B11" i="37"/>
  <c r="C19" i="19"/>
  <c r="C21" i="19" s="1"/>
  <c r="B18" i="21" s="1"/>
  <c r="D17" i="46"/>
  <c r="D20" i="46"/>
  <c r="C22" i="49" s="1"/>
  <c r="E22" i="49" s="1"/>
  <c r="C13" i="45"/>
  <c r="C11" i="49" s="1"/>
  <c r="E11" i="49" s="1"/>
  <c r="B12" i="37"/>
  <c r="C27" i="9"/>
  <c r="F18" i="12"/>
  <c r="E9" i="19"/>
  <c r="C17" i="55" s="1"/>
  <c r="B9" i="20"/>
  <c r="B11" i="21"/>
  <c r="H37" i="23"/>
  <c r="B10" i="29"/>
  <c r="G33" i="11"/>
  <c r="C36" i="11" s="1"/>
  <c r="C12" i="14" s="1"/>
  <c r="E12" i="14" s="1"/>
  <c r="B11" i="38"/>
  <c r="C38" i="47"/>
  <c r="C28" i="49"/>
  <c r="E28" i="49" s="1"/>
  <c r="D69" i="40"/>
  <c r="F33" i="11"/>
  <c r="C38" i="11" s="1"/>
  <c r="C14" i="14" s="1"/>
  <c r="E14" i="14" s="1"/>
  <c r="D12" i="46"/>
  <c r="C21" i="49" s="1"/>
  <c r="E21" i="49" s="1"/>
  <c r="D15" i="46"/>
  <c r="C25" i="46"/>
  <c r="C20" i="49"/>
  <c r="E20" i="49" s="1"/>
  <c r="I16" i="11"/>
  <c r="H16" i="11"/>
  <c r="I20" i="11"/>
  <c r="H20" i="11"/>
  <c r="I24" i="11"/>
  <c r="H24" i="11"/>
  <c r="I28" i="11"/>
  <c r="H28" i="11"/>
  <c r="I32" i="11"/>
  <c r="H32" i="11"/>
  <c r="B11" i="20"/>
  <c r="B16" i="20"/>
  <c r="B10" i="21"/>
  <c r="B16" i="27"/>
  <c r="E11" i="19"/>
  <c r="B42" i="28"/>
  <c r="C40" i="29" s="1"/>
  <c r="D70" i="31"/>
  <c r="B40" i="29"/>
  <c r="B41" i="28"/>
  <c r="B40" i="28"/>
  <c r="I13" i="11"/>
  <c r="H13" i="11"/>
  <c r="I15" i="11"/>
  <c r="H15" i="11"/>
  <c r="I17" i="11"/>
  <c r="H17" i="11"/>
  <c r="I19" i="11"/>
  <c r="H19" i="11"/>
  <c r="I21" i="11"/>
  <c r="H21" i="11"/>
  <c r="I23" i="11"/>
  <c r="H23" i="11"/>
  <c r="I25" i="11"/>
  <c r="H25" i="11"/>
  <c r="I27" i="11"/>
  <c r="H27" i="11"/>
  <c r="I29" i="11"/>
  <c r="H29" i="11"/>
  <c r="I31" i="11"/>
  <c r="H31" i="11"/>
  <c r="C24" i="12"/>
  <c r="B39" i="12"/>
  <c r="C26" i="14"/>
  <c r="E26" i="14" s="1"/>
  <c r="D20" i="12"/>
  <c r="I14" i="11"/>
  <c r="H14" i="11"/>
  <c r="I18" i="11"/>
  <c r="H18" i="11"/>
  <c r="I22" i="11"/>
  <c r="H22" i="11"/>
  <c r="I26" i="11"/>
  <c r="H26" i="11"/>
  <c r="I30" i="11"/>
  <c r="H30" i="11"/>
  <c r="B43" i="12"/>
  <c r="G16" i="9"/>
  <c r="E10" i="19"/>
  <c r="C9" i="36"/>
  <c r="B18" i="27"/>
  <c r="B41" i="12"/>
  <c r="B16" i="21"/>
  <c r="H36" i="23"/>
  <c r="B17" i="27"/>
  <c r="B17" i="55" s="1"/>
  <c r="B38" i="37"/>
  <c r="B44" i="38" s="1"/>
  <c r="E19" i="12"/>
  <c r="C9" i="14"/>
  <c r="E9" i="14" s="1"/>
  <c r="B9" i="29"/>
  <c r="B13" i="28"/>
  <c r="D71" i="31"/>
  <c r="C10" i="36"/>
  <c r="B19" i="27"/>
  <c r="E12" i="19"/>
  <c r="B42" i="12"/>
  <c r="B10" i="38"/>
  <c r="D70" i="40"/>
  <c r="D13" i="46"/>
  <c r="D16" i="46"/>
  <c r="D18" i="46"/>
  <c r="B8" i="28"/>
  <c r="E40" i="29"/>
  <c r="C13" i="49"/>
  <c r="E13" i="49" s="1"/>
  <c r="D14" i="46"/>
  <c r="D19" i="46"/>
  <c r="B13" i="37"/>
  <c r="B18" i="55"/>
  <c r="D18" i="55" s="1"/>
  <c r="C8" i="45"/>
  <c r="C26" i="46"/>
  <c r="C39" i="47"/>
  <c r="C9" i="45"/>
  <c r="C68" i="23" l="1"/>
  <c r="C25" i="45"/>
  <c r="B17" i="21"/>
  <c r="B12" i="38"/>
  <c r="B34" i="29"/>
  <c r="B15" i="55"/>
  <c r="D15" i="55" s="1"/>
  <c r="B21" i="37"/>
  <c r="C70" i="40" s="1"/>
  <c r="E70" i="40" s="1"/>
  <c r="F70" i="40" s="1"/>
  <c r="B7" i="6"/>
  <c r="B52" i="20"/>
  <c r="B59" i="21" s="1"/>
  <c r="C23" i="49"/>
  <c r="E23" i="49" s="1"/>
  <c r="B20" i="37"/>
  <c r="B16" i="38" s="1"/>
  <c r="D17" i="55"/>
  <c r="C61" i="23"/>
  <c r="E61" i="23" s="1"/>
  <c r="D68" i="23"/>
  <c r="E68" i="23" s="1"/>
  <c r="F68" i="23" s="1"/>
  <c r="B10" i="20"/>
  <c r="B10" i="6" s="1"/>
  <c r="C22" i="19"/>
  <c r="B19" i="21" s="1"/>
  <c r="B9" i="37"/>
  <c r="B10" i="37" s="1"/>
  <c r="B19" i="37" s="1"/>
  <c r="D66" i="23"/>
  <c r="D68" i="40"/>
  <c r="C14" i="45"/>
  <c r="C12" i="49" s="1"/>
  <c r="E12" i="49" s="1"/>
  <c r="C41" i="47"/>
  <c r="C10" i="49"/>
  <c r="E10" i="49" s="1"/>
  <c r="B51" i="28"/>
  <c r="B55" i="29" s="1"/>
  <c r="B20" i="28"/>
  <c r="B12" i="29"/>
  <c r="B21" i="28"/>
  <c r="D72" i="31"/>
  <c r="B54" i="28"/>
  <c r="B58" i="29" s="1"/>
  <c r="B10" i="28"/>
  <c r="B16" i="28" s="1"/>
  <c r="D69" i="31"/>
  <c r="C17" i="49"/>
  <c r="E17" i="49" s="1"/>
  <c r="C16" i="49"/>
  <c r="E16" i="49" s="1"/>
  <c r="C63" i="40"/>
  <c r="E63" i="40" s="1"/>
  <c r="D67" i="23"/>
  <c r="C28" i="14"/>
  <c r="E28" i="14" s="1"/>
  <c r="B54" i="20"/>
  <c r="B61" i="21" s="1"/>
  <c r="B43" i="28"/>
  <c r="C41" i="29" s="1"/>
  <c r="B41" i="29"/>
  <c r="C11" i="14"/>
  <c r="E11" i="14" s="1"/>
  <c r="H33" i="11"/>
  <c r="C37" i="11" s="1"/>
  <c r="B42" i="29"/>
  <c r="B44" i="28"/>
  <c r="B8" i="6"/>
  <c r="B13" i="21"/>
  <c r="B21" i="20"/>
  <c r="B22" i="20" s="1"/>
  <c r="B49" i="20"/>
  <c r="B56" i="21" s="1"/>
  <c r="C19" i="45"/>
  <c r="E13" i="46" s="1"/>
  <c r="B13" i="20"/>
  <c r="B27" i="20" s="1"/>
  <c r="C34" i="14"/>
  <c r="E34" i="14" s="1"/>
  <c r="C35" i="14"/>
  <c r="E35" i="14" s="1"/>
  <c r="H16" i="9"/>
  <c r="C28" i="9"/>
  <c r="C37" i="14" s="1"/>
  <c r="E37" i="14" s="1"/>
  <c r="C21" i="14"/>
  <c r="E21" i="14" s="1"/>
  <c r="I33" i="11"/>
  <c r="C47" i="11"/>
  <c r="C24" i="19"/>
  <c r="B20" i="21" s="1"/>
  <c r="B12" i="20"/>
  <c r="B23" i="20" s="1"/>
  <c r="B36" i="37" l="1"/>
  <c r="B42" i="38" s="1"/>
  <c r="B35" i="38"/>
  <c r="B19" i="6"/>
  <c r="C69" i="40"/>
  <c r="E69" i="40" s="1"/>
  <c r="F69" i="40" s="1"/>
  <c r="B36" i="38"/>
  <c r="B17" i="38"/>
  <c r="B18" i="6"/>
  <c r="D71" i="40"/>
  <c r="B26" i="37"/>
  <c r="B23" i="38" s="1"/>
  <c r="B34" i="38"/>
  <c r="B35" i="37"/>
  <c r="B41" i="38" s="1"/>
  <c r="B19" i="20"/>
  <c r="B20" i="20" s="1"/>
  <c r="C66" i="23" s="1"/>
  <c r="E66" i="23" s="1"/>
  <c r="F66" i="23" s="1"/>
  <c r="B34" i="37"/>
  <c r="B40" i="38" s="1"/>
  <c r="B27" i="37"/>
  <c r="B25" i="37"/>
  <c r="B22" i="38" s="1"/>
  <c r="B37" i="37"/>
  <c r="B43" i="38" s="1"/>
  <c r="B17" i="6"/>
  <c r="B28" i="37"/>
  <c r="C68" i="40"/>
  <c r="E68" i="40" s="1"/>
  <c r="F68" i="40" s="1"/>
  <c r="B22" i="37"/>
  <c r="B20" i="6" s="1"/>
  <c r="B15" i="38"/>
  <c r="C24" i="49"/>
  <c r="E24" i="49" s="1"/>
  <c r="E18" i="46"/>
  <c r="E16" i="46"/>
  <c r="E19" i="46"/>
  <c r="B17" i="28"/>
  <c r="B18" i="28" s="1"/>
  <c r="B19" i="28" s="1"/>
  <c r="B25" i="21"/>
  <c r="B47" i="21"/>
  <c r="C25" i="21"/>
  <c r="B27" i="21"/>
  <c r="C67" i="23"/>
  <c r="E67" i="23" s="1"/>
  <c r="F67" i="23" s="1"/>
  <c r="C27" i="21"/>
  <c r="B49" i="21"/>
  <c r="C42" i="29"/>
  <c r="B9" i="6"/>
  <c r="B24" i="20"/>
  <c r="B25" i="20" s="1"/>
  <c r="C13" i="14"/>
  <c r="E13" i="14" s="1"/>
  <c r="C39" i="11"/>
  <c r="B47" i="29"/>
  <c r="B56" i="28"/>
  <c r="B60" i="29" s="1"/>
  <c r="C70" i="31"/>
  <c r="E70" i="31" s="1"/>
  <c r="F70" i="31" s="1"/>
  <c r="C18" i="29"/>
  <c r="B18" i="29"/>
  <c r="C19" i="29"/>
  <c r="C71" i="31"/>
  <c r="E71" i="31" s="1"/>
  <c r="F71" i="31" s="1"/>
  <c r="B19" i="29"/>
  <c r="B48" i="29"/>
  <c r="C25" i="49"/>
  <c r="E25" i="49" s="1"/>
  <c r="C22" i="45"/>
  <c r="C21" i="45"/>
  <c r="C12" i="47"/>
  <c r="C14" i="49"/>
  <c r="E14" i="49" s="1"/>
  <c r="E12" i="46"/>
  <c r="E15" i="46"/>
  <c r="E20" i="46"/>
  <c r="E17" i="46"/>
  <c r="E14" i="46"/>
  <c r="B22" i="6" l="1"/>
  <c r="C71" i="40"/>
  <c r="E71" i="40" s="1"/>
  <c r="F71" i="40" s="1"/>
  <c r="C30" i="38"/>
  <c r="B30" i="20"/>
  <c r="D69" i="23" s="1"/>
  <c r="B46" i="21"/>
  <c r="C24" i="21"/>
  <c r="B18" i="38"/>
  <c r="B24" i="21"/>
  <c r="B21" i="6"/>
  <c r="B30" i="38"/>
  <c r="B29" i="37"/>
  <c r="B30" i="37" s="1"/>
  <c r="B19" i="38" s="1"/>
  <c r="B26" i="20"/>
  <c r="B11" i="6"/>
  <c r="C15" i="49"/>
  <c r="E15" i="49" s="1"/>
  <c r="C15" i="47"/>
  <c r="C26" i="49" s="1"/>
  <c r="E26" i="49" s="1"/>
  <c r="C30" i="49" s="1"/>
  <c r="C14" i="47"/>
  <c r="C25" i="12"/>
  <c r="C40" i="11"/>
  <c r="B23" i="6"/>
  <c r="C15" i="14"/>
  <c r="E15" i="14" s="1"/>
  <c r="C23" i="12"/>
  <c r="C50" i="11"/>
  <c r="C42" i="11"/>
  <c r="E20" i="12"/>
  <c r="C17" i="29"/>
  <c r="C69" i="31"/>
  <c r="E69" i="31" s="1"/>
  <c r="F69" i="31" s="1"/>
  <c r="B17" i="29"/>
  <c r="B25" i="28"/>
  <c r="B24" i="28"/>
  <c r="B46" i="29"/>
  <c r="B12" i="6" l="1"/>
  <c r="B40" i="20"/>
  <c r="C69" i="23" s="1"/>
  <c r="E69" i="23" s="1"/>
  <c r="F69" i="23" s="1"/>
  <c r="B28" i="21"/>
  <c r="B46" i="20"/>
  <c r="B42" i="21" s="1"/>
  <c r="C64" i="40"/>
  <c r="E64" i="40" s="1"/>
  <c r="B50" i="20"/>
  <c r="B57" i="21" s="1"/>
  <c r="B53" i="20"/>
  <c r="B60" i="21" s="1"/>
  <c r="B37" i="21"/>
  <c r="C62" i="40"/>
  <c r="E62" i="40" s="1"/>
  <c r="C76" i="40" s="1"/>
  <c r="B78" i="40" s="1"/>
  <c r="D30" i="49"/>
  <c r="E30" i="49" s="1"/>
  <c r="C24" i="14"/>
  <c r="E24" i="14" s="1"/>
  <c r="C27" i="12"/>
  <c r="C26" i="12"/>
  <c r="C29" i="14"/>
  <c r="E29" i="14" s="1"/>
  <c r="F20" i="12"/>
  <c r="C36" i="12"/>
  <c r="C20" i="14"/>
  <c r="E20" i="14" s="1"/>
  <c r="C18" i="14"/>
  <c r="E18" i="14" s="1"/>
  <c r="C46" i="11"/>
  <c r="B55" i="28"/>
  <c r="B59" i="29" s="1"/>
  <c r="B20" i="29"/>
  <c r="B57" i="28"/>
  <c r="B61" i="29" s="1"/>
  <c r="B52" i="28"/>
  <c r="B56" i="29" s="1"/>
  <c r="B48" i="28"/>
  <c r="B36" i="29" s="1"/>
  <c r="B34" i="28"/>
  <c r="B29" i="29"/>
  <c r="C22" i="14"/>
  <c r="E22" i="14" s="1"/>
  <c r="C51" i="11"/>
  <c r="F17" i="12"/>
  <c r="F13" i="12"/>
  <c r="E17" i="12"/>
  <c r="F14" i="12"/>
  <c r="C33" i="14"/>
  <c r="E33" i="14" s="1"/>
  <c r="E13" i="12"/>
  <c r="E12" i="12"/>
  <c r="C31" i="14"/>
  <c r="E31" i="14" s="1"/>
  <c r="E14" i="12"/>
  <c r="F15" i="12"/>
  <c r="F16" i="12"/>
  <c r="F12" i="12"/>
  <c r="E15" i="12"/>
  <c r="E16" i="12"/>
  <c r="C16" i="14"/>
  <c r="E16" i="14" s="1"/>
  <c r="C19" i="14"/>
  <c r="E19" i="14" s="1"/>
  <c r="C45" i="11"/>
  <c r="B26" i="28"/>
  <c r="B23" i="29" s="1"/>
  <c r="B28" i="28"/>
  <c r="B27" i="28"/>
  <c r="C23" i="14"/>
  <c r="E23" i="14" s="1"/>
  <c r="C25" i="14"/>
  <c r="E25" i="14" s="1"/>
  <c r="B48" i="21"/>
  <c r="C26" i="21"/>
  <c r="B26" i="21"/>
  <c r="B31" i="20"/>
  <c r="B13" i="6" l="1"/>
  <c r="B41" i="20"/>
  <c r="B39" i="21" s="1"/>
  <c r="B38" i="21"/>
  <c r="B42" i="20"/>
  <c r="B40" i="21" s="1"/>
  <c r="B52" i="21"/>
  <c r="C77" i="40"/>
  <c r="B29" i="28"/>
  <c r="B24" i="29" s="1"/>
  <c r="D40" i="14"/>
  <c r="C40" i="14"/>
  <c r="B30" i="29"/>
  <c r="B36" i="28"/>
  <c r="B32" i="29" s="1"/>
  <c r="B51" i="29"/>
  <c r="B35" i="28"/>
  <c r="C72" i="31"/>
  <c r="E72" i="31" s="1"/>
  <c r="F72" i="31" s="1"/>
  <c r="B33" i="20"/>
  <c r="B32" i="20"/>
  <c r="B31" i="21" s="1"/>
  <c r="B34" i="20"/>
  <c r="B43" i="20" l="1"/>
  <c r="B41" i="21" s="1"/>
  <c r="B14" i="6"/>
  <c r="B53" i="21"/>
  <c r="B15" i="6"/>
  <c r="E40" i="14"/>
  <c r="B30" i="28"/>
  <c r="B31" i="28" s="1"/>
  <c r="B52" i="29"/>
  <c r="B31" i="29"/>
  <c r="B37" i="28"/>
  <c r="B33" i="29" s="1"/>
  <c r="B35" i="20"/>
  <c r="B16" i="6" l="1"/>
  <c r="B53" i="28"/>
  <c r="B57" i="29" s="1"/>
  <c r="B25" i="29"/>
  <c r="B51" i="20"/>
  <c r="B37" i="20"/>
  <c r="A34" i="21" s="1"/>
  <c r="B36" i="20"/>
  <c r="B33" i="21" s="1"/>
  <c r="B32" i="21"/>
  <c r="A26" i="29"/>
  <c r="C63" i="31" l="1"/>
  <c r="E63" i="31" s="1"/>
  <c r="C64" i="31"/>
  <c r="E64" i="31" s="1"/>
  <c r="C77" i="31" s="1"/>
  <c r="B58" i="21"/>
  <c r="C62" i="23" s="1"/>
  <c r="E62" i="23" s="1"/>
  <c r="C60" i="23"/>
  <c r="E60" i="23" s="1"/>
  <c r="C74" i="23" l="1"/>
  <c r="B76" i="23" s="1"/>
  <c r="B79" i="31"/>
  <c r="C78" i="31"/>
  <c r="E8" i="61"/>
  <c r="E7" i="61"/>
  <c r="E6" i="61"/>
  <c r="E5" i="61"/>
  <c r="E4" i="61"/>
  <c r="C18" i="60"/>
  <c r="B18" i="60"/>
  <c r="C17" i="60"/>
  <c r="B17" i="60"/>
  <c r="C16" i="60"/>
  <c r="B16" i="60"/>
  <c r="C15" i="60"/>
  <c r="B15" i="60"/>
  <c r="C14" i="60"/>
  <c r="B14" i="60"/>
  <c r="C13" i="60"/>
  <c r="B13" i="60"/>
  <c r="C12" i="60"/>
  <c r="B12" i="60"/>
  <c r="C11" i="60"/>
  <c r="B11" i="60"/>
  <c r="C10" i="60"/>
  <c r="B10" i="60"/>
  <c r="C9" i="60"/>
  <c r="B9" i="60"/>
  <c r="C8" i="60"/>
  <c r="B8" i="60"/>
  <c r="C7" i="60"/>
  <c r="B7" i="60"/>
  <c r="D12" i="60" l="1"/>
  <c r="D13" i="60"/>
  <c r="D15" i="60"/>
  <c r="D8" i="60"/>
  <c r="D16" i="60"/>
  <c r="D18" i="60"/>
  <c r="D10" i="60"/>
  <c r="D17" i="60"/>
  <c r="D7" i="60"/>
  <c r="D14" i="60"/>
  <c r="D9" i="60"/>
  <c r="D11" i="60"/>
  <c r="C75" i="23"/>
</calcChain>
</file>

<file path=xl/sharedStrings.xml><?xml version="1.0" encoding="utf-8"?>
<sst xmlns="http://schemas.openxmlformats.org/spreadsheetml/2006/main" count="4536" uniqueCount="2380">
  <si>
    <t>NUTRIMETRÍA · NMX-28 · PACK ANTROPOMETRÍA INTEGRADO</t>
  </si>
  <si>
    <t>Versión</t>
  </si>
  <si>
    <t>2.0</t>
  </si>
  <si>
    <t>Componentes</t>
  </si>
  <si>
    <t>NMX-41 · NMX-36 · NMX-12 · NMX-16 · NMX-34 (educativo)</t>
  </si>
  <si>
    <t>Estado de validación</t>
  </si>
  <si>
    <t>Alcance</t>
  </si>
  <si>
    <t>Solo adultos (≥18 a). Sin extrapolación.</t>
  </si>
  <si>
    <t>Privacidad</t>
  </si>
  <si>
    <t>Use códigos; sin datos identificables.</t>
  </si>
  <si>
    <t>Aviso</t>
  </si>
  <si>
    <t>Exactitud matemática ≠ validación clínica. No es diagnóstico.</t>
  </si>
  <si>
    <t>MÓDULOS Y NAVEGACIÓN</t>
  </si>
  <si>
    <t>Fuente única de verdad · los módulos leen de aquí automáticamente</t>
  </si>
  <si>
    <t>LEYENDA · Celdas ARENA con texto AZUL = editables. Grises = calculadas/vinculadas. Solo adultos (≥18 a). Use CÓDIGOS, no datos identificables.</t>
  </si>
  <si>
    <t>Campo</t>
  </si>
  <si>
    <t>Valor</t>
  </si>
  <si>
    <t>ID de evaluación</t>
  </si>
  <si>
    <t>NMX-2026-0028</t>
  </si>
  <si>
    <t>Fecha</t>
  </si>
  <si>
    <t>ID de persona</t>
  </si>
  <si>
    <t>PER-0007</t>
  </si>
  <si>
    <t>Sexo</t>
  </si>
  <si>
    <t>Hombre</t>
  </si>
  <si>
    <t>Edad (años)</t>
  </si>
  <si>
    <t>Peso (kg)</t>
  </si>
  <si>
    <t>Talla (cm)</t>
  </si>
  <si>
    <t>Evaluador</t>
  </si>
  <si>
    <t>EVAL-01</t>
  </si>
  <si>
    <t>Instrumento</t>
  </si>
  <si>
    <t>PLIC-01</t>
  </si>
  <si>
    <t>Método (informativo)</t>
  </si>
  <si>
    <t>cada módulo mantiene su propio selector</t>
  </si>
  <si>
    <t>Observaciones</t>
  </si>
  <si>
    <t>MEDICIONES ANTROPOMÉTRICAS</t>
  </si>
  <si>
    <t>Entrada única por sitio · fuera de tolerancia = advertencia, NO se promedia</t>
  </si>
  <si>
    <t>Sitio</t>
  </si>
  <si>
    <t>Med 1</t>
  </si>
  <si>
    <t>Med 2</t>
  </si>
  <si>
    <t>Med 3</t>
  </si>
  <si>
    <t>Diferencia</t>
  </si>
  <si>
    <t>Tolerancia</t>
  </si>
  <si>
    <t>Promedio válido</t>
  </si>
  <si>
    <t>Unidad</t>
  </si>
  <si>
    <t>Estado</t>
  </si>
  <si>
    <t>Observación</t>
  </si>
  <si>
    <t>Pectoral</t>
  </si>
  <si>
    <t>mm</t>
  </si>
  <si>
    <t>Axilar medio</t>
  </si>
  <si>
    <t>Tríceps</t>
  </si>
  <si>
    <t>Subescapular</t>
  </si>
  <si>
    <t>Bíceps</t>
  </si>
  <si>
    <t>Suprailíaco</t>
  </si>
  <si>
    <t>Abdominal</t>
  </si>
  <si>
    <t>Muslo</t>
  </si>
  <si>
    <t>Cuello</t>
  </si>
  <si>
    <t>cm</t>
  </si>
  <si>
    <t>Cintura</t>
  </si>
  <si>
    <t>Cadera</t>
  </si>
  <si>
    <t>Brazo corregido</t>
  </si>
  <si>
    <t>Pantorrilla corregida</t>
  </si>
  <si>
    <t>Pantorrilla (perímetro)</t>
  </si>
  <si>
    <t>Húmero (diámetro)</t>
  </si>
  <si>
    <t>Fémur (diámetro)</t>
  </si>
  <si>
    <t>SEGUIMIENTO LONGITUDINAL</t>
  </si>
  <si>
    <t>La tabla se expande al escribir; las curvas se actualizan solas</t>
  </si>
  <si>
    <t>Peso</t>
  </si>
  <si>
    <t>IMC</t>
  </si>
  <si>
    <t>ΣPliegues</t>
  </si>
  <si>
    <t>%Grasa</t>
  </si>
  <si>
    <t>MasaGrasa</t>
  </si>
  <si>
    <t>MasaLibre</t>
  </si>
  <si>
    <t>Somatotipo</t>
  </si>
  <si>
    <t>ETM</t>
  </si>
  <si>
    <t>2026-08-02</t>
  </si>
  <si>
    <t>CURVAS DE TENDENCIA</t>
  </si>
  <si>
    <t>Se actualizan al agregar filas en SEGUIMIENTO</t>
  </si>
  <si>
    <t>RESULTADOS INTEGRADOS</t>
  </si>
  <si>
    <t>Referencias vivas a los módulos · exactitud matemática ≠ validación clínica</t>
  </si>
  <si>
    <t>Indicador</t>
  </si>
  <si>
    <t>Procedencia</t>
  </si>
  <si>
    <t>IMC (kg/m²)</t>
  </si>
  <si>
    <t>NMX-12</t>
  </si>
  <si>
    <t>Índice cintura/estatura</t>
  </si>
  <si>
    <t>Riesgo cintura/estatura</t>
  </si>
  <si>
    <t>Σ pliegues (7)</t>
  </si>
  <si>
    <t>NMX-36</t>
  </si>
  <si>
    <t>Densidad DW</t>
  </si>
  <si>
    <t>% grasa (método reportado)</t>
  </si>
  <si>
    <t>Masa grasa (kg)</t>
  </si>
  <si>
    <t>Masa libre de grasa (kg)</t>
  </si>
  <si>
    <t>FMI</t>
  </si>
  <si>
    <t>FFMI</t>
  </si>
  <si>
    <t>Endomorfia</t>
  </si>
  <si>
    <t>NMX-16</t>
  </si>
  <si>
    <t>Mesomorfia</t>
  </si>
  <si>
    <t>Ectomorfia</t>
  </si>
  <si>
    <t>Somatocarta X</t>
  </si>
  <si>
    <t>Somatocarta Y</t>
  </si>
  <si>
    <t>ETM intraevaluador</t>
  </si>
  <si>
    <t>NMX-41</t>
  </si>
  <si>
    <t>INDICADOR EDUCATIVO — NO DIAGNÓSTICO</t>
  </si>
  <si>
    <t>Edad metabólica: módulo NMX-34, EDUCATIVO y desactivado por defecto. No forma parte del diagnóstico antropométrico. No usar ante riesgo de TCA.</t>
  </si>
  <si>
    <t>NUTRIMETRÍA  ·  NMX-41</t>
  </si>
  <si>
    <t>Software acompañante para plicómetro · versión 1.0 · Fase 7 · especialidades y productos complementarios</t>
  </si>
  <si>
    <t>Navegación — use las pestañas inferiores del libro</t>
  </si>
  <si>
    <t>Equipo y evaluador</t>
  </si>
  <si>
    <t>Control del instrumento</t>
  </si>
  <si>
    <t>Sitios y procedimiento</t>
  </si>
  <si>
    <t>Error técnico de medición</t>
  </si>
  <si>
    <t>¿El cambio es real?</t>
  </si>
  <si>
    <t>Referencias y trazabilidad</t>
  </si>
  <si>
    <t>Control de calidad</t>
  </si>
  <si>
    <t>Constantes</t>
  </si>
  <si>
    <t>Historial</t>
  </si>
  <si>
    <t>Código del producto</t>
  </si>
  <si>
    <t>1.0</t>
  </si>
  <si>
    <t>2026-07-24</t>
  </si>
  <si>
    <t>Qué acompaña</t>
  </si>
  <si>
    <t>Cualquier plicómetro de uso profesional</t>
  </si>
  <si>
    <t>Complementos</t>
  </si>
  <si>
    <t>NMX-36 aplica ecuaciones de composición · NMX-20 integra pliegues y somatotipo</t>
  </si>
  <si>
    <t>Formato</t>
  </si>
  <si>
    <t>.xlsx sin macros · Microsoft 365 (Windows) y Excel 2021 · sin funciones matriciales</t>
  </si>
  <si>
    <t>Responsable</t>
  </si>
  <si>
    <t>Equipo Nutrimetría (completar por el titular)</t>
  </si>
  <si>
    <t>LA PREGUNTA QUE ESTE LIBRO RESPONDE</t>
  </si>
  <si>
    <t>Un pliegue bajó de dieciocho a diecisiete milímetros. ¿Cambió la persona o se equivocó quien midió? Sin conocer el error del evaluador esa pregunta no tiene respuesta, y se informan como cambios reales variaciones que son solo ruido del método.</t>
  </si>
  <si>
    <t>Este libro calcula el error propio de cada evaluador a partir de mediciones por duplicado, y con él establece cuánto debe cambiar un pliegue para que el cambio sea distinguible del error.</t>
  </si>
  <si>
    <t>También verifica el instrumento contra patrones de espesor conocido: un plicómetro descalibrado produce mediciones consistentes pero equivocadas, y ese error no se detecta repitiendo la medida.</t>
  </si>
  <si>
    <t>El seguimiento se hace sobre la SUMA de pliegues y no sobre pliegues aislados, porque al sumar varios sitios el error crece con la raíz del número de mediciones y la suma resulta proporcionalmente más sensible.</t>
  </si>
  <si>
    <t>AVISO DE ALCANCE — LÉALO ANTES DE USAR</t>
  </si>
  <si>
    <t>EXACTITUD MATEMÁTICA ≠ VALIDACIÓN CLÍNICA. Este archivo no está validado clínicamente y no constituye diagnóstico.</t>
  </si>
  <si>
    <t>Este libro NO estima densidad corporal, porcentaje de grasa ni somatotipo: se ocupa de la calidad de la medición previa. Para las ecuaciones de composición corporal use NMX-36 o NMX-20.</t>
  </si>
  <si>
    <t>El libro NO sustituye la formación práctica supervisada: describir la técnica no equivale a dominarla, y los criterios de error solo se alcanzan con entrenamiento.</t>
  </si>
  <si>
    <t>Los pliegues ESTIMAN el tejido adiposo subcutáneo. La referencia para composición corporal son la densitometría y el pesaje hidrostático.</t>
  </si>
  <si>
    <t>El error técnico es específico de cada evaluador, cada sitio anatómico y cada rango de espesor: no traslade el resultado de un sitio a otro ni de un evaluador a otro.</t>
  </si>
  <si>
    <t>Ninguna corrección posterior recupera mediciones tomadas con un instrumento descalibrado o con técnica deficiente.</t>
  </si>
  <si>
    <t>FLUJO DE USO</t>
  </si>
  <si>
    <t>En DATOS registre el instrumento, su número de serie y el evaluador. Ambos deben quedar documentados en cada evaluación.</t>
  </si>
  <si>
    <t>En CALIBRACIÓN verifique el plicómetro contra patrones de espesor conocido y complete la revisión mecánica. El libro emite un dictamen de aptitud.</t>
  </si>
  <si>
    <t>Revise TÉCNICA antes de medir: secuencia, sitios anatómicos y condiciones que alteran el resultado.</t>
  </si>
  <si>
    <t>En FIABILIDAD registre mediciones por duplicado en al menos diez personas para obtener su propio error técnico.</t>
  </si>
  <si>
    <t>En SEGUIMIENTO compare dos evaluaciones: el libro indica si el cambio observado supera el error del método.</t>
  </si>
  <si>
    <t>Verifique el instrumento cada seis meses y siempre después de una caída, y repita el cálculo de error cuando cambie de plicómetro.</t>
  </si>
  <si>
    <t>Instrumento y evaluador</t>
  </si>
  <si>
    <t>El plicómetro es un instrumento de medición: su resultado depende tanto del aparato como de quien lo usa. Este libro documenta ambos y cuantifica el error, para que usted sepa qué diferencias son reales y cuáles son ruido del método.</t>
  </si>
  <si>
    <t>IDENTIFICACIÓN DEL INSTRUMENTO</t>
  </si>
  <si>
    <t>Marca del plicómetro</t>
  </si>
  <si>
    <t>Harpenden</t>
  </si>
  <si>
    <t>Modelo</t>
  </si>
  <si>
    <t>—</t>
  </si>
  <si>
    <t>Número de serie</t>
  </si>
  <si>
    <t>Permite trazar qué aparato tomó cada medición</t>
  </si>
  <si>
    <t>Fecha de adquisición</t>
  </si>
  <si>
    <t>2024-03-15</t>
  </si>
  <si>
    <t>Presión declarada por el fabricante (g/mm²)</t>
  </si>
  <si>
    <t>El estándar es 10 g/mm²</t>
  </si>
  <si>
    <t>Rango de medición (mm)</t>
  </si>
  <si>
    <t>0 a 80</t>
  </si>
  <si>
    <t>Resolución de la escala (mm)</t>
  </si>
  <si>
    <t>Cuánto vale la división más pequeña</t>
  </si>
  <si>
    <t>Fecha de la última verificación</t>
  </si>
  <si>
    <t>2026-07-20</t>
  </si>
  <si>
    <t>Estado del instrumento</t>
  </si>
  <si>
    <t>Correcto</t>
  </si>
  <si>
    <t>EVALUADOR</t>
  </si>
  <si>
    <t>Nombre del evaluador</t>
  </si>
  <si>
    <t>Caso de ejemplo</t>
  </si>
  <si>
    <t>Nivel de acreditación</t>
  </si>
  <si>
    <t>En formación</t>
  </si>
  <si>
    <t>Condiciona el error esperable</t>
  </si>
  <si>
    <t>Fecha de la última evaluación de error</t>
  </si>
  <si>
    <t>Número de mediciones realizadas en el último año</t>
  </si>
  <si>
    <t>¿Midió siempre el mismo lado del cuerpo?</t>
  </si>
  <si>
    <t>Sí</t>
  </si>
  <si>
    <t>Por convención se mide el lado derecho</t>
  </si>
  <si>
    <t>Registre siempre QUIÉN midió y CON QUÉ aparato. Un cambio de evaluador o de instrumento entre dos evaluaciones introduce una fuente de variación que puede superar el cambio biológico que se busca detectar: en ese caso la comparación entre ambas mediciones deja de ser válida.</t>
  </si>
  <si>
    <t>Control del instrumento · verificación periódica</t>
  </si>
  <si>
    <t>Un plicómetro descalibrado produce mediciones consistentes pero equivocadas: el error no se detecta repitiendo la medida, porque se repite igual. La única forma de detectarlo es verificar contra un patrón de espesor conocido y revisar la tensión del resorte.</t>
  </si>
  <si>
    <t>VERIFICACIÓN CONTRA PATRONES DE ESPESOR CONOCIDO</t>
  </si>
  <si>
    <t>Patrón</t>
  </si>
  <si>
    <t>Espesor real (mm)</t>
  </si>
  <si>
    <t>Lectura 1</t>
  </si>
  <si>
    <t>Lectura 2</t>
  </si>
  <si>
    <t>Lectura 3</t>
  </si>
  <si>
    <t>Media</t>
  </si>
  <si>
    <t>Error (mm)</t>
  </si>
  <si>
    <t>Resultado</t>
  </si>
  <si>
    <t>Bloque patrón A</t>
  </si>
  <si>
    <t>Bloque patrón B</t>
  </si>
  <si>
    <t>Bloque patrón C</t>
  </si>
  <si>
    <t>Bloque patrón D</t>
  </si>
  <si>
    <t>Error medio del instrumento</t>
  </si>
  <si>
    <t>REVISIÓN MECÁNICA</t>
  </si>
  <si>
    <t>¿La aguja marca cero con las ramas cerradas?</t>
  </si>
  <si>
    <t>¿Las ramas cierran de forma paralela?</t>
  </si>
  <si>
    <t>¿El resorte recupera su posición sin trabarse?</t>
  </si>
  <si>
    <t>¿Las superficies de contacto están limpias y sin desgaste?</t>
  </si>
  <si>
    <t>¿La escala se lee con nitidez?</t>
  </si>
  <si>
    <t>¿El instrumento ha sufrido caídas o golpes desde la última revisión?</t>
  </si>
  <si>
    <t>No</t>
  </si>
  <si>
    <t>Verificaciones conformes</t>
  </si>
  <si>
    <t>La última pregunta invierte el sentido: allí lo esperable es No</t>
  </si>
  <si>
    <t>Estado de la revisión mecánica</t>
  </si>
  <si>
    <t>DICTAMEN DEL INSTRUMENTO</t>
  </si>
  <si>
    <t>Verifique el instrumento al menos cada seis meses, y siempre después de una caída o de un periodo prolongado sin uso. Un plicómetro cuya lectura se desvía de forma constante introduce un sesgo sistemático: todas las mediciones quedan corridas en la misma dirección, algo que ningún cálculo posterior puede corregir si no se documentó.</t>
  </si>
  <si>
    <t>Procedimiento de medición · sitios y secuencia</t>
  </si>
  <si>
    <t>SECUENCIA DE CADA MEDICIÓN</t>
  </si>
  <si>
    <t>Marque el punto anatómico antes de tomar el pliegue: si se mide sin marcar, cada repetición cae en un lugar distinto y el error se dispara.</t>
  </si>
  <si>
    <t>Tome el pliegue con los dedos pulgar e índice, a un centímetro del punto marcado, levantando piel y tejido subcutáneo sin incluir músculo.</t>
  </si>
  <si>
    <t>Aplique las ramas del plicómetro perpendiculares al pliegue, sobre el punto marcado, manteniendo la toma con los dedos.</t>
  </si>
  <si>
    <t>Espere dos segundos antes de leer: el tejido se comprime y la aguja se estabiliza. Leer antes sobreestima; esperar demasiado subestima.</t>
  </si>
  <si>
    <t>Lea sin soltar el pliegue y registre de inmediato.</t>
  </si>
  <si>
    <t>Mida todos los sitios en orden y recién entonces repita la serie completa: medir dos veces seguidas el mismo sitio subestima la segunda lectura por compresión del tejido.</t>
  </si>
  <si>
    <t>REFERENCIA DE SITIOS ANATÓMICOS</t>
  </si>
  <si>
    <t>Ubicación del punto</t>
  </si>
  <si>
    <t>Dirección del pliegue</t>
  </si>
  <si>
    <t>Posición de la persona</t>
  </si>
  <si>
    <t>CONDICIONES QUE ALTERAN LA MEDICIÓN</t>
  </si>
  <si>
    <t>Ejercicio reciente</t>
  </si>
  <si>
    <t>La redistribución de líquido tras el ejercicio modifica el espesor del pliegue: mida antes de entrenar o varias horas después.</t>
  </si>
  <si>
    <t>Estado de hidratación</t>
  </si>
  <si>
    <t>La deshidratación y la retención de líquido cambian el resultado sin que haya cambiado la grasa corporal.</t>
  </si>
  <si>
    <t>Momento del ciclo menstrual</t>
  </si>
  <si>
    <t>La retención de líquido puede alterar las mediciones: registre en qué fase se midió y procure repetir en la misma.</t>
  </si>
  <si>
    <t>Temperatura ambiente</t>
  </si>
  <si>
    <t>El frío contrae los tejidos y dificulta tomar el pliegue de forma reproducible.</t>
  </si>
  <si>
    <t>Cambio de evaluador</t>
  </si>
  <si>
    <t>Es la principal fuente de variación entre dos evaluaciones. Si cambia el evaluador, la comparación pierde validez salvo que se conozca el error entre ambos.</t>
  </si>
  <si>
    <t>Cambio de instrumento</t>
  </si>
  <si>
    <t>Dos plicómetros de marcas distintas pueden diferir de forma sistemática: no compare mediciones tomadas con aparatos diferentes.</t>
  </si>
  <si>
    <t>Estandarizar las condiciones importa tanto como la técnica. Una medición tomada en condiciones distintas a la anterior no es comparable, aunque la técnica haya sido impecable en ambas.</t>
  </si>
  <si>
    <t>Error técnico de medición · cuánto se equivoca este evaluador</t>
  </si>
  <si>
    <t>Para conocer su propio error, mida el mismo pliegue DOS veces en al menos diez personas distintas, completando la serie de sitios entre ambas repeticiones. No mida dos veces seguidas el mismo sitio: la compresión del tejido hace que la segunda lectura sea menor y el error calculado saldría falsamente bajo.</t>
  </si>
  <si>
    <t>MEDICIONES POR DUPLICADO</t>
  </si>
  <si>
    <t>Nº</t>
  </si>
  <si>
    <t>Sujeto</t>
  </si>
  <si>
    <t>Sitio medido</t>
  </si>
  <si>
    <t>Medida 1 (mm)</t>
  </si>
  <si>
    <t>Medida 2 (mm)</t>
  </si>
  <si>
    <t>Diferencia²</t>
  </si>
  <si>
    <t>Control</t>
  </si>
  <si>
    <t>Sujeto 1</t>
  </si>
  <si>
    <t>Sujeto 2</t>
  </si>
  <si>
    <t>Sujeto 3</t>
  </si>
  <si>
    <t>Sujeto 4</t>
  </si>
  <si>
    <t>Sujeto 5</t>
  </si>
  <si>
    <t>Sujeto 6</t>
  </si>
  <si>
    <t>Sujeto 7</t>
  </si>
  <si>
    <t>Sujeto 8</t>
  </si>
  <si>
    <t>Sujeto 9</t>
  </si>
  <si>
    <t>Sujeto 10</t>
  </si>
  <si>
    <t>TOTALES</t>
  </si>
  <si>
    <t>CÁLCULO DEL ERROR TÉCNICO DE MEDICIÓN</t>
  </si>
  <si>
    <t>Número de pares medidos</t>
  </si>
  <si>
    <t>Suma de las diferencias al cuadrado</t>
  </si>
  <si>
    <t>Media general de las mediciones (mm)</t>
  </si>
  <si>
    <t>ERROR TÉCNICO DE MEDICIÓN (mm)</t>
  </si>
  <si>
    <t>Raíz de la suma de diferencias al cuadrado dividida por dos veces n</t>
  </si>
  <si>
    <t>ERROR RELATIVO (%)</t>
  </si>
  <si>
    <t>Desviación estándar entre sujetos (mm)</t>
  </si>
  <si>
    <t>Coeficiente de fiabilidad</t>
  </si>
  <si>
    <t>Proporción de la variación observada que NO se explica por error de medición</t>
  </si>
  <si>
    <t>LECTURA DE LA FIABILIDAD</t>
  </si>
  <si>
    <t>Error relativo frente al criterio</t>
  </si>
  <si>
    <t>Coeficiente de fiabilidad frente al criterio</t>
  </si>
  <si>
    <t>Pares con diferencia sobre el cinco por ciento</t>
  </si>
  <si>
    <t>Cada uno merece revisión: suelen indicar un punto anatómico mal marcado</t>
  </si>
  <si>
    <t>CAMBIO MÍNIMO DETECTABLE</t>
  </si>
  <si>
    <t>Cambio mínimo detectable en un pliegue (mm)</t>
  </si>
  <si>
    <t>Bajo este valor, un cambio no se distingue del error de medición</t>
  </si>
  <si>
    <t>Comparación con la resolución del instrumento</t>
  </si>
  <si>
    <t>El error técnico de medición es específico de cada evaluador, cada sitio anatómico y cada rango de espesor: un evaluador puede ser preciso en tríceps y no en suprailíaco. Repita este ejercicio por sitio cuando el seguimiento lo justifique, y siempre que cambie de instrumento.</t>
  </si>
  <si>
    <t>¿El cambio observado es real o es error de medición?</t>
  </si>
  <si>
    <t>Esta es la pregunta que un plicómetro debe poder responder y que casi ningún software responde. Un pliegue que baja de 18 a 17 milímetros puede reflejar un cambio real o simplemente el error de quien mide. Aquí se compara el cambio observado con el error propio del evaluador.</t>
  </si>
  <si>
    <t>COMPARACIÓN ENTRE DOS EVALUACIONES</t>
  </si>
  <si>
    <t>Evaluación inicial (mm)</t>
  </si>
  <si>
    <t>Evaluación de control (mm)</t>
  </si>
  <si>
    <t>Cambio (mm)</t>
  </si>
  <si>
    <t>Cambio mínimo detectable</t>
  </si>
  <si>
    <t>¿Distinguible del error?</t>
  </si>
  <si>
    <t>Muslo anterior</t>
  </si>
  <si>
    <t>SUMA DE PLIEGUES</t>
  </si>
  <si>
    <t>POR QUÉ LA SUMA ES MÁS SENSIBLE QUE UN PLIEGUE AISLADO</t>
  </si>
  <si>
    <t>Error de un pliegue individual (mm)</t>
  </si>
  <si>
    <t>Número de pliegues sumados</t>
  </si>
  <si>
    <t>Error de la suma (mm)</t>
  </si>
  <si>
    <t>El error crece con la raíz del número de pliegues, no de forma proporcional</t>
  </si>
  <si>
    <t>Cambio relativo mínimo detectable en la suma</t>
  </si>
  <si>
    <t>Qué significa</t>
  </si>
  <si>
    <t>CONDICIONES DE COMPARABILIDAD</t>
  </si>
  <si>
    <t>¿Midió el mismo evaluador ambas veces?</t>
  </si>
  <si>
    <t>¿Usó el mismo plicómetro?</t>
  </si>
  <si>
    <t>¿Se respetaron condiciones similares de hidratación y horario?</t>
  </si>
  <si>
    <t>¿El instrumento estaba verificado en ambas ocasiones?</t>
  </si>
  <si>
    <t>Validez de la comparación</t>
  </si>
  <si>
    <t>CONCLUSIÓN DEL SEGUIMIENTO</t>
  </si>
  <si>
    <t>Informar un cambio que no supera el error de medición es un error frecuente y evitable. Si la variación queda dentro del margen del método, la respuesta correcta es que no se puede afirmar que haya cambiado, no que se mantuvo igual: ambas cosas son distintas.</t>
  </si>
  <si>
    <t>Referencias, fórmulas y trazabilidad</t>
  </si>
  <si>
    <t>MÉTODOS Y REFERENCIAS</t>
  </si>
  <si>
    <t>Elemento</t>
  </si>
  <si>
    <t>Detalle</t>
  </si>
  <si>
    <t>Protocolo de medición</t>
  </si>
  <si>
    <t>Sitios anatómicos, dirección del pliegue y posición corporal siguen el protocolo de la Sociedad Internacional para el Avance de la Cineantropometría, de uso extendido en evaluación antropométrica. Este libro describe el procedimiento pero NO sustituye la formación práctica supervisada, que es la única vía para alcanzar los criterios de error exigidos.</t>
  </si>
  <si>
    <t>Se calcula como la raíz cuadrada de la suma de las diferencias al cuadrado entre mediciones duplicadas, dividida por dos veces el número de pares. Es la medida clásica de error de medición en antropometría y se expresa en las mismas unidades que la variable, en este caso milímetros.</t>
  </si>
  <si>
    <t>Error relativo</t>
  </si>
  <si>
    <t>Es el error técnico expresado como porcentaje de la media de las mediciones. Permite comparar el desempeño entre sitios de distinto espesor: un error de medio milímetro pesa mucho más en un pliegue de seis milímetros que en uno de treinta.</t>
  </si>
  <si>
    <t>Criterios de aceptación</t>
  </si>
  <si>
    <t>Los límites de cinco por ciento para un mismo evaluador y siete coma cinco por ciento entre evaluadores corresponden a los criterios de acreditación antropométrica de uso internacional para pliegues cutáneos. Son editables en CONFIG.</t>
  </si>
  <si>
    <t>Se obtiene restando de uno el cociente entre el cuadrado del error técnico y el cuadrado de la desviación estándar entre sujetos. Expresa qué proporción de la variación observada corresponde a diferencias reales y no a error de medición. El mínimo habitual es 0,95.</t>
  </si>
  <si>
    <t>Se calcula multiplicando el error técnico por la raíz de dos y por el valor de la distribución normal para el nivel de confianza elegido, 1,96 para el noventa y cinco por ciento. Un cambio menor que ese valor no puede distinguirse del error del método.</t>
  </si>
  <si>
    <t>Error de una suma de pliegues</t>
  </si>
  <si>
    <t>Al sumar varios pliegues los errores independientes se combinan según la raíz del número de sitios, no de forma proporcional. Por eso el cambio mínimo detectable de una suma representa una proporción menor del total que el de un pliegue aislado, y el seguimiento resulta más sensible sobre la suma.</t>
  </si>
  <si>
    <t>Presión del instrumento</t>
  </si>
  <si>
    <t>Los plicómetros de uso profesional están construidos para ejercer una presión constante de diez gramos por milímetro cuadrado sobre las superficies de contacto, con independencia de la apertura de las ramas. Esa presión constante es lo que hace comparable la medición: un instrumento con el resorte alterado deja de cumplirla.</t>
  </si>
  <si>
    <t>Verificación con patrones</t>
  </si>
  <si>
    <t>La comprobación contra bloques de espesor conocido detecta desviaciones sistemáticas del instrumento, que no se revelan repitiendo mediciones sobre personas porque se repiten de forma idéntica. Ninguna corrección estadística posterior puede recuperar mediciones tomadas con un instrumento descalibrado si esa desviación no fue documentada.</t>
  </si>
  <si>
    <t>Qué NO hace este libro</t>
  </si>
  <si>
    <t>No estima densidad corporal, porcentaje de grasa ni somatotipo: para eso están los módulos específicos de la colección. No reemplaza la formación práctica ni la acreditación del evaluador. No corrige mediciones mal tomadas. No está validado clínicamente.</t>
  </si>
  <si>
    <t>Relación con otros módulos</t>
  </si>
  <si>
    <t>NMX-36 aplica ecuaciones de composición corporal a partir de pliegues. NMX-20 integra pliegues, somatotipo y recordatorio en un formulario único. Este módulo se ocupa de lo previo: que el instrumento esté verificado y que el error del evaluador sea conocido.</t>
  </si>
  <si>
    <t>Control de calidad del motor de cálculo</t>
  </si>
  <si>
    <t>Los valores esperados se calcularon de forma independiente del motor del libro (verificación externa).</t>
  </si>
  <si>
    <t>Bloque</t>
  </si>
  <si>
    <t>Descripción de la prueba</t>
  </si>
  <si>
    <t>Obtenido</t>
  </si>
  <si>
    <t>Esperado</t>
  </si>
  <si>
    <t>A</t>
  </si>
  <si>
    <t>Media del primer par (12,4 y 12,1)</t>
  </si>
  <si>
    <t>Diferencia del primer par</t>
  </si>
  <si>
    <t>Diferencia al cuadrado del primer par</t>
  </si>
  <si>
    <t>Media general de las mediciones</t>
  </si>
  <si>
    <t>B</t>
  </si>
  <si>
    <t>ERROR TÉCNICO DE MEDICIÓN</t>
  </si>
  <si>
    <t>Desviación estándar entre sujetos</t>
  </si>
  <si>
    <t>C</t>
  </si>
  <si>
    <t>El error relativo cumple el criterio de un mismo evaluador</t>
  </si>
  <si>
    <t>CUMPLE</t>
  </si>
  <si>
    <t>La fiabilidad alcanza el mínimo exigido</t>
  </si>
  <si>
    <t>ALCANZA</t>
  </si>
  <si>
    <t>Ningún par supera el 5% de diferencia entre medidas</t>
  </si>
  <si>
    <t>D</t>
  </si>
  <si>
    <t>Cambio mínimo detectable en un pliegue</t>
  </si>
  <si>
    <t>Error de la suma de 6 pliegues</t>
  </si>
  <si>
    <t>Cambio mínimo detectable de la suma</t>
  </si>
  <si>
    <t>El error de la suma es menor que 6 veces el individual</t>
  </si>
  <si>
    <t>MENOR</t>
  </si>
  <si>
    <t>E</t>
  </si>
  <si>
    <t>Suma inicial de los 6 pliegues</t>
  </si>
  <si>
    <t>Suma de control</t>
  </si>
  <si>
    <t>Cambio de la suma</t>
  </si>
  <si>
    <t>El cambio de la suma supera el umbral</t>
  </si>
  <si>
    <t>SUPERA</t>
  </si>
  <si>
    <t>Cambio del bíceps (de 6,0 a 5,6)</t>
  </si>
  <si>
    <t>Ese cambio individual NO es distinguible del error</t>
  </si>
  <si>
    <t>NO DISTINGUIBLE</t>
  </si>
  <si>
    <t>Cambio del suprailíaco (de 16,0 a 14,2)</t>
  </si>
  <si>
    <t>Ese cambio individual SÍ es distinguible</t>
  </si>
  <si>
    <t>DISTINGUIBLE</t>
  </si>
  <si>
    <t>F</t>
  </si>
  <si>
    <t>Error medio del instrumento en la verificación</t>
  </si>
  <si>
    <t>La verificación queda dentro de tolerancia</t>
  </si>
  <si>
    <t>DENTRO</t>
  </si>
  <si>
    <t>Puntos conformes de la revisión mecánica</t>
  </si>
  <si>
    <t>Dictamen del instrumento</t>
  </si>
  <si>
    <t>APTO PARA USO</t>
  </si>
  <si>
    <t>G</t>
  </si>
  <si>
    <t>Un valor ausente NO se interpreta como cero</t>
  </si>
  <si>
    <t>ND</t>
  </si>
  <si>
    <t>RESUMEN</t>
  </si>
  <si>
    <t>Pruebas aprobadas</t>
  </si>
  <si>
    <t>Configuración · umbrales de calidad de la medición</t>
  </si>
  <si>
    <t>UMBRALES DE ERROR TÉCNICO DE MEDICIÓN</t>
  </si>
  <si>
    <t>Error relativo aceptable · un mismo evaluador</t>
  </si>
  <si>
    <t>%</t>
  </si>
  <si>
    <t>Error relativo aceptable · entre evaluadores</t>
  </si>
  <si>
    <t>Coeficiente de fiabilidad mínimo aceptable</t>
  </si>
  <si>
    <t>R</t>
  </si>
  <si>
    <t>Nivel de confianza para el cambio mínimo detectable</t>
  </si>
  <si>
    <t>z</t>
  </si>
  <si>
    <t>Presión estándar del plicómetro</t>
  </si>
  <si>
    <t>g/mm²</t>
  </si>
  <si>
    <t>Tolerancia aceptada en la verificación con patrón</t>
  </si>
  <si>
    <t>Diferencia máxima entre dos medidas del mismo pliegue</t>
  </si>
  <si>
    <t>Número mínimo de sujetos para estimar el error</t>
  </si>
  <si>
    <t>sujetos</t>
  </si>
  <si>
    <t>Tolerancia de las pruebas</t>
  </si>
  <si>
    <t>±</t>
  </si>
  <si>
    <t>Los límites de cinco y siete coma cinco por ciento corresponden a los criterios de acreditación de la Sociedad Internacional para el Avance de la Cineantropometría para medidas de pliegues. Son exigentes y se alcanzan con entrenamiento: un evaluador sin práctica supervisada rara vez los cumple al inicio.</t>
  </si>
  <si>
    <t>SITIOS ANATÓMICOS DE REFERENCIA</t>
  </si>
  <si>
    <t>Punto medio entre acromion y olécranon, cara posterior del brazo</t>
  </si>
  <si>
    <t>Vertical</t>
  </si>
  <si>
    <t>De pie, brazo relajado</t>
  </si>
  <si>
    <t>Dos centímetros por debajo del ángulo inferior de la escápula</t>
  </si>
  <si>
    <t>Oblicua, hacia abajo y afuera</t>
  </si>
  <si>
    <t>De pie, brazos a los lados</t>
  </si>
  <si>
    <t>Punto medio del brazo, cara anterior, sobre el vientre del bíceps</t>
  </si>
  <si>
    <t>De pie, brazo relajado y supinado</t>
  </si>
  <si>
    <t>Sobre la cresta ilíaca, en la línea axilar media</t>
  </si>
  <si>
    <t>Oblicua, siguiendo la cresta</t>
  </si>
  <si>
    <t>De pie, brazo separado</t>
  </si>
  <si>
    <t>Supraespinal</t>
  </si>
  <si>
    <t>Intersección de la línea axilar anterior con la cresta ilíaca</t>
  </si>
  <si>
    <t>Oblicua, hacia abajo y adentro</t>
  </si>
  <si>
    <t>Cinco centímetros a la derecha del ombligo</t>
  </si>
  <si>
    <t>De pie, abdomen relajado</t>
  </si>
  <si>
    <t>Punto medio entre pliegue inguinal y borde superior de la rótula</t>
  </si>
  <si>
    <t>Sentado, rodilla a noventa grados</t>
  </si>
  <si>
    <t>Pantorrilla medial</t>
  </si>
  <si>
    <t>Cara medial, en el perímetro máximo</t>
  </si>
  <si>
    <t>Sentado o de pie con la pierna apoyada</t>
  </si>
  <si>
    <t>LISTAS</t>
  </si>
  <si>
    <t>MARCA</t>
  </si>
  <si>
    <t>SI</t>
  </si>
  <si>
    <t>ESTADO</t>
  </si>
  <si>
    <t>NIVEL</t>
  </si>
  <si>
    <t>Holtain</t>
  </si>
  <si>
    <t>Requiere ajuste</t>
  </si>
  <si>
    <t>Acreditado nivel 1</t>
  </si>
  <si>
    <t>Lange</t>
  </si>
  <si>
    <t>Fuera de servicio</t>
  </si>
  <si>
    <t>Acreditado nivel 2</t>
  </si>
  <si>
    <t>Slim Guide</t>
  </si>
  <si>
    <t>Acreditado nivel 3 o superior</t>
  </si>
  <si>
    <t>Otro</t>
  </si>
  <si>
    <t>Historial de versiones</t>
  </si>
  <si>
    <t>Cambio</t>
  </si>
  <si>
    <t>Versión inicial de NMX-41: software acompañante para plicómetro, centrado en la calidad del instrumento y del evaluador.</t>
  </si>
  <si>
    <t>Fase 7 · Especialidades y productos complementarios.</t>
  </si>
  <si>
    <t>Hoja de verificación del instrumento contra patrones de espesor conocido, con dictamen de aptitud.</t>
  </si>
  <si>
    <t>Una desviación sistemática del plicómetro no se detecta repitiendo mediciones: se repite igual.</t>
  </si>
  <si>
    <t>Cálculo del error técnico de medición, error relativo y coeficiente de fiabilidad a partir de mediciones por duplicado.</t>
  </si>
  <si>
    <t>Permite que cada evaluador conozca su propio error en lugar de suponerlo.</t>
  </si>
  <si>
    <t>Cambio mínimo detectable por pliegue y para la suma de pliegues.</t>
  </si>
  <si>
    <t>Responde la pregunta central de quien usa plicómetro: si el cambio observado es real o es ruido del método.</t>
  </si>
  <si>
    <t>Se explicita que el error de una suma crece con la raíz del número de pliegues.</t>
  </si>
  <si>
    <t>Fundamenta por qué el seguimiento se hace sobre la suma y no sobre pliegues aislados.</t>
  </si>
  <si>
    <t>Lista de condiciones de comparabilidad que invalidan la comparación si no se cumplen.</t>
  </si>
  <si>
    <t>Un cambio de evaluador o de instrumento puede superar el cambio biológico que se busca detectar.</t>
  </si>
  <si>
    <t>Advertencia sobre no medir dos veces seguidas el mismo sitio.</t>
  </si>
  <si>
    <t>La compresión del tejido subestima la segunda lectura y el error calculado saldría falsamente bajo.</t>
  </si>
  <si>
    <t>Diseño visual, barra de navegación y enlaces de retorno replicados de NMX-10 aprobado.</t>
  </si>
  <si>
    <t>Unificar la identidad de la colección.</t>
  </si>
  <si>
    <t>1.0.1</t>
  </si>
  <si>
    <t>2026-08-01</t>
  </si>
  <si>
    <t>Actualizado el valor esperado de la prueba F (error medio del instrumento) de 0,1 al valor preciso 0,091666667, en linea con la alta precision del resto de las pruebas. 30 pruebas aprobadas.</t>
  </si>
  <si>
    <t>NUTRIMETRÍA  ·  NMX-36</t>
  </si>
  <si>
    <t>Calculadora especializada de plicometría · versión 1.0</t>
  </si>
  <si>
    <t>Ingresar datos</t>
  </si>
  <si>
    <t>Evaluación de pliegues</t>
  </si>
  <si>
    <t>Auditar operaciones</t>
  </si>
  <si>
    <t>Ver resumen</t>
  </si>
  <si>
    <t>Trazabilidad</t>
  </si>
  <si>
    <t>2026-07-14</t>
  </si>
  <si>
    <t>.xlsx sin macros · Microsoft 365 y Excel 2021</t>
  </si>
  <si>
    <t>EXACTITUD MATEMÁTICA ≠ VALIDACIÓN CLÍNICA. Este archivo NO está validado clínicamente.</t>
  </si>
  <si>
    <t>APLICA A: personas ADULTAS (≥18 años) en condición estable.</t>
  </si>
  <si>
    <t>NO APLICA A: embarazo · lactancia · menores de edad · pacientes críticos.</t>
  </si>
  <si>
    <t>Los pliegues ESTIMAN; la referencia son DEXA o pesaje hidrostático.</t>
  </si>
  <si>
    <t>Las cuatro ecuaciones NO son intercambiables: elija UNA validada para su población y úsela siempre.</t>
  </si>
  <si>
    <t>Para seguimiento, la Σ de pliegues (mm) es más robusta que el % de grasa: mismo evaluador, mismo plicómetro.</t>
  </si>
  <si>
    <t>La calidad depende de la técnica: si el ETM supera 7,5 %, repita las mediciones.</t>
  </si>
  <si>
    <t>PROPÓSITO Y ALCANCE</t>
  </si>
  <si>
    <t>Propósito</t>
  </si>
  <si>
    <t>Proveer una herramienta automatizada que facilite la evaluación y el análisis de la composición corporal en población adulta, permitiendo calcular el porcentaje de grasa corporal a través de cuatro ecuaciones estandarizadas basadas en pliegues cutáneos.</t>
  </si>
  <si>
    <t>Población</t>
  </si>
  <si>
    <t>Personas adultas (≥18 años) en condición estable. No aplica a embarazo, lactancia, menores de edad ni pacientes críticos.</t>
  </si>
  <si>
    <t>Uso</t>
  </si>
  <si>
    <t>Compatibilidad</t>
  </si>
  <si>
    <t>Los datos permanecen en el archivo local. El libro no transmite información.</t>
  </si>
  <si>
    <t>CÓMO SE MODELA</t>
  </si>
  <si>
    <t>Cada sitio se mide 2 veces; el valor usado es la media y la diferencia alimenta el ETM.</t>
  </si>
  <si>
    <t>JP7 y JP3: densidad cuadrática por sexo → % grasa por Siri (495/D−450) o Brožek (457/D−414).</t>
  </si>
  <si>
    <t>Durnin–Womersley: densidad = c − m·log10(Σ4) por sexo y banda etaria → Siri/Brožek.</t>
  </si>
  <si>
    <t>Faulkner: % grasa = 0,153·Σ4 + 5,783 (directo, sin densidad).</t>
  </si>
  <si>
    <t>Composición: MG = %grasa×peso · MLG = peso − MG · IMG = MG/talla² · IMLG = MLG/talla².</t>
  </si>
  <si>
    <t>Datos de entrada · identificación y selección de ecuación</t>
  </si>
  <si>
    <t>PLIEGUES</t>
  </si>
  <si>
    <t>LEYENDA · Celdas ARENA con texto AZUL = editables. Grises = calculadas. (opcional) = puede quedar vacía.</t>
  </si>
  <si>
    <t>► Los pliegues se ingresan en la hoja PLIEGUES. Aquí van la identificación y la ecuación a reportar.</t>
  </si>
  <si>
    <t>Validación</t>
  </si>
  <si>
    <t>Ayuda</t>
  </si>
  <si>
    <t>Identificador de la evaluación</t>
  </si>
  <si>
    <t>Texto libre</t>
  </si>
  <si>
    <t>Código interno.</t>
  </si>
  <si>
    <t>fecha</t>
  </si>
  <si>
    <t>dd/mm/aaaa.</t>
  </si>
  <si>
    <t>Nombre o código del paciente</t>
  </si>
  <si>
    <t>Prefiera un CÓDIGO si comparte el archivo.</t>
  </si>
  <si>
    <t>Sexo biológico</t>
  </si>
  <si>
    <t>Lista: Hombre / Mujer</t>
  </si>
  <si>
    <t>Las ecuaciones se derivaron por sexo.</t>
  </si>
  <si>
    <t>Edad</t>
  </si>
  <si>
    <t>años</t>
  </si>
  <si>
    <t>≥18 y ≤120</t>
  </si>
  <si>
    <t>Solo adultos.</t>
  </si>
  <si>
    <t>kg</t>
  </si>
  <si>
    <t>Entre 25 y 350</t>
  </si>
  <si>
    <t>Para masa grasa y magra.</t>
  </si>
  <si>
    <t>Estatura</t>
  </si>
  <si>
    <t>Entre 120 y 230</t>
  </si>
  <si>
    <t>Para IMG / IMLG.</t>
  </si>
  <si>
    <t>Ecuación a reportar</t>
  </si>
  <si>
    <t>7 sitios · Jackson–Pollock</t>
  </si>
  <si>
    <t>Lista (CONFIG C3)</t>
  </si>
  <si>
    <t>Las cuatro se calculan; esta se destaca.</t>
  </si>
  <si>
    <t>Conversión densidad→grasa</t>
  </si>
  <si>
    <t>Siri (1961)</t>
  </si>
  <si>
    <t>Lista (CONFIG C4)</t>
  </si>
  <si>
    <t>Aplica a JP y Durnin–Womersley.</t>
  </si>
  <si>
    <t>Para trazar el error técnico de medición.</t>
  </si>
  <si>
    <t>Calibración del plicómetro, condiciones, etc.</t>
  </si>
  <si>
    <t>Panel de pliegues · doble medición y error técnico de medición (ETM)</t>
  </si>
  <si>
    <t>Cada sitio se mide DOS veces (M1 y M2). El valor usado es la MEDIA. La diferencia |M1−M2| alimenta el error técnico de medición (ETM) intraevaluador de abajo, según el estándar ISAK. Marque los puntos anatómicos del lado derecho antes de medir. Los sitios no exigidos por su ecuación pueden quedar vacíos.</t>
  </si>
  <si>
    <t>Sitio (lado derecho)</t>
  </si>
  <si>
    <t>M1 (mm)</t>
  </si>
  <si>
    <t>M2 (mm)</t>
  </si>
  <si>
    <t>|M1−M2|</t>
  </si>
  <si>
    <t>Referencia anatómica / técnica</t>
  </si>
  <si>
    <t>Pectoral (pecho)</t>
  </si>
  <si>
    <t>Diagonal, entre axila y pezón (½ en H, ⅓ en M).</t>
  </si>
  <si>
    <t>Línea axilar media, a la altura del apéndice xifoides.</t>
  </si>
  <si>
    <t>Vertical, cara posterior del brazo, punto medio.</t>
  </si>
  <si>
    <t>Oblicuo, 2 cm bajo el ángulo inferior de la escápula.</t>
  </si>
  <si>
    <t>Vertical, cara anterior del brazo, punto medio.</t>
  </si>
  <si>
    <t>Suprailíaco (cresta ilíaca)</t>
  </si>
  <si>
    <t>Oblicuo, sobre la cresta ilíaca, línea axilar media.</t>
  </si>
  <si>
    <t>Vertical, 2 cm a la derecha del ombligo.</t>
  </si>
  <si>
    <t>Vertical, cara anterior, punto medio inguinal–rótula.</t>
  </si>
  <si>
    <t>ERROR TÉCNICO DE MEDICIÓN (ETM) INTRAEVALUADOR · estándar ISAK</t>
  </si>
  <si>
    <t>Sitios medidos por duplicado (k)</t>
  </si>
  <si>
    <t>sitios</t>
  </si>
  <si>
    <t>Solo cuentan los sitios con M1 y M2.</t>
  </si>
  <si>
    <t>Σ de las diferencias al cuadrado</t>
  </si>
  <si>
    <t>mm²</t>
  </si>
  <si>
    <t>Σ(M1−M2)² sobre los sitios duplicados.</t>
  </si>
  <si>
    <t>ETM absoluto</t>
  </si>
  <si>
    <t>√(Σd² / 2k). Error típico de una medición.</t>
  </si>
  <si>
    <t>Media global de las mediciones</t>
  </si>
  <si>
    <t>Promedio de todos los M1 y M2.</t>
  </si>
  <si>
    <t>ETM relativo (%)</t>
  </si>
  <si>
    <t>ETM absoluto / media global.</t>
  </si>
  <si>
    <t>Veredicto ISAK</t>
  </si>
  <si>
    <t>≤5% experto · 5–7,5% aceptable · &gt;7,5% revisar.</t>
  </si>
  <si>
    <t>Σ de los 8 pliegues (seguimiento)</t>
  </si>
  <si>
    <t>Suma bruta para MONITOREAR cambios en el tiempo; independiente de toda ecuación.</t>
  </si>
  <si>
    <t>La suma de pliegues es la métrica de seguimiento más robusta: no depende de ninguna ecuación ni de la conversión densidad→grasa. Para comparar en el tiempo, use SIEMPRE el mismo evaluador, el mismo plicómetro y los mismos sitios.</t>
  </si>
  <si>
    <t>Motor · cuatro ecuaciones de pliegues, reconciliación y composición</t>
  </si>
  <si>
    <t>Cada celda declara su fórmula. Las guardas devuelven texto 'ND: …' en vez de errores de Excel; un sitio ausente no rompe la cadena, solo deja ND la ecuación que lo necesitaba.</t>
  </si>
  <si>
    <t>BLOQUE 0 · BASE Y SUMATORIAS POR ECUACIÓN</t>
  </si>
  <si>
    <t>Variable</t>
  </si>
  <si>
    <t>Fórmula / cómo se obtiene</t>
  </si>
  <si>
    <t>Estatura en metros</t>
  </si>
  <si>
    <t>m</t>
  </si>
  <si>
    <t>in_Est/100</t>
  </si>
  <si>
    <t>kg/m²</t>
  </si>
  <si>
    <t>peso/estatura²</t>
  </si>
  <si>
    <t>Σ Jackson–Pollock 7 sitios</t>
  </si>
  <si>
    <t>pectoral+axilar+tríceps+subescapular+abdominal+suprailíaco+muslo</t>
  </si>
  <si>
    <t>Σ Jackson–Pollock 3 sitios</t>
  </si>
  <si>
    <t>H: pectoral+abdominal+muslo · M: tríceps+suprailíaco+muslo</t>
  </si>
  <si>
    <t>Σ Durnin–Womersley 4</t>
  </si>
  <si>
    <t>bíceps+tríceps+subescapular+suprailíaco</t>
  </si>
  <si>
    <t>Σ Faulkner 4</t>
  </si>
  <si>
    <t>tríceps+subescapular+suprailíaco+abdominal</t>
  </si>
  <si>
    <t>BLOQUE 1 · COMPUERTA DE DATOS IMPOSIBLES</t>
  </si>
  <si>
    <t>¿Cálculo habilitado?</t>
  </si>
  <si>
    <t>Exige sexo, edad adulta, peso y estatura válidos</t>
  </si>
  <si>
    <t>BLOQUE 2 · DENSIDAD Y % DE GRASA POR CADA ECUACIÓN (fracción)</t>
  </si>
  <si>
    <t>Densidad · JP7</t>
  </si>
  <si>
    <t>g/mL</t>
  </si>
  <si>
    <t>Cuadrática por sexo</t>
  </si>
  <si>
    <t>% grasa · JP7</t>
  </si>
  <si>
    <t>Siri o Brožek</t>
  </si>
  <si>
    <t>Densidad · JP3</t>
  </si>
  <si>
    <t>% grasa · JP3</t>
  </si>
  <si>
    <t>Durnin–Womersley · c</t>
  </si>
  <si>
    <t>Coef. c por sexo y banda</t>
  </si>
  <si>
    <t>Durnin–Womersley · m</t>
  </si>
  <si>
    <t>Coef. m por sexo y banda</t>
  </si>
  <si>
    <t>Densidad · DW4</t>
  </si>
  <si>
    <t>c − m·log10(Σ4)</t>
  </si>
  <si>
    <t>% grasa · DW4</t>
  </si>
  <si>
    <t>% grasa · Faulkner</t>
  </si>
  <si>
    <t>0,153·Σ4 + 5,783 (directo)</t>
  </si>
  <si>
    <t>BLOQUE 3 · RECONCILIACIÓN DE LAS ECUACIONES</t>
  </si>
  <si>
    <t>% grasa REPORTADO</t>
  </si>
  <si>
    <t>Ecuación elegida en DATOS</t>
  </si>
  <si>
    <t>Ecuaciones con dato (n)</t>
  </si>
  <si>
    <t>Cuántas entregaron número</t>
  </si>
  <si>
    <t>Promedio</t>
  </si>
  <si>
    <t>AVERAGE ignora los ND</t>
  </si>
  <si>
    <t>Mínimo</t>
  </si>
  <si>
    <t>Máximo</t>
  </si>
  <si>
    <t>Rango (máx − mín)</t>
  </si>
  <si>
    <t>p.p.</t>
  </si>
  <si>
    <t>Dispersión en puntos porcentuales</t>
  </si>
  <si>
    <t>Amplitud relativa</t>
  </si>
  <si>
    <t>rango/promedio (informativo)</t>
  </si>
  <si>
    <t>Estado de concordancia</t>
  </si>
  <si>
    <t>Compara el rango con DISP_MAX</t>
  </si>
  <si>
    <t>BLOQUE 4 · COMPOSICIÓN CORPORAL (según la ecuación reportada)</t>
  </si>
  <si>
    <t>Masa grasa (MG)</t>
  </si>
  <si>
    <t>% grasa × peso</t>
  </si>
  <si>
    <t>Masa libre de grasa (MLG)</t>
  </si>
  <si>
    <t>peso − MG</t>
  </si>
  <si>
    <t>Índice de masa grasa (IMG)</t>
  </si>
  <si>
    <t>MG / estatura²</t>
  </si>
  <si>
    <t>Índice de masa libre de grasa (IMLG)</t>
  </si>
  <si>
    <t>MLG / estatura²</t>
  </si>
  <si>
    <t>BLOQUE 5 · CLASIFICACIÓN REFERENCIAL</t>
  </si>
  <si>
    <t>Clasificación por % grasa (ACE)</t>
  </si>
  <si>
    <t>Rangos ACE por sexo (referenciales)</t>
  </si>
  <si>
    <t>BLOQUE 6 · ADVERTENCIAS</t>
  </si>
  <si>
    <t>Cálculo bloqueado</t>
  </si>
  <si>
    <t>Ecuación reportada sin datos</t>
  </si>
  <si>
    <t>Ecuaciones no intercambiables</t>
  </si>
  <si>
    <t>Calidad de medición (ETM)</t>
  </si>
  <si>
    <t>% grasa fuera de rango plausible</t>
  </si>
  <si>
    <t>Pliegue fuera de rango habitual</t>
  </si>
  <si>
    <t>Recordatorio metodológico</t>
  </si>
  <si>
    <t>Informe de plicometría y composición corporal</t>
  </si>
  <si>
    <t>IDENTIFICACIÓN</t>
  </si>
  <si>
    <t>Identificador</t>
  </si>
  <si>
    <t>Paciente</t>
  </si>
  <si>
    <t>Sexo · edad</t>
  </si>
  <si>
    <t>Peso · estatura</t>
  </si>
  <si>
    <t>Ecuación reportada</t>
  </si>
  <si>
    <t>Estado del cálculo</t>
  </si>
  <si>
    <t>CALIDAD DE LA MEDICIÓN (ETM intraevaluador · ISAK)</t>
  </si>
  <si>
    <t>ETM relativo</t>
  </si>
  <si>
    <t>% DE GRASA POR LAS CUATRO ECUACIONES</t>
  </si>
  <si>
    <t>Ecuación</t>
  </si>
  <si>
    <t>% de grasa</t>
  </si>
  <si>
    <t>¿Disponible?</t>
  </si>
  <si>
    <t>Fuente</t>
  </si>
  <si>
    <t>Jackson &amp; Pollock 1978/1980</t>
  </si>
  <si>
    <t>3 sitios · Jackson–Pollock</t>
  </si>
  <si>
    <t>4 pliegues · Durnin–Womersley</t>
  </si>
  <si>
    <t>Durnin &amp; Womersley 1974</t>
  </si>
  <si>
    <t>4 pliegues · Faulkner</t>
  </si>
  <si>
    <t>Faulkner 1968</t>
  </si>
  <si>
    <t>ECUACIÓN REPORTADA</t>
  </si>
  <si>
    <t>CONCORDANCIA ENTRE ECUACIONES</t>
  </si>
  <si>
    <t>COMPOSICIÓN CORPORAL (según la ecuación reportada)</t>
  </si>
  <si>
    <t>% de grasa reportado</t>
  </si>
  <si>
    <t>Clasificación por % grasa (ACE, referencial)</t>
  </si>
  <si>
    <t>DATOS DE APOYO PARA LOS GRÁFICOS</t>
  </si>
  <si>
    <t>JP7</t>
  </si>
  <si>
    <t>JP3</t>
  </si>
  <si>
    <t>Durnin–W.</t>
  </si>
  <si>
    <t>Faulkner</t>
  </si>
  <si>
    <t>Componente</t>
  </si>
  <si>
    <t>Masa grasa</t>
  </si>
  <si>
    <t>Masa libre de grasa</t>
  </si>
  <si>
    <t>ADVERTENCIAS</t>
  </si>
  <si>
    <t>% grasa no plausible</t>
  </si>
  <si>
    <t>Pliegue fuera de rango</t>
  </si>
  <si>
    <t>EXACTITUD MATEMÁTICA ≠ VALIDACIÓN CLÍNICA. Los coeficientes se cotejaron contra las fuentes de la hoja FUENTES, pero este archivo NO está validado clínicamente. Los pliegues ESTIMAN la composición; la referencia son DEXA o pesaje hidrostático. Las ecuaciones NO son intercambiables: reporte una sola y siga la Σ de pliegues.</t>
  </si>
  <si>
    <t>Trazabilidad de ecuaciones de plicometría y verificación</t>
  </si>
  <si>
    <t>NIVEL A = publicación primaria / estándar oficial · B = resumen primario o corroboración por pares · C = fuente secundaria (atribución propagada por manuales). Solo se usan ECUACIONES y COEFICIENTES (hechos no protegibles). EXACTITUD BIBLIOGRÁFICA ≠ VALIDACIÓN CLÍNICA. Las ecuaciones de pliegues NO son intercambiables.</t>
  </si>
  <si>
    <t>Ecuación o dato</t>
  </si>
  <si>
    <t>Autor u organización</t>
  </si>
  <si>
    <t>Año</t>
  </si>
  <si>
    <t>Población de derivación</t>
  </si>
  <si>
    <t>Fórmula / valor</t>
  </si>
  <si>
    <t>Unidades</t>
  </si>
  <si>
    <t>Limitaciones</t>
  </si>
  <si>
    <t>DOI o fuente</t>
  </si>
  <si>
    <t>Fecha cotejo</t>
  </si>
  <si>
    <t>Licencia / condiciones</t>
  </si>
  <si>
    <t>Nivel</t>
  </si>
  <si>
    <t>Densidad · JP 7 sitios (hombres)</t>
  </si>
  <si>
    <t>Jackson AS, Pollock ML — Br J Nutr 40:497-504</t>
  </si>
  <si>
    <t>1978</t>
  </si>
  <si>
    <t>308 hombres, 18–61 años; pesaje hidrostático</t>
  </si>
  <si>
    <t>BD = 1,112 − 0,00043499·Σ7 + 0,00000055·Σ7² − 0,00028826·edad</t>
  </si>
  <si>
    <t>g/mL; mm; años</t>
  </si>
  <si>
    <t>Muestra mayoritariamente caucásica no atleta; error ~3,5 %grasa.</t>
  </si>
  <si>
    <t>Br J Nutr 1978;40:497-504</t>
  </si>
  <si>
    <t>2026-07-16</t>
  </si>
  <si>
    <t>Artículo con derechos de autor; solo se usan los coeficientes.</t>
  </si>
  <si>
    <t>Densidad · JP 7 y 3 sitios (mujeres)</t>
  </si>
  <si>
    <t>Jackson AS, Pollock ML, Ward A — Med Sci Sports Exerc 12:175-182</t>
  </si>
  <si>
    <t>1980</t>
  </si>
  <si>
    <t>249 mujeres, 18–55 años; pesaje hidrostático</t>
  </si>
  <si>
    <t>BD = 1,097 − 0,00046971·Σ7 + 0,00000056·Σ7² − 0,00012828·edad</t>
  </si>
  <si>
    <t>Precaución en mujeres mayores de 40 años.</t>
  </si>
  <si>
    <t>Med Sci Sports Exerc 1980;12:175-182</t>
  </si>
  <si>
    <t>Densidad · JP 3 sitios (hombres)</t>
  </si>
  <si>
    <t>Sitios: pectoral, abdominal, muslo</t>
  </si>
  <si>
    <t>BD = 1,10938 − 0,0008267·Σ3 + 0,0000016·Σ3² − 0,0002574·edad</t>
  </si>
  <si>
    <t>Versión abreviada; algo menos precisa que la de 7 sitios.</t>
  </si>
  <si>
    <t>Densidad · Durnin–Womersley 4</t>
  </si>
  <si>
    <t>Durnin JVGA, Womersley J — Br J Nutr 32:77-97</t>
  </si>
  <si>
    <t>1974</t>
  </si>
  <si>
    <t>481 personas, 16–72 años; pesaje hidrostático</t>
  </si>
  <si>
    <t>D = c − m·log10(Σ4); Σ4 = bíceps+tríceps+subescapular+suprailíaco</t>
  </si>
  <si>
    <t>g/mL; mm</t>
  </si>
  <si>
    <t>Ecuación general británica; depende de la técnica del evaluador.</t>
  </si>
  <si>
    <t>10.1079/bjn19740060</t>
  </si>
  <si>
    <t>% grasa · Faulkner (4 pliegues)</t>
  </si>
  <si>
    <t>Faulkner JA (derivada de Yuhasz)</t>
  </si>
  <si>
    <t>1968</t>
  </si>
  <si>
    <t>Uso extendido en el ámbito deportivo</t>
  </si>
  <si>
    <t>%grasa = 0,153·(tríceps+subescapular+suprailíaco+abdominal) + 5,783</t>
  </si>
  <si>
    <t>%; mm</t>
  </si>
  <si>
    <t>ATRIBUCIÓN SECUNDARIA: la primaria (tesis 1968) no se inspeccionó. Verifíquela antes de un uso formal.</t>
  </si>
  <si>
    <t>Manuales de cineantropometría</t>
  </si>
  <si>
    <t>Fórmula divulgada; se cita como referencia.</t>
  </si>
  <si>
    <t>Densidad → % grasa · Siri</t>
  </si>
  <si>
    <t>Siri WE — NAS-NRC</t>
  </si>
  <si>
    <t>1961</t>
  </si>
  <si>
    <t>Modelo de dos compartimentos</t>
  </si>
  <si>
    <t>%grasa = 495/D − 450</t>
  </si>
  <si>
    <t>%; D g/mL</t>
  </si>
  <si>
    <t>Densidades fijas de los compartimentos; menos válida en extremos.</t>
  </si>
  <si>
    <t>Siri 1961 (NAS-NRC)</t>
  </si>
  <si>
    <t>Obra clásica; solo se usa la ecuación.</t>
  </si>
  <si>
    <t>Densidad → % grasa · Brožek</t>
  </si>
  <si>
    <t>Brožek J et al. — Ann N Y Acad Sci 110:113-140</t>
  </si>
  <si>
    <t>1963</t>
  </si>
  <si>
    <t>Cuerpo de referencia</t>
  </si>
  <si>
    <t>%grasa = 457/D − 414</t>
  </si>
  <si>
    <t>Alternativa a Siri; difiere en los extremos.</t>
  </si>
  <si>
    <t>10.1111/j.1749-6632.1963.tb17079.x</t>
  </si>
  <si>
    <t>Artículo con derechos de autor; solo se usa la ecuación.</t>
  </si>
  <si>
    <t>Error técnico de medición (ETM)</t>
  </si>
  <si>
    <t>ISAK — International Standards for Anthropometric Assessment</t>
  </si>
  <si>
    <t>2001/vigente</t>
  </si>
  <si>
    <t>Estándar internacional de cineantropometría</t>
  </si>
  <si>
    <t>ETM = √(Σd²/2k); ETM% = ETM/media · límites 5 % / 7,5 %</t>
  </si>
  <si>
    <t>mm; %</t>
  </si>
  <si>
    <t>El ETM mide reproducibilidad, no exactitud: un ETM bajo no valida la ecuación.</t>
  </si>
  <si>
    <t>ISAK · normas de acreditación</t>
  </si>
  <si>
    <t>Estándar de la sociedad ISAK; se usa la definición (hecho no protegible).</t>
  </si>
  <si>
    <t>Rangos referenciales de % de grasa</t>
  </si>
  <si>
    <t>American Council on Exercise (ACE)</t>
  </si>
  <si>
    <t>referencial</t>
  </si>
  <si>
    <t>Rangos divulgados por categoría y sexo</t>
  </si>
  <si>
    <t>H: esencial 2–5, atlético 6–13, en forma 14–17, aceptable 18–24, obesidad ≥25 %</t>
  </si>
  <si>
    <t>REFERENCIALES; no son un estándar oficial ni un diagnóstico.</t>
  </si>
  <si>
    <t>ACE (rangos divulgados)</t>
  </si>
  <si>
    <t>Rangos de uso general; se citan como referencia.</t>
  </si>
  <si>
    <t>PENDIENTES DE VERIFICACIÓN PRIMARIA: las ecuaciones de Jackson–Pollock, Durnin–Womersley, Siri y Brožek disponen de resumen primario o corroboración por pares, pero no se inspeccionó cada PDF completo. La fórmula de Faulkner es de atribución secundaria (nivel C): confirme la fuente primaria antes de un uso formal.</t>
  </si>
  <si>
    <t>Banco de verificación · el recuento se calcula solo en el RESUMEN</t>
  </si>
  <si>
    <t>REGLA: el valor ESPERADO nunca lee el CONFIG que usa el motor. O es un literal calculado a partir de la fuente publicada, o se reconstruye con los coeficientes publicados escritos de forma explícita. Si alguien corrompe un coeficiente de CONFIG, estas pruebas FALLAN.</t>
  </si>
  <si>
    <t>BLOQUE A · EXACTITUD JACKSON–POLLOCK 7 SITIOS → densidad → % grasa (Siri)</t>
  </si>
  <si>
    <t>ID</t>
  </si>
  <si>
    <t>Descripción</t>
  </si>
  <si>
    <t>Σ7</t>
  </si>
  <si>
    <t>Dif.</t>
  </si>
  <si>
    <t>A01</t>
  </si>
  <si>
    <t>Hombre Σ108</t>
  </si>
  <si>
    <t>A02</t>
  </si>
  <si>
    <t>Mujer Σ120</t>
  </si>
  <si>
    <t>Mujer</t>
  </si>
  <si>
    <t>A03</t>
  </si>
  <si>
    <t>Hombre Σ80</t>
  </si>
  <si>
    <t>A04</t>
  </si>
  <si>
    <t>Mujer Σ150</t>
  </si>
  <si>
    <t>A05</t>
  </si>
  <si>
    <t>Hombre Σ200</t>
  </si>
  <si>
    <t>A06</t>
  </si>
  <si>
    <t>Mujer Σ90</t>
  </si>
  <si>
    <t>BLOQUE B · EXACTITUD JACKSON–POLLOCK 3 SITIOS → densidad → % grasa (Siri)</t>
  </si>
  <si>
    <t>Σ3</t>
  </si>
  <si>
    <t>B01</t>
  </si>
  <si>
    <t>Hombre Σ50</t>
  </si>
  <si>
    <t>B02</t>
  </si>
  <si>
    <t>Mujer Σ60</t>
  </si>
  <si>
    <t>B03</t>
  </si>
  <si>
    <t>Hombre Σ35</t>
  </si>
  <si>
    <t>B04</t>
  </si>
  <si>
    <t>Mujer Σ80</t>
  </si>
  <si>
    <t>B05</t>
  </si>
  <si>
    <t>Hombre Σ90</t>
  </si>
  <si>
    <t>B06</t>
  </si>
  <si>
    <t>Mujer Σ45</t>
  </si>
  <si>
    <t>BLOQUE C · DURNIN–WOMERSLEY (Siri) Y FAULKNER (directo)</t>
  </si>
  <si>
    <t>Método</t>
  </si>
  <si>
    <t>c/A</t>
  </si>
  <si>
    <t>m/B</t>
  </si>
  <si>
    <t>Σ4</t>
  </si>
  <si>
    <t>C01</t>
  </si>
  <si>
    <t>DW H 30–40</t>
  </si>
  <si>
    <t>DW</t>
  </si>
  <si>
    <t>C02</t>
  </si>
  <si>
    <t>DW M 20–30</t>
  </si>
  <si>
    <t>C03</t>
  </si>
  <si>
    <t>DW H 40–50</t>
  </si>
  <si>
    <t>C04</t>
  </si>
  <si>
    <t>FA</t>
  </si>
  <si>
    <t>C05</t>
  </si>
  <si>
    <t>C06</t>
  </si>
  <si>
    <t>BLOQUE D · ERROR TÉCNICO DE MEDICIÓN (ETM) · ±0,05 mm</t>
  </si>
  <si>
    <t>Σd²</t>
  </si>
  <si>
    <t>k</t>
  </si>
  <si>
    <t>ETMabs obt</t>
  </si>
  <si>
    <t>ETMabs esp</t>
  </si>
  <si>
    <t>Est.abs</t>
  </si>
  <si>
    <t>ETMrel obt</t>
  </si>
  <si>
    <t>ETMrel esp</t>
  </si>
  <si>
    <t>Est.rel</t>
  </si>
  <si>
    <t>D01</t>
  </si>
  <si>
    <t>Caso tipo</t>
  </si>
  <si>
    <t>D02</t>
  </si>
  <si>
    <t>Sin error</t>
  </si>
  <si>
    <t>D03</t>
  </si>
  <si>
    <t>Alto error</t>
  </si>
  <si>
    <t>BLOQUE E · COMPOSICIÓN (MG, MLG, IMLG) · ±0,05</t>
  </si>
  <si>
    <t>% grasa</t>
  </si>
  <si>
    <t>Talla m</t>
  </si>
  <si>
    <t>MG obt</t>
  </si>
  <si>
    <t>MG esp</t>
  </si>
  <si>
    <t>Est.MG</t>
  </si>
  <si>
    <t>IMLG obt</t>
  </si>
  <si>
    <t>IMLG esp</t>
  </si>
  <si>
    <t>Est.IMLG</t>
  </si>
  <si>
    <t>E01</t>
  </si>
  <si>
    <t>E02</t>
  </si>
  <si>
    <t>E03</t>
  </si>
  <si>
    <t>BLOQUE F · VALIDACIONES: vacíos, texto, negativos, imposibles</t>
  </si>
  <si>
    <t>Escenario</t>
  </si>
  <si>
    <t>Entrada</t>
  </si>
  <si>
    <t>Comportamiento esperado</t>
  </si>
  <si>
    <t>Comportamiento obtenido</t>
  </si>
  <si>
    <t>F01</t>
  </si>
  <si>
    <t>Edad menor de edad (15)</t>
  </si>
  <si>
    <t>15</t>
  </si>
  <si>
    <t>ERROR: edad fuera del alcance adulto</t>
  </si>
  <si>
    <t>F02</t>
  </si>
  <si>
    <t>Edad textual</t>
  </si>
  <si>
    <t>quince</t>
  </si>
  <si>
    <t>ERROR: edad no numérica</t>
  </si>
  <si>
    <t>F03</t>
  </si>
  <si>
    <t>Peso negativo (−5)</t>
  </si>
  <si>
    <t>-5</t>
  </si>
  <si>
    <t>ERROR: peso fuera de rango</t>
  </si>
  <si>
    <t>F04</t>
  </si>
  <si>
    <t>Estatura imposible (400)</t>
  </si>
  <si>
    <t>400</t>
  </si>
  <si>
    <t>ERROR: estatura fuera de rango</t>
  </si>
  <si>
    <t>F05</t>
  </si>
  <si>
    <t>Pliegue cero</t>
  </si>
  <si>
    <t>0</t>
  </si>
  <si>
    <t>ERROR: pliegue fuera de rango</t>
  </si>
  <si>
    <t>F06</t>
  </si>
  <si>
    <t>Pliegue 95 mm</t>
  </si>
  <si>
    <t>95</t>
  </si>
  <si>
    <t>F07</t>
  </si>
  <si>
    <t>% grasa 90 %</t>
  </si>
  <si>
    <t>0.9</t>
  </si>
  <si>
    <t>ERROR: % de grasa fuera del rango plausible</t>
  </si>
  <si>
    <t>F08</t>
  </si>
  <si>
    <t>ETM relativo 4 % → OK</t>
  </si>
  <si>
    <t>0.04</t>
  </si>
  <si>
    <t>OK (≤5%)</t>
  </si>
  <si>
    <t>F09</t>
  </si>
  <si>
    <t>ETM relativo 6 % → aceptable</t>
  </si>
  <si>
    <t>0.06</t>
  </si>
  <si>
    <t>Aceptable (5–7,5%)</t>
  </si>
  <si>
    <t>F10</t>
  </si>
  <si>
    <t>ETM relativo 9 % → revisar</t>
  </si>
  <si>
    <t>0.09</t>
  </si>
  <si>
    <t>Revisar técnica (&gt;7,5%)</t>
  </si>
  <si>
    <t>BLOQUE G · INTEGRIDAD: cero errores de Excel</t>
  </si>
  <si>
    <t>Rango verificado</t>
  </si>
  <si>
    <t>Nº errores</t>
  </si>
  <si>
    <t>G01</t>
  </si>
  <si>
    <t>CALCULOS!B7:B55</t>
  </si>
  <si>
    <t>G02</t>
  </si>
  <si>
    <t>PLIEGUES!E7:F14</t>
  </si>
  <si>
    <t>G03</t>
  </si>
  <si>
    <t>RESULTADOS!B6:F60</t>
  </si>
  <si>
    <t>BLOQUE H · COTEJO CON EL MOTOR (caso vivo · reconstrucción literal)</t>
  </si>
  <si>
    <t>Verificación</t>
  </si>
  <si>
    <t>Obtenido (motor)</t>
  </si>
  <si>
    <t>Esperado (literal)</t>
  </si>
  <si>
    <t>H01</t>
  </si>
  <si>
    <t>% grasa JP7 (Hombre, Siri)</t>
  </si>
  <si>
    <t>H02</t>
  </si>
  <si>
    <t>% grasa Faulkner</t>
  </si>
  <si>
    <t>H03</t>
  </si>
  <si>
    <t>H04</t>
  </si>
  <si>
    <t>Masa grasa = %rep × peso</t>
  </si>
  <si>
    <t>RESUMEN DEL BANCO DE PRUEBAS</t>
  </si>
  <si>
    <t>Casos totales</t>
  </si>
  <si>
    <t>Aprobados</t>
  </si>
  <si>
    <t>Fallidos</t>
  </si>
  <si>
    <t>ESTADO GLOBAL</t>
  </si>
  <si>
    <t>Parámetros, coeficientes y catálogos · versión 1.0</t>
  </si>
  <si>
    <t>Toda constante del modelo vive aquí; ninguna fórmula del libro contiene un coeficiente escrito a mano. Las celdas arena son editables. Cambiar un valor aquí propaga a todo el libro y hace FALLAR las pruebas que cotejan contra la fuente publicada.</t>
  </si>
  <si>
    <t>C1 · PARÁMETROS, LÍMITES Y COEFICIENTES</t>
  </si>
  <si>
    <t>Parámetro</t>
  </si>
  <si>
    <t>Tipo</t>
  </si>
  <si>
    <t>Nota / fuente</t>
  </si>
  <si>
    <t>Idioma</t>
  </si>
  <si>
    <t>Español (es-CL)</t>
  </si>
  <si>
    <t>Interfaz</t>
  </si>
  <si>
    <t>Versión de las fuentes</t>
  </si>
  <si>
    <t>2026-07 · v1.0</t>
  </si>
  <si>
    <t>Ver hoja FUENTES</t>
  </si>
  <si>
    <t>Edad mínima (adulto)</t>
  </si>
  <si>
    <t>IMPOSIBLE</t>
  </si>
  <si>
    <t>Alcance: solo adultos</t>
  </si>
  <si>
    <t>Edad máxima plausible</t>
  </si>
  <si>
    <t>Límite operativo</t>
  </si>
  <si>
    <t>Peso mínimo posible</t>
  </si>
  <si>
    <t>Peso máximo posible</t>
  </si>
  <si>
    <t>Estatura mínima posible</t>
  </si>
  <si>
    <t>Estatura máxima posible</t>
  </si>
  <si>
    <t>Pliegue mínimo por sitio</t>
  </si>
  <si>
    <t>Guarda de cada pliegue</t>
  </si>
  <si>
    <t>Pliegue máximo por sitio</t>
  </si>
  <si>
    <t>% de grasa mínimo plausible</t>
  </si>
  <si>
    <t>Grasa esencial</t>
  </si>
  <si>
    <t>% de grasa máximo plausible</t>
  </si>
  <si>
    <t>Rango máximo aceptado entre métodos</t>
  </si>
  <si>
    <t>Umbral</t>
  </si>
  <si>
    <t>Rango (máx−mín) del % de grasa, en puntos porcentuales</t>
  </si>
  <si>
    <t>ETM relativo · límite OK (ISAK)</t>
  </si>
  <si>
    <t>≤5 % intraevaluador experimentado</t>
  </si>
  <si>
    <t>ETM relativo · límite aceptable</t>
  </si>
  <si>
    <t>5–7,5 % aceptable; &gt;7,5 % revisar técnica</t>
  </si>
  <si>
    <t>Tolerancia de pruebas · fracción</t>
  </si>
  <si>
    <t>% de grasa (fracción)</t>
  </si>
  <si>
    <t>Tolerancia de pruebas · kg</t>
  </si>
  <si>
    <t>Masa (kg)</t>
  </si>
  <si>
    <t>Tolerancia de pruebas · mm</t>
  </si>
  <si>
    <t>Pliegues y ETM</t>
  </si>
  <si>
    <t>Siri (1961) · numerador</t>
  </si>
  <si>
    <t>Coef.</t>
  </si>
  <si>
    <t>Siri (1961) · término</t>
  </si>
  <si>
    <t>Brožek (1963) · numerador</t>
  </si>
  <si>
    <t>Brožek (1963) · término</t>
  </si>
  <si>
    <t>Faulkner (1968) · pendiente</t>
  </si>
  <si>
    <t>%grasa = 0,153·Σ4 + 5,783</t>
  </si>
  <si>
    <t>Faulkner (1968) · intersección</t>
  </si>
  <si>
    <t>Jackson–Pollock 7 · hombre · a</t>
  </si>
  <si>
    <t>BD = a − b1·Σ + b2·Σ² − b3·edad</t>
  </si>
  <si>
    <t>Jackson–Pollock 7 · hombre · b1</t>
  </si>
  <si>
    <t>Jackson–Pollock 7 · hombre · b2</t>
  </si>
  <si>
    <t>Jackson–Pollock 7 · hombre · b3</t>
  </si>
  <si>
    <t>Jackson–Pollock 7 · mujer · a</t>
  </si>
  <si>
    <t>Jackson–Pollock 7 · mujer · b1</t>
  </si>
  <si>
    <t>Jackson–Pollock 7 · mujer · b2</t>
  </si>
  <si>
    <t>Jackson–Pollock 7 · mujer · b3</t>
  </si>
  <si>
    <t>Jackson–Pollock 3 · hombre · a</t>
  </si>
  <si>
    <t>Sitios H: pectoral, abdominal, muslo</t>
  </si>
  <si>
    <t>Jackson–Pollock 3 · hombre · b1</t>
  </si>
  <si>
    <t>Jackson–Pollock 3 · hombre · b2</t>
  </si>
  <si>
    <t>Jackson–Pollock 3 · hombre · b3</t>
  </si>
  <si>
    <t>Jackson–Pollock 3 · mujer · a</t>
  </si>
  <si>
    <t>Sitios M: tríceps, suprailíaco, muslo</t>
  </si>
  <si>
    <t>Jackson–Pollock 3 · mujer · b1</t>
  </si>
  <si>
    <t>Jackson–Pollock 3 · mujer · b2</t>
  </si>
  <si>
    <t>Jackson–Pollock 3 · mujer · b3</t>
  </si>
  <si>
    <t>C2 · SEXOS</t>
  </si>
  <si>
    <t>Nota</t>
  </si>
  <si>
    <t>Ecuaciones derivadas en varones</t>
  </si>
  <si>
    <t>Ecuaciones derivadas en mujeres</t>
  </si>
  <si>
    <t>C3 · ECUACIÓN A REPORTAR</t>
  </si>
  <si>
    <t>Ecuación (lista)</t>
  </si>
  <si>
    <t>Sitios que exige</t>
  </si>
  <si>
    <t>pectoral, axilar, tríceps, subescapular, abdominal, suprailíaco, muslo</t>
  </si>
  <si>
    <t>H: pectoral, abdominal, muslo · M: tríceps, suprailíaco, muslo</t>
  </si>
  <si>
    <t>bíceps, tríceps, subescapular, suprailíaco</t>
  </si>
  <si>
    <t>tríceps, subescapular, suprailíaco, abdominal</t>
  </si>
  <si>
    <t>C4 · CONVERSIÓN DENSIDAD → % DE GRASA (JP y DW)</t>
  </si>
  <si>
    <t>Fórmula (lista)</t>
  </si>
  <si>
    <t>Expresión</t>
  </si>
  <si>
    <t>Brožek (1963)</t>
  </si>
  <si>
    <t>C5 · LISTA SÍ / NO</t>
  </si>
  <si>
    <t>C6 · DURNIN–WOMERSLEY (1974) · densidad = c − m·log10(Σ4) · por sexo y banda etaria</t>
  </si>
  <si>
    <t>Edad desde (≥)</t>
  </si>
  <si>
    <t>Edad hasta (&lt;)</t>
  </si>
  <si>
    <t>c</t>
  </si>
  <si>
    <t>C7 · % DE GRASA · RANGOS REFERENCIALES POR SEXO (ACE) · corte inferior (≥)</t>
  </si>
  <si>
    <t>Categoría</t>
  </si>
  <si>
    <t>Corte inferior (≥)</t>
  </si>
  <si>
    <t>2–5 %</t>
  </si>
  <si>
    <t>Atlético</t>
  </si>
  <si>
    <t>6–13 %</t>
  </si>
  <si>
    <t>En forma</t>
  </si>
  <si>
    <t>14–17 %</t>
  </si>
  <si>
    <t>Aceptable</t>
  </si>
  <si>
    <t>18–24 %</t>
  </si>
  <si>
    <t>Obesidad</t>
  </si>
  <si>
    <t>≥25 %</t>
  </si>
  <si>
    <t>10–13 %</t>
  </si>
  <si>
    <t>14–20 %</t>
  </si>
  <si>
    <t>21–24 %</t>
  </si>
  <si>
    <t>25–31 %</t>
  </si>
  <si>
    <t>≥32 %</t>
  </si>
  <si>
    <t>Rangos REFERENCIALES (American Council on Exercise). NO son un estándar oficial. Las ecuaciones de pliegues NO son intercambiables entre sí: elija UNA validada para su población y úsela de forma consistente.</t>
  </si>
  <si>
    <t>Motivo</t>
  </si>
  <si>
    <t>Versión inicial. Panel ISAK de 8 sitios con doble medición y error técnico de medición (ETM) intraevaluador; cuatro ecuaciones (Jackson–Pollock 7 y 3 sitios, Durnin–Womersley, Faulkner) con reconciliación y Σ de pliegues para seguimiento.</t>
  </si>
  <si>
    <t>Primera entrega del producto 36.</t>
  </si>
  <si>
    <t>Equipo Nutrimetría</t>
  </si>
  <si>
    <t>Banco de pruebas con exactitud de las cuatro ecuaciones, ETM, composición, validaciones e integridad, con valores esperados independientes del CONFIG.</t>
  </si>
  <si>
    <t>Control de calidad.</t>
  </si>
  <si>
    <t>NUTRIMETRÍA  ·  NMX-12</t>
  </si>
  <si>
    <t>Calculadora de grasa y composición corporal · versión 1.0</t>
  </si>
  <si>
    <t>Localización</t>
  </si>
  <si>
    <t>Chile (es-CL) · clasificación anclada a MINSAL y OMS</t>
  </si>
  <si>
    <t>NO APLICA A: embarazo · lactancia · menores de edad · pacientes críticos · atletas de élite (subestima/sobrestima).</t>
  </si>
  <si>
    <t>Los métodos ESTIMAN la composición; la referencia son DEXA o pesaje hidrostático.</t>
  </si>
  <si>
    <t>La clasificación de IMC y cintura usa cortes del MINSAL/OMS. Los rangos de % de grasa (ACE) son REFERENCIALES.</t>
  </si>
  <si>
    <t>La antropometría depende de la técnica del evaluador: pliegues y circunferencias mal tomados invalidan el resultado.</t>
  </si>
  <si>
    <t>Proveer una herramienta de cálculo automatizado que permita estimar la composición corporal (porcentaje de grasa y masa libre de grasa) a partir de mediciones de pliegues cutáneos y circunferencias, sirviendo como apoyo práctico para el diagnóstico y la planificación alimentaria.</t>
  </si>
  <si>
    <t>Personas adultas (≥18 años) en condición estable. No aplica a embarazo, lactancia, menores de edad, pacientes críticos ni atletas de élite.</t>
  </si>
  <si>
    <t>Los métodos ESTIMAN la composición corporal; la referencia son DEXA o pesaje hidrostático.</t>
  </si>
  <si>
    <t>Método 1 (pliegues): densidad = c − m·log10(Σ4 pliegues) → % grasa por Siri (495/D−450) o Brožek (457/D−414).</t>
  </si>
  <si>
    <t>Método 2 (circunferencias): fórmula US Navy con cuello, cintura, estatura (y cadera en mujeres).</t>
  </si>
  <si>
    <t>Método 3 (IMC): Deurenberg = 1,20·IMC + 0,23·edad − 10,8·sexo − 5,4.</t>
  </si>
  <si>
    <t>Distribución: ICC = cintura/cadera · ICE = cintura/estatura, con cortes de riesgo MINSAL/OMS.</t>
  </si>
  <si>
    <t>Datos de entrada · variables ingresadas por el usuario</t>
  </si>
  <si>
    <t>► Viene cargado un CASO DE EJEMPLO realista. Reemplace los valores por los de su paciente.</t>
  </si>
  <si>
    <t>Código interno de la evaluación.</t>
  </si>
  <si>
    <t>Prefiera un CÓDIGO si va a compartir el archivo.</t>
  </si>
  <si>
    <t>Las ecuaciones se derivaron por sexo biológico.</t>
  </si>
  <si>
    <t>Balanza calibrada, ropa ligera.</t>
  </si>
  <si>
    <t>De pie, sin zapatos.</t>
  </si>
  <si>
    <t>Método de % de grasa a reportar</t>
  </si>
  <si>
    <t>1 · Pliegues (Durnin–Womersley 1974)</t>
  </si>
  <si>
    <t>Los tres métodos se calculan; este define cuál se destaca.</t>
  </si>
  <si>
    <t>Solo afecta al método de pliegues.</t>
  </si>
  <si>
    <t>Pliegue bíceps</t>
  </si>
  <si>
    <t>Entre 1 y 80</t>
  </si>
  <si>
    <t>Pliegue vertical, cara anterior del brazo.</t>
  </si>
  <si>
    <t>Pliegue tríceps</t>
  </si>
  <si>
    <t>Pliegue vertical, cara posterior del brazo.</t>
  </si>
  <si>
    <t>Pliegue subescapular</t>
  </si>
  <si>
    <t>Pliegue oblicuo bajo el ángulo de la escápula.</t>
  </si>
  <si>
    <t>Pliegue suprailíaco</t>
  </si>
  <si>
    <t>Pliegue sobre la cresta ilíaca.</t>
  </si>
  <si>
    <t>Circunferencia de cuello</t>
  </si>
  <si>
    <t>Entre 20 y 70</t>
  </si>
  <si>
    <t>Bajo la laringe. Necesaria para el método de circunferencias.</t>
  </si>
  <si>
    <t>Circunferencia de cintura</t>
  </si>
  <si>
    <t>Entre 40 y 200</t>
  </si>
  <si>
    <t>En el punto medio entre última costilla y cresta ilíaca.</t>
  </si>
  <si>
    <t>Circunferencia de cadera</t>
  </si>
  <si>
    <t>Entre 50 y 200</t>
  </si>
  <si>
    <t>En la máxima prominencia glútea. Necesaria en mujeres (Navy) e ICC.</t>
  </si>
  <si>
    <t>Contexto clínico, criterios, calidad de la medición.</t>
  </si>
  <si>
    <t>► Los tres métodos se comparan en RESULTADOS. Si discrepan mucho, el libro lo advierte.</t>
  </si>
  <si>
    <t>Motor de cálculo · densidad, % de grasa por tres métodos y composición</t>
  </si>
  <si>
    <t>◀ DATOS</t>
  </si>
  <si>
    <t>▶ RESULTADOS</t>
  </si>
  <si>
    <t>Cada celda calculada declara su fórmula. Las guardas devuelven texto 'ND: …' en vez de errores de Excel, de modo que un dato ausente no rompe la cadena.</t>
  </si>
  <si>
    <t>BLOQUE 0 · BASE</t>
  </si>
  <si>
    <t>Σ de los 4 pliegues</t>
  </si>
  <si>
    <t>BLOQUE 2 · % DE GRASA POR TRES MÉTODOS (fracción)</t>
  </si>
  <si>
    <t>Coeficiente c por sexo y banda etaria</t>
  </si>
  <si>
    <t>Coeficiente m por sexo y banda etaria</t>
  </si>
  <si>
    <t>Densidad corporal (pliegues)</t>
  </si>
  <si>
    <t>Método 1 · % grasa (pliegues)</t>
  </si>
  <si>
    <t>Siri o Brožek sobre la densidad</t>
  </si>
  <si>
    <t>Método 2 · % grasa (US Navy)</t>
  </si>
  <si>
    <t>Circunferencias (cm) con log10</t>
  </si>
  <si>
    <t>Método 3 · % grasa (Deurenberg)</t>
  </si>
  <si>
    <t>1,20·IMC+0,23·edad−10,8·sexo−5,4</t>
  </si>
  <si>
    <t>BLOQUE 3 · RECONCILIACIÓN DE LOS MÉTODOS</t>
  </si>
  <si>
    <t>Método elegido en DATOS</t>
  </si>
  <si>
    <t>Métodos con dato (n)</t>
  </si>
  <si>
    <t>Cuántos métodos entregaron número</t>
  </si>
  <si>
    <t>Promedio de los métodos</t>
  </si>
  <si>
    <t>rango/promedio</t>
  </si>
  <si>
    <t>Compara la amplitud con DISP_MAX</t>
  </si>
  <si>
    <t>BLOQUE 4 · COMPOSICIÓN CORPORAL (según el método reportado)</t>
  </si>
  <si>
    <t>BLOQUE 5 · DISTRIBUCIÓN Y RIESGO CARDIOMETABÓLICO</t>
  </si>
  <si>
    <t>Índice cintura/cadera (ICC)</t>
  </si>
  <si>
    <t>cintura/cadera</t>
  </si>
  <si>
    <t>Índice cintura/estatura (ICE)</t>
  </si>
  <si>
    <t>cintura/estatura</t>
  </si>
  <si>
    <t>Riesgo por circunferencia de cintura</t>
  </si>
  <si>
    <t>Cortes MINSAL/OMS (H≥102, M≥88)</t>
  </si>
  <si>
    <t>Riesgo por ICC</t>
  </si>
  <si>
    <t>OMS 2008 (H≥0,90, M≥0,85)</t>
  </si>
  <si>
    <t>Riesgo por ICE</t>
  </si>
  <si>
    <t>Umbral general ≥0,5</t>
  </si>
  <si>
    <t>BLOQUE 6 · CLASIFICACIÓN</t>
  </si>
  <si>
    <t>Clasificación por IMC</t>
  </si>
  <si>
    <t>OMS para adultos; MINSAL para ≥65 años</t>
  </si>
  <si>
    <t>Clasificación por % grasa (referencial ACE)</t>
  </si>
  <si>
    <t>BLOQUE 7 · ADVERTENCIAS</t>
  </si>
  <si>
    <t>Método reportado sin datos</t>
  </si>
  <si>
    <t>Dispersión entre métodos</t>
  </si>
  <si>
    <t>Circunferencias faltantes (método 2)</t>
  </si>
  <si>
    <t>Grasa esencial baja</t>
  </si>
  <si>
    <t>Informe de grasa y composición corporal</t>
  </si>
  <si>
    <t>Método reportado</t>
  </si>
  <si>
    <t>% DE GRASA POR LOS TRES MÉTODOS</t>
  </si>
  <si>
    <t>1 · Pliegues (Durnin–Womersley → Siri/Brožek)</t>
  </si>
  <si>
    <t>Durnin–Womersley 1974</t>
  </si>
  <si>
    <t>2 · Circunferencias (US Navy)</t>
  </si>
  <si>
    <t>Hodgdon–Beckett 1984</t>
  </si>
  <si>
    <t>3 · IMC (Deurenberg)</t>
  </si>
  <si>
    <t>Deurenberg 1991</t>
  </si>
  <si>
    <t>MÉTODO REPORTADO</t>
  </si>
  <si>
    <t>CONCORDANCIA ENTRE MÉTODOS</t>
  </si>
  <si>
    <t>COMPOSICIÓN CORPORAL (según el método reportado)</t>
  </si>
  <si>
    <t>DISTRIBUCIÓN Y RIESGO CARDIOMETABÓLICO</t>
  </si>
  <si>
    <t>Clasificación</t>
  </si>
  <si>
    <t>Corte aplicado</t>
  </si>
  <si>
    <t>≥0,50</t>
  </si>
  <si>
    <t>1 · Pliegues</t>
  </si>
  <si>
    <t>2 · Circunferencias</t>
  </si>
  <si>
    <t>3 · IMC</t>
  </si>
  <si>
    <t>Circunferencias faltantes</t>
  </si>
  <si>
    <t>EXACTITUD MATEMÁTICA ≠ VALIDACIÓN CLÍNICA. Los coeficientes se cotejaron contra las fuentes de la hoja FUENTES, pero este archivo NO está validado clínicamente. Los métodos antropométricos ESTIMAN la composición corporal; la referencia son técnicas como DEXA o pesaje hidrostático. No constituyen diagnóstico ni prescripción.</t>
  </si>
  <si>
    <t>Trazabilidad · anclaje regional a Chile (INTA U. de Chile y MINSAL)</t>
  </si>
  <si>
    <t>LOCALIZACIÓN: por indicación, se ELIMINARON las fuentes de USDA (FoodData Central) y del Instituto Nacional de Salud del Perú. El anclaje poblacional y de clasificación es EXCLUSIVAMENTE chileno: INTA (Universidad de Chile) y MINSAL, con la OMS como referencia adoptada por el propio MINSAL. NIVEL A = documento oficial o publicación primaria · B = resumen primario / corroboración por pares · C = fuente secundaria. EXACTITUD ≠ VALIDACIÓN CLÍNICA.</t>
  </si>
  <si>
    <t>Densidad por 4 pliegues</t>
  </si>
  <si>
    <t>Durnin JVGA, Womersley J — Br J Nutr 32(1):77-97</t>
  </si>
  <si>
    <t>481 personas (209 H, 272 M), 16–72 años; pesaje hidrostático</t>
  </si>
  <si>
    <t>D = c − m·log10(Σ bíceps+tríceps+subescapular+suprailíaco)</t>
  </si>
  <si>
    <t>g/mL; pliegues mm</t>
  </si>
  <si>
    <t>Muestra británica; ecuación general. Depende de la técnica del evaluador.</t>
  </si>
  <si>
    <t>Artículo con derechos de autor; solo se usan los coeficientes (hecho no protegible).</t>
  </si>
  <si>
    <t>Siri WE — en Techniques for Measuring Body Composition (NAS-NRC)</t>
  </si>
  <si>
    <t>Modelo de dos compartimentos (grasa / libre de grasa)</t>
  </si>
  <si>
    <t>% ; D g/mL</t>
  </si>
  <si>
    <t>Asume densidades fijas de los compartimentos; menos válida en extremos de composición.</t>
  </si>
  <si>
    <t>Modelo del cuerpo de referencia</t>
  </si>
  <si>
    <t>Alternativa a Siri; difiere levemente en los extremos.</t>
  </si>
  <si>
    <t>% grasa por circunferencias</t>
  </si>
  <si>
    <t>Hodgdon JA, Beckett MB — Naval Health Research Center (US Navy)</t>
  </si>
  <si>
    <t>1984</t>
  </si>
  <si>
    <t>Personal de la Marina de EE. UU.</t>
  </si>
  <si>
    <t>H: 495/(1,0324−0,19077·log10(cint−cuello)+0,15456·log10(talla))−450 · M usa (cint+cadera−cuello)</t>
  </si>
  <si>
    <t>cm; %</t>
  </si>
  <si>
    <t>Derivada en población militar; sensible a la técnica de medición.</t>
  </si>
  <si>
    <t>NHRC Reports 84-11 / 84-29</t>
  </si>
  <si>
    <t>Informe técnico del gobierno de EE. UU.: dominio público.</t>
  </si>
  <si>
    <t>% grasa por IMC · Deurenberg</t>
  </si>
  <si>
    <t>Deurenberg P, Weststrate JA, Seidell JC — Br J Nutr 65(2):105-114</t>
  </si>
  <si>
    <t>1991</t>
  </si>
  <si>
    <t>1229 sujetos, amplio rango de edad e IMC</t>
  </si>
  <si>
    <t>%grasa = 1,20·IMC + 0,23·edad − 10,8·sexo − 5,4 (H=1, M=0)</t>
  </si>
  <si>
    <t>% ; IMC kg/m²</t>
  </si>
  <si>
    <t>Estimación poblacional; menos precisa en el individuo, deportistas y ancianos.</t>
  </si>
  <si>
    <t>10.1079/bjn19910073</t>
  </si>
  <si>
    <t>Artículo con derechos de autor; solo se usa la ecuación. Citada en material técnico chileno (MINSAL).</t>
  </si>
  <si>
    <t>Modelo de composición · MG y MLG</t>
  </si>
  <si>
    <t>INTA, Universidad de Chile — Salazar G. et al. (Lab. de Metabolismo Energético e Isótopos Estables)</t>
  </si>
  <si>
    <t>2003</t>
  </si>
  <si>
    <t>Población chilena; antropometría contrastada con dilución de deuterio</t>
  </si>
  <si>
    <t>Modelo de dos compartimentos: peso = MG + MLG; MG = %grasa·peso</t>
  </si>
  <si>
    <t>El anclaje regional del marco composicional es chileno; la exactitud sigue dependiendo del método antropométrico.</t>
  </si>
  <si>
    <t>Rev Chil Pediatr 2003;74:37-45 (INTA U. de Chile)</t>
  </si>
  <si>
    <t>Artículo con derechos de autor; se usa el marco conceptual (hecho no protegible). Fuente institucional del INTA.</t>
  </si>
  <si>
    <t>Clasificación por IMC · adulto y adulto mayor</t>
  </si>
  <si>
    <t>MINSAL (Chile) — Norma técnica de evaluación nutricional</t>
  </si>
  <si>
    <t>vigente</t>
  </si>
  <si>
    <t>Adopta cortes OMS para el adulto; cortes propios para ≥65 años</t>
  </si>
  <si>
    <t>Adulto (OMS): 18,5 / 25 / 30 / 35 / 40 · Adulto mayor (MINSAL): 23 / 28 / 32</t>
  </si>
  <si>
    <t>Cortes poblacionales; el IMC no distingue masa grasa de masa magra.</t>
  </si>
  <si>
    <t>MINSAL · Norma de evaluación nutricional</t>
  </si>
  <si>
    <t>Documento oficial del Estado de Chile: acceso público.</t>
  </si>
  <si>
    <t>Circunferencia de cintura e índices de distribución</t>
  </si>
  <si>
    <t>MINSAL (Chile) / OMS — cortes de riesgo cardiometabólico</t>
  </si>
  <si>
    <t>Consensos OMS/NIH adoptados por el MINSAL</t>
  </si>
  <si>
    <t>Cintura: H≥102, M≥88 cm · ICC: H≥0,90, M≥0,85 · ICE ≥0,50</t>
  </si>
  <si>
    <t>cm; adimensional</t>
  </si>
  <si>
    <t>Cortes de tamizaje, no diagnósticos por sí solos.</t>
  </si>
  <si>
    <t>MINSAL / OMS (Waist circumference and WHR, 2008)</t>
  </si>
  <si>
    <t>Documentos oficiales de acceso público.</t>
  </si>
  <si>
    <t>H: esencial 2–5, atlético 6–13, en forma 14–17, aceptable 18–24, obesidad ≥25 % · M: +8 aprox.</t>
  </si>
  <si>
    <t>REFERENCIALES, NO son un estándar chileno oficial. Para diagnóstico priman IMC y cintura (MINSAL).</t>
  </si>
  <si>
    <t>Rangos de uso general; se citan como referencia, no como norma.</t>
  </si>
  <si>
    <t>PENDIENTES DE VERIFICACIÓN PRIMARIA (nivel B): Durnin–Womersley, Siri, Brožek y US Navy disponen de resumen primario o corroboración por pares, pero no se inspeccionó cada PDF completo. La versión y el año exactos de la norma MINSAL vigente deben confirmarse en el sitio oficial del Ministerio de Salud antes de un uso formal.</t>
  </si>
  <si>
    <t>BLOQUE A · EXACTITUD PLIEGUES → DENSIDAD → % GRASA (Durnin–Womersley + Siri/Brožek)</t>
  </si>
  <si>
    <t>Conv.</t>
  </si>
  <si>
    <t>H 30–40 · Siri</t>
  </si>
  <si>
    <t>Siri</t>
  </si>
  <si>
    <t>M 20–30 · Siri</t>
  </si>
  <si>
    <t>H 20–30 · Siri</t>
  </si>
  <si>
    <t>M 50+ · Siri</t>
  </si>
  <si>
    <t>H 40–50 · Brožek</t>
  </si>
  <si>
    <t>Brožek</t>
  </si>
  <si>
    <t>M 30–40 · Brožek</t>
  </si>
  <si>
    <t>BLOQUE B · EXACTITUD % GRASA POR CIRCUNFERENCIAS (US Navy 1984)</t>
  </si>
  <si>
    <t>Hombre típico</t>
  </si>
  <si>
    <t>Hombre atlético</t>
  </si>
  <si>
    <t>Hombre obesidad</t>
  </si>
  <si>
    <t>Mujer típica</t>
  </si>
  <si>
    <t>Mujer atlética</t>
  </si>
  <si>
    <t>Mujer obesidad</t>
  </si>
  <si>
    <t>BLOQUE C · EXACTITUD % GRASA POR IMC (Deurenberg 1991)</t>
  </si>
  <si>
    <t>Hombre normal</t>
  </si>
  <si>
    <t>Mujer normal</t>
  </si>
  <si>
    <t>Hombre joven</t>
  </si>
  <si>
    <t>Mujer mayor</t>
  </si>
  <si>
    <t>BLOQUE D · COMPOSICIÓN CORPORAL (MG, MLG, IMLG) · tolerancia ±0,05 kg / kg·m⁻²</t>
  </si>
  <si>
    <t>D04</t>
  </si>
  <si>
    <t>BLOQUE E · ÍNDICES DE DISTRIBUCIÓN Y CLASIFICACIÓN</t>
  </si>
  <si>
    <t>ICC hombre bajo umbral (0,88)</t>
  </si>
  <si>
    <t>88/100</t>
  </si>
  <si>
    <t>Sin riesgo aumentado</t>
  </si>
  <si>
    <t>Cintura hombre en riesgo (105)</t>
  </si>
  <si>
    <t>105</t>
  </si>
  <si>
    <t>Riesgo aumentado</t>
  </si>
  <si>
    <t>ICE en el umbral (0,50)</t>
  </si>
  <si>
    <t>88/176</t>
  </si>
  <si>
    <t>E04</t>
  </si>
  <si>
    <t>IMC 25,34 adulto → OMS</t>
  </si>
  <si>
    <t>25.3422</t>
  </si>
  <si>
    <t>Sobrepeso (OMS)</t>
  </si>
  <si>
    <t>E05</t>
  </si>
  <si>
    <t>IMC 24 adulto → OMS</t>
  </si>
  <si>
    <t>24</t>
  </si>
  <si>
    <t>Normal (OMS)</t>
  </si>
  <si>
    <t>E06</t>
  </si>
  <si>
    <t>IMC 24 · 70 años → MINSAL AM</t>
  </si>
  <si>
    <t>Normal (MINSAL AM)</t>
  </si>
  <si>
    <t>E07</t>
  </si>
  <si>
    <t>IMC 33 · 70 años → MINSAL AM</t>
  </si>
  <si>
    <t>33</t>
  </si>
  <si>
    <t>Obesidad (MINSAL AM)</t>
  </si>
  <si>
    <t>Cintura ≤ cuello (Navy)</t>
  </si>
  <si>
    <t>cint≤cuello</t>
  </si>
  <si>
    <t>ND: cintura≤cuello</t>
  </si>
  <si>
    <t>% grasa negativo</t>
  </si>
  <si>
    <t>-0.1</t>
  </si>
  <si>
    <t>CALCULOS!B7:B58</t>
  </si>
  <si>
    <t>CONFIG!B8:B54</t>
  </si>
  <si>
    <t>BLOQUE H · COTEJO CON EL MOTOR (caso vivo de DATOS · reconstrucción literal)</t>
  </si>
  <si>
    <t>Esperado (literal desde DATOS)</t>
  </si>
  <si>
    <t>% grasa pliegues (Hombre 30–40, Siri)</t>
  </si>
  <si>
    <t>% grasa circunferencias (US Navy H)</t>
  </si>
  <si>
    <t>% grasa IMC (Deurenberg H)</t>
  </si>
  <si>
    <t>Masa grasa = %grasa reportado × peso</t>
  </si>
  <si>
    <t>Alcance del producto: solo adultos</t>
  </si>
  <si>
    <t>Bajo este valor se considera imposible en un adulto</t>
  </si>
  <si>
    <t>Cuello mínimo</t>
  </si>
  <si>
    <t>Guarda del método de circunferencias</t>
  </si>
  <si>
    <t>Cuello máximo</t>
  </si>
  <si>
    <t>Cintura mínima</t>
  </si>
  <si>
    <t>Guarda de circunferencia</t>
  </si>
  <si>
    <t>Cintura máxima</t>
  </si>
  <si>
    <t>Cadera mínima</t>
  </si>
  <si>
    <t>Cadera máxima</t>
  </si>
  <si>
    <t>Amplitud relativa máxima entre métodos</t>
  </si>
  <si>
    <t>Si se supera, el libro advierte de la discrepancia</t>
  </si>
  <si>
    <t>Diferencia máxima en % de grasa (fracción) del banco de pruebas</t>
  </si>
  <si>
    <t>Diferencia máxima en masa (kg) del banco de pruebas</t>
  </si>
  <si>
    <t>Densidad→grasa</t>
  </si>
  <si>
    <t>US Navy · hombre · a0</t>
  </si>
  <si>
    <t>US Navy · hombre · a1</t>
  </si>
  <si>
    <t>× log10(cintura−cuello)</t>
  </si>
  <si>
    <t>US Navy · hombre · a2</t>
  </si>
  <si>
    <t>× log10(estatura)</t>
  </si>
  <si>
    <t>US Navy · mujer · a0</t>
  </si>
  <si>
    <t>US Navy · mujer · a1</t>
  </si>
  <si>
    <t>× log10(cintura+cadera−cuello)</t>
  </si>
  <si>
    <t>US Navy · mujer · a2</t>
  </si>
  <si>
    <t>Deurenberg (1991) · coef. IMC</t>
  </si>
  <si>
    <t>%grasa = 1,20·IMC + 0,23·edad − 10,8·sexo − 5,4</t>
  </si>
  <si>
    <t>Deurenberg (1991) · coef. edad</t>
  </si>
  <si>
    <t>sexo: hombre=1, mujer=0</t>
  </si>
  <si>
    <t>Deurenberg (1991) · coef. sexo</t>
  </si>
  <si>
    <t>Se resta si hombre</t>
  </si>
  <si>
    <t>Deurenberg (1991) · constante</t>
  </si>
  <si>
    <t>Término independiente</t>
  </si>
  <si>
    <t>IMC · corte normal (OMS)</t>
  </si>
  <si>
    <t>Corte</t>
  </si>
  <si>
    <t>OMS · bajo peso &lt; 18,5</t>
  </si>
  <si>
    <t>IMC · corte sobrepeso (OMS)</t>
  </si>
  <si>
    <t>OMS</t>
  </si>
  <si>
    <t>IMC · corte obesidad I (OMS)</t>
  </si>
  <si>
    <t>IMC · corte obesidad II (OMS)</t>
  </si>
  <si>
    <t>IMC · corte obesidad III (OMS)</t>
  </si>
  <si>
    <t>Edad de adulto mayor (MINSAL)</t>
  </si>
  <si>
    <t>≥65 usa la clasificación IMC del adulto mayor</t>
  </si>
  <si>
    <t>IMC AM · corte normal (MINSAL)</t>
  </si>
  <si>
    <t>MINSAL adulto mayor · bajo peso &lt; 23</t>
  </si>
  <si>
    <t>IMC AM · corte sobrepeso (MINSAL)</t>
  </si>
  <si>
    <t>MINSAL adulto mayor</t>
  </si>
  <si>
    <t>IMC AM · corte obesidad (MINSAL)</t>
  </si>
  <si>
    <t>Cintura · riesgo hombre</t>
  </si>
  <si>
    <t>OMS/NIH-ATP III · riesgo cardiometabólico</t>
  </si>
  <si>
    <t>Cintura · riesgo mujer</t>
  </si>
  <si>
    <t>Índice cintura/cadera · riesgo hombre</t>
  </si>
  <si>
    <t>OMS 2008</t>
  </si>
  <si>
    <t>Índice cintura/cadera · riesgo mujer</t>
  </si>
  <si>
    <t>Índice cintura/estatura · riesgo</t>
  </si>
  <si>
    <t>C3 · MÉTODO DE % DE GRASA A REPORTAR</t>
  </si>
  <si>
    <t>Método (lista)</t>
  </si>
  <si>
    <t>Variables indispensables</t>
  </si>
  <si>
    <t>4 pliegues, sexo, edad</t>
  </si>
  <si>
    <t>2 · Circunferencias (US Navy 1984)</t>
  </si>
  <si>
    <t>cuello, cintura, estatura (y cadera en mujeres)</t>
  </si>
  <si>
    <t>3 · IMC (Deurenberg 1991)</t>
  </si>
  <si>
    <t>peso, estatura, edad, sexo</t>
  </si>
  <si>
    <t>C4 · CONVERSIÓN DE DENSIDAD A % DE GRASA (solo método de pliegues)</t>
  </si>
  <si>
    <t>C6 · DURNIN–WOMERSLEY (1974) · densidad = c − m·log10(Σ4 pliegues) · por sexo y banda etaria</t>
  </si>
  <si>
    <t>Fuente: Durnin JVGA, Womersley J. Br J Nutr 1974;32(1):77-97. DOI 10.1079/bjn19740060. Los 4 pliegues son bíceps, tríceps, subescapular y suprailíaco (mm). Se usa log10 de la SUMA.</t>
  </si>
  <si>
    <t>C7 · % DE GRASA · RANGOS REFERENCIALES POR SEXO (ACE) · corte inferior de cada categoría</t>
  </si>
  <si>
    <t>Rangos REFERENCIALES (American Council on Exercise). NO son un estándar chileno oficial. Para el diagnóstico nutricional, las normas del MINSAL priorizan el IMC y la circunferencia de cintura (ver FUENTES).</t>
  </si>
  <si>
    <t>Versión inicial. Tres métodos de % de grasa (Durnin–Womersley→Siri/Brožek, US Navy, Deurenberg), reconciliación con control de dispersión, composición (MG, MLG, IMG, IMLG) e índices de distribución (cintura, ICC, ICE).</t>
  </si>
  <si>
    <t>Primera entrega del producto 12.</t>
  </si>
  <si>
    <t>LOCALIZACIÓN A CHILE: se eliminaron las fuentes de USDA (FoodData Central) y del INS del Perú. El anclaje de clasificación queda en MINSAL y OMS; el marco de composición se referencia al INTA (Universidad de Chile).</t>
  </si>
  <si>
    <t>Indicación del titular; verificación de licencias.</t>
  </si>
  <si>
    <t>Banco de pruebas con casos de exactitud (las tres ecuaciones), composición, índices de distribución, validaciones e integridad, con valores esperados independientes del CONFIG.</t>
  </si>
  <si>
    <t>NUTRIMETRÍA  ·  NMX-16</t>
  </si>
  <si>
    <t>Calculadora de somatotipo y somatocarta · versión 1.0</t>
  </si>
  <si>
    <t>Medidas corporales</t>
  </si>
  <si>
    <t>Antropométrico de Heath–Carter</t>
  </si>
  <si>
    <t>APLICA A: personas ADULTAS (≥18 años).</t>
  </si>
  <si>
    <t>El somatotipo describe la FORMA corporal; NO mide composición ni diagnostica por sí solo.</t>
  </si>
  <si>
    <t>La precisión depende de la técnica de medición (estándar ISAK): puntos anatómicos y plicómetro calibrado.</t>
  </si>
  <si>
    <t>Los tres componentes deben interpretarse en conjunto, no de forma aislada.</t>
  </si>
  <si>
    <t>Un componente cuyo cálculo sea ≤0 se fija en 0,1 por definición del método.</t>
  </si>
  <si>
    <t>Proveer una herramienta automatizada para determinar los componentes de endomorfia, mesomorfia y ectomorfia según el método antropométrico de Heath-Carter, permitiendo visualizar la distribución morfológica en la somatocarta como complemento a la evaluación física.</t>
  </si>
  <si>
    <t>Personas adultas (≥18 años).</t>
  </si>
  <si>
    <t>Endomorfia: polinomio sobre Σ(tríceps+subescapular+supraespinal) corregida por talla (×170,18/estatura).</t>
  </si>
  <si>
    <t>Mesomorfia: diámetros de húmero y fémur + perímetros de brazo y pantorrilla corregidos − 0,131·talla + 4,5.</t>
  </si>
  <si>
    <t>Ectomorfia: según el índice talla/peso^(1/3) (HWR), en tres tramos.</t>
  </si>
  <si>
    <t>Somatocarta: X = ecto − endo · Y = 2·meso − (endo+ecto).</t>
  </si>
  <si>
    <t>Clasificación en 13 categorías según qué componente domina y sus diferencias.</t>
  </si>
  <si>
    <t>Datos de entrada · identificación y datos básicos</t>
  </si>
  <si>
    <t>► Las mediciones antropométricas se ingresan en la hoja MEDIDAS.</t>
  </si>
  <si>
    <t>Referencia; las ecuaciones HC no dependen del sexo.</t>
  </si>
  <si>
    <t>Necesario para la ectomorfia.</t>
  </si>
  <si>
    <t>Necesaria para las tres componentes.</t>
  </si>
  <si>
    <t>Para trazabilidad.</t>
  </si>
  <si>
    <t>Contexto, calibración, condiciones.</t>
  </si>
  <si>
    <t>Panel antropométrico · Heath–Carter (lado derecho del cuerpo)</t>
  </si>
  <si>
    <t>Marque los puntos anatómicos antes de medir. Los pliegues van en mm; los diámetros óseos y perímetros, en cm. Endomorfia: tríceps + subescapular + supraespinal. Mesomorfia: húmero, fémur, brazo y pantorrilla (perímetros corregidos con sus pliegues). Ectomorfia: peso y estatura (hoja DATOS).</t>
  </si>
  <si>
    <t>Medida</t>
  </si>
  <si>
    <t>Pliegues cutáneos (mm)</t>
  </si>
  <si>
    <t>Supraespinal (cresta ilíaca ant.)</t>
  </si>
  <si>
    <t>Oblicuo, sobre la espina ilíaca anterosuperior.</t>
  </si>
  <si>
    <t>Vertical, cara medial, máximo perímetro.</t>
  </si>
  <si>
    <t>Diámetros óseos (cm)</t>
  </si>
  <si>
    <t>Húmero (biepicondíleo)</t>
  </si>
  <si>
    <t>Entre epicóndilo y epitróclea, codo a 90°.</t>
  </si>
  <si>
    <t>Fémur (biepicondíleo)</t>
  </si>
  <si>
    <t>Entre cóndilos femorales, sentado, rodilla a 90°.</t>
  </si>
  <si>
    <t>Perímetros (cm)</t>
  </si>
  <si>
    <t>Brazo flexionado en tensión</t>
  </si>
  <si>
    <t>Máximo, con el brazo contraído.</t>
  </si>
  <si>
    <t>Pantorrilla (máximo)</t>
  </si>
  <si>
    <t>Máximo perímetro de la pantorrilla.</t>
  </si>
  <si>
    <t>► El brazo y la pantorrilla se corrigen automáticamente restando su pliegue: brazo − tríceps/10 y pantorrilla − pliegue de pantorrilla/10.</t>
  </si>
  <si>
    <t>Motor · endomorfia, mesomorfia, ectomorfia y somatocarta</t>
  </si>
  <si>
    <t>Cada celda declara su fórmula. Las guardas devuelven 'ND: …' en vez de errores. Un componente cuyo cálculo sea ≤0 se fija en 0,1 por definición (Carter).</t>
  </si>
  <si>
    <t>BLOQUE 0 · MEDIDAS DERIVADAS</t>
  </si>
  <si>
    <t>Σ 3 pliegues (endomorfia)</t>
  </si>
  <si>
    <t>tríceps+subescapular+supraespinal</t>
  </si>
  <si>
    <t>Σ corregida por talla (X)</t>
  </si>
  <si>
    <t>Σ3 × (170,18 / estatura)</t>
  </si>
  <si>
    <t>Perímetro de brazo corregido</t>
  </si>
  <si>
    <t>brazo − tríceps/10</t>
  </si>
  <si>
    <t>Perímetro de pantorrilla corregido</t>
  </si>
  <si>
    <t>pantorrilla − pliegue/10</t>
  </si>
  <si>
    <t>Índice talla/peso (HWR)</t>
  </si>
  <si>
    <t>estatura / peso^(1/3)</t>
  </si>
  <si>
    <t>Exige edad adulta, peso y estatura válidos</t>
  </si>
  <si>
    <t>BLOQUE 2 · COMPONENTES DEL SOMATOTIPO</t>
  </si>
  <si>
    <t>Polinomio de 3er grado sobre X</t>
  </si>
  <si>
    <t>Diámetros y perímetros corregidos − 0,131·talla + 4,5</t>
  </si>
  <si>
    <t>Según el tramo del HWR</t>
  </si>
  <si>
    <t>endo − meso − ecto</t>
  </si>
  <si>
    <t>BLOQUE 3 · SOMATOCARTA Y CLASIFICACIÓN</t>
  </si>
  <si>
    <t>Coordenada X</t>
  </si>
  <si>
    <t>ecto − endo</t>
  </si>
  <si>
    <t>Coordenada Y</t>
  </si>
  <si>
    <t>2·meso − (endo+ecto)</t>
  </si>
  <si>
    <t>Máximo componente</t>
  </si>
  <si>
    <t>Mínimo componente</t>
  </si>
  <si>
    <t>Componente medio</t>
  </si>
  <si>
    <t>Clasificación (13 categorías)</t>
  </si>
  <si>
    <t>Regla de Carter &amp; Heath según dominancia</t>
  </si>
  <si>
    <t>BLOQUE 4 · ADVERTENCIAS</t>
  </si>
  <si>
    <t>Endomorfia sin datos</t>
  </si>
  <si>
    <t>Mesomorfia sin datos</t>
  </si>
  <si>
    <t>Ectomorfia sin datos</t>
  </si>
  <si>
    <t>Componente en su piso (0,1)</t>
  </si>
  <si>
    <t>Medida fuera de rango habitual</t>
  </si>
  <si>
    <t>Informe de somatotipo y somatocarta</t>
  </si>
  <si>
    <t>SOMATOTIPO</t>
  </si>
  <si>
    <t>Endomorfia (relativa adiposidad)</t>
  </si>
  <si>
    <t>Mesomorfia (robustez musculoesquelética)</t>
  </si>
  <si>
    <t>Ectomorfia (linealidad)</t>
  </si>
  <si>
    <t>SOMATOCARTA</t>
  </si>
  <si>
    <t>Coordenada X (ecto − endo)</t>
  </si>
  <si>
    <t>Coordenada Y (2·meso − (endo+ecto))</t>
  </si>
  <si>
    <t>Serie</t>
  </si>
  <si>
    <t>X</t>
  </si>
  <si>
    <t>Y</t>
  </si>
  <si>
    <t>DATOS DE APOYO (gráfico de componentes)</t>
  </si>
  <si>
    <t>Componente en su piso</t>
  </si>
  <si>
    <t>Medida fuera de rango</t>
  </si>
  <si>
    <t>EXACTITUD MATEMÁTICA ≠ VALIDACIÓN CLÍNICA. Los coeficientes se cotejaron contra el manual de Heath–Carter, pero este archivo NO está validado clínicamente. El somatotipo describe la FORMA corporal; no mide composición por sí solo ni constituye diagnóstico. La precisión depende de la técnica de medición (ISAK).</t>
  </si>
  <si>
    <t>Trazabilidad del método antropométrico de Heath–Carter</t>
  </si>
  <si>
    <t>NIVEL A = manual/publicación oficial del método · B = corroboración por pares · C = fuente secundaria. Solo se usan ECUACIONES y COEFICIENTES (hechos no protegibles). EXACTITUD BIBLIOGRÁFICA ≠ VALIDACIÓN CLÍNICA.</t>
  </si>
  <si>
    <t>Población / base</t>
  </si>
  <si>
    <t>Método antropométrico de somatotipo</t>
  </si>
  <si>
    <t>Carter JEL — The Heath-Carter Anthropometric Somatotype, Instruction Manual</t>
  </si>
  <si>
    <t>1990/2002</t>
  </si>
  <si>
    <t>Basado en Heath &amp; Carter (1967); San Diego State University</t>
  </si>
  <si>
    <t>Tres componentes: endomorfia, mesomorfia, ectomorfia</t>
  </si>
  <si>
    <t>unidades adimensionales</t>
  </si>
  <si>
    <t>Describe la FORMA, no la composición; depende de la técnica de medición.</t>
  </si>
  <si>
    <t>somatotype.org · Instruction Manual</t>
  </si>
  <si>
    <t>Manual reproducible para uso docente sin permiso específico (según el propio manual); se usan las ecuaciones.</t>
  </si>
  <si>
    <t>Endomorfia (corregida por talla)</t>
  </si>
  <si>
    <t>Carter &amp; Heath</t>
  </si>
  <si>
    <t>1990</t>
  </si>
  <si>
    <t>Polinomio de 3er grado</t>
  </si>
  <si>
    <t>Endo = −0,7182 + 0,1451·X − 0,00068·X² + 0,0000014·X³ ; X = Σ3·(170,18/talla)</t>
  </si>
  <si>
    <t>mm; adimensional</t>
  </si>
  <si>
    <t>Σ3 = tríceps+subescapular+supraespinal; sensible a la calidad de los pliegues.</t>
  </si>
  <si>
    <t>Heath-Carter Manual</t>
  </si>
  <si>
    <t>Se usa la ecuación (hecho no protegible).</t>
  </si>
  <si>
    <t>Diámetros óseos y perímetros corregidos</t>
  </si>
  <si>
    <t>Meso = 0,858·húmero + 0,601·fémur + 0,188·brazoC + 0,161·pantorrillaC − 0,131·talla + 4,5</t>
  </si>
  <si>
    <t>Perímetros corregidos por el pliegue respectivo (÷10 para pasar mm→cm).</t>
  </si>
  <si>
    <t>Ectomorfia (por HWR)</t>
  </si>
  <si>
    <t>Índice talla/peso HWR = talla / peso^(1/3)</t>
  </si>
  <si>
    <t>HWR≥40,75: 0,732·HWR−28,58 · 38,25&lt;HWR&lt;40,75: 0,463·HWR−17,63 · HWR≤38,25: 0,1</t>
  </si>
  <si>
    <t>adimensional</t>
  </si>
  <si>
    <t>Tres tramos; un componente ≤0 se fija en 0,1.</t>
  </si>
  <si>
    <t>Clasificación en 13 categorías</t>
  </si>
  <si>
    <t>Carter &amp; Heath — Somatotyping: development and applications</t>
  </si>
  <si>
    <t>Regla de dominancia de componentes</t>
  </si>
  <si>
    <t>Central / balanceado / ‘-’ / adjetivado según dominancia y diferencias</t>
  </si>
  <si>
    <t>Categoría cualitativa; los valores numéricos son la información primaria.</t>
  </si>
  <si>
    <t>Cambridge University Press, 1990</t>
  </si>
  <si>
    <t>Obra con derechos de autor; se usa el criterio de clasificación (hecho no protegible).</t>
  </si>
  <si>
    <t>Estandarización de la medición</t>
  </si>
  <si>
    <t>Puntos anatómicos y técnica de pliegues, diámetros y perímetros</t>
  </si>
  <si>
    <t>mm; cm</t>
  </si>
  <si>
    <t>La reproducibilidad depende de la acreditación del evaluador.</t>
  </si>
  <si>
    <t>ISAK · normas</t>
  </si>
  <si>
    <t>Estándar de la sociedad ISAK; se usa la definición técnica.</t>
  </si>
  <si>
    <t>VERIFICADO (2026-07-23): el umbral bajo del HWR usado en el motor es 38,25, confirmado contra múltiples fuentes revisadas por pares que aplican el método Heath–Carter (p. ej. Frontiers in Physiology, 2025; PMC). La cifra de 38,35 que circula en algunas copias secundarias (diapositivas) es la errata; no se usa aquí. Aun así, se recomienda cotejar contra la edición física del manual de Carter (1990/2002) antes de un uso clínico o docente formal.</t>
  </si>
  <si>
    <t>NOTA EDITORIAL AÑADIDA (2026-07-23): los límites de "impossible data" para pliegues cutáneos en CONFIG (2 mm a 60 mm) son una cota práctica de plicometría/ISAK definida por el equipo del producto, no un valor tomado del manual Heath–Carter. El titular puede ajustarlos en CONFIG!B16:B17 según su propio protocolo.</t>
  </si>
  <si>
    <t>REGLA: el valor ESPERADO nunca lee el CONFIG que usa el motor. O es un literal calculado a partir del manual de Heath–Carter, o se reconstruye con los coeficientes publicados escritos de forma explícita. Si alguien corrompe un coeficiente de CONFIG, estas pruebas FALLAN.</t>
  </si>
  <si>
    <t>BLOQUE A · EXACTITUD ENDOMORFIA (polinomio corregido por talla)</t>
  </si>
  <si>
    <t>Talla</t>
  </si>
  <si>
    <t>Σ30 H176</t>
  </si>
  <si>
    <t>Σ45 H165</t>
  </si>
  <si>
    <t>Σ60 H180</t>
  </si>
  <si>
    <t>Σ20 H170</t>
  </si>
  <si>
    <t>Σ90 H160</t>
  </si>
  <si>
    <t>Σ15 H190</t>
  </si>
  <si>
    <t>BLOQUE B · EXACTITUD MESOMORFIA</t>
  </si>
  <si>
    <t>Húmero</t>
  </si>
  <si>
    <t>Fémur</t>
  </si>
  <si>
    <t>BrazoC</t>
  </si>
  <si>
    <t>PantC</t>
  </si>
  <si>
    <t>BLOQUE C · EXACTITUD ECTOMORFIA · los tres tramos del HWR</t>
  </si>
  <si>
    <t>Tramo alto</t>
  </si>
  <si>
    <t>Tramo alto delgado</t>
  </si>
  <si>
    <t>Tramo medio</t>
  </si>
  <si>
    <t>Tramo bajo (piso 0,1)</t>
  </si>
  <si>
    <t>Muy delgado</t>
  </si>
  <si>
    <t>Robusto bajo</t>
  </si>
  <si>
    <t>BLOQUE D · COORDENADAS DE LA SOMATOCARTA</t>
  </si>
  <si>
    <t>Endo</t>
  </si>
  <si>
    <t>Meso</t>
  </si>
  <si>
    <t>Ecto</t>
  </si>
  <si>
    <t>X obt</t>
  </si>
  <si>
    <t>X esp</t>
  </si>
  <si>
    <t>Est.X</t>
  </si>
  <si>
    <t>Y obt</t>
  </si>
  <si>
    <t>Y esp</t>
  </si>
  <si>
    <t>Est.Y</t>
  </si>
  <si>
    <t>BLOQUE E · CLASIFICACIÓN EN 13 CATEGORÍAS</t>
  </si>
  <si>
    <t>Endo·Meso·Ecto</t>
  </si>
  <si>
    <t>2.95·5.06·1.51</t>
  </si>
  <si>
    <t>Mesomorfo endomórfico</t>
  </si>
  <si>
    <t>3.0·3.5·3.2</t>
  </si>
  <si>
    <t>Central</t>
  </si>
  <si>
    <t>5.0·2.0·2.0</t>
  </si>
  <si>
    <t>Endomorfo balanceado</t>
  </si>
  <si>
    <t>2.0·5.0·2.2</t>
  </si>
  <si>
    <t>Mesomorfo balanceado</t>
  </si>
  <si>
    <t>2.0·2.2·6.0</t>
  </si>
  <si>
    <t>Ectomorfo balanceado</t>
  </si>
  <si>
    <t>4.5·4.5·1.5</t>
  </si>
  <si>
    <t>Endomorfo-mesomorfo</t>
  </si>
  <si>
    <t>1.5·3.0·5.5</t>
  </si>
  <si>
    <t>Ectomorfo mesomórfico</t>
  </si>
  <si>
    <t>Diámetro imposible (20)</t>
  </si>
  <si>
    <t>20</t>
  </si>
  <si>
    <t>ERROR: diámetro fuera de rango</t>
  </si>
  <si>
    <t>Perímetro imposible (5)</t>
  </si>
  <si>
    <t>5</t>
  </si>
  <si>
    <t>ERROR: perímetro fuera de rango</t>
  </si>
  <si>
    <t>Componente negativo → piso 0,1</t>
  </si>
  <si>
    <t>-0.3</t>
  </si>
  <si>
    <t>Componente 0 → piso 0,1</t>
  </si>
  <si>
    <t>CALCULOS!B7:B39</t>
  </si>
  <si>
    <t>MEDIDAS!C8:C17</t>
  </si>
  <si>
    <t>RESULTADOS!B6:C40</t>
  </si>
  <si>
    <t>BLOQUE H · COTEJO CON EL MOTOR (caso vivo · reconstrucción literal desde MEDIDAS)</t>
  </si>
  <si>
    <t>Coordenada Y somatocarta</t>
  </si>
  <si>
    <t>C1 · PARÁMETROS, LÍMITES Y COEFICIENTES DE HEATH–CARTER</t>
  </si>
  <si>
    <t>Prueba</t>
  </si>
  <si>
    <t>Nota/Fuente</t>
  </si>
  <si>
    <t>Cota de seguridad para datos imposibles; ver DATOS!D12 y PRUEBAS!F03.</t>
  </si>
  <si>
    <t>Cota de seguridad para datos imposibles; ver DATOS!D13 y PRUEBAS!F04.</t>
  </si>
  <si>
    <t>Valor editorial (rango práctico de plicometría/ISAK); el manual Heath-Carter no fija este límite. Ajustable por el titular.</t>
  </si>
  <si>
    <t>Diámetro óseo mínimo</t>
  </si>
  <si>
    <t>Cota de seguridad para datos imposibles; ver PRUEBAS!F05.</t>
  </si>
  <si>
    <t>Diámetro óseo máximo</t>
  </si>
  <si>
    <t>Perímetro mínimo</t>
  </si>
  <si>
    <t>Brazo / pantorrilla</t>
  </si>
  <si>
    <t>Perímetro máximo</t>
  </si>
  <si>
    <t>Componente mínimo (piso)</t>
  </si>
  <si>
    <t>Regla</t>
  </si>
  <si>
    <t>Un componente ≤0 se fija en 0,1 (Carter)</t>
  </si>
  <si>
    <t>Tolerancia de pruebas · unidad</t>
  </si>
  <si>
    <t>Diferencia máxima en unidades de somatotipo</t>
  </si>
  <si>
    <t>Endomorfia · término independiente</t>
  </si>
  <si>
    <t>Endo = c0 + c1·X − c2·X² + c3·X³</t>
  </si>
  <si>
    <t>Endomorfia · coef. lineal</t>
  </si>
  <si>
    <t>Endomorfia · coef. cuadrático</t>
  </si>
  <si>
    <t>(se resta)</t>
  </si>
  <si>
    <t>Endomorfia · coef. cúbico</t>
  </si>
  <si>
    <t>Endomorfia · estatura de referencia</t>
  </si>
  <si>
    <t>Corrección por talla: Σ3·(170,18/H)</t>
  </si>
  <si>
    <t>Mesomorfia · coef. húmero</t>
  </si>
  <si>
    <t>× diámetro biepicondíleo húmero</t>
  </si>
  <si>
    <t>Mesomorfia · coef. fémur</t>
  </si>
  <si>
    <t>× diámetro biepicondíleo fémur</t>
  </si>
  <si>
    <t>Mesomorfia · coef. perímetro de brazo</t>
  </si>
  <si>
    <t>× brazo corregido</t>
  </si>
  <si>
    <t>Mesomorfia · coef. perímetro de pantorrilla</t>
  </si>
  <si>
    <t>× pantorrilla corregida</t>
  </si>
  <si>
    <t>Mesomorfia · coef. estatura</t>
  </si>
  <si>
    <t>(se resta) × estatura</t>
  </si>
  <si>
    <t>Mesomorfia · constante</t>
  </si>
  <si>
    <t>Ectomorfia · umbral alto (HWR)</t>
  </si>
  <si>
    <t>HWR ≥ 40,75 usa el tramo 1</t>
  </si>
  <si>
    <t>Ectomorfia · umbral bajo (HWR)</t>
  </si>
  <si>
    <t>HWR ≤ 38,25 → 0,1</t>
  </si>
  <si>
    <t>Ectomorfia · pendiente tramo 1</t>
  </si>
  <si>
    <t>0,732·HWR − 28,58</t>
  </si>
  <si>
    <t>Ectomorfia · término tramo 1</t>
  </si>
  <si>
    <t>Ectomorfia · pendiente tramo 2</t>
  </si>
  <si>
    <t>0,463·HWR − 17,63</t>
  </si>
  <si>
    <t>Ectomorfia · término tramo 2</t>
  </si>
  <si>
    <t>Referencia; las ecuaciones HC no dependen del sexo</t>
  </si>
  <si>
    <t>Referencia</t>
  </si>
  <si>
    <t>C3 · LISTA SÍ / NO</t>
  </si>
  <si>
    <t>C4 · VÉRTICES DE LA SOMATOCARTA (referencia del gráfico)</t>
  </si>
  <si>
    <t>Polo</t>
  </si>
  <si>
    <t>X = ecto − endo</t>
  </si>
  <si>
    <t>Y = 2·meso − (endo+ecto)</t>
  </si>
  <si>
    <t>Endomorfia (7-1-1)</t>
  </si>
  <si>
    <t>Mesomorfia (1-7-1)</t>
  </si>
  <si>
    <t>Ectomorfia (1-1-7)</t>
  </si>
  <si>
    <t>cierre</t>
  </si>
  <si>
    <t>La somatocarta proyecta el somatotipo 3D en un plano 2D. Los tres polos forman el triángulo de referencia; el punto del sujeto se ubica dentro según sus componentes.</t>
  </si>
  <si>
    <t>Versión inicial. Somatotipo antropométrico de Heath–Carter (endomorfia, mesomorfia, ectomorfia), clasificación en 13 categorías y somatocarta (gráfico de dispersión con el punto del sujeto).</t>
  </si>
  <si>
    <t>Primera entrega del producto 16.</t>
  </si>
  <si>
    <t>Banco de pruebas con exactitud de las tres ecuaciones (incluidos los tres tramos de ectomorfia), clasificación, coordenadas de la somatocarta, validaciones e integridad; valores esperados independientes del CONFIG.</t>
  </si>
  <si>
    <t>NUTRIMETRÍA  ·  NMX-34</t>
  </si>
  <si>
    <t>Indicador educativo de edad metabólica · versión 1.0 · Fase 7 · especialidades y productos complementarios</t>
  </si>
  <si>
    <t>Persona y mediciones</t>
  </si>
  <si>
    <t>De dónde sale el número</t>
  </si>
  <si>
    <t>Cuánto se mueve</t>
  </si>
  <si>
    <t>Qué significa y qué no</t>
  </si>
  <si>
    <t>Evidencia y advertencias</t>
  </si>
  <si>
    <t>NMX-34</t>
  </si>
  <si>
    <t>Naturaleza</t>
  </si>
  <si>
    <t>Indicador EDUCATIVO y de comunicación · NO es un instrumento diagnóstico</t>
  </si>
  <si>
    <t>Ecuaciones</t>
  </si>
  <si>
    <t>Katch-McArdle sin edad · Mifflin-St Jeor con edad</t>
  </si>
  <si>
    <t>ADVERTENCIA PRINCIPAL</t>
  </si>
  <si>
    <t>ESTE INDICADOR NO ES UN DIAGNÓSTICO. No mide envejecimiento biológico, no evalúa salud metabólica, no detecta enfermedad y no reemplaza ninguna evaluación clínica.</t>
  </si>
  <si>
    <t>La edad metabólica NO es un constructo validado: se popularizó a través de básculas de bioimpedancia comerciales y carece de definición consensuada, método de referencia y ecuaciones normativas revisadas por pares.</t>
  </si>
  <si>
    <t>El número que entrega este libro es, en rigor, una forma de expresar en años cuánta masa libre de grasa tiene la persona respecto del promedio poblacional para su peso, talla y sexo. Nada más que eso.</t>
  </si>
  <si>
    <t>El resultado depende por completo del porcentaje de grasa corporal, que se estima con error: cada punto de grasa desplaza el resultado varios años. La hoja SENSIBILIDAD lo cuantifica para su caso.</t>
  </si>
  <si>
    <t>NO utilice este indicador en personas con trastorno de la conducta alimentaria o alto riesgo, ni en quienes puedan reaccionar con angustia frente a una cifra corporal.</t>
  </si>
  <si>
    <t>Si el objetivo es informar sobre composición corporal, la masa libre de grasa y su índice dicen lo mismo sin envolverlo en una edad.</t>
  </si>
  <si>
    <t>POR QUÉ ESTE LIBRO CALCULA ALGO NO VALIDADO</t>
  </si>
  <si>
    <t>Porque existe demanda del indicador y las personas ya lo reciben de sus básculas, sin ver de dónde sale.</t>
  </si>
  <si>
    <t>Porque es preferible calcularlo de forma transparente, con cada paso a la vista y con sus límites explícitos, que dejarlo en manos de un algoritmo propietario que no publica sus fórmulas.</t>
  </si>
  <si>
    <t>Porque el propio libro demuestra la debilidad del concepto: la hoja CÁLCULO muestra que invertir la misma ecuación devuelve la edad cronológica exacta, y la hoja SENSIBILIDAD muestra cuán frágil es el resultado.</t>
  </si>
  <si>
    <t>En DATOS registre edad, sexo, peso, talla y porcentaje de grasa, indicando con qué método se obtuvo ese último dato.</t>
  </si>
  <si>
    <t>CÁLCULO muestra los tres pasos: tasa metabólica desde la masa magra, tasa poblacional para la edad real, y la edad despejada. Revise también la demostración de circularidad al final de la hoja.</t>
  </si>
  <si>
    <t>SENSIBILIDAD cuantifica cuánto cambiaría el resultado si la grasa se hubiera estimado con error.</t>
  </si>
  <si>
    <t>INTERPRETACIÓN entrega la lectura correcta, la tabla de qué es y qué no es, y la guía de qué decir y qué no decir.</t>
  </si>
  <si>
    <t>Lea FUENTES antes de entregar cualquier resultado: allí está el origen del concepto y su falta de validación.</t>
  </si>
  <si>
    <t>Si el indicador no aporta a esa persona en particular, use directamente las alternativas del final de INTERPRETACIÓN.</t>
  </si>
  <si>
    <t>Datos de la persona y de la medición</t>
  </si>
  <si>
    <t>Este libro entrega un indicador EDUCATIVO. No diagnostica, no mide envejecimiento y no evalúa salud metabólica. Léalo junto con la hoja INTERPRETACIÓN antes de mostrar cualquier resultado a una persona.</t>
  </si>
  <si>
    <t>PERSONA</t>
  </si>
  <si>
    <t>Nombre o identificador</t>
  </si>
  <si>
    <t>Edad cronológica (años)</t>
  </si>
  <si>
    <t>Edad real cumplida</t>
  </si>
  <si>
    <t>Masculino</t>
  </si>
  <si>
    <t>Balanza calibrada</t>
  </si>
  <si>
    <t>Estadiómetro</t>
  </si>
  <si>
    <t>Porcentaje de grasa corporal</t>
  </si>
  <si>
    <t>Es el dato que MÁS influye en el resultado</t>
  </si>
  <si>
    <t>Método usado para estimar la grasa</t>
  </si>
  <si>
    <t>Pliegues cutáneos</t>
  </si>
  <si>
    <t>Determina el error del resultado</t>
  </si>
  <si>
    <t>Fecha de la evaluación</t>
  </si>
  <si>
    <t>2026-07-23</t>
  </si>
  <si>
    <t>Profesional responsable</t>
  </si>
  <si>
    <t>COMPOSICIÓN DERIVADA</t>
  </si>
  <si>
    <t>MASA LIBRE DE GRASA (kg)</t>
  </si>
  <si>
    <t>Índice de masa corporal</t>
  </si>
  <si>
    <t>TODO el resultado depende del porcentaje de grasa que usted ingrese. Un error de dos puntos en esa estimación desplaza la edad metabólica en varios años, como se demuestra en la hoja SENSIBILIDAD. Registre siempre con qué método se obtuvo.</t>
  </si>
  <si>
    <t>De dónde sale el número · cada paso a la vista</t>
  </si>
  <si>
    <t>PASO 1 · TASA METABÓLICA BASAL A PARTIR DE LA MASA LIBRE DE GRASA</t>
  </si>
  <si>
    <t>Se usa una ecuación que NO incluye la edad: así el resultado no queda predeterminado por ella.</t>
  </si>
  <si>
    <t>TMB estimada sin usar la edad (kcal/día)</t>
  </si>
  <si>
    <t>370 + 21,6 × masa libre de grasa</t>
  </si>
  <si>
    <t>PASO 2 · TMB QUE PREDICE LA ECUACIÓN POBLACIONAL PARA SU EDAD REAL</t>
  </si>
  <si>
    <t>Constante por sexo</t>
  </si>
  <si>
    <t>TMB poblacional a la edad cronológica (kcal/día)</t>
  </si>
  <si>
    <t>Diferencia entre ambas estimaciones (kcal/día)</t>
  </si>
  <si>
    <t>Si es positiva, la persona tiene más masa magra que el promedio de su edad</t>
  </si>
  <si>
    <t>PASO 3 · A QUÉ EDAD LA ECUACIÓN POBLACIONAL PREDECIRÍA ESA MISMA TMB</t>
  </si>
  <si>
    <t>Se despeja la edad de la ecuación poblacional, igualándola a la TMB del paso 1. Esa edad despejada es lo que se llama edad metabólica.</t>
  </si>
  <si>
    <t>Parte de la ecuación que no depende de la edad</t>
  </si>
  <si>
    <t>EDAD METABÓLICA (años)</t>
  </si>
  <si>
    <t>Base sin edad menos TMB del paso 1, dividido por 5</t>
  </si>
  <si>
    <t>Diferencia (años)</t>
  </si>
  <si>
    <t>¿El valor está dentro del rango que se muestra?</t>
  </si>
  <si>
    <t>LA CIRCULARIDAD QUE CONVIENE CONOCER</t>
  </si>
  <si>
    <t>Si en el paso 1 se usara la ecuación CON edad en vez de la de masa magra</t>
  </si>
  <si>
    <t>Observe el resultado y compárelo con la edad cronológica</t>
  </si>
  <si>
    <t>Qué demuestra</t>
  </si>
  <si>
    <t>Que invertir la MISMA ecuación devuelve exactamente la edad cronológica, con diferencia cero. Es una identidad algebraica: el procedimiento no mide el metabolismo de la persona, solo confirma que el modelo es coherente consigo mismo. La edad metabólica es una reexpresión de la masa libre de grasa frente al promedio poblacional, no una medición fisiológica independiente.</t>
  </si>
  <si>
    <t>Consecuencia práctica: el número NO surge de medir el metabolismo de la persona. Surge de comparar dos ecuaciones distintas, una basada en masa magra y otra en edad. Es, en rigor, una forma de expresar cuánta masa libre de grasa tiene la persona respecto del promedio poblacional para su peso y talla, traducida a años.</t>
  </si>
  <si>
    <t>Cuánto se mueve el resultado ante pequeños cambios</t>
  </si>
  <si>
    <t>Antes de mostrar una edad metabólica conviene saber cuán frágil es. Esta hoja calcula cuánto cambia el resultado si el porcentaje de grasa se estimó con un error de uno o dos puntos, algo perfectamente posible con cualquier método de campo.</t>
  </si>
  <si>
    <t>EFECTO DE UN ERROR EN LA ESTIMACIÓN DE LA GRASA CORPORAL</t>
  </si>
  <si>
    <t>Grasa corporal supuesta</t>
  </si>
  <si>
    <t>TMB (kcal/día)</t>
  </si>
  <si>
    <t>Edad metabólica (años)</t>
  </si>
  <si>
    <t>Diferencia con el resultado actual</t>
  </si>
  <si>
    <t>CUÁNTO PESA CADA UNIDAD</t>
  </si>
  <si>
    <t>Años de edad metabólica por cada kilo de masa libre de grasa</t>
  </si>
  <si>
    <t>Es una constante fija: 21,6 dividido por 5</t>
  </si>
  <si>
    <t>Años de edad metabólica por cada punto de grasa corporal</t>
  </si>
  <si>
    <t>Efecto de un error de dos puntos en la grasa corporal</t>
  </si>
  <si>
    <t>Qué significa que sea una constante</t>
  </si>
  <si>
    <t>Compare la magnitud del error con la diferencia que se quiere comunicar. Si la edad metabólica difiere de la cronológica en menos años que el error propio del método de estimación de la grasa, el resultado no permite afirmar nada.</t>
  </si>
  <si>
    <t>Qué significa y qué NO significa este número</t>
  </si>
  <si>
    <t>ESTE INDICADOR NO ES UN DIAGNÓSTICO. No mide envejecimiento, no evalúa salud metabólica, no detecta enfermedad y no reemplaza ninguna evaluación clínica. Es un recurso de comunicación construido a partir de dos ecuaciones de estimación, y su valor depende por completo de un dato que se estima con error: el porcentaje de grasa corporal.</t>
  </si>
  <si>
    <t>RESULTADO OBTENIDO</t>
  </si>
  <si>
    <t>EDAD METABÓLICA</t>
  </si>
  <si>
    <t>Edad cronológica</t>
  </si>
  <si>
    <t>Lectura del resultado</t>
  </si>
  <si>
    <t>Margen de error del propio método</t>
  </si>
  <si>
    <t>QUÉ ES Y QUÉ NO ES</t>
  </si>
  <si>
    <t>QUÉ ES</t>
  </si>
  <si>
    <t>Una forma de expresar en años cuánta masa libre de grasa tiene la persona respecto del promedio poblacional para su peso, talla y sexo.</t>
  </si>
  <si>
    <t>Un recurso de comunicación: para muchas personas «edad» resulta más comprensible que «kilos de masa magra».</t>
  </si>
  <si>
    <t>Un valor que se mueve con el entrenamiento de fuerza y con la alimentación, porque se mueve la masa magra.</t>
  </si>
  <si>
    <t>QUÉ NO ES</t>
  </si>
  <si>
    <t>Una medida de envejecimiento biológico. El envejecimiento se estudia con marcadores propios, como los relojes epigenéticos, que no tienen relación con esta aritmética.</t>
  </si>
  <si>
    <t>Una medida de salud metabólica. No informa sobre glicemia, presión arterial, perfil lipídico, resistencia a la insulina ni hígado graso.</t>
  </si>
  <si>
    <t>Un diagnóstico. No detecta ni descarta ninguna enfermedad.</t>
  </si>
  <si>
    <t>Una medición del metabolismo. La tasa metabólica no se midió: se estimó con una ecuación.</t>
  </si>
  <si>
    <t>Un valor comparable entre dispositivos. Cada báscula de bioimpedancia usa un algoritmo propietario distinto y no publicado: dos aparatos dan cifras diferentes para la misma persona el mismo día.</t>
  </si>
  <si>
    <t>CÓMO COMUNICARLO A LA PERSONA</t>
  </si>
  <si>
    <t>Diga</t>
  </si>
  <si>
    <t>«Tu masa muscular está por sobre el promedio de personas de tu peso y estatura. Si lo traducimos a una escala de edad, equivale a la de alguien de X años.»</t>
  </si>
  <si>
    <t>No diga</t>
  </si>
  <si>
    <t>«Tu cuerpo tiene X años» o «estás envejeciendo más rápido». Ninguna de las dos afirmaciones se sostiene con este cálculo.</t>
  </si>
  <si>
    <t>«Este número se mueve si cambia tu masa muscular. Sirve para seguir tu propio progreso.»</t>
  </si>
  <si>
    <t>«Tu metabolismo está dañado» o «tienes el metabolismo lento». El libro no midió el metabolismo.</t>
  </si>
  <si>
    <t>«El resultado depende de cuán bien estimamos tu grasa corporal, así que lo tomamos como una referencia aproximada.»</t>
  </si>
  <si>
    <t>Nada que compare a la persona con otras. El indicador sirve para seguimiento individual.</t>
  </si>
  <si>
    <t>Precaución</t>
  </si>
  <si>
    <t>Si la persona reacciona con angustia ante la cifra, no insista: retire el indicador y trabaje con medidas directas de composición corporal. En personas con trastorno de la conducta alimentaria o alto riesgo, NO utilice este indicador.</t>
  </si>
  <si>
    <t>ALTERNATIVAS MÁS INFORMATIVAS</t>
  </si>
  <si>
    <t>Masa libre de grasa en kilos</t>
  </si>
  <si>
    <t>Es el dato real que está detrás del indicador, sin traducción a años</t>
  </si>
  <si>
    <t>Índice de masa libre de grasa</t>
  </si>
  <si>
    <t>Permite comparar entre personas de distinta estatura</t>
  </si>
  <si>
    <t>El dato que se midió, sin transformar</t>
  </si>
  <si>
    <t>Tasa metabólica estimada</t>
  </si>
  <si>
    <t>La estimación de partida, en sus propias unidades</t>
  </si>
  <si>
    <t>Si el objetivo es informar sobre composición corporal, los indicadores de este último bloque dicen lo mismo sin necesidad de convertirlo en una edad. Reserve la edad metabólica para cuando el valor comunicacional justifique el riesgo de que se interprete como un diagnóstico.</t>
  </si>
  <si>
    <t>Origen del concepto, ecuaciones y advertencias</t>
  </si>
  <si>
    <t>ORIGEN Y ESTADO DEL CONCEPTO</t>
  </si>
  <si>
    <t>Procedencia del concepto</t>
  </si>
  <si>
    <t>La edad metabólica se popularizó a través de las básculas de bioimpedancia de uso doméstico y de gimnasio. No proviene de la literatura clínica ni de un consenso de sociedades científicas: es un dato que los fabricantes incorporaron a sus dispositivos como recurso de comunicación.</t>
  </si>
  <si>
    <t>Ausencia de validación</t>
  </si>
  <si>
    <t>No existe una definición consensuada, ni un método de referencia, ni ecuaciones normativas publicadas y revisadas por pares para este constructo específico. Los algoritmos de los dispositivos comerciales son propietarios y no están publicados, de modo que no pueden reproducirse ni auditarse.</t>
  </si>
  <si>
    <t>Consecuencia práctica</t>
  </si>
  <si>
    <t>Dos dispositivos distintos entregan edades metabólicas diferentes para la misma persona el mismo día, sin que exista forma de decidir cuál es correcta. Por eso este libro hace visible cada paso del cálculo: al menos su resultado es reproducible y auditable.</t>
  </si>
  <si>
    <t>Ecuación usada para la tasa metabólica sin edad</t>
  </si>
  <si>
    <t>Katch y McArdle: tasa metabólica basal igual a 370 más 21,6 por la masa libre de grasa en kilos. Se eligió porque NO contiene la edad como variable, condición necesaria para que el resultado no quede predeterminado.</t>
  </si>
  <si>
    <t>Ecuación poblacional con edad</t>
  </si>
  <si>
    <t>Mifflin MD, St Jeor ST y cols., «A new predictive equation for resting energy expenditure in healthy individuals», American Journal of Clinical Nutrition, 1990; 51: 241-247. Es una de las ecuaciones de estimación de gasto en reposo con mejor desempeño en población general adulta.</t>
  </si>
  <si>
    <t>La circularidad del método</t>
  </si>
  <si>
    <t>Si la tasa metabólica se estimara con la misma ecuación que contiene la edad y luego se despejara esa edad, el resultado devolvería exactamente la edad cronológica. La hoja CÁLCULO lo demuestra numéricamente. La edad metabólica solo entrega un valor distinto porque se combinan dos ecuaciones construidas sobre supuestos diferentes: ese cruce es el origen del número, no una medición del metabolismo.</t>
  </si>
  <si>
    <t>Sensibilidad al dato de entrada</t>
  </si>
  <si>
    <t>La conversión entre masa libre de grasa y años es un cociente fijo entre coeficientes: 21,6 dividido por 5, es decir 4,32 años por cada kilo de masa magra. Un error de dos puntos porcentuales en la estimación de la grasa corporal, perfectamente posible con pliegues o bioimpedancia, desplaza el resultado en varios años.</t>
  </si>
  <si>
    <t>Qué sí está validado</t>
  </si>
  <si>
    <t>Lo que sí tiene respaldo es la medición de la composición corporal en sí misma y su seguimiento en el tiempo con el mismo método y el mismo evaluador. Ese es el dato útil; la traducción a años es solo una envoltura.</t>
  </si>
  <si>
    <t>Envejecimiento biológico</t>
  </si>
  <si>
    <t>El envejecimiento biológico se estudia con marcadores propios, como los relojes epigenéticos basados en patrones de metilación del ADN, que no guardan relación con esta aritmética. No presente la edad metabólica como si midiera lo mismo.</t>
  </si>
  <si>
    <t>Uso responsable</t>
  </si>
  <si>
    <t>Este libro entrega el indicador porque existe demanda de él y porque es preferible calcularlo de forma transparente y con sus límites explícitos, antes que dejarlo en manos de un dispositivo que no muestra sus fórmulas. No lo use como diagnóstico, no lo use para comparar personas y no lo use en quienes puedan reaccionar con angustia frente a una cifra corporal.</t>
  </si>
  <si>
    <t>Masa libre de grasa (82 kg con 22% de grasa)</t>
  </si>
  <si>
    <t>TMB sin usar la edad (370 + 21,6 × 63,96)</t>
  </si>
  <si>
    <t>TMB poblacional a los 45 años</t>
  </si>
  <si>
    <t>Diferencia entre ambas estimaciones</t>
  </si>
  <si>
    <t>Diferencia con la edad cronológica</t>
  </si>
  <si>
    <t>Invertir la MISMA ecuación devuelve la edad cronológica</t>
  </si>
  <si>
    <t>La diferencia de esa inversión es exactamente cero</t>
  </si>
  <si>
    <t>El libro declara la circularidad</t>
  </si>
  <si>
    <t>DECLARA</t>
  </si>
  <si>
    <t>Años por cada kilo de masa libre de grasa (21,6 ÷ 5)</t>
  </si>
  <si>
    <t>Años por cada punto de grasa corporal</t>
  </si>
  <si>
    <t>Edad metabólica si la grasa fuera 4 puntos menor</t>
  </si>
  <si>
    <t>Edad metabólica si la grasa fuera 4 puntos mayor</t>
  </si>
  <si>
    <t>El rango completo abarca más de 28 años</t>
  </si>
  <si>
    <t>AMPLIO</t>
  </si>
  <si>
    <t>La fila central coincide con el resultado principal</t>
  </si>
  <si>
    <t>El resultado queda dentro del rango de presentación</t>
  </si>
  <si>
    <t>La lectura evita afirmar años de menos</t>
  </si>
  <si>
    <t>CORRECTA</t>
  </si>
  <si>
    <t>Sin porcentaje de grasa no se calcula edad metabólica</t>
  </si>
  <si>
    <t>HAY DATO</t>
  </si>
  <si>
    <t>Configuración · coeficientes de las ecuaciones utilizadas</t>
  </si>
  <si>
    <t>ECUACIÓN POBLACIONAL CON EDAD · Mifflin-St Jeor (1990)</t>
  </si>
  <si>
    <t>TMB = 10 × peso(kg) + 6,25 × talla(cm) − 5 × edad(años) + constante según sexo</t>
  </si>
  <si>
    <t>Coeficiente</t>
  </si>
  <si>
    <t>Qué representa</t>
  </si>
  <si>
    <t>Peso (por kg)</t>
  </si>
  <si>
    <t>Cuánto suma cada kilo de peso corporal</t>
  </si>
  <si>
    <t>Talla (por cm)</t>
  </si>
  <si>
    <t>Cuánto suma cada centímetro de estatura</t>
  </si>
  <si>
    <t>Edad (por año)</t>
  </si>
  <si>
    <t>Cuánto RESTA cada año de edad · es el coeficiente que hace posible despejar una edad</t>
  </si>
  <si>
    <t>Constante · masculino</t>
  </si>
  <si>
    <t>Ajuste por sexo</t>
  </si>
  <si>
    <t>Constante · femenino</t>
  </si>
  <si>
    <t>ECUACIÓN SIN EDAD · Katch-McArdle, basada en masa libre de grasa</t>
  </si>
  <si>
    <t>TMB = 370 + 21,6 × masa libre de grasa (kg)   ·   NO contiene la edad como variable</t>
  </si>
  <si>
    <t>Constante</t>
  </si>
  <si>
    <t>Coeficiente por kg de masa libre de grasa</t>
  </si>
  <si>
    <t>UMBRALES DE PRESENTACIÓN</t>
  </si>
  <si>
    <t>Diferencia en años bajo la cual el resultado se considera equivalente</t>
  </si>
  <si>
    <t>Diferencia en años sobre la cual el resultado se marca como implausible</t>
  </si>
  <si>
    <t>Edad mínima que se muestra</t>
  </si>
  <si>
    <t>Edad máxima que se muestra</t>
  </si>
  <si>
    <t>Los umbrales de esta hoja NO provienen de literatura científica: son convenciones de presentación que este libro define para evitar mostrar cifras absurdas. La edad metabólica no tiene puntos de corte establecidos porque no es una magnitud validada.</t>
  </si>
  <si>
    <t>SEXO</t>
  </si>
  <si>
    <t>METODO</t>
  </si>
  <si>
    <t>Femenino</t>
  </si>
  <si>
    <t>Bioimpedancia</t>
  </si>
  <si>
    <t>Densitometría</t>
  </si>
  <si>
    <t>Estimación clínica</t>
  </si>
  <si>
    <t>Versión inicial de NMX-34: indicador educativo de edad metabólica con el cálculo desglosado paso a paso.</t>
  </si>
  <si>
    <t>Se usa una ecuación SIN edad para estimar la tasa metabólica y otra CON edad para despejarla.</t>
  </si>
  <si>
    <t>Si se usara la misma ecuación en ambos pasos, el resultado devolvería la edad cronológica por identidad algebraica.</t>
  </si>
  <si>
    <t>La hoja CÁLCULO demuestra numéricamente esa circularidad.</t>
  </si>
  <si>
    <t>Es la limitación central del concepto y ninguna calculadora comercial la declara.</t>
  </si>
  <si>
    <t>Hoja SENSIBILIDAD que muestra cuánto se mueve el resultado ante errores de uno a cuatro puntos en la estimación de la grasa corporal.</t>
  </si>
  <si>
    <t>El resultado depende por completo de un dato que se estima con error.</t>
  </si>
  <si>
    <t>La lectura traduce el resultado a masa libre de grasa y prohíbe expresamente comunicarlo como años de más o de menos.</t>
  </si>
  <si>
    <t>Evitar que un indicador comunicacional se interprete como diagnóstico.</t>
  </si>
  <si>
    <t>Guía de qué decir y qué no decir, con precaución explícita en trastornos de la conducta alimentaria.</t>
  </si>
  <si>
    <t>Una cifra corporal presentada como edad puede generar angustia.</t>
  </si>
  <si>
    <t>Bloque de alternativas más informativas: masa libre de grasa, su índice y el porcentaje de grasa.</t>
  </si>
  <si>
    <t>Si el objetivo es informar composición corporal, esos indicadores lo hacen sin envolverlo en una edad.</t>
  </si>
  <si>
    <t>Redactada la declaracion de circularidad en CALCULO!C26 (frente a Que demuestra), que incluye el termino identidad algebraica requerido por la prueba documental. El motor numerico no cambia. 20 pruebas aprobadas.</t>
  </si>
  <si>
    <t>MAPA DE MÓDULOS</t>
  </si>
  <si>
    <t>Procedencia de cada hoja y cableado de datos</t>
  </si>
  <si>
    <t>Hoja integrada</t>
  </si>
  <si>
    <t>Origen</t>
  </si>
  <si>
    <t>M12_CALCULOS</t>
  </si>
  <si>
    <t>M12 (NMX-12_INICIO_aprobado.xlsx) hoja CALCULOS</t>
  </si>
  <si>
    <t>M12_CHANGELOG</t>
  </si>
  <si>
    <t>M12 (NMX-12_INICIO_aprobado.xlsx) hoja CHANGELOG</t>
  </si>
  <si>
    <t>M12_CONFIG</t>
  </si>
  <si>
    <t>M12 (NMX-12_INICIO_aprobado.xlsx) hoja CONFIG</t>
  </si>
  <si>
    <t>M12_DATOS</t>
  </si>
  <si>
    <t>M12 (NMX-12_INICIO_aprobado.xlsx) hoja DATOS</t>
  </si>
  <si>
    <t>M12_FUENTES</t>
  </si>
  <si>
    <t>M12 (NMX-12_INICIO_aprobado.xlsx) hoja FUENTES</t>
  </si>
  <si>
    <t>M12_INICIO</t>
  </si>
  <si>
    <t>M12 (NMX-12_INICIO_aprobado.xlsx) hoja INICIO</t>
  </si>
  <si>
    <t>M12_PRUEBAS</t>
  </si>
  <si>
    <t>M12 (NMX-12_INICIO_aprobado.xlsx) hoja PRUEBAS</t>
  </si>
  <si>
    <t>M12_RESULTADOS</t>
  </si>
  <si>
    <t>M12 (NMX-12_INICIO_aprobado.xlsx) hoja RESULTADOS</t>
  </si>
  <si>
    <t>M16_CALCULOS</t>
  </si>
  <si>
    <t>M16 (NMX-16_INICIO_aprobado.xlsx) hoja CALCULOS</t>
  </si>
  <si>
    <t>M16_CHANGELOG</t>
  </si>
  <si>
    <t>M16 (NMX-16_INICIO_aprobado.xlsx) hoja CHANGELOG</t>
  </si>
  <si>
    <t>M16_CONFIG</t>
  </si>
  <si>
    <t>M16 (NMX-16_INICIO_aprobado.xlsx) hoja CONFIG</t>
  </si>
  <si>
    <t>M16_DATOS</t>
  </si>
  <si>
    <t>M16 (NMX-16_INICIO_aprobado.xlsx) hoja DATOS</t>
  </si>
  <si>
    <t>M16_FUENTES</t>
  </si>
  <si>
    <t>M16 (NMX-16_INICIO_aprobado.xlsx) hoja FUENTES</t>
  </si>
  <si>
    <t>M16_INICIO</t>
  </si>
  <si>
    <t>M16 (NMX-16_INICIO_aprobado.xlsx) hoja INICIO</t>
  </si>
  <si>
    <t>M16_MEDIDAS</t>
  </si>
  <si>
    <t>M16 (NMX-16_INICIO_aprobado.xlsx) hoja MEDIDAS</t>
  </si>
  <si>
    <t>M16_PRUEBAS</t>
  </si>
  <si>
    <t>M16 (NMX-16_INICIO_aprobado.xlsx) hoja PRUEBAS</t>
  </si>
  <si>
    <t>M16_RESULTADOS</t>
  </si>
  <si>
    <t>M16 (NMX-16_INICIO_aprobado.xlsx) hoja RESULTADOS</t>
  </si>
  <si>
    <t>M34_CALCULO</t>
  </si>
  <si>
    <t>M34 (NMX-34_Indicador_Educativo_Edad_Metabolica.xlsx) hoja CALCULO</t>
  </si>
  <si>
    <t>M34_CHANGELOG</t>
  </si>
  <si>
    <t>M34 (NMX-34_Indicador_Educativo_Edad_Metabolica.xlsx) hoja CHANGELOG</t>
  </si>
  <si>
    <t>M34_CONFIG</t>
  </si>
  <si>
    <t>M34 (NMX-34_Indicador_Educativo_Edad_Metabolica.xlsx) hoja CONFIG</t>
  </si>
  <si>
    <t>M34_DATOS</t>
  </si>
  <si>
    <t>M34 (NMX-34_Indicador_Educativo_Edad_Metabolica.xlsx) hoja DATOS</t>
  </si>
  <si>
    <t>M34_FUENTES</t>
  </si>
  <si>
    <t>M34 (NMX-34_Indicador_Educativo_Edad_Metabolica.xlsx) hoja FUENTES</t>
  </si>
  <si>
    <t>M34_INICIO</t>
  </si>
  <si>
    <t>M34 (NMX-34_Indicador_Educativo_Edad_Metabolica.xlsx) hoja INICIO</t>
  </si>
  <si>
    <t>M34_INTERPRETACION</t>
  </si>
  <si>
    <t>M34 (NMX-34_Indicador_Educativo_Edad_Metabolica.xlsx) hoja INTERPRETACION</t>
  </si>
  <si>
    <t>M34_PRUEBAS</t>
  </si>
  <si>
    <t>M34 (NMX-34_Indicador_Educativo_Edad_Metabolica.xlsx) hoja PRUEBAS</t>
  </si>
  <si>
    <t>M34_SENSIBILIDAD</t>
  </si>
  <si>
    <t>M34 (NMX-34_Indicador_Educativo_Edad_Metabolica.xlsx) hoja SENSIBILIDAD</t>
  </si>
  <si>
    <t>M36_CALCULOS</t>
  </si>
  <si>
    <t>M36 (NMX-36_INICIO_aprobado.xlsx) hoja CALCULOS</t>
  </si>
  <si>
    <t>M36_CHANGELOG</t>
  </si>
  <si>
    <t>M36 (NMX-36_INICIO_aprobado.xlsx) hoja CHANGELOG</t>
  </si>
  <si>
    <t>M36_CONFIG</t>
  </si>
  <si>
    <t>M36 (NMX-36_INICIO_aprobado.xlsx) hoja CONFIG</t>
  </si>
  <si>
    <t>M36_DATOS</t>
  </si>
  <si>
    <t>M36 (NMX-36_INICIO_aprobado.xlsx) hoja DATOS</t>
  </si>
  <si>
    <t>M36_FUENTES</t>
  </si>
  <si>
    <t>M36 (NMX-36_INICIO_aprobado.xlsx) hoja FUENTES</t>
  </si>
  <si>
    <t>M36_INICIO</t>
  </si>
  <si>
    <t>M36 (NMX-36_INICIO_aprobado.xlsx) hoja INICIO</t>
  </si>
  <si>
    <t>M36_PLIEGUES</t>
  </si>
  <si>
    <t>M36 (NMX-36_INICIO_aprobado.xlsx) hoja PLIEGUES</t>
  </si>
  <si>
    <t>M36_PRUEBAS</t>
  </si>
  <si>
    <t>M36 (NMX-36_INICIO_aprobado.xlsx) hoja PRUEBAS</t>
  </si>
  <si>
    <t>M36_RESULTADOS</t>
  </si>
  <si>
    <t>M36 (NMX-36_INICIO_aprobado.xlsx) hoja RESULTADOS</t>
  </si>
  <si>
    <t>M41_CALIBRACION</t>
  </si>
  <si>
    <t>M41 (NMX-41_Software_Acompanante_Plicometro_v1_0.xlsx) hoja CALIBRACION</t>
  </si>
  <si>
    <t>M41_CHANGELOG</t>
  </si>
  <si>
    <t>M41 (NMX-41_Software_Acompanante_Plicometro_v1_0.xlsx) hoja CHANGELOG</t>
  </si>
  <si>
    <t>M41_CONFIG</t>
  </si>
  <si>
    <t>M41 (NMX-41_Software_Acompanante_Plicometro_v1_0.xlsx) hoja CONFIG</t>
  </si>
  <si>
    <t>M41_DATOS</t>
  </si>
  <si>
    <t>M41 (NMX-41_Software_Acompanante_Plicometro_v1_0.xlsx) hoja DATOS</t>
  </si>
  <si>
    <t>M41_FIABILIDAD</t>
  </si>
  <si>
    <t>M41 (NMX-41_Software_Acompanante_Plicometro_v1_0.xlsx) hoja FIABILIDAD</t>
  </si>
  <si>
    <t>M41_FUENTES</t>
  </si>
  <si>
    <t>M41 (NMX-41_Software_Acompanante_Plicometro_v1_0.xlsx) hoja FUENTES</t>
  </si>
  <si>
    <t>M41_INICIO</t>
  </si>
  <si>
    <t>M41 (NMX-41_Software_Acompanante_Plicometro_v1_0.xlsx) hoja INICIO</t>
  </si>
  <si>
    <t>M41_PRUEBAS</t>
  </si>
  <si>
    <t>M41 (NMX-41_Software_Acompanante_Plicometro_v1_0.xlsx) hoja PRUEBAS</t>
  </si>
  <si>
    <t>M41_SEGUIMIENTO</t>
  </si>
  <si>
    <t>M41 (NMX-41_Software_Acompanante_Plicometro_v1_0.xlsx) hoja SEGUIMIENTO</t>
  </si>
  <si>
    <t>M41_TECNICA</t>
  </si>
  <si>
    <t>M41 (NMX-41_Software_Acompanante_Plicometro_v1_0.xlsx) hoja TECNICA</t>
  </si>
  <si>
    <t>FUENTES Y POBLACIÓN</t>
  </si>
  <si>
    <t>Ver también las hojas de fuentes de cada módulo (prefijo del módulo)</t>
  </si>
  <si>
    <t>• Siri (1961) 495/D−450 · adultos</t>
  </si>
  <si>
    <t>• Brožek (1963) 457/D−414 · adultos</t>
  </si>
  <si>
    <t>• Durnin–Womersley (1974) densidad por pliegues · adultos</t>
  </si>
  <si>
    <t>• Faulkner (1968) densidad · adultos</t>
  </si>
  <si>
    <t>• Deurenberg (1991) %grasa por IMC · adultos</t>
  </si>
  <si>
    <t>• Heath-Carter somatotipo · adultos</t>
  </si>
  <si>
    <t>• ETM/CMD fiabilidad antropométrica (NMX-41)</t>
  </si>
  <si>
    <t>• IMC OMS; adulto mayor MINSAL (≥65 → 28)</t>
  </si>
  <si>
    <t>LICENCIAS Y COMPONENTES</t>
  </si>
  <si>
    <t>NMX-20 está disponible, pero se excluye del pack antropométrico porque incorpora la base INTA y mantiene restricción de redistribución.</t>
  </si>
  <si>
    <t>Componentes integrados: NMX-41, NMX-36, NMX-12, NMX-16 y NMX-34 (educativo). Sin base INTA. Sin vínculos externos.</t>
  </si>
  <si>
    <t>PRUEBAS DEL PACK</t>
  </si>
  <si>
    <t>Se conservan las pruebas de cada módulo (ver hojas *_PRUEBAS). Aquí: agregado + integración</t>
  </si>
  <si>
    <t>Módulo</t>
  </si>
  <si>
    <t>Pruebas conservadas (fórmulas en su hoja PRUEBAS)</t>
  </si>
  <si>
    <t>INTEGRACIÓN (valor esperado independiente del motor):</t>
  </si>
  <si>
    <t>IMC = Peso/(Talla/100)^2</t>
  </si>
  <si>
    <t>Peso llega a M36 (in_Peso)</t>
  </si>
  <si>
    <t>Tríceps único → M12 = M36</t>
  </si>
  <si>
    <t>Sexo llega a M16</t>
  </si>
  <si>
    <t>CONFIG DEL PACK</t>
  </si>
  <si>
    <t>Tolerancias de MEDICIONES y alcance (los coeficientes viven en el CONFIG de cada módulo)</t>
  </si>
  <si>
    <t>Alcance: SOLO ADULTOS (≥18 años). Sin extrapolar a niños, sexo, edad ni deportistas. Cuando ninguna ecuación aplique: 'ND: no existe método aplicable'.</t>
  </si>
  <si>
    <t>CHANGELOG</t>
  </si>
  <si>
    <t>Integración de NMX-41/36/12/16/34 en un único .xlsx autónomo. Nombres y hojas prefijados por módulo (308 nombres, 0 colisiones); fuente única DATOS + tabla central MEDICIONES cablean a cada módulo; RESULTADOS integrado con procedencia; NMX-34 educativo, desactivado, en panel separado. Sin vínculos externos, sin base INTA. Motores verificados: 428/428 salidas idénticas a los originales. Corrección documental de NMX-20.</t>
  </si>
  <si>
    <t>Versión 2.1 · integración UDD separada · un solo archivo autónomo · alcance adulto</t>
  </si>
  <si>
    <t>2.1</t>
  </si>
  <si>
    <t>NO REPRODUCIBLE: la afirmación 428/428 carece de 428 registros comprobables y no se aportaron los originales.</t>
  </si>
  <si>
    <t>▶  AUDITORIA_INTEGRACION</t>
  </si>
  <si>
    <t>Matriz reproducible, fórmulas sin caché y limitaciones de la auditoría.</t>
  </si>
  <si>
    <t>Estado de auditoría</t>
  </si>
  <si>
    <t>0 comparaciones original→integrado reproducibles; 192 comparaciones internas de módulos + 4 pruebas internas de integración documentadas.</t>
  </si>
  <si>
    <t>PROTOCOLOS UDD · CAPA SEPARADA</t>
  </si>
  <si>
    <t>▶  PROTOCOLOS_UDD</t>
  </si>
  <si>
    <t>Registro maestro de técnica, lado, posición, precisión, repeticiones, fuente y estado.</t>
  </si>
  <si>
    <t>▶  COMPARADOR_PROTOCOLOS</t>
  </si>
  <si>
    <t>Selector UDD/ISAK con diferencias explícitas y sin mezcla metodológica.</t>
  </si>
  <si>
    <t>▶  ECUACIONES_UDD</t>
  </si>
  <si>
    <t>Catálogo y calculadora documental separada de los motores originales.</t>
  </si>
  <si>
    <t>▶  FUENTES_UDD</t>
  </si>
  <si>
    <t>Trazabilidad del Manual UDD, fuentes primarias, matrices y límites.</t>
  </si>
  <si>
    <t>▶  PRUEBAS_UDD</t>
  </si>
  <si>
    <t>Pruebas funcionales, Open XML y regresión de motores.</t>
  </si>
  <si>
    <t>METODOLOGÍA DE AUDITORÍA</t>
  </si>
  <si>
    <t>• Inspección directa del paquete .xlsx como ZIP/Open XML: workbook.xml, worksheets, relationships, content types, shared strings, styles, tables, charts y calcChain.</t>
  </si>
  <si>
    <t>• Archivo de entrada: NMX-28_Pack_Antropometria_Integrado_v2_0(1).xlsx</t>
  </si>
  <si>
    <t>• SHA-256 de entrada: f5153cfa453fa3d528b2bd22afe4a48445b81f78d9f3e2e8b2eae25b9d92a5f6</t>
  </si>
  <si>
    <t>• No se aportaron las versiones originales NMX-41, NMX-36, NMX-12, NMX-16 y NMX-34; la comparación original→integrado queda marcada ARCHIVO_FALTANTE.</t>
  </si>
  <si>
    <t>• La afirmación 428/428 solo aparece como texto y no cuenta con una matriz de 428 registros verificables.</t>
  </si>
  <si>
    <t>• Exactitud matemática interna y valores cacheados no equivalen a validación clínica ni a validación externa independiente.</t>
  </si>
  <si>
    <t>AUDITORÍA REPRODUCIBLE</t>
  </si>
  <si>
    <t>Métrica</t>
  </si>
  <si>
    <t>Cantidad</t>
  </si>
  <si>
    <t>Interpretación</t>
  </si>
  <si>
    <t>Casos de prueba documentados en módulos</t>
  </si>
  <si>
    <t>30+47+48+47+20; se cuentan comparaciones/estados, no celdas con fórmula.</t>
  </si>
  <si>
    <t>DOCUMENTADO</t>
  </si>
  <si>
    <t>Pruebas internas de integración</t>
  </si>
  <si>
    <t>PRUEBAS!15:18; comparación interna obtenido vs esperado.</t>
  </si>
  <si>
    <t>APROBADAS INTERNAMENTE</t>
  </si>
  <si>
    <t>Celdas con fórmula del libro</t>
  </si>
  <si>
    <t>Métrica estructural Open XML; no es número de pruebas.</t>
  </si>
  <si>
    <t>VERIFICADO</t>
  </si>
  <si>
    <t>Celdas con fórmula en hojas *_PRUEBAS</t>
  </si>
  <si>
    <t>64+124+126+123+44; no es número de casos.</t>
  </si>
  <si>
    <t>Comparaciones original→integrado reproducibles</t>
  </si>
  <si>
    <t>Originales no aportados y sin mapa de 428 registros.</t>
  </si>
  <si>
    <t>NO_REPRODUCIBLE</t>
  </si>
  <si>
    <t>Fórmulas con resultado sin caché</t>
  </si>
  <si>
    <t>M41_FIABILIDAD F23:I32 (40) y M41_SEGUIMIENTO D18:F19 (6).</t>
  </si>
  <si>
    <t>RESULTADO_SIN_CACHE</t>
  </si>
  <si>
    <t>Afirmación 428/428</t>
  </si>
  <si>
    <t>No se valida ni se conserva como declaración aprobada.</t>
  </si>
  <si>
    <t>CASO_NO_DOCUMENTADO</t>
  </si>
  <si>
    <t>Matriz completa</t>
  </si>
  <si>
    <t>Ver AUDITORIA_INTEGRACION</t>
  </si>
  <si>
    <t>248 registros de auditoría, incluidos 192 casos internos, 46 cachés, 5 faltantes, 4 integraciones y 1 declaración.</t>
  </si>
  <si>
    <t>DISPONIBLE</t>
  </si>
  <si>
    <t>AUDITORÍA OPEN XML</t>
  </si>
  <si>
    <t>Fecha de auditoría</t>
  </si>
  <si>
    <t>2026-08-05</t>
  </si>
  <si>
    <t>Archivo auditado</t>
  </si>
  <si>
    <t>NMX-28_Pack_Antropometria_Integrado_v2_0(1).xlsx</t>
  </si>
  <si>
    <t>SHA-256 de entrada</t>
  </si>
  <si>
    <t>f5153cfa453fa3d528b2bd22afe4a48445b81f78d9f3e2e8b2eae25b9d92a5f6</t>
  </si>
  <si>
    <t>Originales NMX-41/36/12/16/34</t>
  </si>
  <si>
    <t>NO APORTADOS</t>
  </si>
  <si>
    <t>Casos internos de módulos documentados</t>
  </si>
  <si>
    <t>Celdas con fórmula</t>
  </si>
  <si>
    <t>Fórmulas con caché vacío</t>
  </si>
  <si>
    <t>Recalculo ejecutado</t>
  </si>
  <si>
    <t>NO; se auditaron fórmulas y valores cacheados en OOXML</t>
  </si>
  <si>
    <t>Estado de 428/428</t>
  </si>
  <si>
    <t>2.0-AUDIT</t>
  </si>
  <si>
    <t>Auditoría reproducible Open XML. Se preservan las 57 hojas originales y se agrega AUDITORIA_INTEGRACION. La afirmación 428/428 queda NO_REPRODUCIBLE: no se aportaron originales ni 428 registros. Se documentan 192 comparaciones internas de módulos, 4 pruebas de integración internas y 46 fórmulas con caché vacío.</t>
  </si>
  <si>
    <t>NUTRIMETRÍA · NMX-28 · PROTOCOLOS ANTROPOMÉTRICOS UDD</t>
  </si>
  <si>
    <t>Capa separada de los protocolos ISAK existentes · versión 2.1 · alcance adulto</t>
  </si>
  <si>
    <t>◀  VOLVER AL HUB</t>
  </si>
  <si>
    <t>No sustituye formación práctica ni validación de la fuente primaria. Los campos no documentados se mantienen explícitos; no se completan por inferencia.</t>
  </si>
  <si>
    <t>Protocolo_ID</t>
  </si>
  <si>
    <t>Metodología</t>
  </si>
  <si>
    <t>Punto_anatómico</t>
  </si>
  <si>
    <t>Lado</t>
  </si>
  <si>
    <t>Posición</t>
  </si>
  <si>
    <t>Precisión</t>
  </si>
  <si>
    <t>Repeticiones</t>
  </si>
  <si>
    <t>Página</t>
  </si>
  <si>
    <t>UDD-PRO-02</t>
  </si>
  <si>
    <t>UDD</t>
  </si>
  <si>
    <t>Peso corporal en adolescentes/adultos</t>
  </si>
  <si>
    <t>Centro de la plataforma de la balanza</t>
  </si>
  <si>
    <t>No aplica</t>
  </si>
  <si>
    <t>De pie; mínima ropa; sin calzado</t>
  </si>
  <si>
    <t>Balanza</t>
  </si>
  <si>
    <t>NO_DOCUMENTADA_EN_MATRIZ</t>
  </si>
  <si>
    <t>Manual UDD 2018 · PRO-02</t>
  </si>
  <si>
    <t>PDF 24 / impresa 23</t>
  </si>
  <si>
    <t>COTEJO_PRIMARIO_PENDIENTE</t>
  </si>
  <si>
    <t>UDD-PRO-04</t>
  </si>
  <si>
    <t>Talla de pie</t>
  </si>
  <si>
    <t>Plano de Frankfurt y puntos corporales en contacto</t>
  </si>
  <si>
    <t>De pie</t>
  </si>
  <si>
    <t>Manual UDD 2018 · PRO-04</t>
  </si>
  <si>
    <t>PDF 25 / impresa 24</t>
  </si>
  <si>
    <t>UDD-PRO-05</t>
  </si>
  <si>
    <t>Altura de rodilla</t>
  </si>
  <si>
    <t>Punto exacto no documentado en la matriz; mantener definición UDD versionada</t>
  </si>
  <si>
    <t>Izquierdo</t>
  </si>
  <si>
    <t>Supina; muslo-rodilla y pie-pantorrilla a 90°</t>
  </si>
  <si>
    <t>Manual UDD 2018 · PRO-05</t>
  </si>
  <si>
    <t>PDF 27 / impresa 26</t>
  </si>
  <si>
    <t>UDD-PRO-07</t>
  </si>
  <si>
    <t>Media brazada / demi-span</t>
  </si>
  <si>
    <t>Desde esternón hasta dedo medio</t>
  </si>
  <si>
    <t>NO_ESPECIFICADO</t>
  </si>
  <si>
    <t>Manual UDD 2018 · PRO-07</t>
  </si>
  <si>
    <t>PDF 28 / impresa 27</t>
  </si>
  <si>
    <t>UDD-PRO-08</t>
  </si>
  <si>
    <t>Circunferencia de brazo</t>
  </si>
  <si>
    <t>Punto medio acromion-olécranon</t>
  </si>
  <si>
    <t>Cinta sin comprimir</t>
  </si>
  <si>
    <t>Manual UDD 2018 · PRO-08</t>
  </si>
  <si>
    <t>PDF 29 / impresa 28</t>
  </si>
  <si>
    <t>UDD-PRO-09</t>
  </si>
  <si>
    <t>Nivel máximo de glúteos; plano horizontal</t>
  </si>
  <si>
    <t>Manual UDD 2018 · PRO-09</t>
  </si>
  <si>
    <t>PDF 30 / impresa 29</t>
  </si>
  <si>
    <t>UDD-PRO-11</t>
  </si>
  <si>
    <t>Circunferencia de cintura en adultos/personas mayores</t>
  </si>
  <si>
    <t>Sitio anatómico debe versionarse; la matriz no transcribe una definición completa</t>
  </si>
  <si>
    <t>Manual UDD 2018 · PRO-11</t>
  </si>
  <si>
    <t>PDF 31 / impresa 30</t>
  </si>
  <si>
    <t>COTEJO_DE_SITIO_PENDIENTE</t>
  </si>
  <si>
    <t>UDD-PRO-12</t>
  </si>
  <si>
    <t>Circunferencia de pantorrilla</t>
  </si>
  <si>
    <t>Máximo perímetro</t>
  </si>
  <si>
    <t>De pie o supina con rodilla a 90°</t>
  </si>
  <si>
    <t>Manual UDD 2018 · PRO-12</t>
  </si>
  <si>
    <t>PDF 33 / impresa 32</t>
  </si>
  <si>
    <t>UDD-PRO-14</t>
  </si>
  <si>
    <t>Pliegue bicipital</t>
  </si>
  <si>
    <t>Punto medio del brazo; detalle anatómico resumido en matriz</t>
  </si>
  <si>
    <t>Brazo no dominante</t>
  </si>
  <si>
    <t>Manual UDD 2018 · PRO-14</t>
  </si>
  <si>
    <t>PDF 34 / impresa 33</t>
  </si>
  <si>
    <t>CONFLICTO_PROTOCOLO</t>
  </si>
  <si>
    <t>UDD-PRO-15</t>
  </si>
  <si>
    <t>Ángulo inferior de la escápula derecha; dirección diagonal</t>
  </si>
  <si>
    <t>Derecho</t>
  </si>
  <si>
    <t>Manual UDD 2018 · PRO-15</t>
  </si>
  <si>
    <t>PDF 36 / impresa 35</t>
  </si>
  <si>
    <t>UDD-PRO-16</t>
  </si>
  <si>
    <t>Sobre cresta ilíaca, línea medioaxilar; oblicuo anterior-descendente</t>
  </si>
  <si>
    <t>Manual UDD 2018 · PRO-16</t>
  </si>
  <si>
    <t>PDF 38 / impresa 37</t>
  </si>
  <si>
    <t>UDD-PRO-17</t>
  </si>
  <si>
    <t>Pliegue tricipital</t>
  </si>
  <si>
    <t>Punto medio posterior del brazo</t>
  </si>
  <si>
    <t>Manual UDD 2018 · PRO-17</t>
  </si>
  <si>
    <t>PDF 40 / impresa 39</t>
  </si>
  <si>
    <t>UDD-CONTEXT-01</t>
  </si>
  <si>
    <t>Circunferencia de carpo para índice de contextura</t>
  </si>
  <si>
    <t>Carpo; sitio anatómico exacto no documentado en la matriz</t>
  </si>
  <si>
    <t>Manual UDD 2018 · EQ-03/TAB-01; Grant et al. 1981</t>
  </si>
  <si>
    <t>PDF 15 / impresa 14</t>
  </si>
  <si>
    <t>REQUIERE_COTEJO_PRIMARIO</t>
  </si>
  <si>
    <t>NUTRIMETRÍA · NMX-28 · COMPARADOR DE PROTOCOLOS UDD / ISAK</t>
  </si>
  <si>
    <t>El selector compara únicamente mediciones con evidencia explícita en ambos conjuntos. Diferir no implica que uno sea incorrecto: implica que no deben mezclarse.</t>
  </si>
  <si>
    <t>Medida seleccionada</t>
  </si>
  <si>
    <t>Regla: conservar protocol_id, lado y repeticiones; no convertir UDD en ISAK por etiqueta.</t>
  </si>
  <si>
    <t>ISAK existente</t>
  </si>
  <si>
    <t>Comparación</t>
  </si>
  <si>
    <t>Página / hoja</t>
  </si>
  <si>
    <t>MATRIZ FUENTE DE COMPARACIÓN</t>
  </si>
  <si>
    <t>UDD_Protocolo_ID</t>
  </si>
  <si>
    <t>UDD_Metodología</t>
  </si>
  <si>
    <t>UDD_Punto_anatómico</t>
  </si>
  <si>
    <t>UDD_Lado</t>
  </si>
  <si>
    <t>UDD_Posición</t>
  </si>
  <si>
    <t>UDD_Instrumento</t>
  </si>
  <si>
    <t>UDD_Precisión</t>
  </si>
  <si>
    <t>UDD_Repeticiones</t>
  </si>
  <si>
    <t>UDD_Unidad</t>
  </si>
  <si>
    <t>UDD_Fuente</t>
  </si>
  <si>
    <t>UDD_Página</t>
  </si>
  <si>
    <t>UDD_Estado</t>
  </si>
  <si>
    <t>ISAK_Protocolo_ID</t>
  </si>
  <si>
    <t>ISAK_Metodología</t>
  </si>
  <si>
    <t>ISAK_Punto_anatómico</t>
  </si>
  <si>
    <t>ISAK_Lado</t>
  </si>
  <si>
    <t>ISAK_Posición</t>
  </si>
  <si>
    <t>ISAK_Instrumento</t>
  </si>
  <si>
    <t>ISAK_Precisión</t>
  </si>
  <si>
    <t>ISAK_Repeticiones</t>
  </si>
  <si>
    <t>ISAK_Unidad</t>
  </si>
  <si>
    <t>ISAK_Fuente</t>
  </si>
  <si>
    <t>ISAK_Página_hoja</t>
  </si>
  <si>
    <t>ISAK_Estado</t>
  </si>
  <si>
    <t>NO_DOCUMENTADO_EN_MATRIZ</t>
  </si>
  <si>
    <t>ISAK-NMX28-BIC</t>
  </si>
  <si>
    <t>ISAK</t>
  </si>
  <si>
    <t>Plicómetro</t>
  </si>
  <si>
    <t>NO DOCUMENTADA; control con patrón ±0,2 mm (no equivale a resolución)</t>
  </si>
  <si>
    <t>Protocolos ISAK ya presentes en NMX-28</t>
  </si>
  <si>
    <t>M41_TECNICA!A18:D18; M36_PLIEGUES!A3</t>
  </si>
  <si>
    <t>EXISTENTE_EN_LIBRO</t>
  </si>
  <si>
    <t>Ángulo inferior de la escápula derecha; diagonal</t>
  </si>
  <si>
    <t>ISAK-NMX28-SUB</t>
  </si>
  <si>
    <t>M41_TECNICA!A17:D17; M36_PLIEGUES!A3</t>
  </si>
  <si>
    <t>ISAK-NMX28-SUP</t>
  </si>
  <si>
    <t>M41_TECNICA!A19:D19; M36_PLIEGUES!A3</t>
  </si>
  <si>
    <t>ISAK-NMX28-TRI</t>
  </si>
  <si>
    <t>M41_TECNICA!A16:D16; M36_PLIEGUES!A3</t>
  </si>
  <si>
    <t>NUTRIMETRÍA · NMX-28 · ECUACIONES UDD</t>
  </si>
  <si>
    <t>Calculadora documental separada de los motores originales. Los resultados no habilitan uso clínico mientras el estado indique cotejo pendiente.</t>
  </si>
  <si>
    <t>UDD-EQ-32</t>
  </si>
  <si>
    <t>Nombre</t>
  </si>
  <si>
    <t>Resultado documental</t>
  </si>
  <si>
    <t>CP · circ. pantorrilla (cm)</t>
  </si>
  <si>
    <t>Estado de fuente</t>
  </si>
  <si>
    <t>AR · altura rodilla (cm)</t>
  </si>
  <si>
    <t>Control de dominio</t>
  </si>
  <si>
    <t>CB · circ. brazo (cm)</t>
  </si>
  <si>
    <t>PSE · pliegue subescapular (mm)</t>
  </si>
  <si>
    <t>Altura de rodilla (cm)</t>
  </si>
  <si>
    <t>LRM · rodilla-maléolo (cm)</t>
  </si>
  <si>
    <t>Media brazada (cm)</t>
  </si>
  <si>
    <t>Circ. carpo (cm)</t>
  </si>
  <si>
    <t>CATÁLOGO DE ECUACIONES Y TRAZABILIDAD</t>
  </si>
  <si>
    <t>Ecuacion_ID</t>
  </si>
  <si>
    <t>Entradas</t>
  </si>
  <si>
    <t>Unidades_entrada</t>
  </si>
  <si>
    <t>Fórmula_documental</t>
  </si>
  <si>
    <t>Salida</t>
  </si>
  <si>
    <t>Unidad_salida</t>
  </si>
  <si>
    <t>UDD-EQ-03</t>
  </si>
  <si>
    <t>Índice de contextura por carpo</t>
  </si>
  <si>
    <t>Adultos</t>
  </si>
  <si>
    <t>Ambos</t>
  </si>
  <si>
    <t>Talla; circunferencia de carpo</t>
  </si>
  <si>
    <t>cm; cm</t>
  </si>
  <si>
    <t>Talla (cm) / circunferencia de carpo (cm)</t>
  </si>
  <si>
    <t>Índice de contextura</t>
  </si>
  <si>
    <t>Grant et al. 1981; Manual UDD 2018</t>
  </si>
  <si>
    <t>La clasificación por sexo de TAB-01 no se automatiza porque la matriz no transcribe sus umbrales.</t>
  </si>
  <si>
    <t>UDD-EQ-30</t>
  </si>
  <si>
    <t>Peso estimado hombre 60–90</t>
  </si>
  <si>
    <t>Personas mayores</t>
  </si>
  <si>
    <t>60–90 años</t>
  </si>
  <si>
    <t>CP; AR; CB; PSE</t>
  </si>
  <si>
    <t>cm; cm; cm; mm</t>
  </si>
  <si>
    <t>0,98×CP + 1,16×AR + 1,73×CB + 0,37×PSE − 81,69</t>
  </si>
  <si>
    <t>Peso estimado</t>
  </si>
  <si>
    <t>Chumlea et al. 1985; Manual UDD 2018</t>
  </si>
  <si>
    <t>PDF 97 / impresa 96</t>
  </si>
  <si>
    <t>REQUIERE_COTEJO_UNIDADES</t>
  </si>
  <si>
    <t>La referencia y las unidades deben cotejarse en la fuente primaria antes de uso clínico.</t>
  </si>
  <si>
    <t>UDD-EQ-31</t>
  </si>
  <si>
    <t>Peso estimado mujer 60–90</t>
  </si>
  <si>
    <t>1,27×CP + 0,87×AR + 0,98×CB + 0,40×PSE − 62,35</t>
  </si>
  <si>
    <t>Talla por altura de rodilla hombre</t>
  </si>
  <si>
    <t>Edad; altura de rodilla</t>
  </si>
  <si>
    <t>años; cm</t>
  </si>
  <si>
    <t>64,19 − 0,04×edad + 2,02×altura de rodilla</t>
  </si>
  <si>
    <t>Talla estimada</t>
  </si>
  <si>
    <t>PDF 98 / impresa 97</t>
  </si>
  <si>
    <t>Dominio documentado 60–90 años.</t>
  </si>
  <si>
    <t>UDD-EQ-33</t>
  </si>
  <si>
    <t>Talla por altura de rodilla mujer</t>
  </si>
  <si>
    <t>84,88 − 0,24×edad + 1,83×altura de rodilla</t>
  </si>
  <si>
    <t>UDD-EQ-34</t>
  </si>
  <si>
    <t>Talla por longitud rodilla-maléolo hombre</t>
  </si>
  <si>
    <t>Adultos mayores</t>
  </si>
  <si>
    <t>Edad; LRM</t>
  </si>
  <si>
    <t>1,121×LRM − 0,117×edad + 119,6</t>
  </si>
  <si>
    <t>Ángel Arango &amp; Zamora 1995; Manual UDD 2018</t>
  </si>
  <si>
    <t>El protocolo de medición LRM no está documentado como PRO en la matriz.</t>
  </si>
  <si>
    <t>UDD-EQ-35</t>
  </si>
  <si>
    <t>Talla por longitud rodilla-maléolo mujer</t>
  </si>
  <si>
    <t>1,263×LRM − 0,159×edad + 107,7</t>
  </si>
  <si>
    <t>UDD-EQ-36</t>
  </si>
  <si>
    <t>Talla por media brazada</t>
  </si>
  <si>
    <t>Media brazada</t>
  </si>
  <si>
    <t>2 × media brazada</t>
  </si>
  <si>
    <t>Borba de Amorim et al. 2008; Manual UDD 2018</t>
  </si>
  <si>
    <t>PDF 99 / impresa 98</t>
  </si>
  <si>
    <t>Aproximación; verificar población y aplicabilidad.</t>
  </si>
  <si>
    <t>NUTRIMETRÍA · NMX-28 · FUENTES UDD Y TRAZABILIDAD</t>
  </si>
  <si>
    <t>El Manual UDD se usa como fuente académica secundaria; las fuentes primarias y oficiales prevalecen ante cualquier conflicto.</t>
  </si>
  <si>
    <t>Fuente_ID</t>
  </si>
  <si>
    <t>Cita_o_recurso</t>
  </si>
  <si>
    <t>Página_o_hoja</t>
  </si>
  <si>
    <t>URL_o_origen</t>
  </si>
  <si>
    <t>UDD-SRC-01</t>
  </si>
  <si>
    <t>Manual</t>
  </si>
  <si>
    <t>Manual de Evaluación Nutricional UDD</t>
  </si>
  <si>
    <t>MANUAL_ACADÉMICO</t>
  </si>
  <si>
    <t>Protocolos y ubicación documental</t>
  </si>
  <si>
    <t>PDF 15, 24–40, 97–99</t>
  </si>
  <si>
    <t>VERIFICADO_EN_MATRIZ</t>
  </si>
  <si>
    <t>https://repositorio.udd.cl/items/11a4b32f-e93d-4aea-a712-59c47768d826</t>
  </si>
  <si>
    <t>Repositorio público no equivale a licencia abierta; no se copiaron figuras ni tablas completas.</t>
  </si>
  <si>
    <t>UDD-SRC-02</t>
  </si>
  <si>
    <t>Manual PDF</t>
  </si>
  <si>
    <t>Manual de Evaluación Nutricional UDD · PDF</t>
  </si>
  <si>
    <t>Paginación PDF/impresa</t>
  </si>
  <si>
    <t>Según protocolo</t>
  </si>
  <si>
    <t>https://repositorio.udd.cl/bitstreams/9053bcf1-8392-4566-9e1b-c91831479191/download</t>
  </si>
  <si>
    <t>Usado indirectamente mediante la matriz de elementos aportada.</t>
  </si>
  <si>
    <t>UDD-SRC-03</t>
  </si>
  <si>
    <t>Artículo</t>
  </si>
  <si>
    <t>Grant J, Custer P, Thurlow J. Current techniques of nutritional assessment.</t>
  </si>
  <si>
    <t>FUENTE_HISTÓRICA</t>
  </si>
  <si>
    <t>Contextura por carpo</t>
  </si>
  <si>
    <t>Manual p. 15</t>
  </si>
  <si>
    <t>Referencia bibliográfica de Matriz_Elementos_Manual_UDD</t>
  </si>
  <si>
    <t>No automatizar puntos de corte sin revisar el original.</t>
  </si>
  <si>
    <t>UDD-SRC-04</t>
  </si>
  <si>
    <t>Chumlea W, Roche A, Steinbaugh M. Estimating stature from knee height for persons 60 to 90 years of age.</t>
  </si>
  <si>
    <t>Estimación de peso y talla</t>
  </si>
  <si>
    <t>Manual pp. 97–98</t>
  </si>
  <si>
    <t>REQUIERE_COTEJO_PRIMARIO_Y_UNIDADES</t>
  </si>
  <si>
    <t>La asociación de la referencia con las ecuaciones de peso requiere revisión primaria.</t>
  </si>
  <si>
    <t>UDD-SRC-05</t>
  </si>
  <si>
    <t>Ángel Arango L, Zamora Jaimes J. The prediction of size from the knee-external malleolus distance.</t>
  </si>
  <si>
    <t>Talla por LRM</t>
  </si>
  <si>
    <t>Manual p. 98</t>
  </si>
  <si>
    <t>Protocolo LRM no documentado como procedimiento independiente en la matriz.</t>
  </si>
  <si>
    <t>UDD-SRC-06</t>
  </si>
  <si>
    <t>Borba de Amorim R et al. Estimating stature measurements applied on body mass index in the nutritional assessment of the elderly.</t>
  </si>
  <si>
    <t>FUENTE_PRIMARIA</t>
  </si>
  <si>
    <t>Manual p. 99</t>
  </si>
  <si>
    <t>Verificar población y exactitud de la aproximación.</t>
  </si>
  <si>
    <t>UDD-SRC-07</t>
  </si>
  <si>
    <t>Estándar</t>
  </si>
  <si>
    <t>ISAK oficial</t>
  </si>
  <si>
    <t>INSTRUMENTO_PROTEGIDO</t>
  </si>
  <si>
    <t>Contraste metodológico con protocolos existentes</t>
  </si>
  <si>
    <t>M41_TECNICA; M36_PLIEGUES</t>
  </si>
  <si>
    <t>CONFIRMADO_PARCIAL</t>
  </si>
  <si>
    <t>https://www.isak.global/</t>
  </si>
  <si>
    <t>No se copió el manual ISAK; se comparó únicamente con reglas ya presentes en NMX-28.</t>
  </si>
  <si>
    <t>UDD-SRC-08</t>
  </si>
  <si>
    <t>Matriz</t>
  </si>
  <si>
    <t>Matriz_Elementos_Manual_UDD(4).xlsx</t>
  </si>
  <si>
    <t>EVIDENCIA_DOCUMENTAL</t>
  </si>
  <si>
    <t>Inventario de protocolos, páginas, ecuaciones y estados</t>
  </si>
  <si>
    <t>Elementos</t>
  </si>
  <si>
    <t>APORTADA</t>
  </si>
  <si>
    <t>Archivo adjunto</t>
  </si>
  <si>
    <t>Fuente principal de esta integración; el Manual UDD no fue aportado como PDF independiente.</t>
  </si>
  <si>
    <t>UDD-SRC-09</t>
  </si>
  <si>
    <t>Matriz_Integracion_NMX(3).xlsx</t>
  </si>
  <si>
    <t>Decisiones y arquitectura NMX-28</t>
  </si>
  <si>
    <t>Mapeo; Arquitectura_NMX</t>
  </si>
  <si>
    <t>Los elementos eran candidatos; la autorización expresa del usuario limita la integración a las categorías indicadas.</t>
  </si>
  <si>
    <t>UDD-SRC-10</t>
  </si>
  <si>
    <t>Matriz_Conflictos(3).xlsx</t>
  </si>
  <si>
    <t>Conflictos UDD/ISAK y unidades</t>
  </si>
  <si>
    <t>Conflictos CF-005, CF-006, CF-008</t>
  </si>
  <si>
    <t>Sustenta la separación de protocolos.</t>
  </si>
  <si>
    <t>UDD-SRC-11</t>
  </si>
  <si>
    <t>Plan</t>
  </si>
  <si>
    <t>Plan_Pruebas_UDD(3).xlsx</t>
  </si>
  <si>
    <t>Diseño de pruebas</t>
  </si>
  <si>
    <t>PT-019, PT-021, PT-023, PT-025, PT-045–046, PT-061, PT-065–066</t>
  </si>
  <si>
    <t>Los casos diseñados no equivalen por sí mismos a ejecución aprobada.</t>
  </si>
  <si>
    <t>UDD-SRC-12</t>
  </si>
  <si>
    <t>Auditoría</t>
  </si>
  <si>
    <t>Informe_Auditoria_NMX28(2).md</t>
  </si>
  <si>
    <t>Línea base estructural</t>
  </si>
  <si>
    <t>Informe completo</t>
  </si>
  <si>
    <t>Línea base: 58 hojas en el auditado, 1.234 fórmulas y 0 vínculos externos.</t>
  </si>
  <si>
    <t>NUTRIMETRÍA · NMX-28 · PRUEBAS UDD Y REGRESIÓN</t>
  </si>
  <si>
    <t>Pruebas funcionales, documentales y Open XML. La auditoría distingue motores, navegación, fórmulas nuevas y metadatos de impresión.</t>
  </si>
  <si>
    <t>Prueba_ID</t>
  </si>
  <si>
    <t>Objeto</t>
  </si>
  <si>
    <t>Evidencia</t>
  </si>
  <si>
    <t>UDD-NAV-01</t>
  </si>
  <si>
    <t>NAVEGACIÓN</t>
  </si>
  <si>
    <t>Hub INICIO</t>
  </si>
  <si>
    <t>Cinco accesos a hojas UDD</t>
  </si>
  <si>
    <t>5 vínculos internos</t>
  </si>
  <si>
    <t>5 hipervínculos internos nativos</t>
  </si>
  <si>
    <t>APROBADO</t>
  </si>
  <si>
    <t>INICIO!A33:A37</t>
  </si>
  <si>
    <t>2026-08-06</t>
  </si>
  <si>
    <t>UDD-NAV-02</t>
  </si>
  <si>
    <t>Hojas UDD</t>
  </si>
  <si>
    <t>Cada hoja retorna al Hub</t>
  </si>
  <si>
    <t>A3 de cada hoja nueva</t>
  </si>
  <si>
    <t>UDD-SEL-01</t>
  </si>
  <si>
    <t>SELECTOR</t>
  </si>
  <si>
    <t>COMPARADOR_PROTOCOLOS!B4</t>
  </si>
  <si>
    <t>Lista de medidas comunes</t>
  </si>
  <si>
    <t>4 opciones</t>
  </si>
  <si>
    <t>Validación de datos</t>
  </si>
  <si>
    <t>UDD-UNI-01</t>
  </si>
  <si>
    <t>UNIDAD</t>
  </si>
  <si>
    <t>Pliegues UDD/ISAK</t>
  </si>
  <si>
    <t>Unidad explícita</t>
  </si>
  <si>
    <t>mm en ambos protocolos</t>
  </si>
  <si>
    <t>mm / mm</t>
  </si>
  <si>
    <t>COMPARADOR_PROTOCOLOS</t>
  </si>
  <si>
    <t>UDD-PRE-01</t>
  </si>
  <si>
    <t>PRECISIÓN</t>
  </si>
  <si>
    <t>Protocolos UDD</t>
  </si>
  <si>
    <t>No completar precisión por inferencia</t>
  </si>
  <si>
    <t>PROTOCOLOS_UDD!H6:H18</t>
  </si>
  <si>
    <t>UDD-REP-01</t>
  </si>
  <si>
    <t>REPETICIONES</t>
  </si>
  <si>
    <t>Cuatro pliegues comunes</t>
  </si>
  <si>
    <t>UDD=3; ISAK=2</t>
  </si>
  <si>
    <t>Diferencia preservada</t>
  </si>
  <si>
    <t>3 / 2</t>
  </si>
  <si>
    <t>UDD-DIF-01</t>
  </si>
  <si>
    <t>DIFERENCIA UDD/ISAK</t>
  </si>
  <si>
    <t>Bíceps y tríceps</t>
  </si>
  <si>
    <t>UDD no dominante; ISAK derecho</t>
  </si>
  <si>
    <t>DIFIERE</t>
  </si>
  <si>
    <t>Matriz comparativa</t>
  </si>
  <si>
    <t>UDD-DIF-02</t>
  </si>
  <si>
    <t>Lado y repeticiones</t>
  </si>
  <si>
    <t>Derecho en ambos; 3 vs 2</t>
  </si>
  <si>
    <t>COINCIDE lado / DIFIERE repeticiones</t>
  </si>
  <si>
    <t>UDD-DIF-03</t>
  </si>
  <si>
    <t>UDD no especificado; ISAK derecho</t>
  </si>
  <si>
    <t>NO COMPARABLE</t>
  </si>
  <si>
    <t>UDD-EQ-01</t>
  </si>
  <si>
    <t>ECUACIÓN</t>
  </si>
  <si>
    <t>170 cm / 17 cm</t>
  </si>
  <si>
    <t>10,000</t>
  </si>
  <si>
    <t>Cálculo independiente</t>
  </si>
  <si>
    <t>UDD-EQ-02</t>
  </si>
  <si>
    <t>CP35; AR50; CB30; PSE15</t>
  </si>
  <si>
    <t>68,060 kg</t>
  </si>
  <si>
    <t>61,000 kg</t>
  </si>
  <si>
    <t>UDD-EQ-04</t>
  </si>
  <si>
    <t>Edad70; AR50</t>
  </si>
  <si>
    <t>162,390 cm</t>
  </si>
  <si>
    <t>UDD-EQ-05</t>
  </si>
  <si>
    <t>159,580 cm</t>
  </si>
  <si>
    <t>UDD-EQ-06</t>
  </si>
  <si>
    <t>Edad70; LRM50</t>
  </si>
  <si>
    <t>167,460 cm</t>
  </si>
  <si>
    <t>UDD-EQ-07</t>
  </si>
  <si>
    <t>159,720 cm</t>
  </si>
  <si>
    <t>UDD-EQ-08</t>
  </si>
  <si>
    <t>Media brazada85</t>
  </si>
  <si>
    <t>170,000 cm</t>
  </si>
  <si>
    <t>UDD-REG-01</t>
  </si>
  <si>
    <t>REGRESIÓN</t>
  </si>
  <si>
    <t>Fórmulas en hojas originales</t>
  </si>
  <si>
    <t>Mapa hoja/celda/fórmula</t>
  </si>
  <si>
    <t>Sin cambios</t>
  </si>
  <si>
    <t>1.234 fórmulas originales idénticas; navegación añadida como hipervínculo nativo</t>
  </si>
  <si>
    <t>Auditoría Open XML final</t>
  </si>
  <si>
    <t>UDD-REG-02</t>
  </si>
  <si>
    <t>Hojas</t>
  </si>
  <si>
    <t>58 existentes + 5 autorizadas</t>
  </si>
  <si>
    <t>63 hojas</t>
  </si>
  <si>
    <t>UDD-REG-03</t>
  </si>
  <si>
    <t>OPEN XML</t>
  </si>
  <si>
    <t>Vínculos externos</t>
  </si>
  <si>
    <t>Conteo</t>
  </si>
  <si>
    <t>UDD-REG-04</t>
  </si>
  <si>
    <t>_xlfn</t>
  </si>
  <si>
    <t>Conteo en fórmulas</t>
  </si>
  <si>
    <t>UDD-REG-05</t>
  </si>
  <si>
    <t>_xludf</t>
  </si>
  <si>
    <t>UDD-REG-06</t>
  </si>
  <si>
    <t>Macros/VBA</t>
  </si>
  <si>
    <t>Presencia</t>
  </si>
  <si>
    <t>UDD-REG-07</t>
  </si>
  <si>
    <t>Gráficos originales</t>
  </si>
  <si>
    <t>4</t>
  </si>
  <si>
    <t>UDD-REG-08</t>
  </si>
  <si>
    <t>Tablas originales</t>
  </si>
  <si>
    <t>2</t>
  </si>
  <si>
    <t>UDD-REG-09</t>
  </si>
  <si>
    <t>Nombres definidos originales</t>
  </si>
  <si>
    <t>Nombres funcionales de motores</t>
  </si>
  <si>
    <t>324 personalizados preservados</t>
  </si>
  <si>
    <t>328: 324 personalizados + 4 Print_Area</t>
  </si>
  <si>
    <t>UDD-REG-10</t>
  </si>
  <si>
    <t>Errores almacenados</t>
  </si>
  <si>
    <t>Celdas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</si>
</sst>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0.00000"/>
    <numFmt numFmtId="167" formatCode="0.0%"/>
    <numFmt numFmtId="168" formatCode="0.0000"/>
    <numFmt numFmtId="169" formatCode="m/d/yyyy"/>
    <numFmt numFmtId="170" formatCode="0.000%"/>
    <numFmt numFmtId="171" formatCode="0.000000"/>
    <numFmt numFmtId="172" formatCode="0.00000000"/>
    <numFmt numFmtId="173" formatCode="0.0000000"/>
    <numFmt numFmtId="174" formatCode="\+0.0;\-0.0;0.0"/>
  </numFmts>
  <fonts count="95">
    <font>
      <sz val="11"/>
      <color theme="1"/>
      <name val="Calibri"/>
    </font>
    <font>
      <b/>
      <sz val="16"/>
      <color rgb="FFFFFFFF"/>
      <name val="Arial"/>
    </font>
    <font>
      <sz val="11"/>
      <color rgb="FFFFFFFF"/>
      <name val="Arial"/>
    </font>
    <font>
      <sz val="10"/>
      <name val="Arial"/>
    </font>
    <font>
      <i/>
      <sz val="9"/>
      <color rgb="FF595959"/>
      <name val="Arial"/>
    </font>
    <font>
      <b/>
      <sz val="11"/>
      <color rgb="FF1C6B72"/>
      <name val="Arial"/>
    </font>
    <font>
      <b/>
      <sz val="11"/>
      <color rgb="FFFFFFFF"/>
      <name val="Arial"/>
    </font>
    <font>
      <sz val="10"/>
      <color rgb="FF0000CC"/>
      <name val="Arial"/>
    </font>
    <font>
      <b/>
      <sz val="11"/>
      <color rgb="FF000000"/>
      <name val="Arial"/>
    </font>
    <font>
      <b/>
      <sz val="20"/>
      <color rgb="FFFFFFFF"/>
      <name val="Arial"/>
    </font>
    <font>
      <b/>
      <sz val="14"/>
      <color rgb="FFFFFFFF"/>
      <name val="Arial"/>
    </font>
    <font>
      <b/>
      <sz val="10"/>
      <color rgb="FFFFFFFF"/>
      <name val="Aptos"/>
    </font>
    <font>
      <sz val="11"/>
      <color rgb="FF155E6C"/>
      <name val="Aptos"/>
    </font>
    <font>
      <b/>
      <sz val="11"/>
      <color rgb="FF1A1A1A"/>
      <name val="Arial"/>
    </font>
    <font>
      <b/>
      <sz val="10"/>
      <color rgb="FF1A1A1A"/>
      <name val="Arial"/>
    </font>
    <font>
      <b/>
      <sz val="10"/>
      <color rgb="FF155E6C"/>
      <name val="Arial"/>
    </font>
    <font>
      <b/>
      <sz val="12"/>
      <color rgb="FF1A1A1A"/>
      <name val="Arial"/>
    </font>
    <font>
      <b/>
      <i/>
      <sz val="12"/>
      <color rgb="FF1A1A1A"/>
      <name val="Arial"/>
    </font>
    <font>
      <b/>
      <sz val="10"/>
      <color rgb="FF0000CC"/>
      <name val="Arial"/>
    </font>
    <font>
      <sz val="9"/>
      <color rgb="FF5A6B70"/>
      <name val="Arial"/>
    </font>
    <font>
      <b/>
      <sz val="10"/>
      <color rgb="FFFFFFFF"/>
      <name val="Arial"/>
    </font>
    <font>
      <sz val="10"/>
      <color rgb="FF1A1A1A"/>
      <name val="Arial"/>
    </font>
    <font>
      <b/>
      <sz val="9"/>
      <color rgb="FFB45309"/>
      <name val="Arial"/>
    </font>
    <font>
      <b/>
      <sz val="10"/>
      <color rgb="FFB45309"/>
      <name val="Arial"/>
    </font>
    <font>
      <b/>
      <sz val="12"/>
      <color rgb="FF1C6B72"/>
      <name val="Arial"/>
    </font>
    <font>
      <sz val="9"/>
      <color rgb="FF1A1A1A"/>
      <name val="Arial"/>
    </font>
    <font>
      <b/>
      <sz val="13"/>
      <color rgb="FF1C6B72"/>
      <name val="Arial"/>
    </font>
    <font>
      <b/>
      <sz val="9"/>
      <color rgb="FFFFFFFF"/>
      <name val="Arial"/>
    </font>
    <font>
      <b/>
      <sz val="9"/>
      <color rgb="FF1A1A1A"/>
      <name val="Arial"/>
    </font>
    <font>
      <b/>
      <sz val="10"/>
      <color rgb="FF1C6B72"/>
      <name val="Arial"/>
    </font>
    <font>
      <b/>
      <sz val="20"/>
      <color rgb="FFFFFFFF"/>
      <name val="Arial"/>
    </font>
    <font>
      <b/>
      <sz val="14"/>
      <color rgb="FFFFFFFF"/>
      <name val="Arial"/>
    </font>
    <font>
      <b/>
      <sz val="11"/>
      <color rgb="FF1A1A1A"/>
      <name val="Arial"/>
    </font>
    <font>
      <b/>
      <sz val="10"/>
      <color rgb="FF1A1A1A"/>
      <name val="Arial"/>
    </font>
    <font>
      <b/>
      <sz val="11"/>
      <color rgb="FFFFFFFF"/>
      <name val="Arial"/>
    </font>
    <font>
      <sz val="10"/>
      <color rgb="FF1A1A1A"/>
      <name val="Arial"/>
    </font>
    <font>
      <b/>
      <sz val="11"/>
      <color theme="0"/>
      <name val="Calibri"/>
    </font>
    <font>
      <sz val="9"/>
      <color rgb="FF5A6B70"/>
      <name val="Arial"/>
    </font>
    <font>
      <b/>
      <sz val="9"/>
      <color rgb="FFB45309"/>
      <name val="Arial"/>
    </font>
    <font>
      <b/>
      <sz val="10"/>
      <color rgb="FFFFFFFF"/>
      <name val="Arial"/>
    </font>
    <font>
      <sz val="10"/>
      <color rgb="FF0000CC"/>
      <name val="Arial"/>
    </font>
    <font>
      <sz val="10"/>
      <name val="Arial"/>
    </font>
    <font>
      <sz val="9"/>
      <name val="Arial"/>
    </font>
    <font>
      <sz val="10"/>
      <color rgb="FF5A6B70"/>
      <name val="Arial"/>
    </font>
    <font>
      <b/>
      <sz val="9"/>
      <name val="Arial"/>
    </font>
    <font>
      <b/>
      <sz val="10"/>
      <name val="Arial"/>
    </font>
    <font>
      <sz val="10"/>
      <color rgb="FFB45309"/>
      <name val="Arial"/>
    </font>
    <font>
      <b/>
      <sz val="10"/>
      <color rgb="FFB45309"/>
      <name val="Arial"/>
    </font>
    <font>
      <b/>
      <sz val="9"/>
      <color rgb="FF1A1A1A"/>
      <name val="Arial"/>
    </font>
    <font>
      <sz val="9"/>
      <color rgb="FF1A1A1A"/>
      <name val="Arial"/>
    </font>
    <font>
      <b/>
      <sz val="9"/>
      <color rgb="FF1C6B72"/>
      <name val="Arial"/>
    </font>
    <font>
      <b/>
      <sz val="9"/>
      <color rgb="FFFFFFFF"/>
      <name val="Arial"/>
    </font>
    <font>
      <b/>
      <sz val="12"/>
      <color rgb="FFFFFFFF"/>
      <name val="Arial"/>
    </font>
    <font>
      <b/>
      <sz val="10"/>
      <color theme="1"/>
      <name val="Arial"/>
    </font>
    <font>
      <sz val="10"/>
      <color theme="1"/>
      <name val="Arial"/>
    </font>
    <font>
      <sz val="9"/>
      <color theme="1"/>
      <name val="Arial"/>
    </font>
    <font>
      <b/>
      <sz val="9"/>
      <color theme="1"/>
      <name val="Arial"/>
    </font>
    <font>
      <b/>
      <sz val="10"/>
      <color rgb="FF1C6B72"/>
      <name val="Arial"/>
    </font>
    <font>
      <b/>
      <sz val="11"/>
      <color theme="1"/>
      <name val="Calibri"/>
    </font>
    <font>
      <sz val="11"/>
      <color rgb="FF155E6C"/>
      <name val="Arial"/>
    </font>
    <font>
      <b/>
      <sz val="11"/>
      <color theme="0"/>
      <name val="Arial"/>
    </font>
    <font>
      <b/>
      <sz val="10"/>
      <color rgb="FF5A6B70"/>
      <name val="Arial"/>
    </font>
    <font>
      <b/>
      <sz val="10"/>
      <color rgb="FF155E6C"/>
      <name val="Arial"/>
    </font>
    <font>
      <b/>
      <sz val="12"/>
      <color rgb="FF1A1A1A"/>
      <name val="Arial"/>
    </font>
    <font>
      <b/>
      <sz val="10"/>
      <color rgb="FF0000CC"/>
      <name val="Arial"/>
    </font>
    <font>
      <b/>
      <sz val="11"/>
      <color rgb="FF5A6B70"/>
      <name val="Arial"/>
    </font>
    <font>
      <b/>
      <sz val="14"/>
      <color rgb="FF1C6B72"/>
      <name val="Arial"/>
    </font>
    <font>
      <b/>
      <sz val="16"/>
      <color rgb="FF1C6B72"/>
      <name val="Arial"/>
    </font>
    <font>
      <b/>
      <sz val="11"/>
      <color rgb="FF1C6B72"/>
      <name val="Arial"/>
    </font>
    <font>
      <sz val="9"/>
      <name val="Arial"/>
    </font>
    <font>
      <b/>
      <sz val="11"/>
      <name val="Arial"/>
    </font>
    <font>
      <b/>
      <sz val="16"/>
      <color rgb="FFFFFFFF"/>
      <name val="Calibri"/>
    </font>
    <font>
      <sz val="11"/>
      <color rgb="FFFFFFFF"/>
      <name val="Calibri"/>
    </font>
    <font>
      <b/>
      <sz val="10"/>
      <color rgb="FF0000CC"/>
      <name val="Calibri"/>
    </font>
    <font>
      <i/>
      <sz val="9"/>
      <color theme="1"/>
      <name val="Calibri"/>
    </font>
    <font>
      <b/>
      <sz val="10"/>
      <color rgb="FFFFFFFF"/>
      <name val="Calibri"/>
    </font>
    <font>
      <sz val="9"/>
      <color theme="1"/>
      <name val="Calibri"/>
    </font>
    <font>
      <b/>
      <sz val="11"/>
      <color rgb="FF1C6B72"/>
      <name val="Calibri"/>
    </font>
    <font>
      <sz val="10"/>
      <color theme="1"/>
      <name val="Calibri"/>
    </font>
    <font>
      <b/>
      <sz val="9"/>
      <color theme="1"/>
      <name val="Calibri"/>
    </font>
    <font>
      <b/>
      <sz val="10"/>
      <color theme="1"/>
      <name val="Calibri"/>
    </font>
    <font>
      <u/>
      <sz val="11"/>
      <color theme="10"/>
      <name val="Calibri"/>
    </font>
    <font>
      <b/>
      <sz val="20"/>
      <color rgb="FFFFFFFF"/>
      <name val="Arial"/>
      <family val="2"/>
    </font>
    <font>
      <b/>
      <sz val="11"/>
      <color rgb="FF1A1A1A"/>
      <name val="Arial"/>
      <family val="2"/>
    </font>
    <font>
      <b/>
      <sz val="10"/>
      <color rgb="FF1A1A1A"/>
      <name val="Arial"/>
      <family val="2"/>
    </font>
    <font>
      <b/>
      <u/>
      <sz val="14"/>
      <color rgb="FFFFFFFF"/>
      <name val="Arial"/>
      <family val="2"/>
    </font>
    <font>
      <b/>
      <sz val="11"/>
      <color rgb="FFFFFFFF"/>
      <name val="Arial"/>
      <family val="2"/>
    </font>
    <font>
      <b/>
      <sz val="10"/>
      <color theme="0"/>
      <name val="Aptos"/>
    </font>
    <font>
      <b/>
      <sz val="11"/>
      <color theme="0"/>
      <name val="Calibri"/>
      <family val="2"/>
    </font>
    <font>
      <b/>
      <sz val="14"/>
      <color rgb="FFFFFFFF"/>
      <name val="Arial"/>
      <family val="2"/>
    </font>
    <font>
      <b/>
      <u/>
      <sz val="11"/>
      <color rgb="FFFFFFFF"/>
      <name val="Arial"/>
      <family val="2"/>
    </font>
    <font>
      <b/>
      <u/>
      <sz val="12"/>
      <color rgb="FFFFFFFF"/>
      <name val="Arial"/>
      <family val="2"/>
    </font>
    <font>
      <b/>
      <u/>
      <sz val="12"/>
      <color theme="0"/>
      <name val="Aptos"/>
    </font>
    <font>
      <b/>
      <sz val="9"/>
      <name val="Arial"/>
      <family val="2"/>
    </font>
    <font>
      <sz val="9"/>
      <color rgb="FF1A1A1A"/>
      <name val="Arial"/>
      <family val="2"/>
    </font>
  </fonts>
  <fills count="26">
    <fill>
      <patternFill patternType="none"/>
    </fill>
    <fill>
      <patternFill patternType="gray125"/>
    </fill>
    <fill>
      <patternFill patternType="solid">
        <fgColor rgb="FF17324D"/>
      </patternFill>
    </fill>
    <fill>
      <patternFill patternType="solid">
        <fgColor rgb="FFFFF6D8"/>
      </patternFill>
    </fill>
    <fill>
      <patternFill patternType="solid">
        <fgColor rgb="FF1C6B72"/>
      </patternFill>
    </fill>
    <fill>
      <patternFill patternType="solid">
        <fgColor rgb="FFF4F6F7"/>
      </patternFill>
    </fill>
    <fill>
      <patternFill patternType="solid">
        <fgColor rgb="FFFFE699"/>
      </patternFill>
    </fill>
    <fill>
      <patternFill patternType="solid">
        <fgColor rgb="FF0F3B44"/>
      </patternFill>
    </fill>
    <fill>
      <patternFill patternType="solid">
        <fgColor rgb="FFDCEFF1"/>
      </patternFill>
    </fill>
    <fill>
      <patternFill patternType="solid">
        <fgColor rgb="FFE7E0F5"/>
      </patternFill>
    </fill>
    <fill>
      <patternFill patternType="solid">
        <fgColor rgb="FFFBE4D5"/>
      </patternFill>
    </fill>
    <fill>
      <patternFill patternType="solid">
        <fgColor rgb="FFFCEFCE"/>
      </patternFill>
    </fill>
    <fill>
      <patternFill patternType="solid">
        <fgColor rgb="FFDFF0E3"/>
      </patternFill>
    </fill>
    <fill>
      <patternFill patternType="solid">
        <fgColor rgb="FFDCE8EA"/>
      </patternFill>
    </fill>
    <fill>
      <patternFill patternType="solid">
        <fgColor theme="6" tint="0.39976195562608724"/>
        <bgColor indexed="65"/>
      </patternFill>
    </fill>
    <fill>
      <patternFill patternType="solid">
        <fgColor rgb="FFB45309"/>
      </patternFill>
    </fill>
    <fill>
      <patternFill patternType="solid">
        <fgColor rgb="FF17324D"/>
      </patternFill>
    </fill>
    <fill>
      <patternFill patternType="solid">
        <fgColor rgb="FFFFF6D8"/>
      </patternFill>
    </fill>
    <fill>
      <patternFill patternType="solid">
        <fgColor rgb="FFFFF2CC"/>
      </patternFill>
    </fill>
    <fill>
      <patternFill patternType="solid">
        <fgColor rgb="FF1C6B72"/>
      </patternFill>
    </fill>
    <fill>
      <patternFill patternType="solid">
        <fgColor rgb="FFEAF2F2"/>
      </patternFill>
    </fill>
    <fill>
      <patternFill patternType="solid">
        <fgColor rgb="FFE7E6E6"/>
      </patternFill>
    </fill>
    <fill>
      <patternFill patternType="solid">
        <fgColor rgb="FF0F3B44"/>
        <bgColor rgb="FF17324D"/>
      </patternFill>
    </fill>
    <fill>
      <patternFill patternType="solid">
        <fgColor rgb="FFE7E0F5"/>
        <bgColor rgb="FFD8E7E2"/>
      </patternFill>
    </fill>
    <fill>
      <patternFill patternType="solid">
        <fgColor rgb="FF1C6B72"/>
        <bgColor rgb="FF155E6C"/>
      </patternFill>
    </fill>
    <fill>
      <patternFill patternType="solid">
        <fgColor theme="4" tint="0.39997558519241921"/>
        <bgColor rgb="FFD8E7E2"/>
      </patternFill>
    </fill>
  </fills>
  <borders count="75">
    <border>
      <left/>
      <right/>
      <top/>
      <bottom/>
      <diagonal/>
    </border>
    <border>
      <left style="thin">
        <color rgb="FFC3D2D0"/>
      </left>
      <right style="thin">
        <color rgb="FFC3D2D0"/>
      </right>
      <top style="thin">
        <color rgb="FFC3D2D0"/>
      </top>
      <bottom style="thin">
        <color rgb="FFC3D2D0"/>
      </bottom>
      <diagonal/>
    </border>
    <border>
      <left style="thin">
        <color rgb="FFB7C7CB"/>
      </left>
      <right style="thin">
        <color rgb="FFB7C7CB"/>
      </right>
      <top style="thin">
        <color rgb="FFB7C7CB"/>
      </top>
      <bottom style="thin">
        <color rgb="FFB7C7CB"/>
      </bottom>
      <diagonal/>
    </border>
    <border>
      <left style="thin">
        <color auto="1"/>
      </left>
      <right style="thin">
        <color auto="1"/>
      </right>
      <top style="thin">
        <color auto="1"/>
      </top>
      <bottom style="thin">
        <color auto="1"/>
      </bottom>
      <diagonal/>
    </border>
    <border>
      <left style="thin">
        <color rgb="FFB7C7CB"/>
      </left>
      <right/>
      <top/>
      <bottom style="thin">
        <color rgb="FFB7C7CB"/>
      </bottom>
      <diagonal/>
    </border>
    <border>
      <left style="thin">
        <color auto="1"/>
      </left>
      <right/>
      <top/>
      <bottom style="thin">
        <color auto="1"/>
      </bottom>
      <diagonal/>
    </border>
    <border>
      <left style="thin">
        <color rgb="FFB7C7CB"/>
      </left>
      <right style="thin">
        <color rgb="FFB7C7CB"/>
      </right>
      <top style="thin">
        <color auto="1"/>
      </top>
      <bottom style="thin">
        <color rgb="FFB7C7CB"/>
      </bottom>
      <diagonal/>
    </border>
    <border>
      <left style="thin">
        <color rgb="FFB7C7CB"/>
      </left>
      <right style="thin">
        <color rgb="FFB7C7CB"/>
      </right>
      <top style="thin">
        <color rgb="FFB7C7CB"/>
      </top>
      <bottom/>
      <diagonal/>
    </border>
    <border>
      <left style="thin">
        <color rgb="FFB7C7CB"/>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7C7CB"/>
      </left>
      <right/>
      <top style="thin">
        <color auto="1"/>
      </top>
      <bottom style="thin">
        <color rgb="FFB7C7CB"/>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0"/>
      </left>
      <right style="thin">
        <color theme="0"/>
      </right>
      <top/>
      <bottom style="thin">
        <color auto="1"/>
      </bottom>
      <diagonal/>
    </border>
    <border>
      <left style="thin">
        <color rgb="FFC7D2D6"/>
      </left>
      <right style="thin">
        <color rgb="FFC7D2D6"/>
      </right>
      <top style="thin">
        <color rgb="FFC7D2D6"/>
      </top>
      <bottom/>
      <diagonal/>
    </border>
    <border>
      <left style="thin">
        <color rgb="FFB7C7CB"/>
      </left>
      <right/>
      <top/>
      <bottom/>
      <diagonal/>
    </border>
    <border>
      <left/>
      <right style="thin">
        <color theme="0"/>
      </right>
      <top/>
      <bottom style="thin">
        <color auto="1"/>
      </bottom>
      <diagonal/>
    </border>
    <border>
      <left style="thin">
        <color theme="0"/>
      </left>
      <right/>
      <top style="thin">
        <color rgb="FFB7C7CB"/>
      </top>
      <bottom style="thin">
        <color auto="1"/>
      </bottom>
      <diagonal/>
    </border>
    <border>
      <left/>
      <right/>
      <top style="thin">
        <color rgb="FFC7D2D6"/>
      </top>
      <bottom style="thin">
        <color rgb="FFC7D2D6"/>
      </bottom>
      <diagonal/>
    </border>
    <border>
      <left/>
      <right/>
      <top style="thin">
        <color rgb="FFC7D2D6"/>
      </top>
      <bottom/>
      <diagonal/>
    </border>
    <border>
      <left style="thin">
        <color rgb="FFC7D2D6"/>
      </left>
      <right style="thin">
        <color rgb="FFC7D2D6"/>
      </right>
      <top style="thin">
        <color rgb="FFC7D2D6"/>
      </top>
      <bottom style="thin">
        <color rgb="FFC7D2D6"/>
      </bottom>
      <diagonal/>
    </border>
    <border>
      <left/>
      <right/>
      <top/>
      <bottom style="thin">
        <color auto="1"/>
      </bottom>
      <diagonal/>
    </border>
    <border>
      <left/>
      <right/>
      <top/>
      <bottom style="thin">
        <color rgb="FFC7D2D6"/>
      </bottom>
      <diagonal/>
    </border>
    <border>
      <left style="thin">
        <color rgb="FFC7D2D6"/>
      </left>
      <right/>
      <top style="thin">
        <color rgb="FFC7D2D6"/>
      </top>
      <bottom style="thin">
        <color rgb="FFC7D2D6"/>
      </bottom>
      <diagonal/>
    </border>
    <border>
      <left style="thin">
        <color rgb="FFC7D2D6"/>
      </left>
      <right/>
      <top style="thin">
        <color rgb="FFC7D2D6"/>
      </top>
      <bottom/>
      <diagonal/>
    </border>
    <border>
      <left style="thin">
        <color rgb="FFC7D2D6"/>
      </left>
      <right style="thin">
        <color rgb="FFC7D2D6"/>
      </right>
      <top/>
      <bottom style="thin">
        <color rgb="FFC7D2D6"/>
      </bottom>
      <diagonal/>
    </border>
    <border>
      <left style="thin">
        <color rgb="FFB7C7CB"/>
      </left>
      <right style="thin">
        <color auto="1"/>
      </right>
      <top style="thin">
        <color auto="1"/>
      </top>
      <bottom/>
      <diagonal/>
    </border>
    <border>
      <left style="thin">
        <color rgb="FFB7C7CB"/>
      </left>
      <right style="thin">
        <color auto="1"/>
      </right>
      <top/>
      <bottom/>
      <diagonal/>
    </border>
    <border>
      <left style="thin">
        <color auto="1"/>
      </left>
      <right/>
      <top/>
      <bottom/>
      <diagonal/>
    </border>
    <border>
      <left style="thin">
        <color auto="1"/>
      </left>
      <right/>
      <top style="thin">
        <color auto="1"/>
      </top>
      <bottom/>
      <diagonal/>
    </border>
    <border>
      <left style="thin">
        <color rgb="FFC7D2D6"/>
      </left>
      <right/>
      <top/>
      <bottom/>
      <diagonal/>
    </border>
    <border>
      <left style="thin">
        <color rgb="FFC7D2D6"/>
      </left>
      <right/>
      <top/>
      <bottom style="thin">
        <color rgb="FFC7D2D6"/>
      </bottom>
      <diagonal/>
    </border>
    <border>
      <left style="thin">
        <color rgb="FFB7C7CB"/>
      </left>
      <right/>
      <top style="thin">
        <color rgb="FFB7C7CB"/>
      </top>
      <bottom style="thin">
        <color rgb="FFB7C7CB"/>
      </bottom>
      <diagonal/>
    </border>
    <border>
      <left/>
      <right style="thin">
        <color rgb="FFB7C7CB"/>
      </right>
      <top style="thin">
        <color rgb="FFB7C7CB"/>
      </top>
      <bottom style="thin">
        <color rgb="FFB7C7CB"/>
      </bottom>
      <diagonal/>
    </border>
    <border>
      <left style="thin">
        <color rgb="FFB7C7CB"/>
      </left>
      <right style="thin">
        <color rgb="FFB7C7CB"/>
      </right>
      <top/>
      <bottom style="thin">
        <color rgb="FFB7C7CB"/>
      </bottom>
      <diagonal/>
    </border>
    <border>
      <left/>
      <right/>
      <top/>
      <bottom style="thin">
        <color rgb="FFC3D2D0"/>
      </bottom>
      <diagonal/>
    </border>
    <border>
      <left/>
      <right/>
      <top/>
      <bottom/>
      <diagonal/>
    </border>
    <border>
      <left/>
      <right style="thin">
        <color theme="0"/>
      </right>
      <top/>
      <bottom/>
      <diagonal/>
    </border>
    <border>
      <left style="thin">
        <color theme="0"/>
      </left>
      <right/>
      <top/>
      <bottom/>
      <diagonal/>
    </border>
    <border>
      <left style="thin">
        <color auto="1"/>
      </left>
      <right style="thin">
        <color auto="1"/>
      </right>
      <top style="thin">
        <color auto="1"/>
      </top>
      <bottom style="thin">
        <color auto="1"/>
      </bottom>
      <diagonal/>
    </border>
    <border>
      <left/>
      <right style="thin">
        <color rgb="FFB7C7CB"/>
      </right>
      <top style="thin">
        <color rgb="FFB7C7CB"/>
      </top>
      <bottom style="thin">
        <color rgb="FFB7C7CB"/>
      </bottom>
      <diagonal/>
    </border>
    <border>
      <left style="thin">
        <color rgb="FFB7C7CB"/>
      </left>
      <right/>
      <top/>
      <bottom/>
      <diagonal/>
    </border>
    <border>
      <left style="thin">
        <color rgb="FFB7C7CB"/>
      </left>
      <right/>
      <top style="thin">
        <color rgb="FFB7C7CB"/>
      </top>
      <bottom style="thin">
        <color rgb="FFB7C7CB"/>
      </bottom>
      <diagonal/>
    </border>
    <border>
      <left/>
      <right/>
      <top/>
      <bottom style="thin">
        <color rgb="FFC3D2D0"/>
      </bottom>
      <diagonal/>
    </border>
    <border>
      <left style="thin">
        <color rgb="FFC3D2D0"/>
      </left>
      <right/>
      <top style="thin">
        <color rgb="FFC3D2D0"/>
      </top>
      <bottom style="thin">
        <color rgb="FFC3D2D0"/>
      </bottom>
      <diagonal/>
    </border>
    <border>
      <left/>
      <right/>
      <top style="thin">
        <color rgb="FFC3D2D0"/>
      </top>
      <bottom style="thin">
        <color rgb="FFC3D2D0"/>
      </bottom>
      <diagonal/>
    </border>
    <border>
      <left/>
      <right style="thin">
        <color rgb="FFC3D2D0"/>
      </right>
      <top style="thin">
        <color rgb="FFC3D2D0"/>
      </top>
      <bottom style="thin">
        <color rgb="FFC3D2D0"/>
      </bottom>
      <diagonal/>
    </border>
    <border>
      <left style="thin">
        <color rgb="FFC3D2D0"/>
      </left>
      <right/>
      <top style="thin">
        <color rgb="FFC3D2D0"/>
      </top>
      <bottom style="thin">
        <color rgb="FFC3D2D0"/>
      </bottom>
      <diagonal/>
    </border>
    <border>
      <left/>
      <right/>
      <top style="thin">
        <color rgb="FFC3D2D0"/>
      </top>
      <bottom style="thin">
        <color rgb="FFC3D2D0"/>
      </bottom>
      <diagonal/>
    </border>
    <border>
      <left/>
      <right style="thin">
        <color rgb="FFC3D2D0"/>
      </right>
      <top style="thin">
        <color rgb="FFC3D2D0"/>
      </top>
      <bottom style="thin">
        <color rgb="FFC3D2D0"/>
      </bottom>
      <diagonal/>
    </border>
    <border>
      <left style="thin">
        <color rgb="FFC3D2D0"/>
      </left>
      <right/>
      <top style="thin">
        <color rgb="FFC3D2D0"/>
      </top>
      <bottom/>
      <diagonal/>
    </border>
    <border>
      <left/>
      <right/>
      <top style="thin">
        <color rgb="FFC3D2D0"/>
      </top>
      <bottom/>
      <diagonal/>
    </border>
    <border>
      <left/>
      <right style="thin">
        <color rgb="FFC3D2D0"/>
      </right>
      <top style="thin">
        <color rgb="FFC3D2D0"/>
      </top>
      <bottom/>
      <diagonal/>
    </border>
    <border>
      <left style="thin">
        <color rgb="FFC3D2D0"/>
      </left>
      <right/>
      <top/>
      <bottom/>
      <diagonal/>
    </border>
    <border>
      <left/>
      <right style="thin">
        <color rgb="FFC3D2D0"/>
      </right>
      <top/>
      <bottom/>
      <diagonal/>
    </border>
    <border>
      <left style="thin">
        <color rgb="FFC3D2D0"/>
      </left>
      <right/>
      <top/>
      <bottom style="thin">
        <color rgb="FFC3D2D0"/>
      </bottom>
      <diagonal/>
    </border>
    <border>
      <left/>
      <right style="thin">
        <color rgb="FFC3D2D0"/>
      </right>
      <top/>
      <bottom style="thin">
        <color rgb="FFC3D2D0"/>
      </bottom>
      <diagonal/>
    </border>
    <border>
      <left style="thin">
        <color rgb="FFC3D2D0"/>
      </left>
      <right/>
      <top/>
      <bottom/>
      <diagonal/>
    </border>
    <border>
      <left style="thin">
        <color rgb="FFC3D2D0"/>
      </left>
      <right/>
      <top/>
      <bottom style="thin">
        <color rgb="FFC3D2D0"/>
      </bottom>
      <diagonal/>
    </border>
    <border>
      <left style="thin">
        <color rgb="FFC3D2D0"/>
      </left>
      <right style="thin">
        <color rgb="FFC3D2D0"/>
      </right>
      <top style="thin">
        <color rgb="FFC3D2D0"/>
      </top>
      <bottom/>
      <diagonal/>
    </border>
    <border>
      <left style="thin">
        <color rgb="FFC3D2D0"/>
      </left>
      <right style="thin">
        <color rgb="FFC3D2D0"/>
      </right>
      <top/>
      <bottom/>
      <diagonal/>
    </border>
    <border>
      <left style="thin">
        <color rgb="FFC3D2D0"/>
      </left>
      <right style="thin">
        <color rgb="FFC3D2D0"/>
      </right>
      <top/>
      <bottom style="thin">
        <color rgb="FFC3D2D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theme="0"/>
      </top>
      <bottom/>
      <diagonal/>
    </border>
    <border>
      <left/>
      <right/>
      <top style="thin">
        <color rgb="FFB7C7CB"/>
      </top>
      <bottom style="thin">
        <color rgb="FFB7C7CB"/>
      </bottom>
      <diagonal/>
    </border>
  </borders>
  <cellStyleXfs count="2">
    <xf numFmtId="0" fontId="0" fillId="0" borderId="0"/>
    <xf numFmtId="0" fontId="81" fillId="0" borderId="0" applyNumberFormat="0" applyFill="0" applyBorder="0" applyAlignment="0" applyProtection="0"/>
  </cellStyleXfs>
  <cellXfs count="487">
    <xf numFmtId="0" fontId="0" fillId="0" borderId="0" xfId="0"/>
    <xf numFmtId="0" fontId="0" fillId="0" borderId="0" xfId="0" applyAlignment="1"/>
    <xf numFmtId="0" fontId="0" fillId="0" borderId="0" xfId="0" applyProtection="1"/>
    <xf numFmtId="0" fontId="83" fillId="23" borderId="42" xfId="0" applyFont="1" applyFill="1" applyBorder="1" applyAlignment="1" applyProtection="1">
      <alignment vertical="center" wrapText="1"/>
    </xf>
    <xf numFmtId="0" fontId="83" fillId="25" borderId="42" xfId="0" applyFont="1" applyFill="1" applyBorder="1" applyAlignment="1" applyProtection="1">
      <alignment vertical="center" wrapText="1"/>
    </xf>
    <xf numFmtId="0" fontId="85" fillId="2" borderId="0" xfId="0" applyFont="1" applyFill="1" applyAlignment="1" applyProtection="1">
      <alignment horizontal="left" vertical="center" wrapText="1"/>
    </xf>
    <xf numFmtId="0" fontId="88" fillId="19" borderId="69" xfId="1" applyFont="1" applyFill="1" applyBorder="1" applyAlignment="1" applyProtection="1">
      <alignment horizontal="center" vertical="center" wrapText="1"/>
    </xf>
    <xf numFmtId="0" fontId="6" fillId="4" borderId="1" xfId="0" applyFont="1" applyFill="1" applyBorder="1" applyProtection="1"/>
    <xf numFmtId="0" fontId="3" fillId="0" borderId="1" xfId="0" applyFont="1" applyBorder="1" applyProtection="1"/>
    <xf numFmtId="0" fontId="6" fillId="4" borderId="1" xfId="0" applyFont="1" applyFill="1" applyBorder="1" applyAlignment="1" applyProtection="1">
      <alignment horizontal="center" wrapText="1"/>
    </xf>
    <xf numFmtId="0" fontId="0" fillId="3" borderId="1" xfId="0" applyFill="1" applyBorder="1" applyProtection="1"/>
    <xf numFmtId="0" fontId="0" fillId="0" borderId="1" xfId="0" applyBorder="1" applyProtection="1"/>
    <xf numFmtId="0" fontId="0" fillId="5" borderId="1" xfId="0" applyFill="1" applyBorder="1" applyProtection="1"/>
    <xf numFmtId="0" fontId="7" fillId="3" borderId="1" xfId="0" applyFont="1" applyFill="1" applyBorder="1" applyProtection="1">
      <protection locked="0"/>
    </xf>
    <xf numFmtId="0" fontId="6" fillId="4" borderId="1" xfId="0" applyFont="1" applyFill="1" applyBorder="1" applyAlignment="1" applyProtection="1">
      <alignment horizontal="center"/>
    </xf>
    <xf numFmtId="2" fontId="3" fillId="5" borderId="1" xfId="0" applyNumberFormat="1" applyFont="1" applyFill="1" applyBorder="1" applyProtection="1"/>
    <xf numFmtId="0" fontId="93" fillId="0" borderId="1" xfId="0" applyFont="1" applyBorder="1" applyAlignment="1" applyProtection="1">
      <alignment horizontal="center" vertical="center"/>
    </xf>
    <xf numFmtId="164" fontId="3" fillId="5" borderId="1" xfId="0" applyNumberFormat="1" applyFont="1" applyFill="1" applyBorder="1" applyProtection="1"/>
    <xf numFmtId="0" fontId="3" fillId="5" borderId="1" xfId="0" applyFont="1" applyFill="1" applyBorder="1" applyProtection="1"/>
    <xf numFmtId="165" fontId="3" fillId="5" borderId="1" xfId="0" applyNumberFormat="1" applyFont="1" applyFill="1" applyBorder="1" applyProtection="1"/>
    <xf numFmtId="166" fontId="3" fillId="5" borderId="1" xfId="0" applyNumberFormat="1" applyFont="1" applyFill="1" applyBorder="1" applyProtection="1"/>
    <xf numFmtId="167" fontId="3" fillId="5" borderId="1" xfId="0" applyNumberFormat="1" applyFont="1" applyFill="1" applyBorder="1" applyProtection="1"/>
    <xf numFmtId="0" fontId="0" fillId="0" borderId="0" xfId="0" applyAlignment="1" applyProtection="1"/>
    <xf numFmtId="0" fontId="20" fillId="4" borderId="2" xfId="0" applyFont="1" applyFill="1" applyBorder="1" applyAlignment="1" applyProtection="1">
      <alignment horizontal="center" vertical="center" wrapText="1"/>
    </xf>
    <xf numFmtId="0" fontId="21" fillId="5" borderId="2" xfId="0" applyFont="1" applyFill="1" applyBorder="1" applyAlignment="1" applyProtection="1">
      <alignment horizontal="left" vertical="center"/>
    </xf>
    <xf numFmtId="2" fontId="21" fillId="5" borderId="2" xfId="0" applyNumberFormat="1" applyFont="1" applyFill="1" applyBorder="1" applyAlignment="1" applyProtection="1">
      <alignment horizontal="center" vertical="center"/>
    </xf>
    <xf numFmtId="0" fontId="22" fillId="10" borderId="2" xfId="0" applyFont="1" applyFill="1" applyBorder="1" applyAlignment="1" applyProtection="1">
      <alignment horizontal="left" vertical="center"/>
    </xf>
    <xf numFmtId="2" fontId="13" fillId="12" borderId="2" xfId="0" applyNumberFormat="1" applyFont="1" applyFill="1" applyBorder="1" applyAlignment="1" applyProtection="1">
      <alignment horizontal="center" vertical="center"/>
    </xf>
    <xf numFmtId="2" fontId="23" fillId="10" borderId="2" xfId="0" applyNumberFormat="1" applyFont="1" applyFill="1" applyBorder="1" applyAlignment="1" applyProtection="1">
      <alignment horizontal="left" vertical="center"/>
    </xf>
    <xf numFmtId="0" fontId="18" fillId="11" borderId="2" xfId="0" applyFont="1" applyFill="1" applyBorder="1" applyAlignment="1" applyProtection="1">
      <alignment horizontal="center" vertical="center"/>
      <protection locked="0"/>
    </xf>
    <xf numFmtId="0" fontId="25" fillId="5" borderId="2" xfId="0" applyFont="1" applyFill="1" applyBorder="1" applyAlignment="1" applyProtection="1">
      <alignment horizontal="left" vertical="center" wrapText="1"/>
    </xf>
    <xf numFmtId="0" fontId="14" fillId="10" borderId="2" xfId="0" applyFont="1" applyFill="1" applyBorder="1" applyAlignment="1" applyProtection="1">
      <alignment horizontal="left" vertical="center" wrapText="1"/>
    </xf>
    <xf numFmtId="0" fontId="19" fillId="9" borderId="2" xfId="0" applyFont="1" applyFill="1" applyBorder="1" applyAlignment="1" applyProtection="1">
      <alignment horizontal="center" vertical="center"/>
    </xf>
    <xf numFmtId="164" fontId="25" fillId="5" borderId="2" xfId="0" applyNumberFormat="1" applyFont="1" applyFill="1" applyBorder="1" applyAlignment="1" applyProtection="1">
      <alignment horizontal="center" vertical="center"/>
    </xf>
    <xf numFmtId="164" fontId="13" fillId="8" borderId="2" xfId="0" applyNumberFormat="1" applyFont="1" applyFill="1" applyBorder="1" applyAlignment="1" applyProtection="1">
      <alignment horizontal="center" vertical="center"/>
    </xf>
    <xf numFmtId="164" fontId="23" fillId="10" borderId="2" xfId="0" applyNumberFormat="1" applyFont="1" applyFill="1" applyBorder="1" applyAlignment="1" applyProtection="1">
      <alignment horizontal="left" vertical="center"/>
    </xf>
    <xf numFmtId="0" fontId="18" fillId="11" borderId="2" xfId="0" applyFont="1" applyFill="1" applyBorder="1" applyAlignment="1" applyProtection="1">
      <alignment horizontal="left" vertical="center"/>
      <protection locked="0"/>
    </xf>
    <xf numFmtId="2" fontId="13" fillId="12" borderId="2" xfId="0" applyNumberFormat="1" applyFont="1" applyFill="1" applyBorder="1" applyAlignment="1" applyProtection="1">
      <alignment horizontal="left" vertical="center"/>
    </xf>
    <xf numFmtId="0" fontId="27" fillId="4" borderId="2" xfId="0" applyFont="1" applyFill="1" applyBorder="1" applyAlignment="1" applyProtection="1">
      <alignment horizontal="center" vertical="center"/>
    </xf>
    <xf numFmtId="2" fontId="25" fillId="5" borderId="2" xfId="0" applyNumberFormat="1" applyFont="1" applyFill="1" applyBorder="1" applyAlignment="1" applyProtection="1">
      <alignment horizontal="left" vertical="center"/>
    </xf>
    <xf numFmtId="2" fontId="25" fillId="5" borderId="2" xfId="0" applyNumberFormat="1" applyFont="1" applyFill="1" applyBorder="1" applyAlignment="1" applyProtection="1">
      <alignment horizontal="center" vertical="center"/>
    </xf>
    <xf numFmtId="0" fontId="20" fillId="4" borderId="2" xfId="0" applyFont="1" applyFill="1" applyBorder="1" applyAlignment="1" applyProtection="1">
      <alignment horizontal="center" vertical="center"/>
    </xf>
    <xf numFmtId="0" fontId="28" fillId="5" borderId="2" xfId="0" applyFont="1" applyFill="1" applyBorder="1" applyAlignment="1" applyProtection="1">
      <alignment horizontal="left" vertical="top" wrapText="1"/>
    </xf>
    <xf numFmtId="0" fontId="19" fillId="0" borderId="0" xfId="0" applyFont="1" applyAlignment="1" applyProtection="1">
      <alignment horizontal="left" vertical="center"/>
    </xf>
    <xf numFmtId="0" fontId="25" fillId="5" borderId="2" xfId="0" applyFont="1" applyFill="1" applyBorder="1" applyAlignment="1" applyProtection="1">
      <alignment horizontal="center" vertical="center"/>
    </xf>
    <xf numFmtId="0" fontId="25" fillId="5" borderId="2" xfId="0" applyFont="1" applyFill="1" applyBorder="1" applyAlignment="1" applyProtection="1">
      <alignment horizontal="left" vertical="center"/>
    </xf>
    <xf numFmtId="0" fontId="28" fillId="12" borderId="2" xfId="0" applyFont="1" applyFill="1" applyBorder="1" applyAlignment="1" applyProtection="1">
      <alignment horizontal="center" vertical="center"/>
    </xf>
    <xf numFmtId="10" fontId="25" fillId="5" borderId="2" xfId="0" applyNumberFormat="1" applyFont="1" applyFill="1" applyBorder="1" applyAlignment="1" applyProtection="1">
      <alignment horizontal="center" vertical="center"/>
    </xf>
    <xf numFmtId="168" fontId="25" fillId="5" borderId="2" xfId="0" applyNumberFormat="1" applyFont="1" applyFill="1" applyBorder="1" applyAlignment="1" applyProtection="1">
      <alignment horizontal="center" vertical="center"/>
    </xf>
    <xf numFmtId="0" fontId="29" fillId="8" borderId="2" xfId="0" applyFont="1" applyFill="1" applyBorder="1" applyAlignment="1" applyProtection="1">
      <alignment horizontal="center" vertical="center"/>
    </xf>
    <xf numFmtId="0" fontId="29" fillId="8" borderId="2" xfId="0" applyFont="1" applyFill="1" applyBorder="1" applyAlignment="1" applyProtection="1">
      <alignment horizontal="left" vertical="center"/>
    </xf>
    <xf numFmtId="0" fontId="19" fillId="5" borderId="2" xfId="0" applyFont="1" applyFill="1" applyBorder="1" applyAlignment="1" applyProtection="1">
      <alignment horizontal="center" vertical="center"/>
    </xf>
    <xf numFmtId="167" fontId="18" fillId="11" borderId="2" xfId="0" applyNumberFormat="1" applyFont="1" applyFill="1" applyBorder="1" applyAlignment="1" applyProtection="1">
      <alignment horizontal="center" vertical="center"/>
      <protection locked="0"/>
    </xf>
    <xf numFmtId="0" fontId="25" fillId="5" borderId="2" xfId="0" applyFont="1" applyFill="1" applyBorder="1" applyAlignment="1" applyProtection="1">
      <alignment horizontal="center" vertical="top"/>
    </xf>
    <xf numFmtId="0" fontId="94" fillId="5" borderId="2" xfId="0" applyFont="1" applyFill="1" applyBorder="1" applyAlignment="1" applyProtection="1">
      <alignment horizontal="center" vertical="top"/>
    </xf>
    <xf numFmtId="0" fontId="11" fillId="2" borderId="2" xfId="0" applyFont="1" applyFill="1" applyBorder="1" applyAlignment="1" applyProtection="1">
      <alignment horizontal="center" vertical="center"/>
    </xf>
    <xf numFmtId="0" fontId="12" fillId="8" borderId="7" xfId="0" applyFont="1" applyFill="1" applyBorder="1" applyAlignment="1" applyProtection="1">
      <alignment horizontal="center" vertical="center" wrapText="1"/>
    </xf>
    <xf numFmtId="0" fontId="31" fillId="7" borderId="0" xfId="0" applyFont="1" applyFill="1" applyAlignment="1" applyProtection="1">
      <alignment horizontal="left" vertical="center"/>
    </xf>
    <xf numFmtId="0" fontId="35" fillId="7" borderId="0" xfId="0" applyFont="1" applyFill="1" applyAlignment="1" applyProtection="1">
      <alignment horizontal="left" vertical="center"/>
    </xf>
    <xf numFmtId="0" fontId="36" fillId="2" borderId="13" xfId="0" applyFont="1" applyFill="1" applyBorder="1" applyAlignment="1" applyProtection="1">
      <alignment horizontal="center" vertical="center" wrapText="1"/>
    </xf>
    <xf numFmtId="0" fontId="36" fillId="2" borderId="14" xfId="0" applyFont="1" applyFill="1" applyBorder="1" applyAlignment="1" applyProtection="1">
      <alignment horizontal="center" vertical="center" wrapText="1"/>
    </xf>
    <xf numFmtId="0" fontId="36" fillId="2" borderId="15" xfId="0" applyFont="1" applyFill="1" applyBorder="1" applyAlignment="1" applyProtection="1">
      <alignment horizontal="center" vertical="center" wrapText="1"/>
    </xf>
    <xf numFmtId="0" fontId="39" fillId="4" borderId="3" xfId="0" applyFont="1" applyFill="1" applyBorder="1" applyAlignment="1" applyProtection="1">
      <alignment horizontal="left" vertical="center"/>
    </xf>
    <xf numFmtId="0" fontId="33" fillId="0" borderId="3" xfId="0" applyFont="1" applyBorder="1" applyAlignment="1" applyProtection="1">
      <alignment horizontal="left" vertical="center"/>
    </xf>
    <xf numFmtId="0" fontId="41" fillId="0" borderId="3" xfId="0" applyFont="1" applyBorder="1" applyAlignment="1" applyProtection="1">
      <alignment horizontal="center" vertical="center"/>
    </xf>
    <xf numFmtId="0" fontId="42" fillId="0" borderId="3" xfId="0" applyFont="1" applyBorder="1" applyAlignment="1" applyProtection="1">
      <alignment horizontal="left" vertical="center" wrapText="1"/>
    </xf>
    <xf numFmtId="0" fontId="40" fillId="3" borderId="3" xfId="0" applyFont="1" applyFill="1" applyBorder="1" applyAlignment="1" applyProtection="1">
      <alignment horizontal="center" vertical="center"/>
      <protection locked="0"/>
    </xf>
    <xf numFmtId="169" fontId="40" fillId="3" borderId="3" xfId="0" applyNumberFormat="1" applyFont="1" applyFill="1" applyBorder="1" applyAlignment="1" applyProtection="1">
      <alignment horizontal="center" vertical="center"/>
      <protection locked="0"/>
    </xf>
    <xf numFmtId="1" fontId="40" fillId="3" borderId="3" xfId="0" applyNumberFormat="1" applyFont="1" applyFill="1" applyBorder="1" applyAlignment="1" applyProtection="1">
      <alignment horizontal="center" vertical="center"/>
      <protection locked="0"/>
    </xf>
    <xf numFmtId="165" fontId="40" fillId="3" borderId="3" xfId="0" applyNumberFormat="1" applyFont="1" applyFill="1" applyBorder="1" applyAlignment="1" applyProtection="1">
      <alignment horizontal="center" vertical="center"/>
      <protection locked="0"/>
    </xf>
    <xf numFmtId="0" fontId="39" fillId="4" borderId="17" xfId="0" applyFont="1" applyFill="1" applyBorder="1" applyAlignment="1" applyProtection="1">
      <alignment horizontal="center" vertical="center" wrapText="1"/>
    </xf>
    <xf numFmtId="0" fontId="43" fillId="0" borderId="3" xfId="0" applyFont="1" applyBorder="1" applyAlignment="1" applyProtection="1">
      <alignment horizontal="center" vertical="center"/>
    </xf>
    <xf numFmtId="0" fontId="35" fillId="0" borderId="3" xfId="0" applyFont="1" applyBorder="1" applyAlignment="1" applyProtection="1">
      <alignment horizontal="left" vertical="center"/>
    </xf>
    <xf numFmtId="2" fontId="35" fillId="5" borderId="3" xfId="0" applyNumberFormat="1" applyFont="1" applyFill="1" applyBorder="1" applyAlignment="1" applyProtection="1">
      <alignment horizontal="center" vertical="center"/>
    </xf>
    <xf numFmtId="165" fontId="35" fillId="5" borderId="3" xfId="0" applyNumberFormat="1" applyFont="1" applyFill="1" applyBorder="1" applyAlignment="1" applyProtection="1">
      <alignment horizontal="center" vertical="center"/>
    </xf>
    <xf numFmtId="0" fontId="37" fillId="0" borderId="3" xfId="0" applyFont="1" applyBorder="1" applyAlignment="1" applyProtection="1">
      <alignment horizontal="left" vertical="center" wrapText="1"/>
    </xf>
    <xf numFmtId="0" fontId="34" fillId="4" borderId="0" xfId="0" applyFont="1" applyFill="1" applyAlignment="1" applyProtection="1">
      <alignment horizontal="left" vertical="center"/>
    </xf>
    <xf numFmtId="0" fontId="35" fillId="4" borderId="0" xfId="0" applyFont="1" applyFill="1" applyAlignment="1" applyProtection="1">
      <alignment horizontal="left" vertical="center"/>
    </xf>
    <xf numFmtId="0" fontId="33" fillId="13" borderId="3" xfId="0" applyFont="1" applyFill="1" applyBorder="1" applyAlignment="1" applyProtection="1">
      <alignment horizontal="left" vertical="center"/>
    </xf>
    <xf numFmtId="164" fontId="35" fillId="5" borderId="3" xfId="0" applyNumberFormat="1" applyFont="1" applyFill="1" applyBorder="1" applyAlignment="1" applyProtection="1">
      <alignment horizontal="center" vertical="center"/>
    </xf>
    <xf numFmtId="0" fontId="44" fillId="0" borderId="3" xfId="0" applyFont="1" applyBorder="1" applyAlignment="1" applyProtection="1">
      <alignment horizontal="left" vertical="center" wrapText="1"/>
    </xf>
    <xf numFmtId="0" fontId="35" fillId="12" borderId="3" xfId="0" applyFont="1" applyFill="1" applyBorder="1" applyAlignment="1" applyProtection="1">
      <alignment horizontal="center" vertical="center"/>
    </xf>
    <xf numFmtId="0" fontId="45" fillId="13" borderId="17" xfId="0" applyFont="1" applyFill="1" applyBorder="1" applyAlignment="1" applyProtection="1">
      <alignment horizontal="left" vertical="center"/>
    </xf>
    <xf numFmtId="0" fontId="41" fillId="0" borderId="3" xfId="0" applyFont="1" applyBorder="1" applyAlignment="1" applyProtection="1">
      <alignment horizontal="left" vertical="center"/>
    </xf>
    <xf numFmtId="166" fontId="41" fillId="5" borderId="3" xfId="0" applyNumberFormat="1" applyFont="1" applyFill="1" applyBorder="1" applyAlignment="1" applyProtection="1">
      <alignment horizontal="center" vertical="center"/>
    </xf>
    <xf numFmtId="167" fontId="41" fillId="5" borderId="3" xfId="0" applyNumberFormat="1" applyFont="1" applyFill="1" applyBorder="1" applyAlignment="1" applyProtection="1">
      <alignment horizontal="center" vertical="center"/>
    </xf>
    <xf numFmtId="168" fontId="41" fillId="5" borderId="3" xfId="0" applyNumberFormat="1" applyFont="1" applyFill="1" applyBorder="1" applyAlignment="1" applyProtection="1">
      <alignment horizontal="center" vertical="center"/>
    </xf>
    <xf numFmtId="0" fontId="45" fillId="13" borderId="3" xfId="0" applyFont="1" applyFill="1" applyBorder="1" applyAlignment="1" applyProtection="1">
      <alignment horizontal="left" vertical="center"/>
    </xf>
    <xf numFmtId="167" fontId="41" fillId="12" borderId="3" xfId="0" applyNumberFormat="1" applyFont="1" applyFill="1" applyBorder="1" applyAlignment="1" applyProtection="1">
      <alignment horizontal="center" vertical="center"/>
    </xf>
    <xf numFmtId="1" fontId="41" fillId="5" borderId="3" xfId="0" applyNumberFormat="1" applyFont="1" applyFill="1" applyBorder="1" applyAlignment="1" applyProtection="1">
      <alignment horizontal="center" vertical="center"/>
    </xf>
    <xf numFmtId="0" fontId="41" fillId="12" borderId="3" xfId="0" applyFont="1" applyFill="1" applyBorder="1" applyAlignment="1" applyProtection="1">
      <alignment horizontal="center" vertical="center" wrapText="1"/>
    </xf>
    <xf numFmtId="2" fontId="41" fillId="5" borderId="3" xfId="0" applyNumberFormat="1" applyFont="1" applyFill="1" applyBorder="1" applyAlignment="1" applyProtection="1">
      <alignment horizontal="center" vertical="center"/>
    </xf>
    <xf numFmtId="0" fontId="41" fillId="5" borderId="3" xfId="0" applyFont="1" applyFill="1" applyBorder="1" applyAlignment="1" applyProtection="1">
      <alignment horizontal="center" vertical="center"/>
    </xf>
    <xf numFmtId="0" fontId="33" fillId="13" borderId="3" xfId="0" applyFont="1" applyFill="1" applyBorder="1" applyAlignment="1" applyProtection="1">
      <alignment vertical="center"/>
    </xf>
    <xf numFmtId="0" fontId="36" fillId="2" borderId="19" xfId="0" applyFont="1" applyFill="1" applyBorder="1" applyAlignment="1" applyProtection="1">
      <alignment horizontal="center" vertical="center" wrapText="1"/>
    </xf>
    <xf numFmtId="164" fontId="41" fillId="5" borderId="3" xfId="0" applyNumberFormat="1" applyFont="1" applyFill="1" applyBorder="1" applyAlignment="1" applyProtection="1">
      <alignment horizontal="center" vertical="center"/>
    </xf>
    <xf numFmtId="0" fontId="45" fillId="0" borderId="3" xfId="0" applyFont="1" applyBorder="1" applyAlignment="1" applyProtection="1">
      <alignment horizontal="left" vertical="center"/>
    </xf>
    <xf numFmtId="0" fontId="41" fillId="12" borderId="3" xfId="0" applyFont="1" applyFill="1" applyBorder="1" applyAlignment="1" applyProtection="1">
      <alignment horizontal="center" vertical="center"/>
    </xf>
    <xf numFmtId="165" fontId="41" fillId="12" borderId="3" xfId="0" applyNumberFormat="1" applyFont="1" applyFill="1" applyBorder="1" applyAlignment="1" applyProtection="1">
      <alignment horizontal="center" vertical="center"/>
    </xf>
    <xf numFmtId="167" fontId="45" fillId="12" borderId="3" xfId="0" applyNumberFormat="1" applyFont="1" applyFill="1" applyBorder="1" applyAlignment="1" applyProtection="1">
      <alignment horizontal="center" vertical="center"/>
    </xf>
    <xf numFmtId="167" fontId="35" fillId="5" borderId="3" xfId="0" applyNumberFormat="1" applyFont="1" applyFill="1" applyBorder="1" applyAlignment="1" applyProtection="1">
      <alignment horizontal="center" vertical="center"/>
    </xf>
    <xf numFmtId="0" fontId="33" fillId="0" borderId="9" xfId="0" applyFont="1" applyBorder="1" applyAlignment="1" applyProtection="1">
      <alignment horizontal="left" vertical="center"/>
    </xf>
    <xf numFmtId="167" fontId="35" fillId="5" borderId="9" xfId="0" applyNumberFormat="1" applyFont="1" applyFill="1" applyBorder="1" applyAlignment="1" applyProtection="1">
      <alignment horizontal="center" vertical="center"/>
    </xf>
    <xf numFmtId="167" fontId="35" fillId="0" borderId="3" xfId="0" applyNumberFormat="1" applyFont="1" applyBorder="1" applyAlignment="1" applyProtection="1">
      <alignment horizontal="left" vertical="center"/>
    </xf>
    <xf numFmtId="165" fontId="35" fillId="0" borderId="3" xfId="0" applyNumberFormat="1" applyFont="1" applyBorder="1" applyAlignment="1" applyProtection="1">
      <alignment horizontal="left" vertical="center"/>
    </xf>
    <xf numFmtId="0" fontId="35" fillId="0" borderId="23" xfId="0" applyFont="1" applyBorder="1" applyAlignment="1" applyProtection="1">
      <alignment horizontal="left" vertical="center"/>
    </xf>
    <xf numFmtId="0" fontId="39" fillId="4" borderId="23" xfId="0" applyFont="1" applyFill="1" applyBorder="1" applyAlignment="1" applyProtection="1">
      <alignment horizontal="left" vertical="center" wrapText="1"/>
    </xf>
    <xf numFmtId="0" fontId="49" fillId="0" borderId="23" xfId="0" applyFont="1" applyBorder="1" applyAlignment="1" applyProtection="1">
      <alignment horizontal="left" vertical="center" wrapText="1"/>
    </xf>
    <xf numFmtId="0" fontId="50" fillId="0" borderId="23" xfId="0" applyFont="1" applyBorder="1" applyAlignment="1" applyProtection="1">
      <alignment horizontal="left" vertical="center" wrapText="1"/>
    </xf>
    <xf numFmtId="0" fontId="0" fillId="7" borderId="0" xfId="0" applyFill="1" applyAlignment="1" applyProtection="1"/>
    <xf numFmtId="0" fontId="51" fillId="4" borderId="23" xfId="0" applyFont="1" applyFill="1" applyBorder="1" applyAlignment="1" applyProtection="1">
      <alignment horizontal="left" vertical="center" wrapText="1"/>
    </xf>
    <xf numFmtId="0" fontId="35" fillId="0" borderId="23" xfId="0" applyFont="1" applyBorder="1" applyAlignment="1" applyProtection="1">
      <alignment horizontal="center" vertical="center"/>
    </xf>
    <xf numFmtId="0" fontId="49" fillId="0" borderId="23" xfId="0" applyFont="1" applyBorder="1" applyAlignment="1" applyProtection="1">
      <alignment horizontal="left" vertical="center"/>
    </xf>
    <xf numFmtId="0" fontId="49" fillId="0" borderId="23" xfId="0" applyFont="1" applyBorder="1" applyAlignment="1" applyProtection="1">
      <alignment horizontal="center" vertical="center"/>
    </xf>
    <xf numFmtId="10" fontId="35" fillId="5" borderId="23" xfId="0" applyNumberFormat="1" applyFont="1" applyFill="1" applyBorder="1" applyAlignment="1" applyProtection="1">
      <alignment horizontal="center" vertical="center"/>
    </xf>
    <xf numFmtId="10" fontId="35" fillId="0" borderId="23" xfId="0" applyNumberFormat="1" applyFont="1" applyBorder="1" applyAlignment="1" applyProtection="1">
      <alignment horizontal="center" vertical="center"/>
    </xf>
    <xf numFmtId="170" fontId="35" fillId="5" borderId="23" xfId="0" applyNumberFormat="1" applyFont="1" applyFill="1" applyBorder="1" applyAlignment="1" applyProtection="1">
      <alignment horizontal="center" vertical="center"/>
    </xf>
    <xf numFmtId="168" fontId="35" fillId="0" borderId="23" xfId="0" applyNumberFormat="1" applyFont="1" applyBorder="1" applyAlignment="1" applyProtection="1">
      <alignment horizontal="center" vertical="center"/>
    </xf>
    <xf numFmtId="164" fontId="35" fillId="0" borderId="23" xfId="0" applyNumberFormat="1" applyFont="1" applyBorder="1" applyAlignment="1" applyProtection="1">
      <alignment horizontal="center" vertical="center"/>
    </xf>
    <xf numFmtId="168" fontId="35" fillId="5" borderId="23" xfId="0" applyNumberFormat="1" applyFont="1" applyFill="1" applyBorder="1" applyAlignment="1" applyProtection="1">
      <alignment horizontal="center" vertical="center"/>
    </xf>
    <xf numFmtId="0" fontId="49" fillId="5" borderId="23" xfId="0" applyFont="1" applyFill="1" applyBorder="1" applyAlignment="1" applyProtection="1">
      <alignment horizontal="center" vertical="center"/>
    </xf>
    <xf numFmtId="170" fontId="35" fillId="0" borderId="23" xfId="0" applyNumberFormat="1" applyFont="1" applyBorder="1" applyAlignment="1" applyProtection="1">
      <alignment horizontal="center" vertical="center"/>
    </xf>
    <xf numFmtId="2" fontId="35" fillId="0" borderId="23" xfId="0" applyNumberFormat="1" applyFont="1" applyBorder="1" applyAlignment="1" applyProtection="1">
      <alignment horizontal="center" vertical="center"/>
    </xf>
    <xf numFmtId="2" fontId="35" fillId="5" borderId="23" xfId="0" applyNumberFormat="1" applyFont="1" applyFill="1" applyBorder="1" applyAlignment="1" applyProtection="1">
      <alignment horizontal="center" vertical="center"/>
    </xf>
    <xf numFmtId="0" fontId="51" fillId="4" borderId="17" xfId="0" applyFont="1" applyFill="1" applyBorder="1" applyAlignment="1" applyProtection="1">
      <alignment horizontal="left" vertical="center" wrapText="1"/>
    </xf>
    <xf numFmtId="0" fontId="35" fillId="0" borderId="3" xfId="0" applyFont="1" applyBorder="1" applyAlignment="1" applyProtection="1">
      <alignment horizontal="center" vertical="center"/>
    </xf>
    <xf numFmtId="0" fontId="49" fillId="0" borderId="3" xfId="0" applyFont="1" applyBorder="1" applyAlignment="1" applyProtection="1">
      <alignment horizontal="left" vertical="center"/>
    </xf>
    <xf numFmtId="0" fontId="49" fillId="0" borderId="3" xfId="0" applyFont="1" applyBorder="1" applyAlignment="1" applyProtection="1">
      <alignment horizontal="center" vertical="center"/>
    </xf>
    <xf numFmtId="0" fontId="49" fillId="0" borderId="3" xfId="0" applyFont="1" applyBorder="1" applyAlignment="1" applyProtection="1">
      <alignment horizontal="left" vertical="center" wrapText="1"/>
    </xf>
    <xf numFmtId="0" fontId="49" fillId="5" borderId="3" xfId="0" applyFont="1" applyFill="1" applyBorder="1" applyAlignment="1" applyProtection="1">
      <alignment horizontal="left" vertical="center" wrapText="1"/>
    </xf>
    <xf numFmtId="0" fontId="35" fillId="5" borderId="23" xfId="0" applyFont="1" applyFill="1" applyBorder="1" applyAlignment="1" applyProtection="1">
      <alignment horizontal="center" vertical="center"/>
    </xf>
    <xf numFmtId="164" fontId="35" fillId="5" borderId="23" xfId="0" applyNumberFormat="1" applyFont="1" applyFill="1" applyBorder="1" applyAlignment="1" applyProtection="1">
      <alignment horizontal="center" vertical="center"/>
    </xf>
    <xf numFmtId="0" fontId="33" fillId="5" borderId="3" xfId="0" applyFont="1" applyFill="1" applyBorder="1" applyAlignment="1" applyProtection="1">
      <alignment horizontal="center" vertical="center"/>
    </xf>
    <xf numFmtId="0" fontId="33" fillId="0" borderId="28" xfId="0" applyFont="1" applyBorder="1" applyAlignment="1" applyProtection="1">
      <alignment horizontal="left" vertical="center"/>
    </xf>
    <xf numFmtId="0" fontId="39" fillId="4" borderId="17" xfId="0" applyFont="1" applyFill="1" applyBorder="1" applyAlignment="1" applyProtection="1">
      <alignment horizontal="left" vertical="center"/>
    </xf>
    <xf numFmtId="0" fontId="37" fillId="0" borderId="3" xfId="0" applyFont="1" applyBorder="1" applyAlignment="1" applyProtection="1">
      <alignment horizontal="center" vertical="center"/>
    </xf>
    <xf numFmtId="0" fontId="39" fillId="4" borderId="23" xfId="0" applyFont="1" applyFill="1" applyBorder="1" applyAlignment="1" applyProtection="1">
      <alignment horizontal="left" vertical="center"/>
    </xf>
    <xf numFmtId="0" fontId="37" fillId="0" borderId="23" xfId="0" applyFont="1" applyBorder="1" applyAlignment="1" applyProtection="1">
      <alignment horizontal="left" vertical="center"/>
    </xf>
    <xf numFmtId="9" fontId="35" fillId="0" borderId="23" xfId="0" applyNumberFormat="1" applyFont="1" applyBorder="1" applyAlignment="1" applyProtection="1">
      <alignment horizontal="center" vertical="center"/>
    </xf>
    <xf numFmtId="0" fontId="37" fillId="0" borderId="23" xfId="0" applyFont="1" applyBorder="1" applyAlignment="1" applyProtection="1">
      <alignment horizontal="center" vertical="center"/>
    </xf>
    <xf numFmtId="9" fontId="40" fillId="3" borderId="3" xfId="0" applyNumberFormat="1" applyFont="1" applyFill="1" applyBorder="1" applyAlignment="1" applyProtection="1">
      <alignment horizontal="center" vertical="center"/>
      <protection locked="0"/>
    </xf>
    <xf numFmtId="167" fontId="40" fillId="3" borderId="3" xfId="0" applyNumberFormat="1" applyFont="1" applyFill="1" applyBorder="1" applyAlignment="1" applyProtection="1">
      <alignment horizontal="center" vertical="center"/>
      <protection locked="0"/>
    </xf>
    <xf numFmtId="168" fontId="40" fillId="3" borderId="3" xfId="0" applyNumberFormat="1" applyFont="1" applyFill="1" applyBorder="1" applyAlignment="1" applyProtection="1">
      <alignment horizontal="center" vertical="center"/>
      <protection locked="0"/>
    </xf>
    <xf numFmtId="2" fontId="40" fillId="3" borderId="3" xfId="0" applyNumberFormat="1" applyFont="1" applyFill="1" applyBorder="1" applyAlignment="1" applyProtection="1">
      <alignment horizontal="center" vertical="center"/>
      <protection locked="0"/>
    </xf>
    <xf numFmtId="164" fontId="40" fillId="3" borderId="3" xfId="0" applyNumberFormat="1" applyFont="1" applyFill="1" applyBorder="1" applyAlignment="1" applyProtection="1">
      <alignment horizontal="center" vertical="center"/>
      <protection locked="0"/>
    </xf>
    <xf numFmtId="171" fontId="40" fillId="3" borderId="3" xfId="0" applyNumberFormat="1" applyFont="1" applyFill="1" applyBorder="1" applyAlignment="1" applyProtection="1">
      <alignment horizontal="center" vertical="center"/>
      <protection locked="0"/>
    </xf>
    <xf numFmtId="172" fontId="40" fillId="3" borderId="3" xfId="0" applyNumberFormat="1" applyFont="1" applyFill="1" applyBorder="1" applyAlignment="1" applyProtection="1">
      <alignment horizontal="center" vertical="center"/>
      <protection locked="0"/>
    </xf>
    <xf numFmtId="173" fontId="40" fillId="3" borderId="3" xfId="0" applyNumberFormat="1" applyFont="1" applyFill="1" applyBorder="1" applyAlignment="1" applyProtection="1">
      <alignment horizontal="center" vertical="center"/>
      <protection locked="0"/>
    </xf>
    <xf numFmtId="168" fontId="40" fillId="3" borderId="23" xfId="0" applyNumberFormat="1" applyFont="1" applyFill="1" applyBorder="1" applyAlignment="1" applyProtection="1">
      <alignment horizontal="center" vertical="center"/>
      <protection locked="0"/>
    </xf>
    <xf numFmtId="0" fontId="0" fillId="0" borderId="31" xfId="0" applyBorder="1" applyAlignment="1" applyProtection="1"/>
    <xf numFmtId="0" fontId="53" fillId="0" borderId="3" xfId="0" applyFont="1" applyBorder="1" applyAlignment="1" applyProtection="1">
      <alignment horizontal="left" vertical="center"/>
    </xf>
    <xf numFmtId="0" fontId="54" fillId="0" borderId="3" xfId="0" applyFont="1" applyBorder="1" applyAlignment="1" applyProtection="1">
      <alignment horizontal="center" vertical="center"/>
    </xf>
    <xf numFmtId="0" fontId="55" fillId="0" borderId="3" xfId="0" applyFont="1" applyBorder="1" applyAlignment="1" applyProtection="1">
      <alignment horizontal="left" vertical="center" wrapText="1"/>
    </xf>
    <xf numFmtId="0" fontId="56" fillId="0" borderId="3" xfId="0" applyFont="1" applyBorder="1" applyAlignment="1" applyProtection="1">
      <alignment horizontal="left" vertical="center" wrapText="1"/>
    </xf>
    <xf numFmtId="0" fontId="31" fillId="7" borderId="3" xfId="0" applyFont="1" applyFill="1" applyBorder="1" applyAlignment="1" applyProtection="1">
      <alignment horizontal="left" vertical="center"/>
    </xf>
    <xf numFmtId="0" fontId="35" fillId="7" borderId="3" xfId="0" applyFont="1" applyFill="1" applyBorder="1" applyAlignment="1" applyProtection="1">
      <alignment horizontal="left" vertical="center"/>
    </xf>
    <xf numFmtId="0" fontId="57" fillId="13" borderId="3" xfId="0" applyFont="1" applyFill="1" applyBorder="1" applyAlignment="1" applyProtection="1">
      <alignment horizontal="center" vertical="center"/>
    </xf>
    <xf numFmtId="0" fontId="0" fillId="0" borderId="3" xfId="0" applyBorder="1" applyAlignment="1" applyProtection="1"/>
    <xf numFmtId="0" fontId="34" fillId="4" borderId="3" xfId="0" applyFont="1" applyFill="1" applyBorder="1" applyAlignment="1" applyProtection="1">
      <alignment horizontal="left" vertical="center"/>
    </xf>
    <xf numFmtId="0" fontId="35" fillId="4" borderId="3" xfId="0" applyFont="1" applyFill="1" applyBorder="1" applyAlignment="1" applyProtection="1">
      <alignment horizontal="left" vertical="center"/>
    </xf>
    <xf numFmtId="0" fontId="53" fillId="13" borderId="3" xfId="0" applyFont="1" applyFill="1" applyBorder="1" applyAlignment="1" applyProtection="1">
      <alignment horizontal="left" vertical="center"/>
    </xf>
    <xf numFmtId="0" fontId="54" fillId="0" borderId="3" xfId="0" applyFont="1" applyBorder="1" applyAlignment="1" applyProtection="1">
      <alignment horizontal="left" vertical="center"/>
    </xf>
    <xf numFmtId="164" fontId="54" fillId="5" borderId="3" xfId="0" applyNumberFormat="1" applyFont="1" applyFill="1" applyBorder="1" applyAlignment="1" applyProtection="1">
      <alignment horizontal="center" vertical="center"/>
    </xf>
    <xf numFmtId="2" fontId="54" fillId="5" borderId="3" xfId="0" applyNumberFormat="1" applyFont="1" applyFill="1" applyBorder="1" applyAlignment="1" applyProtection="1">
      <alignment horizontal="center" vertical="center"/>
    </xf>
    <xf numFmtId="165" fontId="54" fillId="5" borderId="3" xfId="0" applyNumberFormat="1" applyFont="1" applyFill="1" applyBorder="1" applyAlignment="1" applyProtection="1">
      <alignment horizontal="center" vertical="center"/>
    </xf>
    <xf numFmtId="0" fontId="54" fillId="4" borderId="3" xfId="0" applyFont="1" applyFill="1" applyBorder="1" applyAlignment="1" applyProtection="1">
      <alignment horizontal="left" vertical="center"/>
    </xf>
    <xf numFmtId="0" fontId="54" fillId="12" borderId="3" xfId="0" applyFont="1" applyFill="1" applyBorder="1" applyAlignment="1" applyProtection="1">
      <alignment horizontal="center" vertical="center"/>
    </xf>
    <xf numFmtId="168" fontId="54" fillId="5" borderId="3" xfId="0" applyNumberFormat="1" applyFont="1" applyFill="1" applyBorder="1" applyAlignment="1" applyProtection="1">
      <alignment horizontal="center" vertical="center"/>
    </xf>
    <xf numFmtId="166" fontId="54" fillId="5" borderId="3" xfId="0" applyNumberFormat="1" applyFont="1" applyFill="1" applyBorder="1" applyAlignment="1" applyProtection="1">
      <alignment horizontal="center" vertical="center"/>
    </xf>
    <xf numFmtId="167" fontId="54" fillId="5" borderId="3" xfId="0" applyNumberFormat="1" applyFont="1" applyFill="1" applyBorder="1" applyAlignment="1" applyProtection="1">
      <alignment horizontal="center" vertical="center"/>
    </xf>
    <xf numFmtId="167" fontId="54" fillId="12" borderId="3" xfId="0" applyNumberFormat="1" applyFont="1" applyFill="1" applyBorder="1" applyAlignment="1" applyProtection="1">
      <alignment horizontal="center" vertical="center"/>
    </xf>
    <xf numFmtId="1" fontId="54" fillId="5" borderId="3" xfId="0" applyNumberFormat="1" applyFont="1" applyFill="1" applyBorder="1" applyAlignment="1" applyProtection="1">
      <alignment horizontal="center" vertical="center"/>
    </xf>
    <xf numFmtId="0" fontId="54" fillId="12" borderId="3" xfId="0" applyFont="1" applyFill="1" applyBorder="1" applyAlignment="1" applyProtection="1">
      <alignment horizontal="center" vertical="center" wrapText="1"/>
    </xf>
    <xf numFmtId="0" fontId="35" fillId="5" borderId="3" xfId="0" applyFont="1" applyFill="1" applyBorder="1" applyAlignment="1" applyProtection="1">
      <alignment horizontal="center" vertical="center"/>
    </xf>
    <xf numFmtId="167" fontId="33" fillId="12" borderId="3" xfId="0" applyNumberFormat="1" applyFont="1" applyFill="1" applyBorder="1" applyAlignment="1" applyProtection="1">
      <alignment horizontal="center" vertical="center"/>
    </xf>
    <xf numFmtId="0" fontId="58" fillId="0" borderId="3" xfId="0" applyFont="1" applyBorder="1" applyAlignment="1" applyProtection="1"/>
    <xf numFmtId="0" fontId="52" fillId="4" borderId="0" xfId="0" applyFont="1" applyFill="1" applyAlignment="1" applyProtection="1">
      <alignment horizontal="center" vertical="center"/>
    </xf>
    <xf numFmtId="167" fontId="35" fillId="0" borderId="23" xfId="0" applyNumberFormat="1" applyFont="1" applyBorder="1" applyAlignment="1" applyProtection="1">
      <alignment horizontal="center" vertical="center"/>
    </xf>
    <xf numFmtId="0" fontId="49" fillId="5" borderId="23" xfId="0" applyFont="1" applyFill="1" applyBorder="1" applyAlignment="1" applyProtection="1">
      <alignment horizontal="left" vertical="center"/>
    </xf>
    <xf numFmtId="0" fontId="35" fillId="4" borderId="23" xfId="0" applyFont="1" applyFill="1" applyBorder="1" applyAlignment="1" applyProtection="1">
      <alignment horizontal="left" vertical="center"/>
    </xf>
    <xf numFmtId="0" fontId="33" fillId="5" borderId="23" xfId="0" applyFont="1" applyFill="1" applyBorder="1" applyAlignment="1" applyProtection="1">
      <alignment horizontal="center" vertical="center"/>
    </xf>
    <xf numFmtId="0" fontId="33" fillId="0" borderId="23" xfId="0" applyFont="1" applyBorder="1" applyAlignment="1" applyProtection="1">
      <alignment horizontal="left" vertical="center"/>
    </xf>
    <xf numFmtId="166" fontId="40" fillId="3" borderId="3" xfId="0" applyNumberFormat="1" applyFont="1" applyFill="1" applyBorder="1" applyAlignment="1" applyProtection="1">
      <alignment horizontal="center" vertical="center"/>
      <protection locked="0"/>
    </xf>
    <xf numFmtId="0" fontId="39" fillId="2" borderId="2" xfId="0" applyFont="1" applyFill="1" applyBorder="1" applyAlignment="1" applyProtection="1">
      <alignment horizontal="center" vertical="center"/>
    </xf>
    <xf numFmtId="0" fontId="59" fillId="8" borderId="7" xfId="0" applyFont="1" applyFill="1" applyBorder="1" applyAlignment="1" applyProtection="1">
      <alignment horizontal="center" vertical="center" wrapText="1"/>
    </xf>
    <xf numFmtId="0" fontId="60" fillId="2" borderId="13" xfId="0" applyFont="1" applyFill="1" applyBorder="1" applyAlignment="1" applyProtection="1">
      <alignment horizontal="center" vertical="center" wrapText="1"/>
    </xf>
    <xf numFmtId="0" fontId="39" fillId="4" borderId="17" xfId="0" applyFont="1" applyFill="1" applyBorder="1" applyAlignment="1" applyProtection="1">
      <alignment horizontal="center" vertical="center"/>
    </xf>
    <xf numFmtId="0" fontId="35" fillId="13" borderId="3" xfId="0" applyFont="1" applyFill="1" applyBorder="1" applyAlignment="1" applyProtection="1">
      <alignment horizontal="left" vertical="center"/>
    </xf>
    <xf numFmtId="0" fontId="61" fillId="0" borderId="3" xfId="0" applyFont="1" applyBorder="1" applyAlignment="1" applyProtection="1">
      <alignment horizontal="center" vertical="center"/>
    </xf>
    <xf numFmtId="0" fontId="54" fillId="13" borderId="3" xfId="0" applyFont="1" applyFill="1" applyBorder="1" applyAlignment="1" applyProtection="1">
      <alignment horizontal="left" vertical="center"/>
    </xf>
    <xf numFmtId="0" fontId="60" fillId="2" borderId="14" xfId="0" applyFont="1" applyFill="1" applyBorder="1" applyAlignment="1" applyProtection="1">
      <alignment horizontal="center" vertical="center" wrapText="1"/>
    </xf>
    <xf numFmtId="2" fontId="54" fillId="12" borderId="3" xfId="0" applyNumberFormat="1" applyFont="1" applyFill="1" applyBorder="1" applyAlignment="1" applyProtection="1">
      <alignment horizontal="center" vertical="center"/>
    </xf>
    <xf numFmtId="0" fontId="54" fillId="5" borderId="3" xfId="0" applyFont="1" applyFill="1" applyBorder="1" applyAlignment="1" applyProtection="1">
      <alignment horizontal="center" vertical="center"/>
    </xf>
    <xf numFmtId="0" fontId="0" fillId="0" borderId="11" xfId="0" applyBorder="1" applyAlignment="1" applyProtection="1"/>
    <xf numFmtId="165" fontId="35" fillId="0" borderId="3" xfId="0" applyNumberFormat="1" applyFont="1" applyBorder="1" applyAlignment="1" applyProtection="1">
      <alignment horizontal="center" vertical="center"/>
    </xf>
    <xf numFmtId="2" fontId="35" fillId="12" borderId="3" xfId="0" applyNumberFormat="1" applyFont="1" applyFill="1" applyBorder="1" applyAlignment="1" applyProtection="1">
      <alignment horizontal="center" vertical="center"/>
    </xf>
    <xf numFmtId="165" fontId="35" fillId="0" borderId="23" xfId="0" applyNumberFormat="1" applyFont="1" applyBorder="1" applyAlignment="1" applyProtection="1">
      <alignment horizontal="center" vertical="center"/>
    </xf>
    <xf numFmtId="0" fontId="39" fillId="4" borderId="33" xfId="0" applyFont="1" applyFill="1" applyBorder="1" applyAlignment="1" applyProtection="1">
      <alignment vertical="center"/>
    </xf>
    <xf numFmtId="0" fontId="39" fillId="4" borderId="25" xfId="0" applyFont="1" applyFill="1" applyBorder="1" applyAlignment="1" applyProtection="1">
      <alignment vertical="center"/>
    </xf>
    <xf numFmtId="0" fontId="35" fillId="0" borderId="33" xfId="0" applyFont="1" applyBorder="1" applyAlignment="1" applyProtection="1">
      <alignment vertical="center"/>
    </xf>
    <xf numFmtId="0" fontId="43" fillId="0" borderId="23" xfId="0" applyFont="1" applyBorder="1" applyAlignment="1" applyProtection="1">
      <alignment horizontal="center" vertical="center"/>
    </xf>
    <xf numFmtId="0" fontId="35" fillId="0" borderId="34" xfId="0" applyFont="1" applyBorder="1" applyAlignment="1" applyProtection="1">
      <alignment vertical="center"/>
    </xf>
    <xf numFmtId="0" fontId="35" fillId="0" borderId="0" xfId="0" applyFont="1" applyAlignment="1" applyProtection="1">
      <alignment vertical="center"/>
    </xf>
    <xf numFmtId="0" fontId="37" fillId="0" borderId="23" xfId="0" applyFont="1" applyBorder="1" applyAlignment="1" applyProtection="1">
      <alignment horizontal="left" vertical="center" wrapText="1"/>
    </xf>
    <xf numFmtId="0" fontId="37" fillId="0" borderId="33" xfId="0" applyFont="1" applyBorder="1" applyAlignment="1" applyProtection="1">
      <alignment vertical="center"/>
    </xf>
    <xf numFmtId="0" fontId="37" fillId="0" borderId="0" xfId="0" applyFont="1" applyAlignment="1" applyProtection="1">
      <alignment vertical="center"/>
    </xf>
    <xf numFmtId="0" fontId="40" fillId="3" borderId="33" xfId="0" applyFont="1" applyFill="1" applyBorder="1" applyAlignment="1" applyProtection="1">
      <alignment horizontal="center" vertical="center"/>
      <protection locked="0"/>
    </xf>
    <xf numFmtId="1" fontId="40" fillId="3" borderId="33" xfId="0" applyNumberFormat="1" applyFont="1" applyFill="1" applyBorder="1" applyAlignment="1" applyProtection="1">
      <alignment horizontal="center" vertical="center"/>
      <protection locked="0"/>
    </xf>
    <xf numFmtId="1" fontId="40" fillId="3" borderId="23" xfId="0" applyNumberFormat="1" applyFont="1" applyFill="1" applyBorder="1" applyAlignment="1" applyProtection="1">
      <alignment horizontal="center" vertical="center"/>
      <protection locked="0"/>
    </xf>
    <xf numFmtId="165" fontId="40" fillId="3" borderId="23" xfId="0" applyNumberFormat="1" applyFont="1" applyFill="1" applyBorder="1" applyAlignment="1" applyProtection="1">
      <alignment horizontal="center" vertical="center"/>
      <protection locked="0"/>
    </xf>
    <xf numFmtId="164" fontId="40" fillId="3" borderId="23" xfId="0" applyNumberFormat="1" applyFont="1" applyFill="1" applyBorder="1" applyAlignment="1" applyProtection="1">
      <alignment horizontal="center" vertical="center"/>
      <protection locked="0"/>
    </xf>
    <xf numFmtId="166" fontId="40" fillId="3" borderId="23" xfId="0" applyNumberFormat="1" applyFont="1" applyFill="1" applyBorder="1" applyAlignment="1" applyProtection="1">
      <alignment horizontal="center" vertical="center"/>
      <protection locked="0"/>
    </xf>
    <xf numFmtId="173" fontId="40" fillId="3" borderId="23" xfId="0" applyNumberFormat="1" applyFont="1" applyFill="1" applyBorder="1" applyAlignment="1" applyProtection="1">
      <alignment horizontal="center" vertical="center"/>
      <protection locked="0"/>
    </xf>
    <xf numFmtId="2" fontId="40" fillId="3" borderId="23" xfId="0" applyNumberFormat="1" applyFont="1" applyFill="1" applyBorder="1" applyAlignment="1" applyProtection="1">
      <alignment horizontal="center" vertical="center"/>
      <protection locked="0"/>
    </xf>
    <xf numFmtId="0" fontId="39" fillId="4" borderId="2" xfId="0" applyFont="1" applyFill="1" applyBorder="1" applyAlignment="1" applyProtection="1">
      <alignment horizontal="center" vertical="center" wrapText="1"/>
    </xf>
    <xf numFmtId="165" fontId="35" fillId="5" borderId="2" xfId="0" applyNumberFormat="1" applyFont="1" applyFill="1" applyBorder="1" applyAlignment="1" applyProtection="1">
      <alignment horizontal="center" vertical="center"/>
    </xf>
    <xf numFmtId="165" fontId="32" fillId="12" borderId="2" xfId="0" applyNumberFormat="1" applyFont="1" applyFill="1" applyBorder="1" applyAlignment="1" applyProtection="1">
      <alignment horizontal="center" vertical="center"/>
    </xf>
    <xf numFmtId="174" fontId="47" fillId="10" borderId="2" xfId="0" applyNumberFormat="1" applyFont="1" applyFill="1" applyBorder="1" applyAlignment="1" applyProtection="1">
      <alignment horizontal="center" vertical="center"/>
    </xf>
    <xf numFmtId="165" fontId="32" fillId="8" borderId="2" xfId="0" applyNumberFormat="1" applyFont="1" applyFill="1" applyBorder="1" applyAlignment="1" applyProtection="1">
      <alignment horizontal="center" vertical="center"/>
    </xf>
    <xf numFmtId="0" fontId="39" fillId="4" borderId="2" xfId="0" applyFont="1" applyFill="1" applyBorder="1" applyAlignment="1" applyProtection="1">
      <alignment horizontal="center" vertical="center"/>
    </xf>
    <xf numFmtId="0" fontId="39" fillId="15" borderId="2" xfId="0" applyFont="1" applyFill="1" applyBorder="1" applyAlignment="1" applyProtection="1">
      <alignment horizontal="center" vertical="center"/>
    </xf>
    <xf numFmtId="0" fontId="33" fillId="12" borderId="2" xfId="0" applyFont="1" applyFill="1" applyBorder="1" applyAlignment="1" applyProtection="1">
      <alignment horizontal="center" vertical="center"/>
    </xf>
    <xf numFmtId="0" fontId="33" fillId="10" borderId="2" xfId="0" applyFont="1" applyFill="1" applyBorder="1" applyAlignment="1" applyProtection="1">
      <alignment horizontal="center" vertical="center"/>
    </xf>
    <xf numFmtId="0" fontId="48" fillId="5" borderId="2" xfId="0" applyFont="1" applyFill="1" applyBorder="1" applyAlignment="1" applyProtection="1">
      <alignment horizontal="left" vertical="top" wrapText="1"/>
    </xf>
    <xf numFmtId="0" fontId="37" fillId="0" borderId="0" xfId="0" applyFont="1" applyAlignment="1" applyProtection="1">
      <alignment horizontal="left" vertical="center"/>
    </xf>
    <xf numFmtId="0" fontId="49" fillId="5" borderId="2" xfId="0" applyFont="1" applyFill="1" applyBorder="1" applyAlignment="1" applyProtection="1">
      <alignment horizontal="center" vertical="center"/>
    </xf>
    <xf numFmtId="0" fontId="49" fillId="5" borderId="2" xfId="0" applyFont="1" applyFill="1" applyBorder="1" applyAlignment="1" applyProtection="1">
      <alignment horizontal="left" vertical="center"/>
    </xf>
    <xf numFmtId="0" fontId="48" fillId="12" borderId="2" xfId="0" applyFont="1" applyFill="1" applyBorder="1" applyAlignment="1" applyProtection="1">
      <alignment horizontal="center" vertical="center"/>
    </xf>
    <xf numFmtId="165" fontId="49" fillId="5" borderId="2" xfId="0" applyNumberFormat="1" applyFont="1" applyFill="1" applyBorder="1" applyAlignment="1" applyProtection="1">
      <alignment horizontal="center" vertical="center"/>
    </xf>
    <xf numFmtId="0" fontId="57" fillId="8" borderId="2" xfId="0" applyFont="1" applyFill="1" applyBorder="1" applyAlignment="1" applyProtection="1">
      <alignment horizontal="center" vertical="center"/>
    </xf>
    <xf numFmtId="0" fontId="57" fillId="8" borderId="2" xfId="0" applyFont="1" applyFill="1" applyBorder="1" applyAlignment="1" applyProtection="1">
      <alignment horizontal="left" vertical="center"/>
    </xf>
    <xf numFmtId="0" fontId="35" fillId="5" borderId="2" xfId="0" applyFont="1" applyFill="1" applyBorder="1" applyAlignment="1" applyProtection="1">
      <alignment horizontal="left" vertical="center"/>
    </xf>
    <xf numFmtId="0" fontId="37" fillId="5" borderId="3" xfId="0" applyFont="1" applyFill="1" applyBorder="1" applyAlignment="1" applyProtection="1">
      <alignment horizontal="center" vertical="center"/>
    </xf>
    <xf numFmtId="0" fontId="64" fillId="11" borderId="2" xfId="0" applyFont="1" applyFill="1" applyBorder="1" applyAlignment="1" applyProtection="1">
      <alignment horizontal="center" vertical="center"/>
      <protection locked="0"/>
    </xf>
    <xf numFmtId="0" fontId="64" fillId="11" borderId="36" xfId="0" applyFont="1" applyFill="1" applyBorder="1" applyAlignment="1" applyProtection="1">
      <alignment horizontal="center" vertical="center"/>
      <protection locked="0"/>
    </xf>
    <xf numFmtId="0" fontId="49" fillId="5" borderId="2" xfId="0" applyFont="1" applyFill="1" applyBorder="1" applyAlignment="1" applyProtection="1">
      <alignment horizontal="center" vertical="top"/>
    </xf>
    <xf numFmtId="0" fontId="49" fillId="5" borderId="2" xfId="0" applyFont="1" applyFill="1" applyBorder="1" applyAlignment="1" applyProtection="1">
      <alignment horizontal="left" vertical="top" wrapText="1"/>
    </xf>
    <xf numFmtId="0" fontId="1" fillId="2" borderId="0" xfId="0" applyFont="1" applyFill="1" applyProtection="1"/>
    <xf numFmtId="0" fontId="2" fillId="2" borderId="0" xfId="0" applyFont="1" applyFill="1" applyProtection="1"/>
    <xf numFmtId="0" fontId="69" fillId="0" borderId="1" xfId="0" applyFont="1" applyBorder="1" applyProtection="1"/>
    <xf numFmtId="0" fontId="3" fillId="0" borderId="0" xfId="0" applyFont="1" applyProtection="1"/>
    <xf numFmtId="0" fontId="70" fillId="0" borderId="0" xfId="0" applyFont="1" applyProtection="1"/>
    <xf numFmtId="165" fontId="0" fillId="0" borderId="0" xfId="0" applyNumberFormat="1" applyProtection="1"/>
    <xf numFmtId="2" fontId="0" fillId="0" borderId="0" xfId="0" applyNumberFormat="1" applyProtection="1"/>
    <xf numFmtId="0" fontId="3" fillId="0" borderId="0" xfId="0" applyFont="1" applyAlignment="1" applyProtection="1">
      <alignment wrapText="1"/>
    </xf>
    <xf numFmtId="0" fontId="75" fillId="19" borderId="47" xfId="0" applyNumberFormat="1" applyFont="1" applyFill="1" applyBorder="1" applyAlignment="1" applyProtection="1">
      <alignment horizontal="center" vertical="center" wrapText="1"/>
    </xf>
    <xf numFmtId="0" fontId="75" fillId="19" borderId="48" xfId="0" applyNumberFormat="1" applyFont="1" applyFill="1" applyBorder="1" applyAlignment="1" applyProtection="1">
      <alignment horizontal="center" vertical="center" wrapText="1"/>
    </xf>
    <xf numFmtId="0" fontId="75" fillId="19" borderId="49" xfId="0" applyNumberFormat="1" applyFont="1" applyFill="1" applyBorder="1" applyAlignment="1" applyProtection="1">
      <alignment horizontal="center" vertical="center" wrapText="1"/>
    </xf>
    <xf numFmtId="0" fontId="76" fillId="0" borderId="53" xfId="0" applyNumberFormat="1" applyFont="1" applyFill="1" applyBorder="1" applyAlignment="1" applyProtection="1">
      <alignment vertical="top" wrapText="1"/>
    </xf>
    <xf numFmtId="0" fontId="76" fillId="0" borderId="54" xfId="0" applyNumberFormat="1" applyFont="1" applyFill="1" applyBorder="1" applyAlignment="1" applyProtection="1">
      <alignment vertical="top" wrapText="1"/>
    </xf>
    <xf numFmtId="0" fontId="76" fillId="0" borderId="54" xfId="0" applyNumberFormat="1" applyFont="1" applyFill="1" applyBorder="1" applyAlignment="1" applyProtection="1">
      <alignment horizontal="center" vertical="top" wrapText="1"/>
    </xf>
    <xf numFmtId="0" fontId="76" fillId="0" borderId="55" xfId="0" applyNumberFormat="1" applyFont="1" applyFill="1" applyBorder="1" applyAlignment="1" applyProtection="1">
      <alignment vertical="top" wrapText="1"/>
    </xf>
    <xf numFmtId="0" fontId="76" fillId="0" borderId="56" xfId="0" applyNumberFormat="1" applyFont="1" applyFill="1" applyBorder="1" applyAlignment="1" applyProtection="1">
      <alignment vertical="top" wrapText="1"/>
    </xf>
    <xf numFmtId="0" fontId="76" fillId="0" borderId="0" xfId="0" applyNumberFormat="1" applyFont="1" applyFill="1" applyBorder="1" applyAlignment="1" applyProtection="1">
      <alignment vertical="top" wrapText="1"/>
    </xf>
    <xf numFmtId="0" fontId="76" fillId="0" borderId="0" xfId="0" applyNumberFormat="1" applyFont="1" applyFill="1" applyBorder="1" applyAlignment="1" applyProtection="1">
      <alignment horizontal="center" vertical="top" wrapText="1"/>
    </xf>
    <xf numFmtId="0" fontId="76" fillId="0" borderId="57" xfId="0" applyNumberFormat="1" applyFont="1" applyFill="1" applyBorder="1" applyAlignment="1" applyProtection="1">
      <alignment vertical="top" wrapText="1"/>
    </xf>
    <xf numFmtId="0" fontId="76" fillId="0" borderId="58" xfId="0" applyNumberFormat="1" applyFont="1" applyFill="1" applyBorder="1" applyAlignment="1" applyProtection="1">
      <alignment vertical="top" wrapText="1"/>
    </xf>
    <xf numFmtId="0" fontId="76" fillId="0" borderId="38" xfId="0" applyNumberFormat="1" applyFont="1" applyFill="1" applyBorder="1" applyAlignment="1" applyProtection="1">
      <alignment vertical="top" wrapText="1"/>
    </xf>
    <xf numFmtId="0" fontId="76" fillId="0" borderId="38" xfId="0" applyNumberFormat="1" applyFont="1" applyFill="1" applyBorder="1" applyAlignment="1" applyProtection="1">
      <alignment horizontal="center" vertical="top" wrapText="1"/>
    </xf>
    <xf numFmtId="0" fontId="76" fillId="0" borderId="59" xfId="0" applyNumberFormat="1" applyFont="1" applyFill="1" applyBorder="1" applyAlignment="1" applyProtection="1">
      <alignment vertical="top" wrapText="1"/>
    </xf>
    <xf numFmtId="0" fontId="73" fillId="17" borderId="1" xfId="0" applyNumberFormat="1" applyFont="1" applyFill="1" applyBorder="1" applyProtection="1">
      <protection locked="0"/>
    </xf>
    <xf numFmtId="0" fontId="77" fillId="0" borderId="0" xfId="0" applyNumberFormat="1" applyFont="1" applyFill="1" applyBorder="1" applyAlignment="1" applyProtection="1">
      <alignment vertical="center"/>
    </xf>
    <xf numFmtId="0" fontId="78" fillId="17" borderId="1" xfId="0" applyNumberFormat="1" applyFont="1" applyFill="1" applyBorder="1" applyProtection="1"/>
    <xf numFmtId="0" fontId="79" fillId="20" borderId="62" xfId="0" applyNumberFormat="1" applyFont="1" applyFill="1" applyBorder="1" applyAlignment="1" applyProtection="1">
      <alignment wrapText="1"/>
    </xf>
    <xf numFmtId="0" fontId="76" fillId="0" borderId="55" xfId="0" applyNumberFormat="1" applyFont="1" applyFill="1" applyBorder="1" applyAlignment="1" applyProtection="1">
      <alignment horizontal="center" vertical="top" wrapText="1"/>
    </xf>
    <xf numFmtId="0" fontId="79" fillId="20" borderId="63" xfId="0" applyNumberFormat="1" applyFont="1" applyFill="1" applyBorder="1" applyAlignment="1" applyProtection="1">
      <alignment wrapText="1"/>
    </xf>
    <xf numFmtId="0" fontId="76" fillId="0" borderId="57" xfId="0" applyNumberFormat="1" applyFont="1" applyFill="1" applyBorder="1" applyAlignment="1" applyProtection="1">
      <alignment horizontal="center" vertical="top" wrapText="1"/>
    </xf>
    <xf numFmtId="0" fontId="79" fillId="20" borderId="64" xfId="0" applyNumberFormat="1" applyFont="1" applyFill="1" applyBorder="1" applyAlignment="1" applyProtection="1">
      <alignment wrapText="1"/>
    </xf>
    <xf numFmtId="0" fontId="76" fillId="0" borderId="59" xfId="0" applyNumberFormat="1" applyFont="1" applyFill="1" applyBorder="1" applyAlignment="1" applyProtection="1">
      <alignment horizontal="center" vertical="top" wrapText="1"/>
    </xf>
    <xf numFmtId="0" fontId="80" fillId="21" borderId="62" xfId="0" applyNumberFormat="1" applyFont="1" applyFill="1" applyBorder="1" applyAlignment="1" applyProtection="1">
      <alignment wrapText="1"/>
    </xf>
    <xf numFmtId="0" fontId="78" fillId="17" borderId="62" xfId="0" applyNumberFormat="1" applyFont="1" applyFill="1" applyBorder="1" applyProtection="1"/>
    <xf numFmtId="164" fontId="80" fillId="21" borderId="63" xfId="0" applyNumberFormat="1" applyFont="1" applyFill="1" applyBorder="1" applyAlignment="1" applyProtection="1">
      <alignment wrapText="1"/>
    </xf>
    <xf numFmtId="2" fontId="78" fillId="17" borderId="63" xfId="0" applyNumberFormat="1" applyFont="1" applyFill="1" applyBorder="1" applyProtection="1"/>
    <xf numFmtId="0" fontId="80" fillId="21" borderId="63" xfId="0" applyNumberFormat="1" applyFont="1" applyFill="1" applyBorder="1" applyAlignment="1" applyProtection="1">
      <alignment wrapText="1"/>
    </xf>
    <xf numFmtId="0" fontId="80" fillId="21" borderId="64" xfId="0" applyNumberFormat="1" applyFont="1" applyFill="1" applyBorder="1" applyAlignment="1" applyProtection="1">
      <alignment wrapText="1"/>
    </xf>
    <xf numFmtId="2" fontId="78" fillId="17" borderId="64" xfId="0" applyNumberFormat="1" applyFont="1" applyFill="1" applyBorder="1" applyProtection="1"/>
    <xf numFmtId="0" fontId="84" fillId="23" borderId="42" xfId="0" applyFont="1" applyFill="1" applyBorder="1" applyAlignment="1" applyProtection="1">
      <alignment vertical="top" wrapText="1"/>
    </xf>
    <xf numFmtId="0" fontId="82" fillId="22" borderId="39" xfId="0" applyFont="1" applyFill="1" applyBorder="1" applyAlignment="1" applyProtection="1">
      <alignment vertical="center"/>
    </xf>
    <xf numFmtId="0" fontId="85" fillId="2" borderId="0" xfId="0" applyFont="1" applyFill="1" applyAlignment="1" applyProtection="1">
      <alignment horizontal="left" vertical="center" wrapText="1"/>
    </xf>
    <xf numFmtId="0" fontId="86" fillId="24" borderId="39" xfId="0" applyFont="1" applyFill="1" applyBorder="1" applyAlignment="1" applyProtection="1">
      <alignment vertical="center" wrapText="1"/>
    </xf>
    <xf numFmtId="0" fontId="87" fillId="16" borderId="65" xfId="0" applyFont="1" applyFill="1" applyBorder="1" applyAlignment="1" applyProtection="1">
      <alignment horizontal="center" vertical="center" wrapText="1"/>
    </xf>
    <xf numFmtId="0" fontId="87" fillId="16" borderId="66" xfId="0" applyFont="1" applyFill="1" applyBorder="1" applyAlignment="1" applyProtection="1">
      <alignment horizontal="center" vertical="center" wrapText="1"/>
    </xf>
    <xf numFmtId="0" fontId="83" fillId="25" borderId="70" xfId="0" applyFont="1" applyFill="1" applyBorder="1" applyAlignment="1" applyProtection="1">
      <alignment vertical="center" wrapText="1"/>
    </xf>
    <xf numFmtId="0" fontId="83" fillId="25" borderId="71" xfId="0" applyFont="1" applyFill="1" applyBorder="1" applyAlignment="1" applyProtection="1">
      <alignment vertical="center" wrapText="1"/>
    </xf>
    <xf numFmtId="0" fontId="83" fillId="25" borderId="72" xfId="0" applyFont="1" applyFill="1" applyBorder="1" applyAlignment="1" applyProtection="1">
      <alignment vertical="center" wrapText="1"/>
    </xf>
    <xf numFmtId="0" fontId="3" fillId="0" borderId="50" xfId="0" applyFont="1" applyBorder="1" applyProtection="1"/>
    <xf numFmtId="0" fontId="3" fillId="0" borderId="51" xfId="0" applyFont="1" applyBorder="1" applyProtection="1"/>
    <xf numFmtId="0" fontId="3" fillId="0" borderId="52" xfId="0" applyFont="1" applyBorder="1" applyProtection="1"/>
    <xf numFmtId="0" fontId="87" fillId="16" borderId="67" xfId="0" applyFont="1" applyFill="1" applyBorder="1" applyAlignment="1" applyProtection="1">
      <alignment horizontal="center" vertical="center" wrapText="1"/>
    </xf>
    <xf numFmtId="0" fontId="87" fillId="16" borderId="68" xfId="0" applyFont="1" applyFill="1" applyBorder="1" applyAlignment="1" applyProtection="1">
      <alignment horizontal="center" vertical="center" wrapText="1"/>
    </xf>
    <xf numFmtId="0" fontId="89" fillId="2" borderId="0" xfId="0" applyFont="1" applyFill="1" applyAlignment="1" applyProtection="1">
      <alignment horizontal="left" vertical="center" wrapText="1"/>
    </xf>
    <xf numFmtId="0" fontId="4" fillId="0" borderId="0" xfId="0" applyFont="1" applyBorder="1" applyProtection="1"/>
    <xf numFmtId="0" fontId="1" fillId="2" borderId="0" xfId="0" applyFont="1" applyFill="1" applyAlignment="1" applyProtection="1">
      <alignment horizontal="left"/>
    </xf>
    <xf numFmtId="0" fontId="91" fillId="2" borderId="0" xfId="0" applyFont="1" applyFill="1" applyAlignment="1" applyProtection="1">
      <alignment horizontal="left" vertical="center"/>
    </xf>
    <xf numFmtId="0" fontId="7" fillId="3" borderId="50" xfId="0" applyFont="1" applyFill="1" applyBorder="1" applyAlignment="1" applyProtection="1">
      <alignment horizontal="center" vertical="center"/>
      <protection locked="0"/>
    </xf>
    <xf numFmtId="0" fontId="7" fillId="3" borderId="52" xfId="0" applyFont="1" applyFill="1" applyBorder="1" applyAlignment="1" applyProtection="1">
      <alignment horizontal="center" vertical="center"/>
      <protection locked="0"/>
    </xf>
    <xf numFmtId="0" fontId="6" fillId="4" borderId="61" xfId="0" applyFont="1" applyFill="1" applyBorder="1" applyAlignment="1" applyProtection="1">
      <alignment horizontal="center"/>
    </xf>
    <xf numFmtId="0" fontId="6" fillId="4" borderId="46" xfId="0" applyFont="1" applyFill="1" applyBorder="1" applyAlignment="1" applyProtection="1">
      <alignment horizontal="center"/>
    </xf>
    <xf numFmtId="0" fontId="1" fillId="2" borderId="0" xfId="0" applyFont="1" applyFill="1" applyAlignment="1" applyProtection="1">
      <alignment horizontal="center"/>
    </xf>
    <xf numFmtId="0" fontId="6" fillId="2" borderId="0" xfId="0" applyFont="1" applyFill="1" applyAlignment="1" applyProtection="1">
      <alignment horizontal="left" vertical="top"/>
    </xf>
    <xf numFmtId="0" fontId="90" fillId="2" borderId="0" xfId="0" applyFont="1" applyFill="1" applyAlignment="1" applyProtection="1">
      <alignment horizontal="left" vertical="center"/>
    </xf>
    <xf numFmtId="0" fontId="90" fillId="2" borderId="38" xfId="0" applyFont="1" applyFill="1" applyBorder="1" applyAlignment="1" applyProtection="1">
      <alignment horizontal="left" vertical="center"/>
    </xf>
    <xf numFmtId="0" fontId="1" fillId="2" borderId="0" xfId="0" applyFont="1" applyFill="1" applyAlignment="1" applyProtection="1">
      <alignment horizontal="left" vertical="center"/>
    </xf>
    <xf numFmtId="0" fontId="85" fillId="2" borderId="0" xfId="0" applyFont="1" applyFill="1" applyAlignment="1" applyProtection="1">
      <alignment horizontal="left" vertical="center"/>
    </xf>
    <xf numFmtId="0" fontId="92" fillId="16" borderId="67" xfId="0" applyFont="1" applyFill="1" applyBorder="1" applyAlignment="1" applyProtection="1">
      <alignment horizontal="center" vertical="center" wrapText="1"/>
    </xf>
    <xf numFmtId="0" fontId="92" fillId="16" borderId="73" xfId="0" applyFont="1" applyFill="1" applyBorder="1" applyAlignment="1" applyProtection="1">
      <alignment horizontal="center" vertical="center" wrapText="1"/>
    </xf>
    <xf numFmtId="0" fontId="92" fillId="16" borderId="68" xfId="0" applyFont="1" applyFill="1" applyBorder="1" applyAlignment="1" applyProtection="1">
      <alignment horizontal="center" vertical="center" wrapText="1"/>
    </xf>
    <xf numFmtId="0" fontId="92" fillId="16" borderId="41" xfId="0" applyFont="1" applyFill="1" applyBorder="1" applyAlignment="1" applyProtection="1">
      <alignment horizontal="center" vertical="center" wrapText="1"/>
    </xf>
    <xf numFmtId="0" fontId="92" fillId="16" borderId="39" xfId="0" applyFont="1" applyFill="1" applyBorder="1" applyAlignment="1" applyProtection="1">
      <alignment horizontal="center" vertical="center" wrapText="1"/>
    </xf>
    <xf numFmtId="0" fontId="92" fillId="16" borderId="40" xfId="0" applyFont="1" applyFill="1" applyBorder="1" applyAlignment="1" applyProtection="1">
      <alignment horizontal="center" vertical="center" wrapText="1"/>
    </xf>
    <xf numFmtId="0" fontId="90" fillId="2" borderId="0" xfId="0" applyFont="1" applyFill="1" applyAlignment="1" applyProtection="1">
      <alignment horizontal="center" vertical="center"/>
    </xf>
    <xf numFmtId="0" fontId="6" fillId="4" borderId="60" xfId="0" applyFont="1" applyFill="1" applyBorder="1" applyAlignment="1" applyProtection="1">
      <alignment horizontal="center" wrapText="1"/>
    </xf>
    <xf numFmtId="0" fontId="6" fillId="4" borderId="39" xfId="0" applyFont="1" applyFill="1" applyBorder="1" applyAlignment="1" applyProtection="1">
      <alignment horizontal="center" wrapText="1"/>
    </xf>
    <xf numFmtId="0" fontId="8" fillId="6" borderId="0" xfId="0" applyFont="1" applyFill="1" applyBorder="1" applyAlignment="1" applyProtection="1">
      <alignment horizontal="center" wrapText="1"/>
    </xf>
    <xf numFmtId="0" fontId="16" fillId="8" borderId="2" xfId="0" applyFont="1" applyFill="1" applyBorder="1" applyAlignment="1" applyProtection="1">
      <alignment horizontal="center" vertical="center"/>
    </xf>
    <xf numFmtId="0" fontId="14" fillId="9" borderId="2" xfId="0" applyFont="1" applyFill="1" applyBorder="1" applyAlignment="1" applyProtection="1">
      <alignment horizontal="left" vertical="center" wrapText="1"/>
    </xf>
    <xf numFmtId="0" fontId="14" fillId="10" borderId="2" xfId="0" applyFont="1" applyFill="1" applyBorder="1" applyAlignment="1" applyProtection="1">
      <alignment horizontal="left" vertical="center" wrapText="1"/>
    </xf>
    <xf numFmtId="0" fontId="6" fillId="4" borderId="2" xfId="0" applyFont="1" applyFill="1" applyBorder="1" applyAlignment="1" applyProtection="1">
      <alignment horizontal="left" vertical="center"/>
    </xf>
    <xf numFmtId="0" fontId="15" fillId="8" borderId="2" xfId="0" applyFont="1" applyFill="1" applyBorder="1" applyAlignment="1" applyProtection="1">
      <alignment horizontal="left" vertical="center" wrapText="1"/>
    </xf>
    <xf numFmtId="0" fontId="13" fillId="9" borderId="2" xfId="0" applyFont="1" applyFill="1" applyBorder="1" applyAlignment="1" applyProtection="1">
      <alignment horizontal="left" vertical="center"/>
    </xf>
    <xf numFmtId="0" fontId="12" fillId="8" borderId="2" xfId="0" applyFont="1" applyFill="1" applyBorder="1" applyAlignment="1" applyProtection="1">
      <alignment horizontal="center" vertical="center" wrapText="1"/>
    </xf>
    <xf numFmtId="0" fontId="11" fillId="2" borderId="2" xfId="0" applyFont="1" applyFill="1" applyBorder="1" applyAlignment="1" applyProtection="1">
      <alignment horizontal="center" vertical="center"/>
    </xf>
    <xf numFmtId="0" fontId="9" fillId="7" borderId="0" xfId="0" applyFont="1" applyFill="1" applyBorder="1" applyAlignment="1" applyProtection="1">
      <alignment horizontal="left" vertical="center"/>
    </xf>
    <xf numFmtId="0" fontId="10" fillId="4" borderId="0" xfId="0" applyFont="1" applyFill="1" applyBorder="1" applyAlignment="1" applyProtection="1">
      <alignment horizontal="left" vertical="center" wrapText="1"/>
    </xf>
    <xf numFmtId="0" fontId="10" fillId="4" borderId="2" xfId="0" applyFont="1" applyFill="1" applyBorder="1" applyAlignment="1" applyProtection="1">
      <alignment horizontal="left" vertical="center"/>
    </xf>
    <xf numFmtId="0" fontId="19" fillId="0" borderId="0" xfId="0" applyFont="1" applyBorder="1" applyAlignment="1" applyProtection="1">
      <alignment horizontal="left" vertical="center" wrapText="1"/>
    </xf>
    <xf numFmtId="0" fontId="18" fillId="11" borderId="2" xfId="0" applyFont="1" applyFill="1" applyBorder="1" applyAlignment="1" applyProtection="1">
      <alignment horizontal="left" vertical="center" wrapText="1"/>
      <protection locked="0"/>
    </xf>
    <xf numFmtId="0" fontId="14" fillId="10" borderId="2" xfId="0" applyFont="1" applyFill="1" applyBorder="1" applyAlignment="1" applyProtection="1">
      <alignment horizontal="left" vertical="top" wrapText="1"/>
    </xf>
    <xf numFmtId="0" fontId="17" fillId="10" borderId="2" xfId="0" applyFont="1" applyFill="1" applyBorder="1" applyAlignment="1" applyProtection="1">
      <alignment horizontal="left" vertical="top" wrapText="1"/>
    </xf>
    <xf numFmtId="0" fontId="23" fillId="10" borderId="2" xfId="0" applyFont="1" applyFill="1" applyBorder="1" applyAlignment="1" applyProtection="1">
      <alignment horizontal="left" vertical="center" wrapText="1"/>
    </xf>
    <xf numFmtId="0" fontId="24" fillId="12" borderId="2" xfId="0" applyFont="1" applyFill="1" applyBorder="1" applyAlignment="1" applyProtection="1">
      <alignment horizontal="center" vertical="center"/>
    </xf>
    <xf numFmtId="0" fontId="13" fillId="9" borderId="2" xfId="0" applyFont="1" applyFill="1" applyBorder="1" applyAlignment="1" applyProtection="1">
      <alignment horizontal="left" vertical="center" wrapText="1"/>
    </xf>
    <xf numFmtId="0" fontId="18" fillId="11" borderId="3" xfId="0" applyFont="1" applyFill="1" applyBorder="1" applyAlignment="1" applyProtection="1">
      <alignment vertical="center" wrapText="1"/>
      <protection locked="0"/>
    </xf>
    <xf numFmtId="0" fontId="14" fillId="5" borderId="2" xfId="0" applyFont="1" applyFill="1" applyBorder="1" applyAlignment="1" applyProtection="1">
      <alignment horizontal="left" vertical="center" wrapText="1"/>
    </xf>
    <xf numFmtId="2" fontId="13" fillId="12" borderId="2" xfId="0" applyNumberFormat="1" applyFont="1" applyFill="1" applyBorder="1" applyAlignment="1" applyProtection="1">
      <alignment horizontal="left" vertical="center"/>
    </xf>
    <xf numFmtId="0" fontId="25" fillId="10" borderId="2" xfId="0" applyFont="1" applyFill="1" applyBorder="1" applyAlignment="1" applyProtection="1">
      <alignment horizontal="left" vertical="center" wrapText="1"/>
    </xf>
    <xf numFmtId="0" fontId="21" fillId="9" borderId="2" xfId="0" applyFont="1" applyFill="1" applyBorder="1" applyAlignment="1" applyProtection="1">
      <alignment horizontal="left" vertical="center" wrapText="1"/>
    </xf>
    <xf numFmtId="0" fontId="23" fillId="10" borderId="2" xfId="0" applyFont="1" applyFill="1" applyBorder="1" applyAlignment="1" applyProtection="1">
      <alignment horizontal="left" vertical="top" wrapText="1"/>
    </xf>
    <xf numFmtId="0" fontId="5" fillId="12" borderId="2" xfId="0" applyFont="1" applyFill="1" applyBorder="1" applyAlignment="1" applyProtection="1">
      <alignment horizontal="left" vertical="top" wrapText="1"/>
    </xf>
    <xf numFmtId="167" fontId="14" fillId="5" borderId="2" xfId="0" applyNumberFormat="1" applyFont="1" applyFill="1" applyBorder="1" applyAlignment="1" applyProtection="1">
      <alignment horizontal="left" vertical="center" wrapText="1"/>
    </xf>
    <xf numFmtId="10" fontId="24" fillId="12" borderId="2" xfId="0" applyNumberFormat="1" applyFont="1" applyFill="1" applyBorder="1" applyAlignment="1" applyProtection="1">
      <alignment horizontal="center" vertical="center"/>
    </xf>
    <xf numFmtId="168" fontId="13" fillId="12" borderId="2" xfId="0" applyNumberFormat="1" applyFont="1" applyFill="1" applyBorder="1" applyAlignment="1" applyProtection="1">
      <alignment horizontal="center" vertical="center"/>
    </xf>
    <xf numFmtId="164" fontId="14" fillId="5" borderId="2" xfId="0" applyNumberFormat="1" applyFont="1" applyFill="1" applyBorder="1" applyAlignment="1" applyProtection="1">
      <alignment horizontal="left" vertical="center" wrapText="1"/>
    </xf>
    <xf numFmtId="0" fontId="26" fillId="12" borderId="2" xfId="0" applyFont="1" applyFill="1" applyBorder="1" applyAlignment="1" applyProtection="1">
      <alignment horizontal="center" vertical="center"/>
    </xf>
    <xf numFmtId="164" fontId="13" fillId="8" borderId="2" xfId="0" applyNumberFormat="1" applyFont="1" applyFill="1" applyBorder="1" applyAlignment="1" applyProtection="1">
      <alignment horizontal="left" vertical="center"/>
    </xf>
    <xf numFmtId="0" fontId="11" fillId="2" borderId="44" xfId="0" applyFont="1" applyFill="1" applyBorder="1" applyAlignment="1" applyProtection="1">
      <alignment horizontal="center" vertical="center"/>
    </xf>
    <xf numFmtId="0" fontId="11" fillId="2" borderId="39" xfId="0" applyFont="1" applyFill="1" applyBorder="1" applyAlignment="1" applyProtection="1">
      <alignment horizontal="center" vertical="center"/>
    </xf>
    <xf numFmtId="0" fontId="25" fillId="5" borderId="2" xfId="0" applyFont="1" applyFill="1" applyBorder="1" applyAlignment="1" applyProtection="1">
      <alignment horizontal="left" vertical="top" wrapText="1"/>
    </xf>
    <xf numFmtId="0" fontId="20" fillId="4" borderId="2" xfId="0" applyFont="1" applyFill="1" applyBorder="1" applyAlignment="1" applyProtection="1">
      <alignment horizontal="center" vertical="center"/>
    </xf>
    <xf numFmtId="0" fontId="21" fillId="5" borderId="2" xfId="0" applyFont="1" applyFill="1" applyBorder="1" applyAlignment="1" applyProtection="1">
      <alignment horizontal="left" vertical="center"/>
    </xf>
    <xf numFmtId="0" fontId="25" fillId="5" borderId="45" xfId="0" applyFont="1" applyFill="1" applyBorder="1" applyAlignment="1" applyProtection="1">
      <alignment horizontal="center" vertical="top" wrapText="1"/>
    </xf>
    <xf numFmtId="0" fontId="25" fillId="5" borderId="74" xfId="0" applyFont="1" applyFill="1" applyBorder="1" applyAlignment="1" applyProtection="1">
      <alignment horizontal="center" vertical="top" wrapText="1"/>
    </xf>
    <xf numFmtId="0" fontId="25" fillId="5" borderId="43" xfId="0" applyFont="1" applyFill="1" applyBorder="1" applyAlignment="1" applyProtection="1">
      <alignment horizontal="center" vertical="top" wrapText="1"/>
    </xf>
    <xf numFmtId="0" fontId="20" fillId="4" borderId="4" xfId="0" applyFont="1" applyFill="1" applyBorder="1" applyAlignment="1" applyProtection="1">
      <alignment horizontal="center" vertical="center"/>
    </xf>
    <xf numFmtId="0" fontId="33" fillId="9" borderId="10" xfId="0" applyFont="1" applyFill="1" applyBorder="1" applyAlignment="1" applyProtection="1">
      <alignment horizontal="left" vertical="center" wrapText="1"/>
    </xf>
    <xf numFmtId="0" fontId="33" fillId="9" borderId="11" xfId="0" applyFont="1" applyFill="1" applyBorder="1" applyAlignment="1" applyProtection="1">
      <alignment horizontal="left" vertical="center" wrapText="1"/>
    </xf>
    <xf numFmtId="0" fontId="32" fillId="9" borderId="3" xfId="0" applyFont="1" applyFill="1" applyBorder="1" applyAlignment="1" applyProtection="1">
      <alignment horizontal="left" vertical="center" wrapText="1"/>
    </xf>
    <xf numFmtId="0" fontId="33" fillId="9" borderId="3" xfId="0" applyFont="1" applyFill="1" applyBorder="1" applyAlignment="1" applyProtection="1">
      <alignment horizontal="left" vertical="center" wrapText="1"/>
    </xf>
    <xf numFmtId="0" fontId="34" fillId="4" borderId="8" xfId="0" applyFont="1" applyFill="1" applyBorder="1" applyAlignment="1" applyProtection="1">
      <alignment horizontal="left" vertical="center"/>
    </xf>
    <xf numFmtId="0" fontId="33" fillId="9" borderId="9" xfId="0" applyFont="1" applyFill="1" applyBorder="1" applyAlignment="1" applyProtection="1">
      <alignment horizontal="left" vertical="center" wrapText="1"/>
    </xf>
    <xf numFmtId="0" fontId="33" fillId="10" borderId="3" xfId="0" applyFont="1" applyFill="1" applyBorder="1" applyAlignment="1" applyProtection="1">
      <alignment horizontal="left" vertical="center" wrapText="1"/>
    </xf>
    <xf numFmtId="0" fontId="12" fillId="8" borderId="7" xfId="0" applyFont="1" applyFill="1" applyBorder="1" applyAlignment="1" applyProtection="1">
      <alignment horizontal="center" vertical="center" wrapText="1"/>
    </xf>
    <xf numFmtId="0" fontId="30" fillId="7" borderId="0" xfId="0" applyFont="1" applyFill="1" applyBorder="1" applyAlignment="1" applyProtection="1">
      <alignment vertical="center"/>
    </xf>
    <xf numFmtId="0" fontId="31" fillId="4" borderId="5" xfId="0" applyFont="1" applyFill="1" applyBorder="1" applyAlignment="1" applyProtection="1">
      <alignment horizontal="left" vertical="center" wrapText="1"/>
    </xf>
    <xf numFmtId="0" fontId="31" fillId="4" borderId="6" xfId="0" applyFont="1" applyFill="1" applyBorder="1" applyAlignment="1" applyProtection="1">
      <alignment vertical="center"/>
    </xf>
    <xf numFmtId="0" fontId="31" fillId="4" borderId="12" xfId="0" applyFont="1" applyFill="1" applyBorder="1" applyAlignment="1" applyProtection="1">
      <alignment horizontal="left" vertical="center"/>
    </xf>
    <xf numFmtId="0" fontId="36" fillId="2" borderId="13" xfId="0" applyFont="1" applyFill="1" applyBorder="1" applyAlignment="1" applyProtection="1">
      <alignment horizontal="center" vertical="center" wrapText="1"/>
    </xf>
    <xf numFmtId="0" fontId="37" fillId="9" borderId="0" xfId="0" applyFont="1" applyFill="1" applyBorder="1" applyAlignment="1" applyProtection="1">
      <alignment horizontal="left" vertical="center" wrapText="1"/>
    </xf>
    <xf numFmtId="0" fontId="38" fillId="0" borderId="0" xfId="0" applyFont="1" applyBorder="1" applyAlignment="1" applyProtection="1">
      <alignment horizontal="left" vertical="center"/>
    </xf>
    <xf numFmtId="0" fontId="0" fillId="0" borderId="3" xfId="0" applyBorder="1" applyAlignment="1" applyProtection="1">
      <alignment horizontal="center"/>
    </xf>
    <xf numFmtId="0" fontId="35" fillId="0" borderId="3" xfId="0" applyFont="1" applyBorder="1" applyAlignment="1" applyProtection="1">
      <alignment horizontal="left" vertical="center"/>
    </xf>
    <xf numFmtId="165" fontId="35" fillId="12" borderId="3" xfId="0" applyNumberFormat="1" applyFont="1" applyFill="1" applyBorder="1" applyAlignment="1" applyProtection="1">
      <alignment horizontal="center" vertical="center"/>
    </xf>
    <xf numFmtId="0" fontId="37" fillId="0" borderId="3" xfId="0" applyFont="1" applyBorder="1" applyAlignment="1" applyProtection="1">
      <alignment horizontal="left" vertical="center" wrapText="1"/>
    </xf>
    <xf numFmtId="0" fontId="37" fillId="0" borderId="0" xfId="0" applyFont="1" applyBorder="1" applyAlignment="1" applyProtection="1">
      <alignment horizontal="left" vertical="center" wrapText="1"/>
    </xf>
    <xf numFmtId="167" fontId="35" fillId="5" borderId="3" xfId="0" applyNumberFormat="1" applyFont="1" applyFill="1" applyBorder="1" applyAlignment="1" applyProtection="1">
      <alignment horizontal="center" vertical="center"/>
    </xf>
    <xf numFmtId="0" fontId="35" fillId="12" borderId="3" xfId="0" applyFont="1" applyFill="1" applyBorder="1" applyAlignment="1" applyProtection="1">
      <alignment horizontal="center" vertical="center"/>
    </xf>
    <xf numFmtId="164" fontId="35" fillId="5" borderId="3" xfId="0" applyNumberFormat="1" applyFont="1" applyFill="1" applyBorder="1" applyAlignment="1" applyProtection="1">
      <alignment horizontal="center" vertical="center"/>
    </xf>
    <xf numFmtId="2" fontId="35" fillId="5" borderId="3" xfId="0" applyNumberFormat="1" applyFont="1" applyFill="1" applyBorder="1" applyAlignment="1" applyProtection="1">
      <alignment horizontal="center" vertical="center"/>
    </xf>
    <xf numFmtId="1" fontId="35" fillId="5" borderId="3" xfId="0" applyNumberFormat="1" applyFont="1" applyFill="1" applyBorder="1" applyAlignment="1" applyProtection="1">
      <alignment horizontal="center" vertical="center"/>
    </xf>
    <xf numFmtId="165" fontId="35" fillId="5" borderId="3" xfId="0" applyNumberFormat="1" applyFont="1" applyFill="1" applyBorder="1" applyAlignment="1" applyProtection="1">
      <alignment horizontal="center" vertical="center"/>
    </xf>
    <xf numFmtId="0" fontId="36" fillId="2" borderId="15" xfId="0" applyFont="1" applyFill="1" applyBorder="1" applyAlignment="1" applyProtection="1">
      <alignment horizontal="center" vertical="center" wrapText="1"/>
    </xf>
    <xf numFmtId="0" fontId="36" fillId="2" borderId="16" xfId="0" applyFont="1" applyFill="1" applyBorder="1" applyAlignment="1" applyProtection="1">
      <alignment horizontal="center" vertical="center" wrapText="1"/>
    </xf>
    <xf numFmtId="0" fontId="46" fillId="5" borderId="3" xfId="0" applyFont="1" applyFill="1" applyBorder="1" applyAlignment="1" applyProtection="1">
      <alignment horizontal="left" vertical="center" wrapText="1"/>
    </xf>
    <xf numFmtId="0" fontId="47" fillId="5" borderId="3" xfId="0" applyFont="1" applyFill="1" applyBorder="1" applyAlignment="1" applyProtection="1">
      <alignment horizontal="left" vertical="center" wrapText="1"/>
    </xf>
    <xf numFmtId="0" fontId="33" fillId="13" borderId="3" xfId="0" applyFont="1" applyFill="1" applyBorder="1" applyAlignment="1" applyProtection="1">
      <alignment horizontal="center" vertical="center"/>
    </xf>
    <xf numFmtId="0" fontId="31" fillId="7" borderId="0" xfId="0" applyFont="1" applyFill="1" applyBorder="1" applyAlignment="1" applyProtection="1">
      <alignment horizontal="left" vertical="center"/>
    </xf>
    <xf numFmtId="0" fontId="31" fillId="4" borderId="18" xfId="0" applyFont="1" applyFill="1" applyBorder="1" applyAlignment="1" applyProtection="1">
      <alignment horizontal="left" vertical="center"/>
    </xf>
    <xf numFmtId="0" fontId="48" fillId="10" borderId="0" xfId="0" applyFont="1" applyFill="1" applyBorder="1" applyAlignment="1" applyProtection="1">
      <alignment horizontal="left" vertical="center" wrapText="1"/>
    </xf>
    <xf numFmtId="0" fontId="46" fillId="5" borderId="23" xfId="0" applyFont="1" applyFill="1" applyBorder="1" applyAlignment="1" applyProtection="1">
      <alignment horizontal="left" vertical="center" wrapText="1"/>
    </xf>
    <xf numFmtId="0" fontId="42" fillId="0" borderId="3" xfId="0" applyFont="1" applyBorder="1" applyAlignment="1" applyProtection="1">
      <alignment horizontal="center" vertical="center"/>
    </xf>
    <xf numFmtId="0" fontId="34" fillId="4" borderId="0" xfId="0" applyFont="1" applyFill="1" applyBorder="1" applyAlignment="1" applyProtection="1">
      <alignment horizontal="left" vertical="center"/>
    </xf>
    <xf numFmtId="0" fontId="35" fillId="0" borderId="21" xfId="0" applyFont="1" applyBorder="1" applyAlignment="1" applyProtection="1">
      <alignment horizontal="left" vertical="center"/>
    </xf>
    <xf numFmtId="0" fontId="35" fillId="0" borderId="22" xfId="0" applyFont="1" applyBorder="1" applyAlignment="1" applyProtection="1">
      <alignment horizontal="left" vertical="center"/>
    </xf>
    <xf numFmtId="0" fontId="35" fillId="12" borderId="3" xfId="0" applyFont="1" applyFill="1" applyBorder="1" applyAlignment="1" applyProtection="1">
      <alignment horizontal="left" vertical="center" wrapText="1"/>
    </xf>
    <xf numFmtId="0" fontId="42" fillId="0" borderId="3" xfId="0" applyFont="1" applyBorder="1" applyAlignment="1" applyProtection="1">
      <alignment horizontal="left" vertical="center"/>
    </xf>
    <xf numFmtId="0" fontId="39" fillId="4" borderId="3" xfId="0" applyFont="1" applyFill="1" applyBorder="1" applyAlignment="1" applyProtection="1">
      <alignment horizontal="center" vertical="center"/>
    </xf>
    <xf numFmtId="0" fontId="35" fillId="5" borderId="3" xfId="0" applyFont="1" applyFill="1" applyBorder="1" applyAlignment="1" applyProtection="1">
      <alignment horizontal="left" vertical="center"/>
    </xf>
    <xf numFmtId="169" fontId="35" fillId="5" borderId="3" xfId="0" applyNumberFormat="1" applyFont="1" applyFill="1" applyBorder="1" applyAlignment="1" applyProtection="1">
      <alignment horizontal="left" vertical="center"/>
    </xf>
    <xf numFmtId="0" fontId="36" fillId="2" borderId="20" xfId="0" applyFont="1" applyFill="1" applyBorder="1" applyAlignment="1" applyProtection="1">
      <alignment horizontal="center" vertical="center" wrapText="1"/>
    </xf>
    <xf numFmtId="0" fontId="34" fillId="4" borderId="3" xfId="0" applyFont="1" applyFill="1" applyBorder="1" applyAlignment="1" applyProtection="1">
      <alignment horizontal="left" vertical="center"/>
    </xf>
    <xf numFmtId="0" fontId="31" fillId="7" borderId="24" xfId="0" applyFont="1" applyFill="1" applyBorder="1" applyAlignment="1" applyProtection="1">
      <alignment horizontal="left" vertical="center"/>
    </xf>
    <xf numFmtId="0" fontId="33" fillId="12" borderId="28" xfId="0" applyFont="1" applyFill="1" applyBorder="1" applyAlignment="1" applyProtection="1">
      <alignment horizontal="left" vertical="center"/>
    </xf>
    <xf numFmtId="0" fontId="49" fillId="5" borderId="23" xfId="0" applyFont="1" applyFill="1" applyBorder="1" applyAlignment="1" applyProtection="1">
      <alignment horizontal="center" vertical="center"/>
    </xf>
    <xf numFmtId="0" fontId="49" fillId="5" borderId="26" xfId="0" applyFont="1" applyFill="1" applyBorder="1" applyAlignment="1" applyProtection="1">
      <alignment horizontal="center" vertical="center"/>
    </xf>
    <xf numFmtId="0" fontId="34" fillId="4" borderId="25" xfId="0" applyFont="1" applyFill="1" applyBorder="1" applyAlignment="1" applyProtection="1">
      <alignment horizontal="left" vertical="center"/>
    </xf>
    <xf numFmtId="0" fontId="51" fillId="4" borderId="23" xfId="0" applyFont="1" applyFill="1" applyBorder="1" applyAlignment="1" applyProtection="1">
      <alignment horizontal="left" vertical="center" wrapText="1"/>
    </xf>
    <xf numFmtId="0" fontId="51" fillId="4" borderId="26" xfId="0" applyFont="1" applyFill="1" applyBorder="1" applyAlignment="1" applyProtection="1">
      <alignment horizontal="left" vertical="center" wrapText="1"/>
    </xf>
    <xf numFmtId="0" fontId="49" fillId="5" borderId="3" xfId="0" applyFont="1" applyFill="1" applyBorder="1" applyAlignment="1" applyProtection="1">
      <alignment horizontal="center" vertical="center"/>
    </xf>
    <xf numFmtId="0" fontId="51" fillId="4" borderId="27" xfId="0" applyFont="1" applyFill="1" applyBorder="1" applyAlignment="1" applyProtection="1">
      <alignment horizontal="center" vertical="center" wrapText="1"/>
    </xf>
    <xf numFmtId="0" fontId="37" fillId="10" borderId="0" xfId="0" applyFont="1" applyFill="1" applyBorder="1" applyAlignment="1" applyProtection="1">
      <alignment horizontal="left" vertical="center" wrapText="1"/>
      <protection locked="0"/>
    </xf>
    <xf numFmtId="0" fontId="39" fillId="4" borderId="3" xfId="0" applyFont="1" applyFill="1" applyBorder="1" applyAlignment="1" applyProtection="1">
      <alignment horizontal="left" vertical="center"/>
    </xf>
    <xf numFmtId="0" fontId="37" fillId="0" borderId="3" xfId="0" applyFont="1" applyBorder="1" applyAlignment="1" applyProtection="1">
      <alignment horizontal="left" vertical="center"/>
    </xf>
    <xf numFmtId="0" fontId="34" fillId="4" borderId="9" xfId="0" applyFont="1" applyFill="1" applyBorder="1" applyAlignment="1" applyProtection="1">
      <alignment horizontal="left" vertical="center"/>
    </xf>
    <xf numFmtId="0" fontId="33" fillId="10" borderId="30" xfId="0" applyFont="1" applyFill="1" applyBorder="1" applyAlignment="1" applyProtection="1">
      <alignment horizontal="left" vertical="center" wrapText="1"/>
    </xf>
    <xf numFmtId="0" fontId="33" fillId="10" borderId="18" xfId="0" applyFont="1" applyFill="1" applyBorder="1" applyAlignment="1" applyProtection="1">
      <alignment horizontal="left" vertical="center" wrapText="1"/>
    </xf>
    <xf numFmtId="0" fontId="34" fillId="4" borderId="18" xfId="0" applyFont="1" applyFill="1" applyBorder="1" applyAlignment="1" applyProtection="1">
      <alignment horizontal="left" vertical="center"/>
    </xf>
    <xf numFmtId="0" fontId="34" fillId="4" borderId="29" xfId="0" applyFont="1" applyFill="1" applyBorder="1" applyAlignment="1" applyProtection="1">
      <alignment horizontal="left" vertical="center"/>
    </xf>
    <xf numFmtId="0" fontId="38" fillId="0" borderId="3" xfId="0" applyFont="1" applyBorder="1" applyAlignment="1" applyProtection="1">
      <alignment horizontal="left" vertical="center"/>
    </xf>
    <xf numFmtId="0" fontId="37" fillId="0" borderId="0" xfId="0" applyFont="1" applyBorder="1" applyAlignment="1" applyProtection="1">
      <alignment horizontal="left" vertical="center"/>
    </xf>
    <xf numFmtId="0" fontId="31" fillId="7" borderId="3" xfId="0" applyFont="1" applyFill="1" applyBorder="1" applyAlignment="1" applyProtection="1">
      <alignment horizontal="left" vertical="center"/>
    </xf>
    <xf numFmtId="0" fontId="52" fillId="4" borderId="24" xfId="0" applyFont="1" applyFill="1" applyBorder="1" applyAlignment="1" applyProtection="1">
      <alignment horizontal="left" vertical="center"/>
    </xf>
    <xf numFmtId="0" fontId="37" fillId="9" borderId="3" xfId="0" applyFont="1" applyFill="1" applyBorder="1" applyAlignment="1" applyProtection="1">
      <alignment horizontal="left" vertical="center" wrapText="1"/>
    </xf>
    <xf numFmtId="0" fontId="52" fillId="4" borderId="24" xfId="0" applyFont="1" applyFill="1" applyBorder="1" applyAlignment="1" applyProtection="1">
      <alignment horizontal="center" vertical="center"/>
    </xf>
    <xf numFmtId="0" fontId="48" fillId="10" borderId="3" xfId="0" applyFont="1" applyFill="1" applyBorder="1" applyAlignment="1" applyProtection="1">
      <alignment horizontal="left" vertical="center" wrapText="1"/>
    </xf>
    <xf numFmtId="0" fontId="35" fillId="0" borderId="3" xfId="0" applyFont="1" applyBorder="1" applyAlignment="1" applyProtection="1">
      <alignment horizontal="center" vertical="center"/>
    </xf>
    <xf numFmtId="0" fontId="37" fillId="0" borderId="3" xfId="0" applyFont="1" applyBorder="1" applyAlignment="1" applyProtection="1">
      <alignment horizontal="center" vertical="center"/>
    </xf>
    <xf numFmtId="0" fontId="31" fillId="4" borderId="3" xfId="0" applyFont="1" applyFill="1" applyBorder="1" applyAlignment="1" applyProtection="1">
      <alignment horizontal="left" vertical="center"/>
    </xf>
    <xf numFmtId="0" fontId="52" fillId="4" borderId="0" xfId="0" applyFont="1" applyFill="1" applyBorder="1" applyAlignment="1" applyProtection="1">
      <alignment horizontal="center" vertical="center"/>
    </xf>
    <xf numFmtId="0" fontId="31" fillId="4" borderId="0" xfId="0" applyFont="1" applyFill="1" applyBorder="1" applyAlignment="1" applyProtection="1">
      <alignment horizontal="left" vertical="center"/>
    </xf>
    <xf numFmtId="0" fontId="52" fillId="4" borderId="0" xfId="0" applyFont="1" applyFill="1" applyBorder="1" applyAlignment="1" applyProtection="1">
      <alignment horizontal="left" vertical="center"/>
    </xf>
    <xf numFmtId="0" fontId="33" fillId="12" borderId="23" xfId="0" applyFont="1" applyFill="1" applyBorder="1" applyAlignment="1" applyProtection="1">
      <alignment horizontal="left" vertical="center"/>
    </xf>
    <xf numFmtId="0" fontId="39" fillId="4" borderId="23" xfId="0" applyFont="1" applyFill="1" applyBorder="1" applyAlignment="1" applyProtection="1">
      <alignment horizontal="left" vertical="center"/>
    </xf>
    <xf numFmtId="0" fontId="33" fillId="9" borderId="18" xfId="0" applyFont="1" applyFill="1" applyBorder="1" applyAlignment="1" applyProtection="1">
      <alignment vertical="center" wrapText="1"/>
    </xf>
    <xf numFmtId="0" fontId="34" fillId="4" borderId="3" xfId="0" applyFont="1" applyFill="1" applyBorder="1" applyAlignment="1" applyProtection="1">
      <alignment horizontal="center" vertical="center"/>
    </xf>
    <xf numFmtId="0" fontId="59" fillId="8" borderId="2" xfId="0" applyFont="1" applyFill="1" applyBorder="1" applyAlignment="1" applyProtection="1">
      <alignment horizontal="center" vertical="center" wrapText="1"/>
    </xf>
    <xf numFmtId="0" fontId="59" fillId="8" borderId="7" xfId="0" applyFont="1" applyFill="1" applyBorder="1" applyAlignment="1" applyProtection="1">
      <alignment horizontal="center" vertical="center" wrapText="1"/>
    </xf>
    <xf numFmtId="0" fontId="31" fillId="4" borderId="31" xfId="0" applyFont="1" applyFill="1" applyBorder="1" applyAlignment="1" applyProtection="1">
      <alignment horizontal="left" vertical="center" wrapText="1"/>
    </xf>
    <xf numFmtId="0" fontId="39" fillId="2" borderId="2" xfId="0" applyFont="1" applyFill="1" applyBorder="1" applyAlignment="1" applyProtection="1">
      <alignment horizontal="center" vertical="center"/>
    </xf>
    <xf numFmtId="0" fontId="60" fillId="2" borderId="13" xfId="0" applyFont="1" applyFill="1" applyBorder="1" applyAlignment="1" applyProtection="1">
      <alignment horizontal="center" vertical="center" wrapText="1"/>
    </xf>
    <xf numFmtId="0" fontId="60" fillId="2" borderId="15" xfId="0" applyFont="1" applyFill="1" applyBorder="1" applyAlignment="1" applyProtection="1">
      <alignment horizontal="center" vertical="center" wrapText="1"/>
    </xf>
    <xf numFmtId="0" fontId="60" fillId="2" borderId="16" xfId="0" applyFont="1" applyFill="1" applyBorder="1" applyAlignment="1" applyProtection="1">
      <alignment horizontal="center" vertical="center" wrapText="1"/>
    </xf>
    <xf numFmtId="0" fontId="42" fillId="0" borderId="3" xfId="0" applyFont="1" applyBorder="1" applyAlignment="1" applyProtection="1">
      <alignment horizontal="center" vertical="center" wrapText="1"/>
    </xf>
    <xf numFmtId="0" fontId="48" fillId="10" borderId="0" xfId="0" applyFont="1" applyFill="1" applyBorder="1" applyAlignment="1" applyProtection="1">
      <alignment horizontal="center" vertical="center" wrapText="1"/>
    </xf>
    <xf numFmtId="0" fontId="0" fillId="14" borderId="32" xfId="0" applyFill="1" applyBorder="1" applyAlignment="1" applyProtection="1">
      <alignment horizontal="center"/>
    </xf>
    <xf numFmtId="0" fontId="46" fillId="5" borderId="31" xfId="0" applyFont="1" applyFill="1" applyBorder="1" applyAlignment="1" applyProtection="1">
      <alignment horizontal="left" vertical="center" wrapText="1"/>
    </xf>
    <xf numFmtId="0" fontId="34" fillId="4" borderId="31" xfId="0" applyFont="1" applyFill="1" applyBorder="1" applyAlignment="1" applyProtection="1">
      <alignment horizontal="left" vertical="center"/>
    </xf>
    <xf numFmtId="0" fontId="33" fillId="12" borderId="3" xfId="0" applyFont="1" applyFill="1" applyBorder="1" applyAlignment="1" applyProtection="1">
      <alignment horizontal="center" vertical="center"/>
    </xf>
    <xf numFmtId="0" fontId="37" fillId="0" borderId="33" xfId="0" applyFont="1" applyBorder="1" applyAlignment="1" applyProtection="1">
      <alignment horizontal="left" vertical="center"/>
    </xf>
    <xf numFmtId="0" fontId="39" fillId="4" borderId="33" xfId="0" applyFont="1" applyFill="1" applyBorder="1" applyAlignment="1" applyProtection="1">
      <alignment horizontal="left" vertical="center"/>
    </xf>
    <xf numFmtId="0" fontId="63" fillId="8" borderId="2" xfId="0" applyFont="1" applyFill="1" applyBorder="1" applyAlignment="1" applyProtection="1">
      <alignment horizontal="center" vertical="center"/>
    </xf>
    <xf numFmtId="0" fontId="33" fillId="9" borderId="2" xfId="0" applyFont="1" applyFill="1" applyBorder="1" applyAlignment="1" applyProtection="1">
      <alignment horizontal="left" vertical="center" wrapText="1"/>
    </xf>
    <xf numFmtId="0" fontId="62" fillId="8" borderId="2" xfId="0" applyFont="1" applyFill="1" applyBorder="1" applyAlignment="1" applyProtection="1">
      <alignment horizontal="left" vertical="center" wrapText="1"/>
    </xf>
    <xf numFmtId="0" fontId="34" fillId="4" borderId="2" xfId="0" applyFont="1" applyFill="1" applyBorder="1" applyAlignment="1" applyProtection="1">
      <alignment horizontal="left" vertical="center"/>
    </xf>
    <xf numFmtId="0" fontId="33" fillId="10" borderId="2" xfId="0" applyFont="1" applyFill="1" applyBorder="1" applyAlignment="1" applyProtection="1">
      <alignment horizontal="left" vertical="center" wrapText="1"/>
    </xf>
    <xf numFmtId="0" fontId="32" fillId="9" borderId="3" xfId="0" applyFont="1" applyFill="1" applyBorder="1" applyAlignment="1" applyProtection="1">
      <alignment horizontal="left" vertical="center"/>
    </xf>
    <xf numFmtId="0" fontId="30" fillId="7" borderId="0" xfId="0" applyFont="1" applyFill="1" applyBorder="1" applyAlignment="1" applyProtection="1">
      <alignment horizontal="left" vertical="center"/>
    </xf>
    <xf numFmtId="0" fontId="31" fillId="4" borderId="0" xfId="0" applyFont="1" applyFill="1" applyBorder="1" applyAlignment="1" applyProtection="1">
      <alignment horizontal="left" vertical="center" wrapText="1"/>
    </xf>
    <xf numFmtId="0" fontId="31" fillId="4" borderId="2" xfId="0" applyFont="1" applyFill="1" applyBorder="1" applyAlignment="1" applyProtection="1">
      <alignment horizontal="left" vertical="center"/>
    </xf>
    <xf numFmtId="0" fontId="32" fillId="9" borderId="2" xfId="0" applyFont="1" applyFill="1" applyBorder="1" applyAlignment="1" applyProtection="1">
      <alignment horizontal="left" vertical="center"/>
    </xf>
    <xf numFmtId="0" fontId="32" fillId="12" borderId="2" xfId="0" applyFont="1" applyFill="1" applyBorder="1" applyAlignment="1" applyProtection="1">
      <alignment horizontal="left" vertical="center"/>
    </xf>
    <xf numFmtId="0" fontId="33" fillId="5" borderId="2" xfId="0" applyFont="1" applyFill="1" applyBorder="1" applyAlignment="1" applyProtection="1">
      <alignment horizontal="left" vertical="center" wrapText="1"/>
    </xf>
    <xf numFmtId="0" fontId="63" fillId="10" borderId="2" xfId="0" applyFont="1" applyFill="1" applyBorder="1" applyAlignment="1" applyProtection="1">
      <alignment horizontal="left" vertical="top" wrapText="1"/>
    </xf>
    <xf numFmtId="0" fontId="64" fillId="11" borderId="2" xfId="0" applyFont="1" applyFill="1" applyBorder="1" applyAlignment="1" applyProtection="1">
      <alignment horizontal="left" vertical="center" wrapText="1"/>
      <protection locked="0"/>
    </xf>
    <xf numFmtId="0" fontId="65" fillId="0" borderId="0" xfId="0" applyFont="1" applyBorder="1" applyAlignment="1" applyProtection="1">
      <alignment horizontal="left" vertical="center" wrapText="1"/>
    </xf>
    <xf numFmtId="0" fontId="32" fillId="9" borderId="2" xfId="0" applyFont="1" applyFill="1" applyBorder="1" applyAlignment="1" applyProtection="1">
      <alignment horizontal="left" vertical="center" wrapText="1"/>
    </xf>
    <xf numFmtId="0" fontId="47" fillId="10" borderId="2" xfId="0" applyFont="1" applyFill="1" applyBorder="1" applyAlignment="1" applyProtection="1">
      <alignment horizontal="left" vertical="center" wrapText="1"/>
    </xf>
    <xf numFmtId="0" fontId="66" fillId="12" borderId="2" xfId="0" applyFont="1" applyFill="1" applyBorder="1" applyAlignment="1" applyProtection="1">
      <alignment horizontal="center" vertical="center"/>
    </xf>
    <xf numFmtId="0" fontId="33" fillId="10" borderId="2" xfId="0" applyFont="1" applyFill="1" applyBorder="1" applyAlignment="1" applyProtection="1">
      <alignment horizontal="left" vertical="top" wrapText="1"/>
    </xf>
    <xf numFmtId="0" fontId="35" fillId="10" borderId="2" xfId="0" applyFont="1" applyFill="1" applyBorder="1" applyAlignment="1" applyProtection="1">
      <alignment horizontal="left" vertical="center" wrapText="1"/>
    </xf>
    <xf numFmtId="0" fontId="35" fillId="12" borderId="2" xfId="0" applyFont="1" applyFill="1" applyBorder="1" applyAlignment="1" applyProtection="1">
      <alignment horizontal="left" vertical="center" wrapText="1"/>
    </xf>
    <xf numFmtId="0" fontId="35" fillId="8" borderId="2" xfId="0" applyFont="1" applyFill="1" applyBorder="1" applyAlignment="1" applyProtection="1">
      <alignment horizontal="left" vertical="center" wrapText="1"/>
    </xf>
    <xf numFmtId="0" fontId="47" fillId="10" borderId="2" xfId="0" applyFont="1" applyFill="1" applyBorder="1" applyAlignment="1" applyProtection="1">
      <alignment horizontal="left" vertical="top" wrapText="1"/>
    </xf>
    <xf numFmtId="165" fontId="67" fillId="12" borderId="2" xfId="0" applyNumberFormat="1" applyFont="1" applyFill="1" applyBorder="1" applyAlignment="1" applyProtection="1">
      <alignment horizontal="center" vertical="center"/>
    </xf>
    <xf numFmtId="0" fontId="49" fillId="5" borderId="2" xfId="0" applyFont="1" applyFill="1" applyBorder="1" applyAlignment="1" applyProtection="1">
      <alignment horizontal="left" vertical="top" wrapText="1"/>
    </xf>
    <xf numFmtId="0" fontId="39" fillId="4" borderId="2" xfId="0" applyFont="1" applyFill="1" applyBorder="1" applyAlignment="1" applyProtection="1">
      <alignment horizontal="center" vertical="center"/>
    </xf>
    <xf numFmtId="0" fontId="35" fillId="5" borderId="2" xfId="0" applyFont="1" applyFill="1" applyBorder="1" applyAlignment="1" applyProtection="1">
      <alignment horizontal="left" vertical="center"/>
    </xf>
    <xf numFmtId="0" fontId="63" fillId="10" borderId="37" xfId="0" applyFont="1" applyFill="1" applyBorder="1" applyAlignment="1" applyProtection="1">
      <alignment horizontal="left" vertical="top" wrapText="1"/>
    </xf>
    <xf numFmtId="0" fontId="39" fillId="4" borderId="7" xfId="0" applyFont="1" applyFill="1" applyBorder="1" applyAlignment="1" applyProtection="1">
      <alignment horizontal="center" vertical="center"/>
    </xf>
    <xf numFmtId="0" fontId="37" fillId="5" borderId="2" xfId="0" applyFont="1" applyFill="1" applyBorder="1" applyAlignment="1" applyProtection="1">
      <alignment horizontal="left" vertical="center" wrapText="1"/>
    </xf>
    <xf numFmtId="0" fontId="68" fillId="8" borderId="2" xfId="0" applyFont="1" applyFill="1" applyBorder="1" applyAlignment="1" applyProtection="1">
      <alignment horizontal="left" vertical="center"/>
    </xf>
    <xf numFmtId="0" fontId="31" fillId="4" borderId="35" xfId="0" applyFont="1" applyFill="1" applyBorder="1" applyAlignment="1" applyProtection="1">
      <alignment horizontal="center" vertical="center"/>
    </xf>
    <xf numFmtId="0" fontId="39" fillId="4" borderId="4" xfId="0" applyFont="1" applyFill="1" applyBorder="1" applyAlignment="1" applyProtection="1">
      <alignment horizontal="center" vertical="center"/>
    </xf>
    <xf numFmtId="0" fontId="3" fillId="0" borderId="0" xfId="0" applyFont="1" applyBorder="1" applyAlignment="1" applyProtection="1">
      <alignment wrapText="1"/>
    </xf>
    <xf numFmtId="0" fontId="71" fillId="16" borderId="0" xfId="0" applyNumberFormat="1" applyFont="1" applyFill="1" applyBorder="1" applyAlignment="1" applyProtection="1">
      <alignment vertical="center"/>
    </xf>
    <xf numFmtId="0" fontId="72" fillId="16" borderId="0" xfId="0" applyNumberFormat="1" applyFont="1" applyFill="1" applyBorder="1" applyAlignment="1" applyProtection="1">
      <alignment vertical="center"/>
    </xf>
    <xf numFmtId="0" fontId="74" fillId="18" borderId="0" xfId="0" applyNumberFormat="1" applyFont="1" applyFill="1" applyBorder="1" applyAlignment="1" applyProtection="1">
      <alignment wrapText="1"/>
    </xf>
    <xf numFmtId="0" fontId="77" fillId="0" borderId="0" xfId="0" applyNumberFormat="1" applyFont="1" applyFill="1" applyBorder="1" applyAlignment="1" applyProtection="1">
      <alignment vertical="center"/>
    </xf>
  </cellXfs>
  <cellStyles count="2">
    <cellStyle name="Hipervínculo" xfId="1" builtinId="8"/>
    <cellStyle name="Normal" xfId="0" builtinId="0"/>
  </cellStyles>
  <dxfs count="41">
    <dxf>
      <font>
        <color rgb="FF9C6500"/>
      </font>
      <fill>
        <patternFill patternType="solid">
          <bgColor rgb="FFFFF2CC"/>
        </patternFill>
      </fill>
    </dxf>
    <dxf>
      <font>
        <color rgb="FF9C6500"/>
      </font>
      <fill>
        <patternFill patternType="solid">
          <bgColor rgb="FFFFF2CC"/>
        </patternFill>
      </fill>
    </dxf>
    <dxf>
      <font>
        <b/>
        <color rgb="FF006100"/>
      </font>
      <fill>
        <patternFill patternType="solid">
          <bgColor rgb="FFE2F0D9"/>
        </patternFill>
      </fill>
    </dxf>
    <dxf>
      <font>
        <color rgb="FF006100"/>
      </font>
      <fill>
        <patternFill patternType="solid">
          <bgColor rgb="FFE2F0D9"/>
        </patternFill>
      </fill>
    </dxf>
    <dxf>
      <font>
        <color rgb="FF9C6500"/>
      </font>
      <fill>
        <patternFill patternType="solid">
          <bgColor rgb="FFFFF2CC"/>
        </patternFill>
      </fill>
    </dxf>
    <dxf>
      <font>
        <color rgb="FF9C6500"/>
      </font>
      <fill>
        <patternFill patternType="solid">
          <bgColor rgb="FFFFF2CC"/>
        </patternFill>
      </fill>
    </dxf>
    <dxf>
      <font>
        <b/>
        <color rgb="FF006100"/>
      </font>
      <fill>
        <patternFill patternType="solid">
          <bgColor rgb="FFE2F0D9"/>
        </patternFill>
      </fill>
    </dxf>
    <dxf>
      <font>
        <b/>
        <color rgb="FF9C0006"/>
      </font>
      <fill>
        <patternFill patternType="solid">
          <bgColor rgb="FFFDE2E1"/>
        </patternFill>
      </fill>
    </dxf>
    <dxf>
      <font>
        <color rgb="FF9C6500"/>
      </font>
      <fill>
        <patternFill patternType="solid">
          <bgColor rgb="FFFFF2CC"/>
        </patternFill>
      </fill>
    </dxf>
    <dxf>
      <font>
        <b/>
        <color rgb="FF006100"/>
      </font>
      <fill>
        <patternFill patternType="solid">
          <bgColor rgb="FFE2F0D9"/>
        </patternFill>
      </fill>
    </dxf>
    <dxf>
      <font>
        <b/>
        <color rgb="FF9C0006"/>
      </font>
      <fill>
        <patternFill patternType="solid">
          <bgColor rgb="FFFDE2E1"/>
        </patternFill>
      </fill>
    </dxf>
    <dxf>
      <font>
        <color rgb="FF9C6500"/>
      </font>
      <fill>
        <patternFill patternType="solid">
          <bgColor rgb="FFFFF2CC"/>
        </patternFill>
      </fill>
    </dxf>
    <dxf>
      <font>
        <b/>
        <color rgb="FF9C0006"/>
      </font>
      <fill>
        <patternFill patternType="solid">
          <bgColor rgb="FFFDE2E1"/>
        </patternFill>
      </fill>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s>
  <tableStyles count="0" defaultTableStyle="TableStyleMedium2" defaultPivotStyle="PivotStyleLight16"/>
  <colors>
    <indexedColors>
      <rgbColor rgb="FF000000"/>
      <rgbColor rgb="FFFFFFFF"/>
      <rgbColor rgb="FFFF0000"/>
      <rgbColor rgb="FF00FF00"/>
      <rgbColor rgb="FF0000CC"/>
      <rgbColor rgb="FFFCEFCE"/>
      <rgbColor rgb="FFFF00FF"/>
      <rgbColor rgb="FF00FFFF"/>
      <rgbColor rgb="FF800000"/>
      <rgbColor rgb="FF008000"/>
      <rgbColor rgb="FF000080"/>
      <rgbColor rgb="FF808000"/>
      <rgbColor rgb="FF800080"/>
      <rgbColor rgb="FF1C6B72"/>
      <rgbColor rgb="FFB7C7CB"/>
      <rgbColor rgb="FF595959"/>
      <rgbColor rgb="FF9999FF"/>
      <rgbColor rgb="FF993366"/>
      <rgbColor rgb="FFFFF6D8"/>
      <rgbColor rgb="FFDCEFF1"/>
      <rgbColor rgb="FF660066"/>
      <rgbColor rgb="FFFF8080"/>
      <rgbColor rgb="FF0066CC"/>
      <rgbColor rgb="FFC7D2D6"/>
      <rgbColor rgb="FF000080"/>
      <rgbColor rgb="FFFF00FF"/>
      <rgbColor rgb="FFF4F6F7"/>
      <rgbColor rgb="FF00FFFF"/>
      <rgbColor rgb="FF800080"/>
      <rgbColor rgb="FF800000"/>
      <rgbColor rgb="FF155E6C"/>
      <rgbColor rgb="FF0000FF"/>
      <rgbColor rgb="FF00CCFF"/>
      <rgbColor rgb="FFDCE8EA"/>
      <rgbColor rgb="FFDFF0E3"/>
      <rgbColor rgb="FFFFE699"/>
      <rgbColor rgb="FFC3D2D0"/>
      <rgbColor rgb="FFE7E0F5"/>
      <rgbColor rgb="FFD9D9D9"/>
      <rgbColor rgb="FFFBE4D5"/>
      <rgbColor rgb="FF3366FF"/>
      <rgbColor rgb="FF33CCCC"/>
      <rgbColor rgb="FFC3D69B"/>
      <rgbColor rgb="FFFFCC00"/>
      <rgbColor rgb="FFFF9900"/>
      <rgbColor rgb="FFFF6600"/>
      <rgbColor rgb="FF5A6B70"/>
      <rgbColor rgb="FFB3B3B3"/>
      <rgbColor rgb="FF17324D"/>
      <rgbColor rgb="FF339966"/>
      <rgbColor rgb="FF003300"/>
      <rgbColor rgb="FF1A1A1A"/>
      <rgbColor rgb="FFB45309"/>
      <rgbColor rgb="FF993366"/>
      <rgbColor rgb="FF333399"/>
      <rgbColor rgb="FF0F3B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Peso</a:t>
            </a:r>
          </a:p>
        </c:rich>
      </c:tx>
      <c:overlay val="0"/>
      <c:spPr>
        <a:noFill/>
        <a:ln w="0">
          <a:noFill/>
        </a:ln>
      </c:spPr>
    </c:title>
    <c:autoTitleDeleted val="0"/>
    <c:plotArea>
      <c:layout/>
      <c:lineChart>
        <c:grouping val="standard"/>
        <c:varyColors val="0"/>
        <c:ser>
          <c:idx val="0"/>
          <c:order val="0"/>
          <c:tx>
            <c:strRef>
              <c:f>SEGUIMIENTO!$B$6</c:f>
              <c:strCache>
                <c:ptCount val="1"/>
                <c:pt idx="0">
                  <c:v>Peso</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SEGUIMIENTO!$A$7:$A$39</c:f>
              <c:strCache>
                <c:ptCount val="1"/>
                <c:pt idx="0">
                  <c:v>2026-08-02</c:v>
                </c:pt>
              </c:strCache>
            </c:strRef>
          </c:cat>
          <c:val>
            <c:numRef>
              <c:f>SEGUIMIENTO!$B$7:$B$39</c:f>
              <c:numCache>
                <c:formatCode>General</c:formatCode>
                <c:ptCount val="33"/>
              </c:numCache>
            </c:numRef>
          </c:val>
          <c:smooth val="1"/>
          <c:extLst>
            <c:ext xmlns:c16="http://schemas.microsoft.com/office/drawing/2014/chart" uri="{C3380CC4-5D6E-409C-BE32-E72D297353CC}">
              <c16:uniqueId val="{00000000-46BC-4389-87FD-9C7BD23B8B1A}"/>
            </c:ext>
          </c:extLst>
        </c:ser>
        <c:dLbls>
          <c:showLegendKey val="0"/>
          <c:showVal val="0"/>
          <c:showCatName val="0"/>
          <c:showSerName val="0"/>
          <c:showPercent val="0"/>
          <c:showBubbleSize val="0"/>
        </c:dLbls>
        <c:hiLowLines>
          <c:spPr>
            <a:ln w="0">
              <a:noFill/>
            </a:ln>
          </c:spPr>
        </c:hiLowLines>
        <c:smooth val="0"/>
        <c:axId val="75903409"/>
        <c:axId val="58406084"/>
      </c:lineChart>
      <c:catAx>
        <c:axId val="7590340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58406084"/>
        <c:crosses val="autoZero"/>
        <c:auto val="1"/>
        <c:lblAlgn val="ctr"/>
        <c:lblOffset val="100"/>
        <c:noMultiLvlLbl val="0"/>
      </c:catAx>
      <c:valAx>
        <c:axId val="58406084"/>
        <c:scaling>
          <c:orientation val="minMax"/>
        </c:scaling>
        <c:delete val="0"/>
        <c:axPos val="l"/>
        <c:majorGridlines>
          <c:spPr>
            <a:ln w="0">
              <a:solidFill>
                <a:srgbClr val="B3B3B3"/>
              </a:solidFill>
            </a:ln>
          </c:spPr>
        </c:majorGridlines>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7590340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IMC</a:t>
            </a:r>
          </a:p>
        </c:rich>
      </c:tx>
      <c:overlay val="0"/>
      <c:spPr>
        <a:noFill/>
        <a:ln w="0">
          <a:noFill/>
        </a:ln>
      </c:spPr>
    </c:title>
    <c:autoTitleDeleted val="0"/>
    <c:plotArea>
      <c:layout/>
      <c:lineChart>
        <c:grouping val="standard"/>
        <c:varyColors val="0"/>
        <c:ser>
          <c:idx val="0"/>
          <c:order val="0"/>
          <c:tx>
            <c:strRef>
              <c:f>SEGUIMIENTO!$C$6</c:f>
              <c:strCache>
                <c:ptCount val="1"/>
                <c:pt idx="0">
                  <c:v>IMC</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SEGUIMIENTO!$A$7:$A$39</c:f>
              <c:strCache>
                <c:ptCount val="1"/>
                <c:pt idx="0">
                  <c:v>2026-08-02</c:v>
                </c:pt>
              </c:strCache>
            </c:strRef>
          </c:cat>
          <c:val>
            <c:numRef>
              <c:f>SEGUIMIENTO!$C$7:$C$39</c:f>
              <c:numCache>
                <c:formatCode>General</c:formatCode>
                <c:ptCount val="33"/>
              </c:numCache>
            </c:numRef>
          </c:val>
          <c:smooth val="1"/>
          <c:extLst>
            <c:ext xmlns:c16="http://schemas.microsoft.com/office/drawing/2014/chart" uri="{C3380CC4-5D6E-409C-BE32-E72D297353CC}">
              <c16:uniqueId val="{00000000-AB18-4F17-BAC3-F5CB193185A5}"/>
            </c:ext>
          </c:extLst>
        </c:ser>
        <c:dLbls>
          <c:showLegendKey val="0"/>
          <c:showVal val="0"/>
          <c:showCatName val="0"/>
          <c:showSerName val="0"/>
          <c:showPercent val="0"/>
          <c:showBubbleSize val="0"/>
        </c:dLbls>
        <c:hiLowLines>
          <c:spPr>
            <a:ln w="0">
              <a:noFill/>
            </a:ln>
          </c:spPr>
        </c:hiLowLines>
        <c:smooth val="0"/>
        <c:axId val="80722933"/>
        <c:axId val="23824388"/>
      </c:lineChart>
      <c:catAx>
        <c:axId val="8072293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23824388"/>
        <c:crosses val="autoZero"/>
        <c:auto val="1"/>
        <c:lblAlgn val="ctr"/>
        <c:lblOffset val="100"/>
        <c:noMultiLvlLbl val="0"/>
      </c:catAx>
      <c:valAx>
        <c:axId val="23824388"/>
        <c:scaling>
          <c:orientation val="minMax"/>
        </c:scaling>
        <c:delete val="0"/>
        <c:axPos val="l"/>
        <c:majorGridlines>
          <c:spPr>
            <a:ln w="0">
              <a:solidFill>
                <a:srgbClr val="B3B3B3"/>
              </a:solidFill>
            </a:ln>
          </c:spPr>
        </c:majorGridlines>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8072293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 Grasa</a:t>
            </a:r>
          </a:p>
        </c:rich>
      </c:tx>
      <c:overlay val="0"/>
      <c:spPr>
        <a:noFill/>
        <a:ln w="0">
          <a:noFill/>
        </a:ln>
      </c:spPr>
    </c:title>
    <c:autoTitleDeleted val="0"/>
    <c:plotArea>
      <c:layout/>
      <c:lineChart>
        <c:grouping val="standard"/>
        <c:varyColors val="0"/>
        <c:ser>
          <c:idx val="0"/>
          <c:order val="0"/>
          <c:tx>
            <c:strRef>
              <c:f>SEGUIMIENTO!$F$6</c:f>
              <c:strCache>
                <c:ptCount val="1"/>
                <c:pt idx="0">
                  <c:v>%Grasa</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SEGUIMIENTO!$A$7:$A$39</c:f>
              <c:strCache>
                <c:ptCount val="1"/>
                <c:pt idx="0">
                  <c:v>2026-08-02</c:v>
                </c:pt>
              </c:strCache>
            </c:strRef>
          </c:cat>
          <c:val>
            <c:numRef>
              <c:f>SEGUIMIENTO!$F$7:$F$39</c:f>
              <c:numCache>
                <c:formatCode>General</c:formatCode>
                <c:ptCount val="33"/>
              </c:numCache>
            </c:numRef>
          </c:val>
          <c:smooth val="1"/>
          <c:extLst>
            <c:ext xmlns:c16="http://schemas.microsoft.com/office/drawing/2014/chart" uri="{C3380CC4-5D6E-409C-BE32-E72D297353CC}">
              <c16:uniqueId val="{00000000-9651-4581-9CFB-55E522138DD0}"/>
            </c:ext>
          </c:extLst>
        </c:ser>
        <c:dLbls>
          <c:showLegendKey val="0"/>
          <c:showVal val="0"/>
          <c:showCatName val="0"/>
          <c:showSerName val="0"/>
          <c:showPercent val="0"/>
          <c:showBubbleSize val="0"/>
        </c:dLbls>
        <c:hiLowLines>
          <c:spPr>
            <a:ln w="0">
              <a:noFill/>
            </a:ln>
          </c:spPr>
        </c:hiLowLines>
        <c:smooth val="0"/>
        <c:axId val="53360269"/>
        <c:axId val="35350847"/>
      </c:lineChart>
      <c:catAx>
        <c:axId val="5336026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35350847"/>
        <c:crosses val="autoZero"/>
        <c:auto val="1"/>
        <c:lblAlgn val="ctr"/>
        <c:lblOffset val="100"/>
        <c:noMultiLvlLbl val="0"/>
      </c:catAx>
      <c:valAx>
        <c:axId val="35350847"/>
        <c:scaling>
          <c:orientation val="minMax"/>
        </c:scaling>
        <c:delete val="0"/>
        <c:axPos val="l"/>
        <c:majorGridlines>
          <c:spPr>
            <a:ln w="0">
              <a:solidFill>
                <a:srgbClr val="B3B3B3"/>
              </a:solidFill>
            </a:ln>
          </c:spPr>
        </c:majorGridlines>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533602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l-GR" sz="1800" b="1" strike="noStrike" spc="-1">
                <a:solidFill>
                  <a:srgbClr val="000000"/>
                </a:solidFill>
                <a:latin typeface="Calibri"/>
              </a:rPr>
              <a:t>Σ </a:t>
            </a:r>
            <a:r>
              <a:rPr lang="es-CL" sz="1800" b="1" strike="noStrike" spc="-1">
                <a:solidFill>
                  <a:srgbClr val="000000"/>
                </a:solidFill>
                <a:latin typeface="Calibri"/>
              </a:rPr>
              <a:t>Pliegues</a:t>
            </a:r>
          </a:p>
        </c:rich>
      </c:tx>
      <c:overlay val="0"/>
      <c:spPr>
        <a:noFill/>
        <a:ln w="0">
          <a:noFill/>
        </a:ln>
      </c:spPr>
    </c:title>
    <c:autoTitleDeleted val="0"/>
    <c:plotArea>
      <c:layout/>
      <c:lineChart>
        <c:grouping val="standard"/>
        <c:varyColors val="0"/>
        <c:ser>
          <c:idx val="0"/>
          <c:order val="0"/>
          <c:tx>
            <c:strRef>
              <c:f>SEGUIMIENTO!$E$6</c:f>
              <c:strCache>
                <c:ptCount val="1"/>
                <c:pt idx="0">
                  <c:v>ΣPliegues</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SEGUIMIENTO!$A$7:$A$39</c:f>
              <c:strCache>
                <c:ptCount val="1"/>
                <c:pt idx="0">
                  <c:v>2026-08-02</c:v>
                </c:pt>
              </c:strCache>
            </c:strRef>
          </c:cat>
          <c:val>
            <c:numRef>
              <c:f>SEGUIMIENTO!$E$7:$E$39</c:f>
              <c:numCache>
                <c:formatCode>General</c:formatCode>
                <c:ptCount val="33"/>
              </c:numCache>
            </c:numRef>
          </c:val>
          <c:smooth val="1"/>
          <c:extLst>
            <c:ext xmlns:c16="http://schemas.microsoft.com/office/drawing/2014/chart" uri="{C3380CC4-5D6E-409C-BE32-E72D297353CC}">
              <c16:uniqueId val="{00000000-33AE-48E8-B69B-FB0F38FF8BB2}"/>
            </c:ext>
          </c:extLst>
        </c:ser>
        <c:dLbls>
          <c:showLegendKey val="0"/>
          <c:showVal val="0"/>
          <c:showCatName val="0"/>
          <c:showSerName val="0"/>
          <c:showPercent val="0"/>
          <c:showBubbleSize val="0"/>
        </c:dLbls>
        <c:hiLowLines>
          <c:spPr>
            <a:ln w="0">
              <a:noFill/>
            </a:ln>
          </c:spPr>
        </c:hiLowLines>
        <c:smooth val="0"/>
        <c:axId val="90531473"/>
        <c:axId val="91040586"/>
      </c:lineChart>
      <c:catAx>
        <c:axId val="9053147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91040586"/>
        <c:crosses val="autoZero"/>
        <c:auto val="1"/>
        <c:lblAlgn val="ctr"/>
        <c:lblOffset val="100"/>
        <c:noMultiLvlLbl val="0"/>
      </c:catAx>
      <c:valAx>
        <c:axId val="91040586"/>
        <c:scaling>
          <c:orientation val="minMax"/>
        </c:scaling>
        <c:delete val="0"/>
        <c:axPos val="l"/>
        <c:majorGridlines>
          <c:spPr>
            <a:ln w="0">
              <a:solidFill>
                <a:srgbClr val="B3B3B3"/>
              </a:solidFill>
            </a:ln>
          </c:spPr>
        </c:majorGridlines>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9053147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131040</xdr:rowOff>
    </xdr:from>
    <xdr:to>
      <xdr:col>8</xdr:col>
      <xdr:colOff>507600</xdr:colOff>
      <xdr:row>17</xdr:row>
      <xdr:rowOff>173880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4</xdr:row>
      <xdr:rowOff>131040</xdr:rowOff>
    </xdr:from>
    <xdr:to>
      <xdr:col>17</xdr:col>
      <xdr:colOff>507600</xdr:colOff>
      <xdr:row>17</xdr:row>
      <xdr:rowOff>173880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131040</xdr:rowOff>
    </xdr:from>
    <xdr:to>
      <xdr:col>8</xdr:col>
      <xdr:colOff>507600</xdr:colOff>
      <xdr:row>33</xdr:row>
      <xdr:rowOff>174240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20</xdr:row>
      <xdr:rowOff>131040</xdr:rowOff>
    </xdr:from>
    <xdr:to>
      <xdr:col>17</xdr:col>
      <xdr:colOff>507600</xdr:colOff>
      <xdr:row>33</xdr:row>
      <xdr:rowOff>174240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MEDICIONES" displayName="T_MEDICIONES" ref="A6:L22" totalsRowShown="0" headerRowDxfId="40" dataDxfId="39">
  <autoFilter ref="A6:L22" xr:uid="{00000000-0009-0000-0100-000001000000}"/>
  <tableColumns count="12">
    <tableColumn id="1" xr3:uid="{00000000-0010-0000-0000-000001000000}" name="Sitio" dataDxfId="38"/>
    <tableColumn id="2" xr3:uid="{00000000-0010-0000-0000-000002000000}" name="Med 1" dataDxfId="37"/>
    <tableColumn id="3" xr3:uid="{00000000-0010-0000-0000-000003000000}" name="Med 2" dataDxfId="36"/>
    <tableColumn id="4" xr3:uid="{00000000-0010-0000-0000-000004000000}" name="Med 3" dataDxfId="35"/>
    <tableColumn id="5" xr3:uid="{00000000-0010-0000-0000-000005000000}" name="Diferencia" dataDxfId="34"/>
    <tableColumn id="6" xr3:uid="{00000000-0010-0000-0000-000006000000}" name="Tolerancia" dataDxfId="33"/>
    <tableColumn id="7" xr3:uid="{00000000-0010-0000-0000-000007000000}" name="Promedio válido" dataDxfId="32"/>
    <tableColumn id="8" xr3:uid="{00000000-0010-0000-0000-000008000000}" name="Unidad" dataDxfId="31"/>
    <tableColumn id="9" xr3:uid="{00000000-0010-0000-0000-000009000000}" name="Evaluador" dataDxfId="30"/>
    <tableColumn id="10" xr3:uid="{00000000-0010-0000-0000-00000A000000}" name="Fecha" dataDxfId="29"/>
    <tableColumn id="11" xr3:uid="{00000000-0010-0000-0000-00000B000000}" name="Estado" dataDxfId="28"/>
    <tableColumn id="12" xr3:uid="{00000000-0010-0000-0000-00000C000000}" name="Observación" dataDxfId="2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SEGUIMIENTO" displayName="T_SEGUIMIENTO" ref="A6:L39" totalsRowShown="0" headerRowDxfId="26" dataDxfId="25">
  <autoFilter ref="A6:L39" xr:uid="{00000000-0009-0000-0100-000002000000}"/>
  <tableColumns count="12">
    <tableColumn id="1" xr3:uid="{00000000-0010-0000-0100-000001000000}" name="Fecha" dataDxfId="24"/>
    <tableColumn id="2" xr3:uid="{00000000-0010-0000-0100-000002000000}" name="Peso" dataDxfId="23"/>
    <tableColumn id="3" xr3:uid="{00000000-0010-0000-0100-000003000000}" name="IMC" dataDxfId="22"/>
    <tableColumn id="4" xr3:uid="{00000000-0010-0000-0100-000004000000}" name="Cintura" dataDxfId="21"/>
    <tableColumn id="5" xr3:uid="{00000000-0010-0000-0100-000005000000}" name="ΣPliegues" dataDxfId="20"/>
    <tableColumn id="6" xr3:uid="{00000000-0010-0000-0100-000006000000}" name="%Grasa" dataDxfId="19"/>
    <tableColumn id="7" xr3:uid="{00000000-0010-0000-0100-000007000000}" name="MasaGrasa" dataDxfId="18"/>
    <tableColumn id="8" xr3:uid="{00000000-0010-0000-0100-000008000000}" name="MasaLibre" dataDxfId="17"/>
    <tableColumn id="9" xr3:uid="{00000000-0010-0000-0100-000009000000}" name="Somatotipo" dataDxfId="16"/>
    <tableColumn id="10" xr3:uid="{00000000-0010-0000-0100-00000A000000}" name="ETM" dataDxfId="15"/>
    <tableColumn id="11" xr3:uid="{00000000-0010-0000-0100-00000B000000}" name="Instrumento" dataDxfId="14"/>
    <tableColumn id="12" xr3:uid="{00000000-0010-0000-0100-00000C000000}" name="Evaluador" dataDxfId="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I37"/>
  <sheetViews>
    <sheetView showGridLines="0" zoomScaleNormal="100" workbookViewId="0">
      <selection activeCell="A20" sqref="A20:B20"/>
    </sheetView>
  </sheetViews>
  <sheetFormatPr baseColWidth="10" defaultColWidth="8.7109375" defaultRowHeight="15"/>
  <cols>
    <col min="1" max="1" width="42" style="2" customWidth="1"/>
    <col min="2" max="2" width="60" style="2" customWidth="1"/>
    <col min="3" max="16384" width="8.7109375" style="2"/>
  </cols>
  <sheetData>
    <row r="1" spans="1:8" ht="33.75" customHeight="1">
      <c r="A1" s="277" t="s">
        <v>0</v>
      </c>
      <c r="B1" s="277"/>
      <c r="C1" s="277"/>
      <c r="D1" s="277"/>
      <c r="E1" s="277"/>
      <c r="F1" s="277"/>
      <c r="G1" s="277"/>
      <c r="H1" s="277"/>
    </row>
    <row r="2" spans="1:8">
      <c r="A2" s="278" t="s">
        <v>1898</v>
      </c>
      <c r="B2" s="278"/>
      <c r="C2" s="278"/>
      <c r="D2" s="278"/>
      <c r="E2" s="278"/>
      <c r="F2" s="278"/>
      <c r="G2" s="278"/>
      <c r="H2" s="278"/>
    </row>
    <row r="3" spans="1:8">
      <c r="A3" s="278"/>
      <c r="B3" s="278"/>
      <c r="C3" s="278"/>
      <c r="D3" s="278"/>
      <c r="E3" s="278"/>
      <c r="F3" s="278"/>
      <c r="G3" s="278"/>
      <c r="H3" s="278"/>
    </row>
    <row r="4" spans="1:8" ht="23.25" customHeight="1">
      <c r="A4" s="3" t="s">
        <v>1</v>
      </c>
      <c r="B4" s="276" t="s">
        <v>1899</v>
      </c>
      <c r="C4" s="276"/>
      <c r="D4" s="276"/>
      <c r="E4" s="276"/>
      <c r="F4" s="276"/>
      <c r="G4" s="276"/>
      <c r="H4" s="276"/>
    </row>
    <row r="5" spans="1:8" ht="23.25" customHeight="1">
      <c r="A5" s="3" t="s">
        <v>3</v>
      </c>
      <c r="B5" s="276" t="s">
        <v>4</v>
      </c>
      <c r="C5" s="276"/>
      <c r="D5" s="276"/>
      <c r="E5" s="276"/>
      <c r="F5" s="276"/>
      <c r="G5" s="276"/>
      <c r="H5" s="276"/>
    </row>
    <row r="6" spans="1:8" ht="23.25" customHeight="1">
      <c r="A6" s="3" t="s">
        <v>5</v>
      </c>
      <c r="B6" s="276" t="s">
        <v>1900</v>
      </c>
      <c r="C6" s="276"/>
      <c r="D6" s="276"/>
      <c r="E6" s="276"/>
      <c r="F6" s="276"/>
      <c r="G6" s="276"/>
      <c r="H6" s="276"/>
    </row>
    <row r="7" spans="1:8" ht="23.25" customHeight="1">
      <c r="A7" s="3" t="s">
        <v>6</v>
      </c>
      <c r="B7" s="276" t="s">
        <v>7</v>
      </c>
      <c r="C7" s="276"/>
      <c r="D7" s="276"/>
      <c r="E7" s="276"/>
      <c r="F7" s="276"/>
      <c r="G7" s="276"/>
      <c r="H7" s="276"/>
    </row>
    <row r="8" spans="1:8" ht="23.25" customHeight="1">
      <c r="A8" s="3" t="s">
        <v>8</v>
      </c>
      <c r="B8" s="276" t="s">
        <v>9</v>
      </c>
      <c r="C8" s="276"/>
      <c r="D8" s="276"/>
      <c r="E8" s="276"/>
      <c r="F8" s="276"/>
      <c r="G8" s="276"/>
      <c r="H8" s="276"/>
    </row>
    <row r="9" spans="1:8" ht="23.25" customHeight="1">
      <c r="A9" s="3" t="s">
        <v>10</v>
      </c>
      <c r="B9" s="276" t="s">
        <v>11</v>
      </c>
      <c r="C9" s="276"/>
      <c r="D9" s="276"/>
      <c r="E9" s="276"/>
      <c r="F9" s="276"/>
      <c r="G9" s="276"/>
      <c r="H9" s="276"/>
    </row>
    <row r="10" spans="1:8" ht="15" customHeight="1">
      <c r="A10" s="4" t="s">
        <v>1901</v>
      </c>
      <c r="B10" s="282" t="s">
        <v>1902</v>
      </c>
      <c r="C10" s="283"/>
      <c r="D10" s="283"/>
      <c r="E10" s="283"/>
      <c r="F10" s="283"/>
      <c r="G10" s="283"/>
      <c r="H10" s="284"/>
    </row>
    <row r="11" spans="1:8" ht="15" customHeight="1">
      <c r="A11" s="4" t="s">
        <v>1903</v>
      </c>
      <c r="B11" s="282" t="s">
        <v>1904</v>
      </c>
      <c r="C11" s="283"/>
      <c r="D11" s="283"/>
      <c r="E11" s="283"/>
      <c r="F11" s="283"/>
      <c r="G11" s="283"/>
      <c r="H11" s="284"/>
    </row>
    <row r="13" spans="1:8" ht="19.5" customHeight="1">
      <c r="A13" s="279" t="s">
        <v>12</v>
      </c>
      <c r="B13" s="279"/>
      <c r="C13" s="279"/>
      <c r="D13" s="279"/>
      <c r="E13" s="279"/>
      <c r="F13" s="279"/>
      <c r="G13" s="279"/>
      <c r="H13" s="279"/>
    </row>
    <row r="14" spans="1:8" ht="21" customHeight="1">
      <c r="A14" s="280" t="str">
        <f>HYPERLINK("#DATOS!A1","▶  DATOS")</f>
        <v>▶  DATOS</v>
      </c>
      <c r="B14" s="281"/>
    </row>
    <row r="15" spans="1:8" ht="21" customHeight="1">
      <c r="A15" s="280" t="str">
        <f>HYPERLINK("#MEDICIONES!A1","▶  MEDICIONES")</f>
        <v>▶  MEDICIONES</v>
      </c>
      <c r="B15" s="281"/>
    </row>
    <row r="16" spans="1:8" ht="21" customHeight="1">
      <c r="A16" s="280" t="str">
        <f>HYPERLINK("#RESULTADOS!A1","▶  RESULTADOS")</f>
        <v>▶  RESULTADOS</v>
      </c>
      <c r="B16" s="281"/>
    </row>
    <row r="17" spans="1:9" ht="21" customHeight="1">
      <c r="A17" s="280" t="str">
        <f>HYPERLINK("#SEGUIMIENTO!A1","▶  SEGUIMIENTO")</f>
        <v>▶  SEGUIMIENTO</v>
      </c>
      <c r="B17" s="281"/>
    </row>
    <row r="18" spans="1:9" ht="21" customHeight="1">
      <c r="A18" s="280" t="str">
        <f>HYPERLINK("#CURVAS!A1","▶  CURVAS")</f>
        <v>▶  CURVAS</v>
      </c>
      <c r="B18" s="281"/>
    </row>
    <row r="19" spans="1:9" ht="21" customHeight="1">
      <c r="A19" s="280" t="str">
        <f>HYPERLINK("#M41_INICIO!A1","▶  Control plicómetro (NMX-41)")</f>
        <v>▶  Control plicómetro (NMX-41)</v>
      </c>
      <c r="B19" s="281"/>
    </row>
    <row r="20" spans="1:9" ht="21" customHeight="1">
      <c r="A20" s="280" t="str">
        <f>HYPERLINK("#M36_INICIO!A1","▶  Plicometría (NMX-36)")</f>
        <v>▶  Plicometría (NMX-36)</v>
      </c>
      <c r="B20" s="281"/>
    </row>
    <row r="21" spans="1:9" ht="21" customHeight="1">
      <c r="A21" s="280" t="str">
        <f>HYPERLINK("#M12_INICIO!A1","▶  Composición (NMX-12)")</f>
        <v>▶  Composición (NMX-12)</v>
      </c>
      <c r="B21" s="281"/>
    </row>
    <row r="22" spans="1:9" ht="21" customHeight="1">
      <c r="A22" s="280" t="str">
        <f>HYPERLINK("#M16_INICIO!A1","▶  Somatotipo (NMX-16)")</f>
        <v>▶  Somatotipo (NMX-16)</v>
      </c>
      <c r="B22" s="281"/>
    </row>
    <row r="23" spans="1:9" ht="21" customHeight="1">
      <c r="A23" s="280" t="str">
        <f>HYPERLINK("#M34_INICIO!A1","▶  Edad metabólica ed. (NMX-34)")</f>
        <v>▶  Edad metabólica ed. (NMX-34)</v>
      </c>
      <c r="B23" s="281"/>
    </row>
    <row r="24" spans="1:9" ht="21" customHeight="1">
      <c r="A24" s="280" t="str">
        <f>HYPERLINK("#MAPA_MODULOS!A1","▶  MAPA_MODULOS")</f>
        <v>▶  MAPA_MODULOS</v>
      </c>
      <c r="B24" s="281"/>
    </row>
    <row r="25" spans="1:9" ht="21" customHeight="1">
      <c r="A25" s="280" t="str">
        <f>HYPERLINK("#FUENTES!A1","▶  FUENTES")</f>
        <v>▶  FUENTES</v>
      </c>
      <c r="B25" s="281"/>
    </row>
    <row r="26" spans="1:9" ht="21" customHeight="1">
      <c r="A26" s="280" t="str">
        <f>HYPERLINK("#LICENCIAS!A1","▶  LICENCIAS")</f>
        <v>▶  LICENCIAS</v>
      </c>
      <c r="B26" s="281"/>
    </row>
    <row r="27" spans="1:9" ht="21" customHeight="1">
      <c r="A27" s="280" t="str">
        <f>HYPERLINK("#PRUEBAS!A1","▶  PRUEBAS")</f>
        <v>▶  PRUEBAS</v>
      </c>
      <c r="B27" s="281"/>
    </row>
    <row r="28" spans="1:9" ht="21" customHeight="1">
      <c r="A28" s="288" t="str">
        <f>HYPERLINK("#CHANGELOG!A1","▶  CHANGELOG")</f>
        <v>▶  CHANGELOG</v>
      </c>
      <c r="B28" s="289"/>
    </row>
    <row r="29" spans="1:9" ht="15" customHeight="1"/>
    <row r="30" spans="1:9" ht="15" customHeight="1"/>
    <row r="32" spans="1:9" ht="23.25" customHeight="1">
      <c r="A32" s="290" t="s">
        <v>1905</v>
      </c>
      <c r="B32" s="290"/>
      <c r="C32" s="290"/>
      <c r="D32" s="290"/>
      <c r="E32" s="290"/>
      <c r="F32" s="290"/>
      <c r="G32" s="290"/>
      <c r="H32" s="290"/>
      <c r="I32" s="5"/>
    </row>
    <row r="33" spans="1:9" ht="24.75" customHeight="1">
      <c r="A33" s="6" t="s">
        <v>1906</v>
      </c>
      <c r="B33" s="285" t="s">
        <v>1907</v>
      </c>
      <c r="C33" s="286"/>
      <c r="D33" s="286"/>
      <c r="E33" s="286"/>
      <c r="F33" s="286"/>
      <c r="G33" s="286"/>
      <c r="H33" s="286"/>
      <c r="I33" s="287"/>
    </row>
    <row r="34" spans="1:9" ht="24.75" customHeight="1">
      <c r="A34" s="6" t="s">
        <v>1908</v>
      </c>
      <c r="B34" s="285" t="s">
        <v>1909</v>
      </c>
      <c r="C34" s="286"/>
      <c r="D34" s="286"/>
      <c r="E34" s="286"/>
      <c r="F34" s="286"/>
      <c r="G34" s="286"/>
      <c r="H34" s="286"/>
      <c r="I34" s="287"/>
    </row>
    <row r="35" spans="1:9" ht="24.75" customHeight="1">
      <c r="A35" s="6" t="s">
        <v>1910</v>
      </c>
      <c r="B35" s="285" t="s">
        <v>1911</v>
      </c>
      <c r="C35" s="286"/>
      <c r="D35" s="286"/>
      <c r="E35" s="286"/>
      <c r="F35" s="286"/>
      <c r="G35" s="286"/>
      <c r="H35" s="286"/>
      <c r="I35" s="287"/>
    </row>
    <row r="36" spans="1:9" ht="24.75" customHeight="1">
      <c r="A36" s="6" t="s">
        <v>1912</v>
      </c>
      <c r="B36" s="285" t="s">
        <v>1913</v>
      </c>
      <c r="C36" s="286"/>
      <c r="D36" s="286"/>
      <c r="E36" s="286"/>
      <c r="F36" s="286"/>
      <c r="G36" s="286"/>
      <c r="H36" s="286"/>
      <c r="I36" s="287"/>
    </row>
    <row r="37" spans="1:9" ht="24.75" customHeight="1">
      <c r="A37" s="6" t="s">
        <v>1914</v>
      </c>
      <c r="B37" s="285" t="s">
        <v>1915</v>
      </c>
      <c r="C37" s="286"/>
      <c r="D37" s="286"/>
      <c r="E37" s="286"/>
      <c r="F37" s="286"/>
      <c r="G37" s="286"/>
      <c r="H37" s="286"/>
      <c r="I37" s="287"/>
    </row>
  </sheetData>
  <sheetProtection algorithmName="SHA-512" hashValue="NqgJomnqolGV11MqW808nxwhXRuGVFL2JM37VfEAxs9gWIwuUNjDGw1LQ6ox+dISvIoOWfg8M/rIn3KCAgu4zQ==" saltValue="JLiaiLQfVP99tbN8hPE8eA==" spinCount="100000" sheet="1" objects="1" scenarios="1"/>
  <mergeCells count="32">
    <mergeCell ref="B36:I36"/>
    <mergeCell ref="B37:I37"/>
    <mergeCell ref="A27:B27"/>
    <mergeCell ref="A28:B28"/>
    <mergeCell ref="A32:H32"/>
    <mergeCell ref="B33:I33"/>
    <mergeCell ref="B34:I34"/>
    <mergeCell ref="B35:I35"/>
    <mergeCell ref="A26:B26"/>
    <mergeCell ref="A15:B15"/>
    <mergeCell ref="A16:B16"/>
    <mergeCell ref="A17:B17"/>
    <mergeCell ref="A18:B18"/>
    <mergeCell ref="A19:B19"/>
    <mergeCell ref="A20:B20"/>
    <mergeCell ref="A21:B21"/>
    <mergeCell ref="A22:B22"/>
    <mergeCell ref="A23:B23"/>
    <mergeCell ref="A24:B24"/>
    <mergeCell ref="A25:B25"/>
    <mergeCell ref="B8:H8"/>
    <mergeCell ref="B9:H9"/>
    <mergeCell ref="A13:H13"/>
    <mergeCell ref="A14:B14"/>
    <mergeCell ref="B10:H10"/>
    <mergeCell ref="B11:H11"/>
    <mergeCell ref="B7:H7"/>
    <mergeCell ref="A1:H1"/>
    <mergeCell ref="A2:H3"/>
    <mergeCell ref="B4:H4"/>
    <mergeCell ref="B5:H5"/>
    <mergeCell ref="B6:H6"/>
  </mergeCells>
  <hyperlinks>
    <hyperlink ref="A33" location="PROTOCOLOS_UDD!A1" display="▶  PROTOCOLOS_UDD" xr:uid="{00000000-0004-0000-0000-000000000000}"/>
    <hyperlink ref="A34" location="COMPARADOR_PROTOCOLOS!A1" display="▶  COMPARADOR_PROTOCOLOS" xr:uid="{00000000-0004-0000-0000-000001000000}"/>
    <hyperlink ref="A35" location="ECUACIONES_UDD!A1" display="▶  ECUACIONES_UDD" xr:uid="{00000000-0004-0000-0000-000002000000}"/>
    <hyperlink ref="A36" location="FUENTES_UDD!A1" display="▶  FUENTES_UDD" xr:uid="{00000000-0004-0000-0000-000003000000}"/>
    <hyperlink ref="A37" location="PRUEBAS_UDD!A1" display="▶  PRUEBAS_UDD" xr:uid="{00000000-0004-0000-0000-000004000000}"/>
  </hyperlink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17"/>
  <sheetViews>
    <sheetView showGridLines="0" zoomScaleNormal="100" workbookViewId="0">
      <pane ySplit="6" topLeftCell="A7" activePane="bottomLeft" state="frozen"/>
      <selection pane="bottomLeft" activeCell="E12" sqref="E12"/>
    </sheetView>
  </sheetViews>
  <sheetFormatPr baseColWidth="10" defaultColWidth="8.7109375" defaultRowHeight="15"/>
  <cols>
    <col min="1" max="1" width="34" style="2" customWidth="1"/>
    <col min="2" max="2" width="26" style="2" customWidth="1"/>
    <col min="3" max="16384" width="8.7109375" style="2"/>
  </cols>
  <sheetData>
    <row r="1" spans="1:12" ht="24.75" customHeight="1">
      <c r="A1" s="292" t="s">
        <v>0</v>
      </c>
      <c r="B1" s="292"/>
      <c r="C1" s="292"/>
      <c r="D1" s="292"/>
      <c r="E1" s="292"/>
      <c r="F1" s="292"/>
      <c r="G1" s="292"/>
      <c r="H1" s="292"/>
      <c r="I1" s="292"/>
      <c r="J1" s="292"/>
      <c r="K1" s="292"/>
      <c r="L1" s="292"/>
    </row>
    <row r="2" spans="1:12">
      <c r="A2" s="293" t="s">
        <v>13</v>
      </c>
      <c r="B2" s="293"/>
      <c r="C2" s="293"/>
      <c r="D2" s="293"/>
      <c r="E2" s="293"/>
      <c r="F2" s="293"/>
      <c r="G2" s="293"/>
      <c r="H2" s="293"/>
      <c r="I2" s="293"/>
      <c r="J2" s="293"/>
      <c r="K2" s="293"/>
      <c r="L2" s="293"/>
    </row>
    <row r="3" spans="1:12">
      <c r="A3" s="293"/>
      <c r="B3" s="293"/>
      <c r="C3" s="293"/>
      <c r="D3" s="293"/>
      <c r="E3" s="293"/>
      <c r="F3" s="293"/>
      <c r="G3" s="293"/>
      <c r="H3" s="293"/>
      <c r="I3" s="293"/>
      <c r="J3" s="293"/>
      <c r="K3" s="293"/>
      <c r="L3" s="293"/>
    </row>
    <row r="4" spans="1:12" ht="25.5" customHeight="1">
      <c r="A4" s="291" t="s">
        <v>14</v>
      </c>
      <c r="B4" s="291"/>
      <c r="C4" s="291"/>
      <c r="D4" s="291"/>
      <c r="E4" s="291"/>
    </row>
    <row r="6" spans="1:12">
      <c r="A6" s="7" t="s">
        <v>15</v>
      </c>
      <c r="B6" s="296" t="s">
        <v>16</v>
      </c>
      <c r="C6" s="297"/>
    </row>
    <row r="7" spans="1:12" ht="17.25" customHeight="1">
      <c r="A7" s="8" t="s">
        <v>17</v>
      </c>
      <c r="B7" s="294" t="s">
        <v>18</v>
      </c>
      <c r="C7" s="295"/>
    </row>
    <row r="8" spans="1:12" ht="17.25" customHeight="1">
      <c r="A8" s="8" t="s">
        <v>19</v>
      </c>
      <c r="B8" s="294">
        <v>46236</v>
      </c>
      <c r="C8" s="295"/>
    </row>
    <row r="9" spans="1:12" ht="17.25" customHeight="1">
      <c r="A9" s="8" t="s">
        <v>20</v>
      </c>
      <c r="B9" s="294" t="s">
        <v>21</v>
      </c>
      <c r="C9" s="295"/>
    </row>
    <row r="10" spans="1:12" ht="17.25" customHeight="1">
      <c r="A10" s="8" t="s">
        <v>22</v>
      </c>
      <c r="B10" s="294" t="s">
        <v>23</v>
      </c>
      <c r="C10" s="295"/>
    </row>
    <row r="11" spans="1:12" ht="17.25" customHeight="1">
      <c r="A11" s="8" t="s">
        <v>24</v>
      </c>
      <c r="B11" s="294">
        <v>34</v>
      </c>
      <c r="C11" s="295"/>
    </row>
    <row r="12" spans="1:12" ht="17.25" customHeight="1">
      <c r="A12" s="8" t="s">
        <v>25</v>
      </c>
      <c r="B12" s="294">
        <v>78.5</v>
      </c>
      <c r="C12" s="295"/>
    </row>
    <row r="13" spans="1:12" ht="17.25" customHeight="1">
      <c r="A13" s="8" t="s">
        <v>26</v>
      </c>
      <c r="B13" s="294">
        <v>176</v>
      </c>
      <c r="C13" s="295"/>
    </row>
    <row r="14" spans="1:12" ht="17.25" customHeight="1">
      <c r="A14" s="8" t="s">
        <v>27</v>
      </c>
      <c r="B14" s="294" t="s">
        <v>28</v>
      </c>
      <c r="C14" s="295"/>
    </row>
    <row r="15" spans="1:12" ht="17.25" customHeight="1">
      <c r="A15" s="8" t="s">
        <v>29</v>
      </c>
      <c r="B15" s="294" t="s">
        <v>30</v>
      </c>
      <c r="C15" s="295"/>
    </row>
    <row r="16" spans="1:12" ht="17.25" customHeight="1">
      <c r="A16" s="8" t="s">
        <v>31</v>
      </c>
      <c r="B16" s="294" t="s">
        <v>32</v>
      </c>
      <c r="C16" s="295"/>
    </row>
    <row r="17" spans="1:3" ht="17.25" customHeight="1">
      <c r="A17" s="8" t="s">
        <v>33</v>
      </c>
      <c r="B17" s="294"/>
      <c r="C17" s="295"/>
    </row>
  </sheetData>
  <sheetProtection algorithmName="SHA-512" hashValue="6dqcBZYv/AKCcqTs6kIYqUc7Vwwr7gZpyq4aHgL2W1R/6K2/MWDarDP5fLPNkwityfsCGr1hByR6CIndECSfQA==" saltValue="FWXy4BUi0yNWH8Zi7L2kcg==" spinCount="100000" sheet="1" objects="1" scenarios="1"/>
  <mergeCells count="15">
    <mergeCell ref="B14:C14"/>
    <mergeCell ref="B15:C15"/>
    <mergeCell ref="B16:C16"/>
    <mergeCell ref="B17:C17"/>
    <mergeCell ref="B6:C6"/>
    <mergeCell ref="B9:C9"/>
    <mergeCell ref="B10:C10"/>
    <mergeCell ref="B11:C11"/>
    <mergeCell ref="B12:C12"/>
    <mergeCell ref="B13:C13"/>
    <mergeCell ref="A4:E4"/>
    <mergeCell ref="A1:L1"/>
    <mergeCell ref="A2:L3"/>
    <mergeCell ref="B7:C7"/>
    <mergeCell ref="B8:C8"/>
  </mergeCells>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L22"/>
  <sheetViews>
    <sheetView showGridLines="0" tabSelected="1" zoomScaleNormal="100" workbookViewId="0">
      <pane ySplit="6" topLeftCell="A7" activePane="bottomLeft" state="frozen"/>
      <selection pane="bottomLeft" activeCell="A2" sqref="A2:L3"/>
    </sheetView>
  </sheetViews>
  <sheetFormatPr baseColWidth="10" defaultColWidth="8.7109375" defaultRowHeight="15"/>
  <cols>
    <col min="1" max="1" width="22" customWidth="1"/>
    <col min="2" max="4" width="8" customWidth="1"/>
    <col min="5" max="6" width="11" customWidth="1"/>
    <col min="7" max="7" width="15" customWidth="1"/>
    <col min="8" max="8" width="8" customWidth="1"/>
    <col min="9" max="10" width="12" customWidth="1"/>
    <col min="11" max="11" width="20" customWidth="1"/>
    <col min="12" max="12" width="24" customWidth="1"/>
  </cols>
  <sheetData>
    <row r="1" spans="1:12" ht="20.25">
      <c r="A1" s="298" t="s">
        <v>34</v>
      </c>
      <c r="B1" s="298"/>
      <c r="C1" s="298"/>
      <c r="D1" s="298"/>
      <c r="E1" s="298"/>
      <c r="F1" s="298"/>
      <c r="G1" s="298"/>
      <c r="H1" s="298"/>
      <c r="I1" s="298"/>
      <c r="J1" s="298"/>
      <c r="K1" s="298"/>
      <c r="L1" s="298"/>
    </row>
    <row r="2" spans="1:12">
      <c r="A2" s="299" t="s">
        <v>35</v>
      </c>
      <c r="B2" s="299"/>
      <c r="C2" s="299"/>
      <c r="D2" s="299"/>
      <c r="E2" s="299"/>
      <c r="F2" s="299"/>
      <c r="G2" s="299"/>
      <c r="H2" s="299"/>
      <c r="I2" s="299"/>
      <c r="J2" s="299"/>
      <c r="K2" s="299"/>
      <c r="L2" s="299"/>
    </row>
    <row r="3" spans="1:12">
      <c r="A3" s="299"/>
      <c r="B3" s="299"/>
      <c r="C3" s="299"/>
      <c r="D3" s="299"/>
      <c r="E3" s="299"/>
      <c r="F3" s="299"/>
      <c r="G3" s="299"/>
      <c r="H3" s="299"/>
      <c r="I3" s="299"/>
      <c r="J3" s="299"/>
      <c r="K3" s="299"/>
      <c r="L3" s="299"/>
    </row>
    <row r="4" spans="1:12">
      <c r="A4" s="2"/>
      <c r="B4" s="2"/>
      <c r="C4" s="2"/>
      <c r="D4" s="2"/>
      <c r="E4" s="2"/>
      <c r="F4" s="2"/>
      <c r="G4" s="2"/>
      <c r="H4" s="2"/>
      <c r="I4" s="2"/>
      <c r="J4" s="2"/>
      <c r="K4" s="2"/>
      <c r="L4" s="2"/>
    </row>
    <row r="5" spans="1:12">
      <c r="A5" s="2"/>
      <c r="B5" s="2"/>
      <c r="C5" s="2"/>
      <c r="D5" s="2"/>
      <c r="E5" s="2"/>
      <c r="F5" s="2"/>
      <c r="G5" s="2"/>
      <c r="H5" s="2"/>
      <c r="I5" s="2"/>
      <c r="J5" s="2"/>
      <c r="K5" s="2"/>
      <c r="L5" s="2"/>
    </row>
    <row r="6" spans="1:12" ht="30">
      <c r="A6" s="9" t="s">
        <v>36</v>
      </c>
      <c r="B6" s="9" t="s">
        <v>37</v>
      </c>
      <c r="C6" s="9" t="s">
        <v>38</v>
      </c>
      <c r="D6" s="9" t="s">
        <v>39</v>
      </c>
      <c r="E6" s="9" t="s">
        <v>40</v>
      </c>
      <c r="F6" s="9" t="s">
        <v>41</v>
      </c>
      <c r="G6" s="9" t="s">
        <v>42</v>
      </c>
      <c r="H6" s="9" t="s">
        <v>43</v>
      </c>
      <c r="I6" s="9" t="s">
        <v>27</v>
      </c>
      <c r="J6" s="9" t="s">
        <v>19</v>
      </c>
      <c r="K6" s="9" t="s">
        <v>44</v>
      </c>
      <c r="L6" s="9" t="s">
        <v>45</v>
      </c>
    </row>
    <row r="7" spans="1:12">
      <c r="A7" s="8" t="s">
        <v>46</v>
      </c>
      <c r="B7" s="13">
        <v>8</v>
      </c>
      <c r="C7" s="10"/>
      <c r="D7" s="10"/>
      <c r="E7" s="11">
        <f t="shared" ref="E7:E22" si="0">IF(COUNT(B7:D7)=0,"",MAX(B7:D7)-MIN(B7:D7))</f>
        <v>0</v>
      </c>
      <c r="F7" s="8">
        <v>5</v>
      </c>
      <c r="G7" s="12">
        <f t="shared" ref="G7:G22" si="1">IF(COUNT(B7:D7)=0,"",IF((MAX(B7:D7)-MIN(B7:D7))&lt;=F7,AVERAGE(B7:D7),""))</f>
        <v>8</v>
      </c>
      <c r="H7" s="11" t="s">
        <v>47</v>
      </c>
      <c r="I7" s="11"/>
      <c r="J7" s="11"/>
      <c r="K7" s="11" t="str">
        <f t="shared" ref="K7:K22" si="2">IF(COUNT(B7:D7)=0,"—",IF((MAX(B7:D7)-MIN(B7:D7))&lt;=F7,"OK","FUERA DE TOLERANCIA"))</f>
        <v>OK</v>
      </c>
      <c r="L7" s="11"/>
    </row>
    <row r="8" spans="1:12">
      <c r="A8" s="8" t="s">
        <v>48</v>
      </c>
      <c r="B8" s="13">
        <v>10</v>
      </c>
      <c r="C8" s="10"/>
      <c r="D8" s="10"/>
      <c r="E8" s="11">
        <f t="shared" si="0"/>
        <v>0</v>
      </c>
      <c r="F8" s="8">
        <v>5</v>
      </c>
      <c r="G8" s="12">
        <f t="shared" si="1"/>
        <v>10</v>
      </c>
      <c r="H8" s="11" t="s">
        <v>47</v>
      </c>
      <c r="I8" s="11"/>
      <c r="J8" s="11"/>
      <c r="K8" s="11" t="str">
        <f t="shared" si="2"/>
        <v>OK</v>
      </c>
      <c r="L8" s="11"/>
    </row>
    <row r="9" spans="1:12">
      <c r="A9" s="8" t="s">
        <v>49</v>
      </c>
      <c r="B9" s="13">
        <v>12</v>
      </c>
      <c r="C9" s="10"/>
      <c r="D9" s="10"/>
      <c r="E9" s="11">
        <f t="shared" si="0"/>
        <v>0</v>
      </c>
      <c r="F9" s="8">
        <v>5</v>
      </c>
      <c r="G9" s="12">
        <f t="shared" si="1"/>
        <v>12</v>
      </c>
      <c r="H9" s="11" t="s">
        <v>47</v>
      </c>
      <c r="I9" s="11"/>
      <c r="J9" s="11"/>
      <c r="K9" s="11" t="str">
        <f t="shared" si="2"/>
        <v>OK</v>
      </c>
      <c r="L9" s="11"/>
    </row>
    <row r="10" spans="1:12">
      <c r="A10" s="8" t="s">
        <v>50</v>
      </c>
      <c r="B10" s="13">
        <v>14</v>
      </c>
      <c r="C10" s="10"/>
      <c r="D10" s="10"/>
      <c r="E10" s="11">
        <f t="shared" si="0"/>
        <v>0</v>
      </c>
      <c r="F10" s="8">
        <v>5</v>
      </c>
      <c r="G10" s="12">
        <f t="shared" si="1"/>
        <v>14</v>
      </c>
      <c r="H10" s="11" t="s">
        <v>47</v>
      </c>
      <c r="I10" s="11"/>
      <c r="J10" s="11"/>
      <c r="K10" s="11" t="str">
        <f t="shared" si="2"/>
        <v>OK</v>
      </c>
      <c r="L10" s="11"/>
    </row>
    <row r="11" spans="1:12">
      <c r="A11" s="8" t="s">
        <v>51</v>
      </c>
      <c r="B11" s="13">
        <v>5</v>
      </c>
      <c r="C11" s="10"/>
      <c r="D11" s="10"/>
      <c r="E11" s="11">
        <f t="shared" si="0"/>
        <v>0</v>
      </c>
      <c r="F11" s="8">
        <v>5</v>
      </c>
      <c r="G11" s="12">
        <f t="shared" si="1"/>
        <v>5</v>
      </c>
      <c r="H11" s="11" t="s">
        <v>47</v>
      </c>
      <c r="I11" s="11"/>
      <c r="J11" s="11"/>
      <c r="K11" s="11" t="str">
        <f t="shared" si="2"/>
        <v>OK</v>
      </c>
      <c r="L11" s="11"/>
    </row>
    <row r="12" spans="1:12">
      <c r="A12" s="8" t="s">
        <v>52</v>
      </c>
      <c r="B12" s="13">
        <v>16</v>
      </c>
      <c r="C12" s="10"/>
      <c r="D12" s="10"/>
      <c r="E12" s="11">
        <f t="shared" si="0"/>
        <v>0</v>
      </c>
      <c r="F12" s="8">
        <v>5</v>
      </c>
      <c r="G12" s="12">
        <f t="shared" si="1"/>
        <v>16</v>
      </c>
      <c r="H12" s="11" t="s">
        <v>47</v>
      </c>
      <c r="I12" s="11"/>
      <c r="J12" s="11"/>
      <c r="K12" s="11" t="str">
        <f t="shared" si="2"/>
        <v>OK</v>
      </c>
      <c r="L12" s="11"/>
    </row>
    <row r="13" spans="1:12">
      <c r="A13" s="8" t="s">
        <v>53</v>
      </c>
      <c r="B13" s="13">
        <v>20</v>
      </c>
      <c r="C13" s="10"/>
      <c r="D13" s="10"/>
      <c r="E13" s="11">
        <f t="shared" si="0"/>
        <v>0</v>
      </c>
      <c r="F13" s="8">
        <v>5</v>
      </c>
      <c r="G13" s="12">
        <f t="shared" si="1"/>
        <v>20</v>
      </c>
      <c r="H13" s="11" t="s">
        <v>47</v>
      </c>
      <c r="I13" s="11"/>
      <c r="J13" s="11"/>
      <c r="K13" s="11" t="str">
        <f t="shared" si="2"/>
        <v>OK</v>
      </c>
      <c r="L13" s="11"/>
    </row>
    <row r="14" spans="1:12">
      <c r="A14" s="8" t="s">
        <v>54</v>
      </c>
      <c r="B14" s="13">
        <v>12</v>
      </c>
      <c r="C14" s="10"/>
      <c r="D14" s="10"/>
      <c r="E14" s="11">
        <f t="shared" si="0"/>
        <v>0</v>
      </c>
      <c r="F14" s="8">
        <v>5</v>
      </c>
      <c r="G14" s="12">
        <f t="shared" si="1"/>
        <v>12</v>
      </c>
      <c r="H14" s="11" t="s">
        <v>47</v>
      </c>
      <c r="I14" s="11"/>
      <c r="J14" s="11"/>
      <c r="K14" s="11" t="str">
        <f t="shared" si="2"/>
        <v>OK</v>
      </c>
      <c r="L14" s="11"/>
    </row>
    <row r="15" spans="1:12">
      <c r="A15" s="8" t="s">
        <v>55</v>
      </c>
      <c r="B15" s="13">
        <v>38</v>
      </c>
      <c r="C15" s="10"/>
      <c r="D15" s="10"/>
      <c r="E15" s="11">
        <f t="shared" si="0"/>
        <v>0</v>
      </c>
      <c r="F15" s="8">
        <v>1</v>
      </c>
      <c r="G15" s="12">
        <f t="shared" si="1"/>
        <v>38</v>
      </c>
      <c r="H15" s="11" t="s">
        <v>56</v>
      </c>
      <c r="I15" s="11"/>
      <c r="J15" s="11"/>
      <c r="K15" s="11" t="str">
        <f t="shared" si="2"/>
        <v>OK</v>
      </c>
      <c r="L15" s="11"/>
    </row>
    <row r="16" spans="1:12">
      <c r="A16" s="8" t="s">
        <v>57</v>
      </c>
      <c r="B16" s="13">
        <v>85</v>
      </c>
      <c r="C16" s="10"/>
      <c r="D16" s="10"/>
      <c r="E16" s="11">
        <f t="shared" si="0"/>
        <v>0</v>
      </c>
      <c r="F16" s="8">
        <v>1</v>
      </c>
      <c r="G16" s="12">
        <f t="shared" si="1"/>
        <v>85</v>
      </c>
      <c r="H16" s="11" t="s">
        <v>56</v>
      </c>
      <c r="I16" s="11"/>
      <c r="J16" s="11"/>
      <c r="K16" s="11" t="str">
        <f t="shared" si="2"/>
        <v>OK</v>
      </c>
      <c r="L16" s="11"/>
    </row>
    <row r="17" spans="1:12">
      <c r="A17" s="8" t="s">
        <v>58</v>
      </c>
      <c r="B17" s="13">
        <v>98</v>
      </c>
      <c r="C17" s="10"/>
      <c r="D17" s="10"/>
      <c r="E17" s="11">
        <f t="shared" si="0"/>
        <v>0</v>
      </c>
      <c r="F17" s="8">
        <v>1</v>
      </c>
      <c r="G17" s="12">
        <f t="shared" si="1"/>
        <v>98</v>
      </c>
      <c r="H17" s="11" t="s">
        <v>56</v>
      </c>
      <c r="I17" s="11"/>
      <c r="J17" s="11"/>
      <c r="K17" s="11" t="str">
        <f t="shared" si="2"/>
        <v>OK</v>
      </c>
      <c r="L17" s="11"/>
    </row>
    <row r="18" spans="1:12">
      <c r="A18" s="8" t="s">
        <v>59</v>
      </c>
      <c r="B18" s="13">
        <v>32</v>
      </c>
      <c r="C18" s="10"/>
      <c r="D18" s="10"/>
      <c r="E18" s="11">
        <f t="shared" si="0"/>
        <v>0</v>
      </c>
      <c r="F18" s="8">
        <v>1</v>
      </c>
      <c r="G18" s="12">
        <f t="shared" si="1"/>
        <v>32</v>
      </c>
      <c r="H18" s="11" t="s">
        <v>56</v>
      </c>
      <c r="I18" s="11"/>
      <c r="J18" s="11"/>
      <c r="K18" s="11" t="str">
        <f t="shared" si="2"/>
        <v>OK</v>
      </c>
      <c r="L18" s="11"/>
    </row>
    <row r="19" spans="1:12">
      <c r="A19" s="8" t="s">
        <v>60</v>
      </c>
      <c r="B19" s="13">
        <v>36</v>
      </c>
      <c r="C19" s="10"/>
      <c r="D19" s="10"/>
      <c r="E19" s="11">
        <f t="shared" si="0"/>
        <v>0</v>
      </c>
      <c r="F19" s="8">
        <v>1</v>
      </c>
      <c r="G19" s="12">
        <f t="shared" si="1"/>
        <v>36</v>
      </c>
      <c r="H19" s="11" t="s">
        <v>56</v>
      </c>
      <c r="I19" s="11"/>
      <c r="J19" s="11"/>
      <c r="K19" s="11" t="str">
        <f t="shared" si="2"/>
        <v>OK</v>
      </c>
      <c r="L19" s="11"/>
    </row>
    <row r="20" spans="1:12">
      <c r="A20" s="8" t="s">
        <v>61</v>
      </c>
      <c r="B20" s="13">
        <v>37</v>
      </c>
      <c r="C20" s="10"/>
      <c r="D20" s="10"/>
      <c r="E20" s="11">
        <f t="shared" si="0"/>
        <v>0</v>
      </c>
      <c r="F20" s="8">
        <v>1</v>
      </c>
      <c r="G20" s="12">
        <f t="shared" si="1"/>
        <v>37</v>
      </c>
      <c r="H20" s="11" t="s">
        <v>56</v>
      </c>
      <c r="I20" s="11"/>
      <c r="J20" s="11"/>
      <c r="K20" s="11" t="str">
        <f t="shared" si="2"/>
        <v>OK</v>
      </c>
      <c r="L20" s="11"/>
    </row>
    <row r="21" spans="1:12">
      <c r="A21" s="8" t="s">
        <v>62</v>
      </c>
      <c r="B21" s="13">
        <v>7</v>
      </c>
      <c r="C21" s="10"/>
      <c r="D21" s="10"/>
      <c r="E21" s="11">
        <f t="shared" si="0"/>
        <v>0</v>
      </c>
      <c r="F21" s="8">
        <v>0.5</v>
      </c>
      <c r="G21" s="12">
        <f t="shared" si="1"/>
        <v>7</v>
      </c>
      <c r="H21" s="11" t="s">
        <v>56</v>
      </c>
      <c r="I21" s="11"/>
      <c r="J21" s="11"/>
      <c r="K21" s="11" t="str">
        <f t="shared" si="2"/>
        <v>OK</v>
      </c>
      <c r="L21" s="11"/>
    </row>
    <row r="22" spans="1:12">
      <c r="A22" s="8" t="s">
        <v>63</v>
      </c>
      <c r="B22" s="13">
        <v>9</v>
      </c>
      <c r="C22" s="10"/>
      <c r="D22" s="10"/>
      <c r="E22" s="11">
        <f t="shared" si="0"/>
        <v>0</v>
      </c>
      <c r="F22" s="8">
        <v>0.5</v>
      </c>
      <c r="G22" s="12">
        <f t="shared" si="1"/>
        <v>9</v>
      </c>
      <c r="H22" s="11" t="s">
        <v>56</v>
      </c>
      <c r="I22" s="11"/>
      <c r="J22" s="11"/>
      <c r="K22" s="11" t="str">
        <f t="shared" si="2"/>
        <v>OK</v>
      </c>
      <c r="L22" s="11"/>
    </row>
  </sheetData>
  <sheetProtection algorithmName="SHA-512" hashValue="fd39Ps2JDcEMiqeElDfJB3E/Q4R7mPe59B+lgzTC3PXxD5BSugROH2w6xma2O7aYLDOT+fFDhFzg5JfHUYgB7A==" saltValue="YT88OElfW5zCe57qbuawOg==" spinCount="100000" sheet="1" objects="1" scenarios="1"/>
  <mergeCells count="2">
    <mergeCell ref="A1:L1"/>
    <mergeCell ref="A2:L3"/>
  </mergeCells>
  <pageMargins left="0.75" right="0.75" top="1" bottom="1" header="0.511811023622047" footer="0.511811023622047"/>
  <pageSetup fitToHeight="0"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L39"/>
  <sheetViews>
    <sheetView showGridLines="0" zoomScaleNormal="100" workbookViewId="0">
      <pane ySplit="6" topLeftCell="A7" activePane="bottomLeft" state="frozen"/>
      <selection pane="bottomLeft" activeCell="A4" sqref="A4:L5"/>
    </sheetView>
  </sheetViews>
  <sheetFormatPr baseColWidth="10" defaultColWidth="8.7109375" defaultRowHeight="15"/>
  <cols>
    <col min="1" max="12" width="18.5703125" customWidth="1"/>
  </cols>
  <sheetData>
    <row r="1" spans="1:12" ht="20.25" customHeight="1">
      <c r="A1" s="302" t="s">
        <v>64</v>
      </c>
      <c r="B1" s="302"/>
      <c r="C1" s="302"/>
      <c r="D1" s="302"/>
      <c r="E1" s="302"/>
      <c r="F1" s="302"/>
      <c r="G1" s="302"/>
      <c r="H1" s="302"/>
      <c r="I1" s="302"/>
      <c r="J1" s="302"/>
      <c r="K1" s="302"/>
      <c r="L1" s="302"/>
    </row>
    <row r="2" spans="1:12">
      <c r="A2" s="302"/>
      <c r="B2" s="302"/>
      <c r="C2" s="302"/>
      <c r="D2" s="302"/>
      <c r="E2" s="302"/>
      <c r="F2" s="302"/>
      <c r="G2" s="302"/>
      <c r="H2" s="302"/>
      <c r="I2" s="302"/>
      <c r="J2" s="302"/>
      <c r="K2" s="302"/>
      <c r="L2" s="302"/>
    </row>
    <row r="3" spans="1:12">
      <c r="A3" s="302"/>
      <c r="B3" s="302"/>
      <c r="C3" s="302"/>
      <c r="D3" s="302"/>
      <c r="E3" s="302"/>
      <c r="F3" s="302"/>
      <c r="G3" s="302"/>
      <c r="H3" s="302"/>
      <c r="I3" s="302"/>
      <c r="J3" s="302"/>
      <c r="K3" s="302"/>
      <c r="L3" s="302"/>
    </row>
    <row r="4" spans="1:12">
      <c r="A4" s="300" t="s">
        <v>65</v>
      </c>
      <c r="B4" s="300"/>
      <c r="C4" s="300"/>
      <c r="D4" s="300"/>
      <c r="E4" s="300"/>
      <c r="F4" s="300"/>
      <c r="G4" s="300"/>
      <c r="H4" s="300"/>
      <c r="I4" s="300"/>
      <c r="J4" s="300"/>
      <c r="K4" s="300"/>
      <c r="L4" s="300"/>
    </row>
    <row r="5" spans="1:12">
      <c r="A5" s="301"/>
      <c r="B5" s="301"/>
      <c r="C5" s="301"/>
      <c r="D5" s="301"/>
      <c r="E5" s="301"/>
      <c r="F5" s="301"/>
      <c r="G5" s="301"/>
      <c r="H5" s="301"/>
      <c r="I5" s="301"/>
      <c r="J5" s="301"/>
      <c r="K5" s="301"/>
      <c r="L5" s="301"/>
    </row>
    <row r="6" spans="1:12">
      <c r="A6" s="14" t="s">
        <v>19</v>
      </c>
      <c r="B6" s="14" t="s">
        <v>66</v>
      </c>
      <c r="C6" s="14" t="s">
        <v>67</v>
      </c>
      <c r="D6" s="14" t="s">
        <v>57</v>
      </c>
      <c r="E6" s="14" t="s">
        <v>68</v>
      </c>
      <c r="F6" s="14" t="s">
        <v>69</v>
      </c>
      <c r="G6" s="14" t="s">
        <v>70</v>
      </c>
      <c r="H6" s="14" t="s">
        <v>71</v>
      </c>
      <c r="I6" s="14" t="s">
        <v>72</v>
      </c>
      <c r="J6" s="14" t="s">
        <v>73</v>
      </c>
      <c r="K6" s="14" t="s">
        <v>29</v>
      </c>
      <c r="L6" s="14" t="s">
        <v>27</v>
      </c>
    </row>
    <row r="7" spans="1:12">
      <c r="A7" s="11" t="s">
        <v>74</v>
      </c>
      <c r="B7" s="10"/>
      <c r="C7" s="10"/>
      <c r="D7" s="10"/>
      <c r="E7" s="10"/>
      <c r="F7" s="10"/>
      <c r="G7" s="10"/>
      <c r="H7" s="10"/>
      <c r="I7" s="10"/>
      <c r="J7" s="10"/>
      <c r="K7" s="10"/>
      <c r="L7" s="10"/>
    </row>
    <row r="8" spans="1:12">
      <c r="A8" s="10"/>
      <c r="B8" s="10"/>
      <c r="C8" s="10"/>
      <c r="D8" s="10"/>
      <c r="E8" s="10"/>
      <c r="F8" s="10"/>
      <c r="G8" s="10"/>
      <c r="H8" s="10"/>
      <c r="I8" s="10"/>
      <c r="J8" s="10"/>
      <c r="K8" s="10"/>
      <c r="L8" s="10"/>
    </row>
    <row r="9" spans="1:12">
      <c r="A9" s="10"/>
      <c r="B9" s="10"/>
      <c r="C9" s="10"/>
      <c r="D9" s="10"/>
      <c r="E9" s="10"/>
      <c r="F9" s="10"/>
      <c r="G9" s="10"/>
      <c r="H9" s="10"/>
      <c r="I9" s="10"/>
      <c r="J9" s="10"/>
      <c r="K9" s="10"/>
      <c r="L9" s="10"/>
    </row>
    <row r="10" spans="1:12">
      <c r="A10" s="10"/>
      <c r="B10" s="10"/>
      <c r="C10" s="10"/>
      <c r="D10" s="10"/>
      <c r="E10" s="10"/>
      <c r="F10" s="10"/>
      <c r="G10" s="10"/>
      <c r="H10" s="10"/>
      <c r="I10" s="10"/>
      <c r="J10" s="10"/>
      <c r="K10" s="10"/>
      <c r="L10" s="10"/>
    </row>
    <row r="11" spans="1:12">
      <c r="A11" s="10"/>
      <c r="B11" s="10"/>
      <c r="C11" s="10"/>
      <c r="D11" s="10"/>
      <c r="E11" s="10"/>
      <c r="F11" s="10"/>
      <c r="G11" s="10"/>
      <c r="H11" s="10"/>
      <c r="I11" s="10"/>
      <c r="J11" s="10"/>
      <c r="K11" s="10"/>
      <c r="L11" s="10"/>
    </row>
    <row r="12" spans="1:12">
      <c r="A12" s="10"/>
      <c r="B12" s="10"/>
      <c r="C12" s="10"/>
      <c r="D12" s="10"/>
      <c r="E12" s="10"/>
      <c r="F12" s="10"/>
      <c r="G12" s="10"/>
      <c r="H12" s="10"/>
      <c r="I12" s="10"/>
      <c r="J12" s="10"/>
      <c r="K12" s="10"/>
      <c r="L12" s="10"/>
    </row>
    <row r="13" spans="1:12">
      <c r="A13" s="10"/>
      <c r="B13" s="10"/>
      <c r="C13" s="10"/>
      <c r="D13" s="10"/>
      <c r="E13" s="10"/>
      <c r="F13" s="10"/>
      <c r="G13" s="10"/>
      <c r="H13" s="10"/>
      <c r="I13" s="10"/>
      <c r="J13" s="10"/>
      <c r="K13" s="10"/>
      <c r="L13" s="10"/>
    </row>
    <row r="14" spans="1:12">
      <c r="A14" s="10"/>
      <c r="B14" s="10"/>
      <c r="C14" s="10"/>
      <c r="D14" s="10"/>
      <c r="E14" s="10"/>
      <c r="F14" s="10"/>
      <c r="G14" s="10"/>
      <c r="H14" s="10"/>
      <c r="I14" s="10"/>
      <c r="J14" s="10"/>
      <c r="K14" s="10"/>
      <c r="L14" s="10"/>
    </row>
    <row r="15" spans="1:12">
      <c r="A15" s="10"/>
      <c r="B15" s="10"/>
      <c r="C15" s="10"/>
      <c r="D15" s="10"/>
      <c r="E15" s="10"/>
      <c r="F15" s="10"/>
      <c r="G15" s="10"/>
      <c r="H15" s="10"/>
      <c r="I15" s="10"/>
      <c r="J15" s="10"/>
      <c r="K15" s="10"/>
      <c r="L15" s="10"/>
    </row>
    <row r="16" spans="1:12">
      <c r="A16" s="10"/>
      <c r="B16" s="10"/>
      <c r="C16" s="10"/>
      <c r="D16" s="10"/>
      <c r="E16" s="10"/>
      <c r="F16" s="10"/>
      <c r="G16" s="10"/>
      <c r="H16" s="10"/>
      <c r="I16" s="10"/>
      <c r="J16" s="10"/>
      <c r="K16" s="10"/>
      <c r="L16" s="10"/>
    </row>
    <row r="17" spans="1:12">
      <c r="A17" s="10"/>
      <c r="B17" s="10"/>
      <c r="C17" s="10"/>
      <c r="D17" s="10"/>
      <c r="E17" s="10"/>
      <c r="F17" s="10"/>
      <c r="G17" s="10"/>
      <c r="H17" s="10"/>
      <c r="I17" s="10"/>
      <c r="J17" s="10"/>
      <c r="K17" s="10"/>
      <c r="L17" s="10"/>
    </row>
    <row r="18" spans="1:12">
      <c r="A18" s="10"/>
      <c r="B18" s="10"/>
      <c r="C18" s="10"/>
      <c r="D18" s="10"/>
      <c r="E18" s="10"/>
      <c r="F18" s="10"/>
      <c r="G18" s="10"/>
      <c r="H18" s="10"/>
      <c r="I18" s="10"/>
      <c r="J18" s="10"/>
      <c r="K18" s="10"/>
      <c r="L18" s="10"/>
    </row>
    <row r="19" spans="1:12">
      <c r="A19" s="10"/>
      <c r="B19" s="10"/>
      <c r="C19" s="10"/>
      <c r="D19" s="10"/>
      <c r="E19" s="10"/>
      <c r="F19" s="10"/>
      <c r="G19" s="10"/>
      <c r="H19" s="10"/>
      <c r="I19" s="10"/>
      <c r="J19" s="10"/>
      <c r="K19" s="10"/>
      <c r="L19" s="10"/>
    </row>
    <row r="20" spans="1:12">
      <c r="A20" s="10"/>
      <c r="B20" s="10"/>
      <c r="C20" s="10"/>
      <c r="D20" s="10"/>
      <c r="E20" s="10"/>
      <c r="F20" s="10"/>
      <c r="G20" s="10"/>
      <c r="H20" s="10"/>
      <c r="I20" s="10"/>
      <c r="J20" s="10"/>
      <c r="K20" s="10"/>
      <c r="L20" s="10"/>
    </row>
    <row r="21" spans="1:12">
      <c r="A21" s="10"/>
      <c r="B21" s="10"/>
      <c r="C21" s="10"/>
      <c r="D21" s="10"/>
      <c r="E21" s="10"/>
      <c r="F21" s="10"/>
      <c r="G21" s="10"/>
      <c r="H21" s="10"/>
      <c r="I21" s="10"/>
      <c r="J21" s="10"/>
      <c r="K21" s="10"/>
      <c r="L21" s="10"/>
    </row>
    <row r="22" spans="1:12">
      <c r="A22" s="10"/>
      <c r="B22" s="10"/>
      <c r="C22" s="10"/>
      <c r="D22" s="10"/>
      <c r="E22" s="10"/>
      <c r="F22" s="10"/>
      <c r="G22" s="10"/>
      <c r="H22" s="10"/>
      <c r="I22" s="10"/>
      <c r="J22" s="10"/>
      <c r="K22" s="10"/>
      <c r="L22" s="10"/>
    </row>
    <row r="23" spans="1:12">
      <c r="A23" s="10"/>
      <c r="B23" s="10"/>
      <c r="C23" s="10"/>
      <c r="D23" s="10"/>
      <c r="E23" s="10"/>
      <c r="F23" s="10"/>
      <c r="G23" s="10"/>
      <c r="H23" s="10"/>
      <c r="I23" s="10"/>
      <c r="J23" s="10"/>
      <c r="K23" s="10"/>
      <c r="L23" s="10"/>
    </row>
    <row r="24" spans="1:12">
      <c r="A24" s="10"/>
      <c r="B24" s="10"/>
      <c r="C24" s="10"/>
      <c r="D24" s="10"/>
      <c r="E24" s="10"/>
      <c r="F24" s="10"/>
      <c r="G24" s="10"/>
      <c r="H24" s="10"/>
      <c r="I24" s="10"/>
      <c r="J24" s="10"/>
      <c r="K24" s="10"/>
      <c r="L24" s="10"/>
    </row>
    <row r="25" spans="1:12">
      <c r="A25" s="10"/>
      <c r="B25" s="10"/>
      <c r="C25" s="10"/>
      <c r="D25" s="10"/>
      <c r="E25" s="10"/>
      <c r="F25" s="10"/>
      <c r="G25" s="10"/>
      <c r="H25" s="10"/>
      <c r="I25" s="10"/>
      <c r="J25" s="10"/>
      <c r="K25" s="10"/>
      <c r="L25" s="10"/>
    </row>
    <row r="26" spans="1:12">
      <c r="A26" s="10"/>
      <c r="B26" s="10"/>
      <c r="C26" s="10"/>
      <c r="D26" s="10"/>
      <c r="E26" s="10"/>
      <c r="F26" s="10"/>
      <c r="G26" s="10"/>
      <c r="H26" s="10"/>
      <c r="I26" s="10"/>
      <c r="J26" s="10"/>
      <c r="K26" s="10"/>
      <c r="L26" s="10"/>
    </row>
    <row r="27" spans="1:12">
      <c r="A27" s="10"/>
      <c r="B27" s="10"/>
      <c r="C27" s="10"/>
      <c r="D27" s="10"/>
      <c r="E27" s="10"/>
      <c r="F27" s="10"/>
      <c r="G27" s="10"/>
      <c r="H27" s="10"/>
      <c r="I27" s="10"/>
      <c r="J27" s="10"/>
      <c r="K27" s="10"/>
      <c r="L27" s="10"/>
    </row>
    <row r="28" spans="1:12">
      <c r="A28" s="10"/>
      <c r="B28" s="10"/>
      <c r="C28" s="10"/>
      <c r="D28" s="10"/>
      <c r="E28" s="10"/>
      <c r="F28" s="10"/>
      <c r="G28" s="10"/>
      <c r="H28" s="10"/>
      <c r="I28" s="10"/>
      <c r="J28" s="10"/>
      <c r="K28" s="10"/>
      <c r="L28" s="10"/>
    </row>
    <row r="29" spans="1:12">
      <c r="A29" s="10"/>
      <c r="B29" s="10"/>
      <c r="C29" s="10"/>
      <c r="D29" s="10"/>
      <c r="E29" s="10"/>
      <c r="F29" s="10"/>
      <c r="G29" s="10"/>
      <c r="H29" s="10"/>
      <c r="I29" s="10"/>
      <c r="J29" s="10"/>
      <c r="K29" s="10"/>
      <c r="L29" s="10"/>
    </row>
    <row r="30" spans="1:12">
      <c r="A30" s="10"/>
      <c r="B30" s="10"/>
      <c r="C30" s="10"/>
      <c r="D30" s="10"/>
      <c r="E30" s="10"/>
      <c r="F30" s="10"/>
      <c r="G30" s="10"/>
      <c r="H30" s="10"/>
      <c r="I30" s="10"/>
      <c r="J30" s="10"/>
      <c r="K30" s="10"/>
      <c r="L30" s="10"/>
    </row>
    <row r="31" spans="1:12">
      <c r="A31" s="10"/>
      <c r="B31" s="10"/>
      <c r="C31" s="10"/>
      <c r="D31" s="10"/>
      <c r="E31" s="10"/>
      <c r="F31" s="10"/>
      <c r="G31" s="10"/>
      <c r="H31" s="10"/>
      <c r="I31" s="10"/>
      <c r="J31" s="10"/>
      <c r="K31" s="10"/>
      <c r="L31" s="10"/>
    </row>
    <row r="32" spans="1:12">
      <c r="A32" s="10"/>
      <c r="B32" s="10"/>
      <c r="C32" s="10"/>
      <c r="D32" s="10"/>
      <c r="E32" s="10"/>
      <c r="F32" s="10"/>
      <c r="G32" s="10"/>
      <c r="H32" s="10"/>
      <c r="I32" s="10"/>
      <c r="J32" s="10"/>
      <c r="K32" s="10"/>
      <c r="L32" s="10"/>
    </row>
    <row r="33" spans="1:12">
      <c r="A33" s="10"/>
      <c r="B33" s="10"/>
      <c r="C33" s="10"/>
      <c r="D33" s="10"/>
      <c r="E33" s="10"/>
      <c r="F33" s="10"/>
      <c r="G33" s="10"/>
      <c r="H33" s="10"/>
      <c r="I33" s="10"/>
      <c r="J33" s="10"/>
      <c r="K33" s="10"/>
      <c r="L33" s="10"/>
    </row>
    <row r="34" spans="1:12">
      <c r="A34" s="10"/>
      <c r="B34" s="10"/>
      <c r="C34" s="10"/>
      <c r="D34" s="10"/>
      <c r="E34" s="10"/>
      <c r="F34" s="10"/>
      <c r="G34" s="10"/>
      <c r="H34" s="10"/>
      <c r="I34" s="10"/>
      <c r="J34" s="10"/>
      <c r="K34" s="10"/>
      <c r="L34" s="10"/>
    </row>
    <row r="35" spans="1:12">
      <c r="A35" s="10"/>
      <c r="B35" s="10"/>
      <c r="C35" s="10"/>
      <c r="D35" s="10"/>
      <c r="E35" s="10"/>
      <c r="F35" s="10"/>
      <c r="G35" s="10"/>
      <c r="H35" s="10"/>
      <c r="I35" s="10"/>
      <c r="J35" s="10"/>
      <c r="K35" s="10"/>
      <c r="L35" s="10"/>
    </row>
    <row r="36" spans="1:12">
      <c r="A36" s="10"/>
      <c r="B36" s="10"/>
      <c r="C36" s="10"/>
      <c r="D36" s="10"/>
      <c r="E36" s="10"/>
      <c r="F36" s="10"/>
      <c r="G36" s="10"/>
      <c r="H36" s="10"/>
      <c r="I36" s="10"/>
      <c r="J36" s="10"/>
      <c r="K36" s="10"/>
      <c r="L36" s="10"/>
    </row>
    <row r="37" spans="1:12">
      <c r="A37" s="10"/>
      <c r="B37" s="10"/>
      <c r="C37" s="10"/>
      <c r="D37" s="10"/>
      <c r="E37" s="10"/>
      <c r="F37" s="10"/>
      <c r="G37" s="10"/>
      <c r="H37" s="10"/>
      <c r="I37" s="10"/>
      <c r="J37" s="10"/>
      <c r="K37" s="10"/>
      <c r="L37" s="10"/>
    </row>
    <row r="38" spans="1:12">
      <c r="A38" s="10"/>
      <c r="B38" s="10"/>
      <c r="C38" s="10"/>
      <c r="D38" s="10"/>
      <c r="E38" s="10"/>
      <c r="F38" s="10"/>
      <c r="G38" s="10"/>
      <c r="H38" s="10"/>
      <c r="I38" s="10"/>
      <c r="J38" s="10"/>
      <c r="K38" s="10"/>
      <c r="L38" s="10"/>
    </row>
    <row r="39" spans="1:12">
      <c r="A39" s="10"/>
      <c r="B39" s="10"/>
      <c r="C39" s="10"/>
      <c r="D39" s="10"/>
      <c r="E39" s="10"/>
      <c r="F39" s="10"/>
      <c r="G39" s="10"/>
      <c r="H39" s="10"/>
      <c r="I39" s="10"/>
      <c r="J39" s="10"/>
      <c r="K39" s="10"/>
      <c r="L39" s="10"/>
    </row>
  </sheetData>
  <sheetProtection algorithmName="SHA-512" hashValue="z0O/rCSNEAvkpddzUJ/hrMk1pBFGnHykQn7G+AIYMo7fw9RhNwafcgyqBTt5ltJbWc6WMsRnSNduZAqxOyjgRg==" saltValue="nN5rS8O//EPB+akRmxTvOg==" spinCount="100000" sheet="1" objects="1" scenarios="1"/>
  <mergeCells count="2">
    <mergeCell ref="A4:L5"/>
    <mergeCell ref="A1:L3"/>
  </mergeCell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R3"/>
  <sheetViews>
    <sheetView showGridLines="0" zoomScaleNormal="100" workbookViewId="0">
      <selection activeCell="W12" sqref="W12"/>
    </sheetView>
  </sheetViews>
  <sheetFormatPr baseColWidth="10" defaultColWidth="8.7109375" defaultRowHeight="15"/>
  <sheetData>
    <row r="1" spans="1:18" ht="20.25">
      <c r="A1" s="298" t="s">
        <v>75</v>
      </c>
      <c r="B1" s="298"/>
      <c r="C1" s="298"/>
      <c r="D1" s="298"/>
      <c r="E1" s="298"/>
      <c r="F1" s="298"/>
      <c r="G1" s="298"/>
      <c r="H1" s="298"/>
      <c r="I1" s="298"/>
      <c r="J1" s="298"/>
      <c r="K1" s="298"/>
      <c r="L1" s="298"/>
      <c r="M1" s="298"/>
      <c r="N1" s="298"/>
      <c r="O1" s="298"/>
      <c r="P1" s="298"/>
      <c r="Q1" s="298"/>
      <c r="R1" s="298"/>
    </row>
    <row r="2" spans="1:18">
      <c r="A2" s="303" t="s">
        <v>76</v>
      </c>
      <c r="B2" s="303"/>
      <c r="C2" s="303"/>
      <c r="D2" s="303"/>
      <c r="E2" s="303"/>
      <c r="F2" s="303"/>
      <c r="G2" s="303"/>
      <c r="H2" s="303"/>
      <c r="I2" s="303"/>
      <c r="J2" s="303"/>
      <c r="K2" s="303"/>
      <c r="L2" s="303"/>
      <c r="M2" s="303"/>
      <c r="N2" s="303"/>
      <c r="O2" s="303"/>
      <c r="P2" s="303"/>
      <c r="Q2" s="303"/>
      <c r="R2" s="303"/>
    </row>
    <row r="3" spans="1:18">
      <c r="A3" s="303"/>
      <c r="B3" s="303"/>
      <c r="C3" s="303"/>
      <c r="D3" s="303"/>
      <c r="E3" s="303"/>
      <c r="F3" s="303"/>
      <c r="G3" s="303"/>
      <c r="H3" s="303"/>
      <c r="I3" s="303"/>
      <c r="J3" s="303"/>
      <c r="K3" s="303"/>
      <c r="L3" s="303"/>
      <c r="M3" s="303"/>
      <c r="N3" s="303"/>
      <c r="O3" s="303"/>
      <c r="P3" s="303"/>
      <c r="Q3" s="303"/>
      <c r="R3" s="303"/>
    </row>
  </sheetData>
  <sheetProtection algorithmName="SHA-512" hashValue="8jG37PqpfNgAZtIV1slCi8shdsCJ0X+LstgxGenz0d/uKD4LrmnvSUk7fLZpToZrhkjWdjiQOyLrA1+DmQtsNA==" saltValue="29tZYdrJ2vL9c3nCR3DS0g==" spinCount="100000" sheet="1" objects="1" scenarios="1"/>
  <mergeCells count="2">
    <mergeCell ref="A1:R1"/>
    <mergeCell ref="A2:R3"/>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L28"/>
  <sheetViews>
    <sheetView showGridLines="0" topLeftCell="A4" zoomScaleNormal="100" workbookViewId="0">
      <selection activeCell="G9" sqref="G9"/>
    </sheetView>
  </sheetViews>
  <sheetFormatPr baseColWidth="10" defaultColWidth="8.7109375" defaultRowHeight="15"/>
  <cols>
    <col min="1" max="1" width="32" customWidth="1"/>
    <col min="2" max="2" width="20" customWidth="1"/>
    <col min="3" max="3" width="16" customWidth="1"/>
    <col min="6" max="6" width="15.5703125" customWidth="1"/>
  </cols>
  <sheetData>
    <row r="1" spans="1:12" ht="20.25">
      <c r="A1" s="298" t="s">
        <v>77</v>
      </c>
      <c r="B1" s="298"/>
      <c r="C1" s="298"/>
      <c r="D1" s="298"/>
      <c r="E1" s="298"/>
      <c r="F1" s="298"/>
      <c r="G1" s="298"/>
      <c r="H1" s="298"/>
      <c r="I1" s="298"/>
      <c r="J1" s="298"/>
      <c r="K1" s="298"/>
      <c r="L1" s="298"/>
    </row>
    <row r="2" spans="1:12">
      <c r="A2" s="310" t="s">
        <v>78</v>
      </c>
      <c r="B2" s="310"/>
      <c r="C2" s="310"/>
      <c r="D2" s="310"/>
      <c r="E2" s="310"/>
      <c r="F2" s="310"/>
      <c r="G2" s="310"/>
      <c r="H2" s="310"/>
      <c r="I2" s="310"/>
      <c r="J2" s="310"/>
      <c r="K2" s="310"/>
      <c r="L2" s="310"/>
    </row>
    <row r="3" spans="1:12">
      <c r="A3" s="310"/>
      <c r="B3" s="310"/>
      <c r="C3" s="310"/>
      <c r="D3" s="310"/>
      <c r="E3" s="310"/>
      <c r="F3" s="310"/>
      <c r="G3" s="310"/>
      <c r="H3" s="310"/>
      <c r="I3" s="310"/>
      <c r="J3" s="310"/>
      <c r="K3" s="310"/>
      <c r="L3" s="310"/>
    </row>
    <row r="4" spans="1:12">
      <c r="A4" s="2"/>
      <c r="B4" s="2"/>
      <c r="C4" s="2"/>
      <c r="D4" s="2"/>
      <c r="E4" s="2"/>
      <c r="F4" s="2"/>
      <c r="G4" s="2"/>
      <c r="H4" s="2"/>
      <c r="I4" s="2"/>
      <c r="J4" s="2"/>
      <c r="K4" s="2"/>
      <c r="L4" s="2"/>
    </row>
    <row r="5" spans="1:12">
      <c r="A5" s="2"/>
      <c r="B5" s="2"/>
      <c r="C5" s="2"/>
      <c r="D5" s="2"/>
      <c r="E5" s="2"/>
      <c r="F5" s="2"/>
      <c r="G5" s="2"/>
      <c r="H5" s="2"/>
      <c r="I5" s="2"/>
      <c r="J5" s="2"/>
      <c r="K5" s="2"/>
      <c r="L5" s="2"/>
    </row>
    <row r="6" spans="1:12">
      <c r="A6" s="7" t="s">
        <v>79</v>
      </c>
      <c r="B6" s="7" t="s">
        <v>16</v>
      </c>
      <c r="C6" s="7" t="s">
        <v>80</v>
      </c>
      <c r="D6" s="2"/>
      <c r="E6" s="2"/>
      <c r="F6" s="2"/>
      <c r="G6" s="2"/>
      <c r="H6" s="2"/>
      <c r="I6" s="2"/>
      <c r="J6" s="2"/>
      <c r="K6" s="2"/>
      <c r="L6" s="2"/>
    </row>
    <row r="7" spans="1:12">
      <c r="A7" s="8" t="s">
        <v>81</v>
      </c>
      <c r="B7" s="15">
        <f>M12_c_IMC</f>
        <v>25.342200413223143</v>
      </c>
      <c r="C7" s="16" t="s">
        <v>82</v>
      </c>
      <c r="D7" s="2"/>
      <c r="E7" s="2"/>
      <c r="F7" s="2"/>
      <c r="G7" s="2"/>
      <c r="H7" s="2"/>
      <c r="I7" s="2"/>
      <c r="J7" s="2"/>
      <c r="K7" s="2"/>
      <c r="L7" s="2"/>
    </row>
    <row r="8" spans="1:12">
      <c r="A8" s="8" t="s">
        <v>83</v>
      </c>
      <c r="B8" s="17">
        <f>M12_c_ICE</f>
        <v>0.48295454545454547</v>
      </c>
      <c r="C8" s="16" t="s">
        <v>82</v>
      </c>
      <c r="D8" s="2"/>
      <c r="E8" s="2"/>
      <c r="F8" s="2"/>
      <c r="G8" s="2"/>
      <c r="H8" s="2"/>
      <c r="I8" s="2"/>
      <c r="J8" s="2"/>
      <c r="K8" s="2"/>
      <c r="L8" s="2"/>
    </row>
    <row r="9" spans="1:12">
      <c r="A9" s="8" t="s">
        <v>84</v>
      </c>
      <c r="B9" s="18" t="str">
        <f>M12_c_RiesgoICE</f>
        <v>Sin riesgo aumentado</v>
      </c>
      <c r="C9" s="16" t="s">
        <v>82</v>
      </c>
      <c r="D9" s="2"/>
      <c r="E9" s="2"/>
      <c r="F9" s="2"/>
      <c r="G9" s="2"/>
      <c r="H9" s="2"/>
      <c r="I9" s="2"/>
      <c r="J9" s="2"/>
      <c r="K9" s="2"/>
      <c r="L9" s="2"/>
    </row>
    <row r="10" spans="1:12">
      <c r="A10" s="8" t="s">
        <v>85</v>
      </c>
      <c r="B10" s="19">
        <f>M36_c_Sum7</f>
        <v>92</v>
      </c>
      <c r="C10" s="16" t="s">
        <v>86</v>
      </c>
      <c r="D10" s="2"/>
      <c r="E10" s="2"/>
      <c r="F10" s="2"/>
      <c r="G10" s="2"/>
      <c r="H10" s="2"/>
      <c r="I10" s="2"/>
      <c r="J10" s="2"/>
      <c r="K10" s="2"/>
      <c r="L10" s="2"/>
    </row>
    <row r="11" spans="1:12">
      <c r="A11" s="8" t="s">
        <v>87</v>
      </c>
      <c r="B11" s="20">
        <f>M36_c_BDdw</f>
        <v>1.051237876528297</v>
      </c>
      <c r="C11" s="16" t="s">
        <v>86</v>
      </c>
      <c r="D11" s="2"/>
      <c r="E11" s="2"/>
      <c r="F11" s="2"/>
      <c r="G11" s="2"/>
      <c r="H11" s="2"/>
      <c r="I11" s="2"/>
      <c r="J11" s="2"/>
      <c r="K11" s="2"/>
      <c r="L11" s="2"/>
    </row>
    <row r="12" spans="1:12">
      <c r="A12" s="8" t="s">
        <v>88</v>
      </c>
      <c r="B12" s="21">
        <f>M36_c_GrRep</f>
        <v>0.13989154914336893</v>
      </c>
      <c r="C12" s="16" t="s">
        <v>86</v>
      </c>
      <c r="D12" s="2"/>
      <c r="E12" s="2"/>
      <c r="F12" s="2"/>
      <c r="G12" s="2"/>
      <c r="H12" s="2"/>
      <c r="I12" s="2"/>
      <c r="J12" s="2"/>
      <c r="K12" s="2"/>
      <c r="L12" s="2"/>
    </row>
    <row r="13" spans="1:12">
      <c r="A13" s="8" t="s">
        <v>89</v>
      </c>
      <c r="B13" s="15">
        <f>M36_c_MG</f>
        <v>10.98148660775446</v>
      </c>
      <c r="C13" s="16" t="s">
        <v>86</v>
      </c>
      <c r="D13" s="2"/>
      <c r="E13" s="2"/>
      <c r="F13" s="2"/>
      <c r="G13" s="2"/>
      <c r="H13" s="2"/>
      <c r="I13" s="2"/>
      <c r="J13" s="2"/>
      <c r="K13" s="2"/>
      <c r="L13" s="2"/>
    </row>
    <row r="14" spans="1:12">
      <c r="A14" s="8" t="s">
        <v>90</v>
      </c>
      <c r="B14" s="15">
        <f>M36_c_MLG</f>
        <v>67.518513392245538</v>
      </c>
      <c r="C14" s="16" t="s">
        <v>86</v>
      </c>
      <c r="D14" s="2"/>
      <c r="E14" s="2"/>
      <c r="F14" s="2"/>
      <c r="G14" s="2"/>
      <c r="H14" s="2"/>
      <c r="I14" s="2"/>
      <c r="J14" s="2"/>
      <c r="K14" s="2"/>
      <c r="L14" s="2"/>
    </row>
    <row r="15" spans="1:12">
      <c r="A15" s="8" t="s">
        <v>91</v>
      </c>
      <c r="B15" s="15">
        <f>M36_c_IMG</f>
        <v>3.5451596745075094</v>
      </c>
      <c r="C15" s="16" t="s">
        <v>86</v>
      </c>
      <c r="D15" s="2"/>
      <c r="E15" s="2"/>
      <c r="F15" s="2"/>
      <c r="G15" s="2"/>
      <c r="H15" s="2"/>
      <c r="I15" s="2"/>
      <c r="J15" s="2"/>
      <c r="K15" s="2"/>
      <c r="L15" s="2"/>
    </row>
    <row r="16" spans="1:12">
      <c r="A16" s="8" t="s">
        <v>92</v>
      </c>
      <c r="B16" s="15">
        <f>M36_c_IMLG</f>
        <v>21.79704073871563</v>
      </c>
      <c r="C16" s="16" t="s">
        <v>86</v>
      </c>
      <c r="D16" s="2"/>
      <c r="E16" s="2"/>
      <c r="F16" s="2"/>
      <c r="G16" s="2"/>
      <c r="H16" s="2"/>
      <c r="I16" s="2"/>
      <c r="J16" s="2"/>
      <c r="K16" s="2"/>
      <c r="L16" s="2"/>
    </row>
    <row r="17" spans="1:12">
      <c r="A17" s="8" t="s">
        <v>93</v>
      </c>
      <c r="B17" s="15">
        <f>M16_c_Endo</f>
        <v>4.1467459984187576</v>
      </c>
      <c r="C17" s="16" t="s">
        <v>94</v>
      </c>
      <c r="D17" s="2"/>
      <c r="E17" s="2"/>
      <c r="F17" s="2"/>
      <c r="G17" s="2"/>
      <c r="H17" s="2"/>
      <c r="I17" s="2"/>
      <c r="J17" s="2"/>
      <c r="K17" s="2"/>
      <c r="L17" s="2"/>
    </row>
    <row r="18" spans="1:12">
      <c r="A18" s="8" t="s">
        <v>95</v>
      </c>
      <c r="B18" s="15">
        <f>M16_c_Meso</f>
        <v>3.849699999999995</v>
      </c>
      <c r="C18" s="16" t="s">
        <v>94</v>
      </c>
      <c r="D18" s="2"/>
      <c r="E18" s="2"/>
      <c r="F18" s="2"/>
      <c r="G18" s="2"/>
      <c r="H18" s="2"/>
      <c r="I18" s="2"/>
      <c r="J18" s="2"/>
      <c r="K18" s="2"/>
      <c r="L18" s="2"/>
    </row>
    <row r="19" spans="1:12">
      <c r="A19" s="8" t="s">
        <v>96</v>
      </c>
      <c r="B19" s="15">
        <f>M16_c_Ecto</f>
        <v>1.5084994825925548</v>
      </c>
      <c r="C19" s="16" t="s">
        <v>94</v>
      </c>
      <c r="D19" s="2"/>
      <c r="E19" s="2"/>
      <c r="F19" s="2"/>
      <c r="G19" s="2"/>
      <c r="H19" s="2"/>
      <c r="I19" s="2"/>
      <c r="J19" s="2"/>
      <c r="K19" s="2"/>
      <c r="L19" s="2"/>
    </row>
    <row r="20" spans="1:12">
      <c r="A20" s="8" t="s">
        <v>72</v>
      </c>
      <c r="B20" s="18" t="str">
        <f>M16_c_Soma</f>
        <v>04 - 04 - 02</v>
      </c>
      <c r="C20" s="16" t="s">
        <v>94</v>
      </c>
      <c r="D20" s="2"/>
      <c r="E20" s="2"/>
      <c r="F20" s="2"/>
      <c r="G20" s="2"/>
      <c r="H20" s="2"/>
      <c r="I20" s="2"/>
      <c r="J20" s="2"/>
      <c r="K20" s="2"/>
      <c r="L20" s="2"/>
    </row>
    <row r="21" spans="1:12">
      <c r="A21" s="8" t="s">
        <v>97</v>
      </c>
      <c r="B21" s="17">
        <f>M16_c_SX</f>
        <v>-2.6382465158262027</v>
      </c>
      <c r="C21" s="16" t="s">
        <v>94</v>
      </c>
      <c r="D21" s="2"/>
      <c r="E21" s="2"/>
      <c r="F21" s="2"/>
      <c r="G21" s="2"/>
      <c r="H21" s="2"/>
      <c r="I21" s="2"/>
      <c r="J21" s="2"/>
      <c r="K21" s="2"/>
      <c r="L21" s="2"/>
    </row>
    <row r="22" spans="1:12">
      <c r="A22" s="8" t="s">
        <v>98</v>
      </c>
      <c r="B22" s="17">
        <f>M16_c_SY</f>
        <v>2.0441545189886776</v>
      </c>
      <c r="C22" s="16" t="s">
        <v>94</v>
      </c>
      <c r="D22" s="2"/>
      <c r="E22" s="2"/>
      <c r="F22" s="2"/>
      <c r="G22" s="2"/>
      <c r="H22" s="2"/>
      <c r="I22" s="2"/>
      <c r="J22" s="2"/>
      <c r="K22" s="2"/>
      <c r="L22" s="2"/>
    </row>
    <row r="23" spans="1:12">
      <c r="A23" s="8" t="s">
        <v>99</v>
      </c>
      <c r="B23" s="18">
        <f>M41_v_etm</f>
        <v>0.29495762407505244</v>
      </c>
      <c r="C23" s="16" t="s">
        <v>100</v>
      </c>
      <c r="D23" s="2"/>
      <c r="E23" s="2"/>
      <c r="F23" s="2"/>
      <c r="G23" s="2"/>
      <c r="H23" s="2"/>
      <c r="I23" s="2"/>
      <c r="J23" s="2"/>
      <c r="K23" s="2"/>
      <c r="L23" s="2"/>
    </row>
    <row r="24" spans="1:12">
      <c r="A24" s="2"/>
      <c r="B24" s="2"/>
      <c r="C24" s="2"/>
      <c r="D24" s="2"/>
      <c r="E24" s="2"/>
      <c r="F24" s="2"/>
      <c r="G24" s="2"/>
      <c r="H24" s="2"/>
      <c r="I24" s="2"/>
      <c r="J24" s="2"/>
      <c r="K24" s="2"/>
      <c r="L24" s="2"/>
    </row>
    <row r="25" spans="1:12" ht="21.75" customHeight="1">
      <c r="A25" s="313" t="s">
        <v>101</v>
      </c>
      <c r="B25" s="313"/>
      <c r="C25" s="313"/>
      <c r="D25" s="313"/>
      <c r="E25" s="313"/>
      <c r="F25" s="313"/>
      <c r="G25" s="313"/>
      <c r="H25" s="313"/>
      <c r="I25" s="313"/>
      <c r="J25" s="313"/>
      <c r="K25" s="2"/>
      <c r="L25" s="2"/>
    </row>
    <row r="26" spans="1:12" ht="34.5" customHeight="1">
      <c r="A26" s="311" t="s">
        <v>102</v>
      </c>
      <c r="B26" s="312"/>
      <c r="C26" s="312"/>
      <c r="D26" s="312"/>
      <c r="E26" s="312"/>
      <c r="F26" s="312"/>
      <c r="G26" s="312"/>
      <c r="H26" s="312"/>
      <c r="I26" s="312"/>
      <c r="J26" s="312"/>
      <c r="K26" s="2"/>
      <c r="L26" s="2"/>
    </row>
    <row r="27" spans="1:12" ht="30" customHeight="1">
      <c r="A27" s="304" t="str">
        <f>HYPERLINK("#M34_INICIO!A1","▶ Abrir módulo educativo (bajo su criterio)")</f>
        <v>▶ Abrir módulo educativo (bajo su criterio)</v>
      </c>
      <c r="B27" s="305"/>
      <c r="C27" s="305"/>
      <c r="D27" s="305"/>
      <c r="E27" s="305"/>
      <c r="F27" s="305"/>
      <c r="G27" s="305"/>
      <c r="H27" s="305"/>
      <c r="I27" s="305"/>
      <c r="J27" s="306"/>
      <c r="K27" s="2"/>
      <c r="L27" s="2"/>
    </row>
    <row r="28" spans="1:12">
      <c r="A28" s="307"/>
      <c r="B28" s="308"/>
      <c r="C28" s="308"/>
      <c r="D28" s="308"/>
      <c r="E28" s="308"/>
      <c r="F28" s="308"/>
      <c r="G28" s="308"/>
      <c r="H28" s="308"/>
      <c r="I28" s="308"/>
      <c r="J28" s="309"/>
      <c r="K28" s="2"/>
      <c r="L28" s="2"/>
    </row>
  </sheetData>
  <sheetProtection algorithmName="SHA-512" hashValue="oGXmqscrNYx/BEALy5MiVhU8PwasB8LI+eSyi7ck2OPAILxi80RzwDFpzYcMD1RWGZI+aFgrdWHxVW0P7E58bw==" saltValue="A+4u6HLxIgXsL1gKpro9BA==" spinCount="100000" sheet="1" objects="1" scenarios="1"/>
  <mergeCells count="5">
    <mergeCell ref="A27:J28"/>
    <mergeCell ref="A1:L1"/>
    <mergeCell ref="A2:L3"/>
    <mergeCell ref="A26:J26"/>
    <mergeCell ref="A25:J25"/>
  </mergeCells>
  <pageMargins left="0.75" right="0.75" top="1" bottom="1" header="0.511811023622047" footer="0.511811023622047"/>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Q38"/>
  <sheetViews>
    <sheetView showGridLines="0" topLeftCell="A7" zoomScaleNormal="100" workbookViewId="0">
      <selection sqref="A1:Q1"/>
    </sheetView>
  </sheetViews>
  <sheetFormatPr baseColWidth="10" defaultColWidth="8.7109375" defaultRowHeight="15"/>
  <cols>
    <col min="1" max="1" width="18.5703125" style="1" customWidth="1"/>
    <col min="2" max="2" width="15"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104</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7.75" customHeight="1">
      <c r="A4" s="324" t="s">
        <v>105</v>
      </c>
      <c r="B4" s="324"/>
      <c r="C4" s="324"/>
      <c r="D4" s="324"/>
      <c r="E4" s="324"/>
      <c r="F4" s="324"/>
      <c r="G4" s="324"/>
      <c r="H4" s="324"/>
      <c r="I4" s="324"/>
      <c r="J4" s="324"/>
      <c r="K4" s="324"/>
      <c r="L4" s="324"/>
      <c r="M4" s="324"/>
      <c r="N4" s="324"/>
      <c r="O4" s="324"/>
      <c r="P4" s="324"/>
      <c r="Q4" s="324"/>
    </row>
    <row r="5" spans="1:17" ht="27.75" customHeight="1">
      <c r="A5" s="321" t="str">
        <f>HYPERLINK("#M41_DATOS!A1","▶  DATOS")</f>
        <v>▶  DATOS</v>
      </c>
      <c r="B5" s="321"/>
      <c r="C5" s="321" t="str">
        <f>HYPERLINK("#M41_CALIBRACION!A1","▶  CALIBRACION")</f>
        <v>▶  CALIBRACION</v>
      </c>
      <c r="D5" s="321"/>
      <c r="E5" s="321" t="str">
        <f>HYPERLINK("#M41_TECNICA!A1","▶  TECNICA")</f>
        <v>▶  TECNICA</v>
      </c>
      <c r="F5" s="321"/>
      <c r="G5" s="321" t="str">
        <f>HYPERLINK("#M41_FIABILIDAD!A1","▶  FIABILIDAD")</f>
        <v>▶  FIABILIDAD</v>
      </c>
      <c r="H5" s="321"/>
      <c r="I5" s="321" t="str">
        <f>HYPERLINK("#M41_SEGUIMIENTO!A1","▶  SEGUIMIENTO")</f>
        <v>▶  SEGUIMIENTO</v>
      </c>
      <c r="J5" s="321"/>
      <c r="K5" s="321" t="str">
        <f>HYPERLINK("#M41_FUENTES!A1","▶  FUENTES")</f>
        <v>▶  FUENTES</v>
      </c>
      <c r="L5" s="321"/>
      <c r="M5" s="321" t="str">
        <f>HYPERLINK("#M41_PRUEBAS!A1","▶  PRUEBAS")</f>
        <v>▶  PRUEBAS</v>
      </c>
      <c r="N5" s="321"/>
      <c r="O5" s="321" t="str">
        <f>HYPERLINK("#M41_CONFIG!A1","▶  CONFIG")</f>
        <v>▶  CONFIG</v>
      </c>
      <c r="P5" s="321"/>
      <c r="Q5" s="321"/>
    </row>
    <row r="6" spans="1:17" ht="29.25" customHeight="1">
      <c r="A6" s="320" t="s">
        <v>106</v>
      </c>
      <c r="B6" s="320"/>
      <c r="C6" s="320" t="s">
        <v>107</v>
      </c>
      <c r="D6" s="320"/>
      <c r="E6" s="320" t="s">
        <v>108</v>
      </c>
      <c r="F6" s="320"/>
      <c r="G6" s="320" t="s">
        <v>109</v>
      </c>
      <c r="H6" s="320"/>
      <c r="I6" s="320" t="s">
        <v>110</v>
      </c>
      <c r="J6" s="320"/>
      <c r="K6" s="320" t="s">
        <v>111</v>
      </c>
      <c r="L6" s="320"/>
      <c r="M6" s="320" t="s">
        <v>112</v>
      </c>
      <c r="N6" s="320"/>
      <c r="O6" s="320" t="s">
        <v>113</v>
      </c>
      <c r="P6" s="320"/>
      <c r="Q6" s="320"/>
    </row>
    <row r="7" spans="1:17" ht="27.75" customHeight="1">
      <c r="A7" s="321" t="str">
        <f>HYPERLINK("#M41_CHANGELOG!A1","▶  CHANGELOG")</f>
        <v>▶  CHANGELOG</v>
      </c>
      <c r="B7" s="321"/>
      <c r="C7" s="22"/>
      <c r="D7" s="22"/>
      <c r="E7" s="2"/>
      <c r="F7" s="22"/>
      <c r="G7" s="2"/>
      <c r="H7" s="22"/>
      <c r="I7" s="22"/>
      <c r="J7" s="22"/>
      <c r="K7" s="22"/>
      <c r="L7" s="22"/>
      <c r="M7" s="22"/>
      <c r="N7" s="2"/>
      <c r="O7" s="2"/>
      <c r="P7" s="2"/>
      <c r="Q7" s="22"/>
    </row>
    <row r="8" spans="1:17" ht="29.25" customHeight="1">
      <c r="A8" s="320" t="s">
        <v>114</v>
      </c>
      <c r="B8" s="320"/>
      <c r="C8" s="22"/>
      <c r="D8" s="22"/>
      <c r="E8" s="2"/>
      <c r="F8" s="22"/>
      <c r="G8" s="2"/>
      <c r="H8" s="22"/>
      <c r="I8" s="22"/>
      <c r="J8" s="22"/>
      <c r="K8" s="22"/>
      <c r="L8" s="22"/>
      <c r="M8" s="22"/>
      <c r="N8" s="2"/>
      <c r="O8" s="2"/>
      <c r="P8" s="2"/>
      <c r="Q8" s="22"/>
    </row>
    <row r="9" spans="1:17">
      <c r="A9" s="22"/>
      <c r="B9" s="22"/>
      <c r="C9" s="22"/>
      <c r="D9" s="22"/>
      <c r="E9" s="2"/>
      <c r="F9" s="22"/>
      <c r="G9" s="2"/>
      <c r="H9" s="22"/>
      <c r="I9" s="22"/>
      <c r="J9" s="22"/>
      <c r="K9" s="22"/>
      <c r="L9" s="22"/>
      <c r="M9" s="22"/>
      <c r="N9" s="2"/>
      <c r="O9" s="2"/>
      <c r="P9" s="2"/>
      <c r="Q9" s="22"/>
    </row>
    <row r="10" spans="1:17" ht="15" customHeight="1">
      <c r="A10" s="319" t="s">
        <v>115</v>
      </c>
      <c r="B10" s="319"/>
      <c r="C10" s="315" t="s">
        <v>100</v>
      </c>
      <c r="D10" s="315"/>
      <c r="E10" s="315"/>
      <c r="F10" s="315"/>
      <c r="G10" s="315"/>
      <c r="H10" s="315"/>
      <c r="I10" s="315"/>
      <c r="J10" s="315"/>
      <c r="K10" s="315"/>
      <c r="L10" s="22"/>
      <c r="M10" s="22"/>
      <c r="N10" s="2"/>
      <c r="O10" s="2"/>
      <c r="P10" s="2"/>
      <c r="Q10" s="22"/>
    </row>
    <row r="11" spans="1:17" ht="15" customHeight="1">
      <c r="A11" s="319" t="s">
        <v>1</v>
      </c>
      <c r="B11" s="319"/>
      <c r="C11" s="315" t="s">
        <v>116</v>
      </c>
      <c r="D11" s="315"/>
      <c r="E11" s="315"/>
      <c r="F11" s="315"/>
      <c r="G11" s="315"/>
      <c r="H11" s="315"/>
      <c r="I11" s="315"/>
      <c r="J11" s="315"/>
      <c r="K11" s="315"/>
      <c r="L11" s="22"/>
      <c r="M11" s="22"/>
      <c r="N11" s="2"/>
      <c r="O11" s="2"/>
      <c r="P11" s="2"/>
      <c r="Q11" s="22"/>
    </row>
    <row r="12" spans="1:17" ht="15" customHeight="1">
      <c r="A12" s="319" t="s">
        <v>19</v>
      </c>
      <c r="B12" s="319"/>
      <c r="C12" s="315" t="s">
        <v>117</v>
      </c>
      <c r="D12" s="315"/>
      <c r="E12" s="315"/>
      <c r="F12" s="315"/>
      <c r="G12" s="315"/>
      <c r="H12" s="315"/>
      <c r="I12" s="315"/>
      <c r="J12" s="315"/>
      <c r="K12" s="315"/>
      <c r="L12" s="22"/>
      <c r="M12" s="22"/>
      <c r="N12" s="2"/>
      <c r="O12" s="2"/>
      <c r="P12" s="2"/>
      <c r="Q12" s="22"/>
    </row>
    <row r="13" spans="1:17" ht="15" customHeight="1">
      <c r="A13" s="319" t="s">
        <v>118</v>
      </c>
      <c r="B13" s="319"/>
      <c r="C13" s="315" t="s">
        <v>119</v>
      </c>
      <c r="D13" s="315"/>
      <c r="E13" s="315"/>
      <c r="F13" s="315"/>
      <c r="G13" s="315"/>
      <c r="H13" s="315"/>
      <c r="I13" s="315"/>
      <c r="J13" s="315"/>
      <c r="K13" s="315"/>
      <c r="L13" s="22"/>
      <c r="M13" s="22"/>
      <c r="N13" s="2"/>
      <c r="O13" s="2"/>
      <c r="P13" s="2"/>
      <c r="Q13" s="22"/>
    </row>
    <row r="14" spans="1:17" ht="15" customHeight="1">
      <c r="A14" s="319" t="s">
        <v>120</v>
      </c>
      <c r="B14" s="319"/>
      <c r="C14" s="315" t="s">
        <v>121</v>
      </c>
      <c r="D14" s="315"/>
      <c r="E14" s="315"/>
      <c r="F14" s="315"/>
      <c r="G14" s="315"/>
      <c r="H14" s="315"/>
      <c r="I14" s="315"/>
      <c r="J14" s="315"/>
      <c r="K14" s="315"/>
      <c r="L14" s="22"/>
      <c r="M14" s="22"/>
      <c r="N14" s="2"/>
      <c r="O14" s="2"/>
      <c r="P14" s="2"/>
      <c r="Q14" s="22"/>
    </row>
    <row r="15" spans="1:17" ht="15" customHeight="1">
      <c r="A15" s="319" t="s">
        <v>122</v>
      </c>
      <c r="B15" s="319"/>
      <c r="C15" s="315" t="s">
        <v>123</v>
      </c>
      <c r="D15" s="315"/>
      <c r="E15" s="315"/>
      <c r="F15" s="315"/>
      <c r="G15" s="315"/>
      <c r="H15" s="315"/>
      <c r="I15" s="315"/>
      <c r="J15" s="315"/>
      <c r="K15" s="315"/>
      <c r="L15" s="22"/>
      <c r="M15" s="22"/>
      <c r="N15" s="2"/>
      <c r="O15" s="2"/>
      <c r="P15" s="2"/>
      <c r="Q15" s="22"/>
    </row>
    <row r="16" spans="1:17" ht="15" customHeight="1">
      <c r="A16" s="319" t="s">
        <v>124</v>
      </c>
      <c r="B16" s="319"/>
      <c r="C16" s="315" t="s">
        <v>125</v>
      </c>
      <c r="D16" s="315"/>
      <c r="E16" s="315"/>
      <c r="F16" s="315"/>
      <c r="G16" s="315"/>
      <c r="H16" s="315"/>
      <c r="I16" s="315"/>
      <c r="J16" s="315"/>
      <c r="K16" s="315"/>
      <c r="L16" s="22"/>
      <c r="M16" s="22"/>
      <c r="N16" s="2"/>
      <c r="O16" s="2"/>
      <c r="P16" s="2"/>
      <c r="Q16" s="22"/>
    </row>
    <row r="17" spans="1:17">
      <c r="A17" s="22"/>
      <c r="B17" s="22"/>
      <c r="C17" s="22"/>
      <c r="D17" s="22"/>
      <c r="E17" s="2"/>
      <c r="F17" s="22"/>
      <c r="G17" s="2"/>
      <c r="H17" s="22"/>
      <c r="I17" s="22"/>
      <c r="J17" s="22"/>
      <c r="K17" s="22"/>
      <c r="L17" s="22"/>
      <c r="M17" s="22"/>
      <c r="N17" s="2"/>
      <c r="O17" s="2"/>
      <c r="P17" s="2"/>
      <c r="Q17" s="22"/>
    </row>
    <row r="18" spans="1:17" ht="19.5" customHeight="1">
      <c r="A18" s="317" t="s">
        <v>126</v>
      </c>
      <c r="B18" s="317"/>
      <c r="C18" s="317"/>
      <c r="D18" s="317"/>
      <c r="E18" s="317"/>
      <c r="F18" s="317"/>
      <c r="G18" s="317"/>
      <c r="H18" s="317"/>
      <c r="I18" s="317"/>
      <c r="J18" s="317"/>
      <c r="K18" s="317"/>
      <c r="L18" s="317"/>
      <c r="M18" s="317"/>
      <c r="N18" s="317"/>
      <c r="O18" s="317"/>
      <c r="P18" s="317"/>
      <c r="Q18" s="317"/>
    </row>
    <row r="19" spans="1:17" ht="31.5" customHeight="1">
      <c r="A19" s="318" t="s">
        <v>127</v>
      </c>
      <c r="B19" s="318"/>
      <c r="C19" s="318"/>
      <c r="D19" s="318"/>
      <c r="E19" s="318"/>
      <c r="F19" s="318"/>
      <c r="G19" s="318"/>
      <c r="H19" s="318"/>
      <c r="I19" s="318"/>
      <c r="J19" s="318"/>
      <c r="K19" s="318"/>
      <c r="L19" s="318"/>
      <c r="M19" s="318"/>
      <c r="N19" s="318"/>
      <c r="O19" s="318"/>
      <c r="P19" s="318"/>
      <c r="Q19" s="318"/>
    </row>
    <row r="20" spans="1:17" ht="31.5" customHeight="1">
      <c r="A20" s="318" t="s">
        <v>128</v>
      </c>
      <c r="B20" s="318"/>
      <c r="C20" s="318"/>
      <c r="D20" s="318"/>
      <c r="E20" s="318"/>
      <c r="F20" s="318"/>
      <c r="G20" s="318"/>
      <c r="H20" s="318"/>
      <c r="I20" s="318"/>
      <c r="J20" s="318"/>
      <c r="K20" s="318"/>
      <c r="L20" s="318"/>
      <c r="M20" s="318"/>
      <c r="N20" s="318"/>
      <c r="O20" s="318"/>
      <c r="P20" s="318"/>
      <c r="Q20" s="318"/>
    </row>
    <row r="21" spans="1:17" ht="31.5" customHeight="1">
      <c r="A21" s="318" t="s">
        <v>129</v>
      </c>
      <c r="B21" s="318"/>
      <c r="C21" s="318"/>
      <c r="D21" s="318"/>
      <c r="E21" s="318"/>
      <c r="F21" s="318"/>
      <c r="G21" s="318"/>
      <c r="H21" s="318"/>
      <c r="I21" s="318"/>
      <c r="J21" s="318"/>
      <c r="K21" s="318"/>
      <c r="L21" s="318"/>
      <c r="M21" s="318"/>
      <c r="N21" s="318"/>
      <c r="O21" s="318"/>
      <c r="P21" s="318"/>
      <c r="Q21" s="318"/>
    </row>
    <row r="22" spans="1:17" ht="31.5" customHeight="1">
      <c r="A22" s="318" t="s">
        <v>130</v>
      </c>
      <c r="B22" s="318"/>
      <c r="C22" s="318"/>
      <c r="D22" s="318"/>
      <c r="E22" s="318"/>
      <c r="F22" s="318"/>
      <c r="G22" s="318"/>
      <c r="H22" s="318"/>
      <c r="I22" s="318"/>
      <c r="J22" s="318"/>
      <c r="K22" s="318"/>
      <c r="L22" s="318"/>
      <c r="M22" s="318"/>
      <c r="N22" s="318"/>
      <c r="O22" s="318"/>
      <c r="P22" s="318"/>
      <c r="Q22" s="318"/>
    </row>
    <row r="23" spans="1:17">
      <c r="A23" s="22"/>
      <c r="B23" s="22"/>
      <c r="C23" s="22"/>
      <c r="D23" s="22"/>
      <c r="E23" s="2"/>
      <c r="F23" s="22"/>
      <c r="G23" s="2"/>
      <c r="H23" s="22"/>
      <c r="I23" s="22"/>
      <c r="J23" s="22"/>
      <c r="K23" s="22"/>
      <c r="L23" s="22"/>
      <c r="M23" s="22"/>
      <c r="N23" s="2"/>
      <c r="O23" s="2"/>
      <c r="P23" s="2"/>
      <c r="Q23" s="22"/>
    </row>
    <row r="24" spans="1:17" ht="19.5" customHeight="1">
      <c r="A24" s="317" t="s">
        <v>131</v>
      </c>
      <c r="B24" s="317"/>
      <c r="C24" s="317"/>
      <c r="D24" s="317"/>
      <c r="E24" s="317"/>
      <c r="F24" s="317"/>
      <c r="G24" s="317"/>
      <c r="H24" s="317"/>
      <c r="I24" s="317"/>
      <c r="J24" s="317"/>
      <c r="K24" s="317"/>
      <c r="L24" s="317"/>
      <c r="M24" s="317"/>
      <c r="N24" s="317"/>
      <c r="O24" s="317"/>
      <c r="P24" s="317"/>
      <c r="Q24" s="317"/>
    </row>
    <row r="25" spans="1:17" ht="27.75" customHeight="1">
      <c r="A25" s="316" t="s">
        <v>132</v>
      </c>
      <c r="B25" s="316"/>
      <c r="C25" s="316"/>
      <c r="D25" s="316"/>
      <c r="E25" s="316"/>
      <c r="F25" s="316"/>
      <c r="G25" s="316"/>
      <c r="H25" s="316"/>
      <c r="I25" s="316"/>
      <c r="J25" s="316"/>
      <c r="K25" s="316"/>
      <c r="L25" s="316"/>
      <c r="M25" s="316"/>
      <c r="N25" s="316"/>
      <c r="O25" s="316"/>
      <c r="P25" s="316"/>
      <c r="Q25" s="316"/>
    </row>
    <row r="26" spans="1:17" ht="27.75" customHeight="1">
      <c r="A26" s="316" t="s">
        <v>133</v>
      </c>
      <c r="B26" s="316"/>
      <c r="C26" s="316"/>
      <c r="D26" s="316"/>
      <c r="E26" s="316"/>
      <c r="F26" s="316"/>
      <c r="G26" s="316"/>
      <c r="H26" s="316"/>
      <c r="I26" s="316"/>
      <c r="J26" s="316"/>
      <c r="K26" s="316"/>
      <c r="L26" s="316"/>
      <c r="M26" s="316"/>
      <c r="N26" s="316"/>
      <c r="O26" s="316"/>
      <c r="P26" s="316"/>
      <c r="Q26" s="316"/>
    </row>
    <row r="27" spans="1:17" ht="27.75" customHeight="1">
      <c r="A27" s="316" t="s">
        <v>134</v>
      </c>
      <c r="B27" s="316"/>
      <c r="C27" s="316"/>
      <c r="D27" s="316"/>
      <c r="E27" s="316"/>
      <c r="F27" s="316"/>
      <c r="G27" s="316"/>
      <c r="H27" s="316"/>
      <c r="I27" s="316"/>
      <c r="J27" s="316"/>
      <c r="K27" s="316"/>
      <c r="L27" s="316"/>
      <c r="M27" s="316"/>
      <c r="N27" s="316"/>
      <c r="O27" s="316"/>
      <c r="P27" s="316"/>
      <c r="Q27" s="316"/>
    </row>
    <row r="28" spans="1:17" ht="27.75" customHeight="1">
      <c r="A28" s="316" t="s">
        <v>135</v>
      </c>
      <c r="B28" s="316"/>
      <c r="C28" s="316"/>
      <c r="D28" s="316"/>
      <c r="E28" s="316"/>
      <c r="F28" s="316"/>
      <c r="G28" s="316"/>
      <c r="H28" s="316"/>
      <c r="I28" s="316"/>
      <c r="J28" s="316"/>
      <c r="K28" s="316"/>
      <c r="L28" s="316"/>
      <c r="M28" s="316"/>
      <c r="N28" s="316"/>
      <c r="O28" s="316"/>
      <c r="P28" s="316"/>
      <c r="Q28" s="316"/>
    </row>
    <row r="29" spans="1:17" ht="27.75" customHeight="1">
      <c r="A29" s="316" t="s">
        <v>136</v>
      </c>
      <c r="B29" s="316"/>
      <c r="C29" s="316"/>
      <c r="D29" s="316"/>
      <c r="E29" s="316"/>
      <c r="F29" s="316"/>
      <c r="G29" s="316"/>
      <c r="H29" s="316"/>
      <c r="I29" s="316"/>
      <c r="J29" s="316"/>
      <c r="K29" s="316"/>
      <c r="L29" s="316"/>
      <c r="M29" s="316"/>
      <c r="N29" s="316"/>
      <c r="O29" s="316"/>
      <c r="P29" s="316"/>
      <c r="Q29" s="316"/>
    </row>
    <row r="30" spans="1:17" ht="27.75" customHeight="1">
      <c r="A30" s="316" t="s">
        <v>137</v>
      </c>
      <c r="B30" s="316"/>
      <c r="C30" s="316"/>
      <c r="D30" s="316"/>
      <c r="E30" s="316"/>
      <c r="F30" s="316"/>
      <c r="G30" s="316"/>
      <c r="H30" s="316"/>
      <c r="I30" s="316"/>
      <c r="J30" s="316"/>
      <c r="K30" s="316"/>
      <c r="L30" s="316"/>
      <c r="M30" s="316"/>
      <c r="N30" s="316"/>
      <c r="O30" s="316"/>
      <c r="P30" s="316"/>
      <c r="Q30" s="316"/>
    </row>
    <row r="31" spans="1:17">
      <c r="A31" s="22"/>
      <c r="B31" s="22"/>
      <c r="C31" s="22"/>
      <c r="D31" s="22"/>
      <c r="E31" s="2"/>
      <c r="F31" s="22"/>
      <c r="G31" s="2"/>
      <c r="H31" s="22"/>
      <c r="I31" s="22"/>
      <c r="J31" s="22"/>
      <c r="K31" s="22"/>
      <c r="L31" s="22"/>
      <c r="M31" s="22"/>
      <c r="N31" s="2"/>
      <c r="O31" s="2"/>
      <c r="P31" s="2"/>
      <c r="Q31" s="22"/>
    </row>
    <row r="32" spans="1:17" ht="19.5" customHeight="1">
      <c r="A32" s="317" t="s">
        <v>138</v>
      </c>
      <c r="B32" s="317"/>
      <c r="C32" s="317"/>
      <c r="D32" s="317"/>
      <c r="E32" s="317"/>
      <c r="F32" s="317"/>
      <c r="G32" s="317"/>
      <c r="H32" s="317"/>
      <c r="I32" s="317"/>
      <c r="J32" s="317"/>
      <c r="K32" s="317"/>
      <c r="L32" s="317"/>
      <c r="M32" s="317"/>
      <c r="N32" s="317"/>
      <c r="O32" s="317"/>
      <c r="P32" s="317"/>
      <c r="Q32" s="317"/>
    </row>
    <row r="33" spans="1:17" ht="25.5" customHeight="1">
      <c r="A33" s="314">
        <v>1</v>
      </c>
      <c r="B33" s="314"/>
      <c r="C33" s="315" t="s">
        <v>139</v>
      </c>
      <c r="D33" s="315"/>
      <c r="E33" s="315"/>
      <c r="F33" s="315"/>
      <c r="G33" s="315"/>
      <c r="H33" s="315"/>
      <c r="I33" s="315"/>
      <c r="J33" s="315"/>
      <c r="K33" s="315"/>
      <c r="L33" s="315"/>
      <c r="M33" s="315"/>
      <c r="N33" s="315"/>
      <c r="O33" s="315"/>
      <c r="P33" s="315"/>
      <c r="Q33" s="315"/>
    </row>
    <row r="34" spans="1:17" ht="25.5" customHeight="1">
      <c r="A34" s="314">
        <v>2</v>
      </c>
      <c r="B34" s="314"/>
      <c r="C34" s="315" t="s">
        <v>140</v>
      </c>
      <c r="D34" s="315"/>
      <c r="E34" s="315"/>
      <c r="F34" s="315"/>
      <c r="G34" s="315"/>
      <c r="H34" s="315"/>
      <c r="I34" s="315"/>
      <c r="J34" s="315"/>
      <c r="K34" s="315"/>
      <c r="L34" s="315"/>
      <c r="M34" s="315"/>
      <c r="N34" s="315"/>
      <c r="O34" s="315"/>
      <c r="P34" s="315"/>
      <c r="Q34" s="315"/>
    </row>
    <row r="35" spans="1:17" ht="25.5" customHeight="1">
      <c r="A35" s="314">
        <v>3</v>
      </c>
      <c r="B35" s="314"/>
      <c r="C35" s="315" t="s">
        <v>141</v>
      </c>
      <c r="D35" s="315"/>
      <c r="E35" s="315"/>
      <c r="F35" s="315"/>
      <c r="G35" s="315"/>
      <c r="H35" s="315"/>
      <c r="I35" s="315"/>
      <c r="J35" s="315"/>
      <c r="K35" s="315"/>
      <c r="L35" s="315"/>
      <c r="M35" s="315"/>
      <c r="N35" s="315"/>
      <c r="O35" s="315"/>
      <c r="P35" s="315"/>
      <c r="Q35" s="315"/>
    </row>
    <row r="36" spans="1:17" ht="25.5" customHeight="1">
      <c r="A36" s="314">
        <v>4</v>
      </c>
      <c r="B36" s="314"/>
      <c r="C36" s="315" t="s">
        <v>142</v>
      </c>
      <c r="D36" s="315"/>
      <c r="E36" s="315"/>
      <c r="F36" s="315"/>
      <c r="G36" s="315"/>
      <c r="H36" s="315"/>
      <c r="I36" s="315"/>
      <c r="J36" s="315"/>
      <c r="K36" s="315"/>
      <c r="L36" s="315"/>
      <c r="M36" s="315"/>
      <c r="N36" s="315"/>
      <c r="O36" s="315"/>
      <c r="P36" s="315"/>
      <c r="Q36" s="315"/>
    </row>
    <row r="37" spans="1:17" ht="25.5" customHeight="1">
      <c r="A37" s="314">
        <v>5</v>
      </c>
      <c r="B37" s="314"/>
      <c r="C37" s="315" t="s">
        <v>143</v>
      </c>
      <c r="D37" s="315"/>
      <c r="E37" s="315"/>
      <c r="F37" s="315"/>
      <c r="G37" s="315"/>
      <c r="H37" s="315"/>
      <c r="I37" s="315"/>
      <c r="J37" s="315"/>
      <c r="K37" s="315"/>
      <c r="L37" s="315"/>
      <c r="M37" s="315"/>
      <c r="N37" s="315"/>
      <c r="O37" s="315"/>
      <c r="P37" s="315"/>
      <c r="Q37" s="315"/>
    </row>
    <row r="38" spans="1:17" ht="25.5" customHeight="1">
      <c r="A38" s="314">
        <v>6</v>
      </c>
      <c r="B38" s="314"/>
      <c r="C38" s="315" t="s">
        <v>144</v>
      </c>
      <c r="D38" s="315"/>
      <c r="E38" s="315"/>
      <c r="F38" s="315"/>
      <c r="G38" s="315"/>
      <c r="H38" s="315"/>
      <c r="I38" s="315"/>
      <c r="J38" s="315"/>
      <c r="K38" s="315"/>
      <c r="L38" s="315"/>
      <c r="M38" s="315"/>
      <c r="N38" s="315"/>
      <c r="O38" s="315"/>
      <c r="P38" s="315"/>
      <c r="Q38" s="315"/>
    </row>
  </sheetData>
  <sheetProtection algorithmName="SHA-512" hashValue="7vxkyVv4UgCCmO3nOKiNQ1ASQATyNDkPvl/IveQJUk6ibhje5eTjJ0E+ujwmSxo5i2/8ys6y7T3vUU5C0vyxqQ==" saltValue="yn0eSTQNxzthr8m5ze0cww==" spinCount="100000" sheet="1" objects="1" scenarios="1"/>
  <mergeCells count="60">
    <mergeCell ref="A1:Q1"/>
    <mergeCell ref="A2:Q3"/>
    <mergeCell ref="A4:Q4"/>
    <mergeCell ref="A5:B5"/>
    <mergeCell ref="C5:D5"/>
    <mergeCell ref="E5:F5"/>
    <mergeCell ref="G5:H5"/>
    <mergeCell ref="I5:J5"/>
    <mergeCell ref="K5:L5"/>
    <mergeCell ref="M5:N5"/>
    <mergeCell ref="O5:Q5"/>
    <mergeCell ref="K6:L6"/>
    <mergeCell ref="M6:N6"/>
    <mergeCell ref="O6:Q6"/>
    <mergeCell ref="A7:B7"/>
    <mergeCell ref="A8:B8"/>
    <mergeCell ref="A6:B6"/>
    <mergeCell ref="C6:D6"/>
    <mergeCell ref="E6:F6"/>
    <mergeCell ref="G6:H6"/>
    <mergeCell ref="I6:J6"/>
    <mergeCell ref="A10:B10"/>
    <mergeCell ref="C10:K10"/>
    <mergeCell ref="A11:B11"/>
    <mergeCell ref="C11:K11"/>
    <mergeCell ref="A12:B12"/>
    <mergeCell ref="C12:K12"/>
    <mergeCell ref="A13:B13"/>
    <mergeCell ref="C13:K13"/>
    <mergeCell ref="A14:B14"/>
    <mergeCell ref="C14:K14"/>
    <mergeCell ref="A15:B15"/>
    <mergeCell ref="C15:K15"/>
    <mergeCell ref="A16:B16"/>
    <mergeCell ref="C16:K16"/>
    <mergeCell ref="A18:Q18"/>
    <mergeCell ref="A19:Q19"/>
    <mergeCell ref="A20:Q20"/>
    <mergeCell ref="A21:Q21"/>
    <mergeCell ref="A22:Q22"/>
    <mergeCell ref="A24:Q24"/>
    <mergeCell ref="A25:Q25"/>
    <mergeCell ref="A26:Q26"/>
    <mergeCell ref="A27:Q27"/>
    <mergeCell ref="A28:Q28"/>
    <mergeCell ref="A29:Q29"/>
    <mergeCell ref="A30:Q30"/>
    <mergeCell ref="A32:Q32"/>
    <mergeCell ref="A33:B33"/>
    <mergeCell ref="C33:Q33"/>
    <mergeCell ref="A34:B34"/>
    <mergeCell ref="C34:Q34"/>
    <mergeCell ref="A35:B35"/>
    <mergeCell ref="C35:Q35"/>
    <mergeCell ref="A36:B36"/>
    <mergeCell ref="C36:Q36"/>
    <mergeCell ref="A37:B37"/>
    <mergeCell ref="C37:Q37"/>
    <mergeCell ref="A38:B38"/>
    <mergeCell ref="C38:Q3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Q31"/>
  <sheetViews>
    <sheetView showGridLines="0" zoomScaleNormal="100" workbookViewId="0">
      <selection activeCell="A10" sqref="A10:Q10"/>
    </sheetView>
  </sheetViews>
  <sheetFormatPr baseColWidth="10" defaultColWidth="8.7109375" defaultRowHeight="15"/>
  <cols>
    <col min="1" max="1" width="18.5703125" style="1" customWidth="1"/>
    <col min="2" max="2" width="33.140625"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145</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21" t="str">
        <f>HYPERLINK("#M41_INICIO!A1","▶  VOLVER A INICIO")</f>
        <v>▶  VOLVER A INICIO</v>
      </c>
      <c r="B4" s="321"/>
      <c r="C4" s="22"/>
      <c r="D4" s="22"/>
      <c r="E4" s="2"/>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15" customHeight="1">
      <c r="A6" s="328" t="s">
        <v>146</v>
      </c>
      <c r="B6" s="328"/>
      <c r="C6" s="328"/>
      <c r="D6" s="328"/>
      <c r="E6" s="328"/>
      <c r="F6" s="328"/>
      <c r="G6" s="328"/>
      <c r="H6" s="328"/>
      <c r="I6" s="328"/>
      <c r="J6" s="328"/>
      <c r="K6" s="328"/>
      <c r="L6" s="328"/>
      <c r="M6" s="328"/>
      <c r="N6" s="328"/>
      <c r="O6" s="328"/>
      <c r="P6" s="328"/>
      <c r="Q6" s="328"/>
    </row>
    <row r="7" spans="1:17" ht="15" customHeight="1">
      <c r="A7" s="328"/>
      <c r="B7" s="328"/>
      <c r="C7" s="328"/>
      <c r="D7" s="328"/>
      <c r="E7" s="328"/>
      <c r="F7" s="328"/>
      <c r="G7" s="328"/>
      <c r="H7" s="328"/>
      <c r="I7" s="328"/>
      <c r="J7" s="328"/>
      <c r="K7" s="328"/>
      <c r="L7" s="328"/>
      <c r="M7" s="328"/>
      <c r="N7" s="328"/>
      <c r="O7" s="328"/>
      <c r="P7" s="328"/>
      <c r="Q7" s="328"/>
    </row>
    <row r="8" spans="1:17" ht="15" customHeight="1">
      <c r="A8" s="328"/>
      <c r="B8" s="328"/>
      <c r="C8" s="328"/>
      <c r="D8" s="328"/>
      <c r="E8" s="328"/>
      <c r="F8" s="328"/>
      <c r="G8" s="328"/>
      <c r="H8" s="328"/>
      <c r="I8" s="328"/>
      <c r="J8" s="328"/>
      <c r="K8" s="328"/>
      <c r="L8" s="328"/>
      <c r="M8" s="328"/>
      <c r="N8" s="328"/>
      <c r="O8" s="328"/>
      <c r="P8" s="328"/>
      <c r="Q8" s="328"/>
    </row>
    <row r="9" spans="1:17">
      <c r="A9" s="22"/>
      <c r="B9" s="22"/>
      <c r="C9" s="22"/>
      <c r="D9" s="22"/>
      <c r="E9" s="2"/>
      <c r="F9" s="22"/>
      <c r="G9" s="2"/>
      <c r="H9" s="22"/>
      <c r="I9" s="22"/>
      <c r="J9" s="22"/>
      <c r="K9" s="22"/>
      <c r="L9" s="22"/>
      <c r="M9" s="22"/>
      <c r="N9" s="2"/>
      <c r="O9" s="2"/>
      <c r="P9" s="2"/>
      <c r="Q9" s="22"/>
    </row>
    <row r="10" spans="1:17" ht="19.5" customHeight="1">
      <c r="A10" s="317" t="s">
        <v>147</v>
      </c>
      <c r="B10" s="317"/>
      <c r="C10" s="317"/>
      <c r="D10" s="317"/>
      <c r="E10" s="317"/>
      <c r="F10" s="317"/>
      <c r="G10" s="317"/>
      <c r="H10" s="317"/>
      <c r="I10" s="317"/>
      <c r="J10" s="317"/>
      <c r="K10" s="317"/>
      <c r="L10" s="317"/>
      <c r="M10" s="317"/>
      <c r="N10" s="317"/>
      <c r="O10" s="317"/>
      <c r="P10" s="317"/>
      <c r="Q10" s="317"/>
    </row>
    <row r="11" spans="1:17" ht="18" customHeight="1">
      <c r="A11" s="319" t="s">
        <v>148</v>
      </c>
      <c r="B11" s="319"/>
      <c r="C11" s="326" t="s">
        <v>149</v>
      </c>
      <c r="D11" s="326"/>
      <c r="E11" s="326"/>
      <c r="F11" s="326"/>
      <c r="G11" s="326"/>
      <c r="H11" s="326"/>
      <c r="I11" s="326"/>
      <c r="J11" s="326"/>
      <c r="K11" s="326"/>
      <c r="L11" s="22"/>
      <c r="M11" s="22"/>
      <c r="N11" s="2"/>
      <c r="O11" s="2"/>
      <c r="P11" s="2"/>
      <c r="Q11" s="22"/>
    </row>
    <row r="12" spans="1:17" ht="18" customHeight="1">
      <c r="A12" s="319" t="s">
        <v>150</v>
      </c>
      <c r="B12" s="319"/>
      <c r="C12" s="326" t="s">
        <v>151</v>
      </c>
      <c r="D12" s="326"/>
      <c r="E12" s="326"/>
      <c r="F12" s="326"/>
      <c r="G12" s="326"/>
      <c r="H12" s="326"/>
      <c r="I12" s="326"/>
      <c r="J12" s="326"/>
      <c r="K12" s="326"/>
      <c r="L12" s="22"/>
      <c r="M12" s="22"/>
      <c r="N12" s="2"/>
      <c r="O12" s="2"/>
      <c r="P12" s="2"/>
      <c r="Q12" s="22"/>
    </row>
    <row r="13" spans="1:17" ht="18" customHeight="1">
      <c r="A13" s="319" t="s">
        <v>152</v>
      </c>
      <c r="B13" s="319"/>
      <c r="C13" s="326" t="s">
        <v>151</v>
      </c>
      <c r="D13" s="326"/>
      <c r="E13" s="326"/>
      <c r="F13" s="326"/>
      <c r="G13" s="326"/>
      <c r="H13" s="326"/>
      <c r="I13" s="326"/>
      <c r="J13" s="326"/>
      <c r="K13" s="326"/>
      <c r="L13" s="325" t="s">
        <v>153</v>
      </c>
      <c r="M13" s="325"/>
      <c r="N13" s="325"/>
      <c r="O13" s="325"/>
      <c r="P13" s="325"/>
      <c r="Q13" s="325"/>
    </row>
    <row r="14" spans="1:17" ht="18" customHeight="1">
      <c r="A14" s="319" t="s">
        <v>154</v>
      </c>
      <c r="B14" s="319"/>
      <c r="C14" s="326" t="s">
        <v>155</v>
      </c>
      <c r="D14" s="326"/>
      <c r="E14" s="326"/>
      <c r="F14" s="326"/>
      <c r="G14" s="326"/>
      <c r="H14" s="326"/>
      <c r="I14" s="326"/>
      <c r="J14" s="326"/>
      <c r="K14" s="326"/>
      <c r="L14" s="22"/>
      <c r="M14" s="22"/>
      <c r="N14" s="2"/>
      <c r="O14" s="2"/>
      <c r="P14" s="2"/>
      <c r="Q14" s="22"/>
    </row>
    <row r="15" spans="1:17" ht="18" customHeight="1">
      <c r="A15" s="319" t="s">
        <v>156</v>
      </c>
      <c r="B15" s="319"/>
      <c r="C15" s="326">
        <v>10</v>
      </c>
      <c r="D15" s="326"/>
      <c r="E15" s="326"/>
      <c r="F15" s="326"/>
      <c r="G15" s="326"/>
      <c r="H15" s="326"/>
      <c r="I15" s="326"/>
      <c r="J15" s="326"/>
      <c r="K15" s="326"/>
      <c r="L15" s="325" t="s">
        <v>157</v>
      </c>
      <c r="M15" s="325"/>
      <c r="N15" s="325"/>
      <c r="O15" s="325"/>
      <c r="P15" s="325"/>
      <c r="Q15" s="325"/>
    </row>
    <row r="16" spans="1:17" ht="18" customHeight="1">
      <c r="A16" s="319" t="s">
        <v>158</v>
      </c>
      <c r="B16" s="319"/>
      <c r="C16" s="326" t="s">
        <v>159</v>
      </c>
      <c r="D16" s="326"/>
      <c r="E16" s="326"/>
      <c r="F16" s="326"/>
      <c r="G16" s="326"/>
      <c r="H16" s="326"/>
      <c r="I16" s="326"/>
      <c r="J16" s="326"/>
      <c r="K16" s="326"/>
      <c r="L16" s="22"/>
      <c r="M16" s="22"/>
      <c r="N16" s="2"/>
      <c r="O16" s="2"/>
      <c r="P16" s="2"/>
      <c r="Q16" s="22"/>
    </row>
    <row r="17" spans="1:17" ht="18" customHeight="1">
      <c r="A17" s="319" t="s">
        <v>160</v>
      </c>
      <c r="B17" s="319"/>
      <c r="C17" s="326">
        <v>0.2</v>
      </c>
      <c r="D17" s="326"/>
      <c r="E17" s="326"/>
      <c r="F17" s="326"/>
      <c r="G17" s="326"/>
      <c r="H17" s="326"/>
      <c r="I17" s="326"/>
      <c r="J17" s="326"/>
      <c r="K17" s="326"/>
      <c r="L17" s="325" t="s">
        <v>161</v>
      </c>
      <c r="M17" s="325"/>
      <c r="N17" s="325"/>
      <c r="O17" s="325"/>
      <c r="P17" s="325"/>
      <c r="Q17" s="325"/>
    </row>
    <row r="18" spans="1:17" ht="18" customHeight="1">
      <c r="A18" s="319" t="s">
        <v>162</v>
      </c>
      <c r="B18" s="319"/>
      <c r="C18" s="326" t="s">
        <v>163</v>
      </c>
      <c r="D18" s="326"/>
      <c r="E18" s="326"/>
      <c r="F18" s="326"/>
      <c r="G18" s="326"/>
      <c r="H18" s="326"/>
      <c r="I18" s="326"/>
      <c r="J18" s="326"/>
      <c r="K18" s="326"/>
      <c r="L18" s="22"/>
      <c r="M18" s="22"/>
      <c r="N18" s="2"/>
      <c r="O18" s="2"/>
      <c r="P18" s="2"/>
      <c r="Q18" s="22"/>
    </row>
    <row r="19" spans="1:17" ht="18" customHeight="1">
      <c r="A19" s="319" t="s">
        <v>164</v>
      </c>
      <c r="B19" s="319"/>
      <c r="C19" s="326" t="s">
        <v>165</v>
      </c>
      <c r="D19" s="326"/>
      <c r="E19" s="326"/>
      <c r="F19" s="326"/>
      <c r="G19" s="326"/>
      <c r="H19" s="326"/>
      <c r="I19" s="326"/>
      <c r="J19" s="326"/>
      <c r="K19" s="326"/>
      <c r="L19" s="22"/>
      <c r="M19" s="22"/>
      <c r="N19" s="2"/>
      <c r="O19" s="2"/>
      <c r="P19" s="2"/>
      <c r="Q19" s="22"/>
    </row>
    <row r="20" spans="1:17">
      <c r="A20" s="22"/>
      <c r="B20" s="22"/>
      <c r="C20" s="22"/>
      <c r="D20" s="22"/>
      <c r="E20" s="2"/>
      <c r="F20" s="22"/>
      <c r="G20" s="2"/>
      <c r="H20" s="22"/>
      <c r="I20" s="22"/>
      <c r="J20" s="22"/>
      <c r="K20" s="22"/>
      <c r="L20" s="22"/>
      <c r="M20" s="22"/>
      <c r="N20" s="2"/>
      <c r="O20" s="2"/>
      <c r="P20" s="2"/>
      <c r="Q20" s="22"/>
    </row>
    <row r="21" spans="1:17" ht="19.5" customHeight="1">
      <c r="A21" s="317" t="s">
        <v>166</v>
      </c>
      <c r="B21" s="317"/>
      <c r="C21" s="317"/>
      <c r="D21" s="317"/>
      <c r="E21" s="317"/>
      <c r="F21" s="317"/>
      <c r="G21" s="317"/>
      <c r="H21" s="317"/>
      <c r="I21" s="317"/>
      <c r="J21" s="317"/>
      <c r="K21" s="317"/>
      <c r="L21" s="317"/>
      <c r="M21" s="317"/>
      <c r="N21" s="317"/>
      <c r="O21" s="317"/>
      <c r="P21" s="317"/>
      <c r="Q21" s="317"/>
    </row>
    <row r="22" spans="1:17" ht="18" customHeight="1">
      <c r="A22" s="319" t="s">
        <v>167</v>
      </c>
      <c r="B22" s="319"/>
      <c r="C22" s="326" t="s">
        <v>168</v>
      </c>
      <c r="D22" s="326"/>
      <c r="E22" s="326"/>
      <c r="F22" s="326"/>
      <c r="G22" s="326"/>
      <c r="H22" s="326"/>
      <c r="I22" s="326"/>
      <c r="J22" s="326"/>
      <c r="K22" s="326"/>
      <c r="L22" s="22"/>
      <c r="M22" s="22"/>
      <c r="N22" s="2"/>
      <c r="O22" s="2"/>
      <c r="P22" s="2"/>
      <c r="Q22" s="22"/>
    </row>
    <row r="23" spans="1:17" ht="18" customHeight="1">
      <c r="A23" s="319" t="s">
        <v>169</v>
      </c>
      <c r="B23" s="319"/>
      <c r="C23" s="326" t="s">
        <v>170</v>
      </c>
      <c r="D23" s="326"/>
      <c r="E23" s="326"/>
      <c r="F23" s="326"/>
      <c r="G23" s="326"/>
      <c r="H23" s="326"/>
      <c r="I23" s="326"/>
      <c r="J23" s="326"/>
      <c r="K23" s="326"/>
      <c r="L23" s="325" t="s">
        <v>171</v>
      </c>
      <c r="M23" s="325"/>
      <c r="N23" s="325"/>
      <c r="O23" s="325"/>
      <c r="P23" s="325"/>
      <c r="Q23" s="325"/>
    </row>
    <row r="24" spans="1:17" ht="18" customHeight="1">
      <c r="A24" s="319" t="s">
        <v>172</v>
      </c>
      <c r="B24" s="319"/>
      <c r="C24" s="326" t="s">
        <v>163</v>
      </c>
      <c r="D24" s="326"/>
      <c r="E24" s="326"/>
      <c r="F24" s="326"/>
      <c r="G24" s="326"/>
      <c r="H24" s="326"/>
      <c r="I24" s="326"/>
      <c r="J24" s="326"/>
      <c r="K24" s="326"/>
      <c r="L24" s="22"/>
      <c r="M24" s="22"/>
      <c r="N24" s="2"/>
      <c r="O24" s="2"/>
      <c r="P24" s="2"/>
      <c r="Q24" s="22"/>
    </row>
    <row r="25" spans="1:17" ht="18" customHeight="1">
      <c r="A25" s="319" t="s">
        <v>173</v>
      </c>
      <c r="B25" s="319"/>
      <c r="C25" s="326">
        <v>120</v>
      </c>
      <c r="D25" s="326"/>
      <c r="E25" s="326"/>
      <c r="F25" s="326"/>
      <c r="G25" s="326"/>
      <c r="H25" s="326"/>
      <c r="I25" s="326"/>
      <c r="J25" s="326"/>
      <c r="K25" s="326"/>
      <c r="L25" s="22"/>
      <c r="M25" s="22"/>
      <c r="N25" s="2"/>
      <c r="O25" s="2"/>
      <c r="P25" s="2"/>
      <c r="Q25" s="22"/>
    </row>
    <row r="26" spans="1:17" ht="18" customHeight="1">
      <c r="A26" s="319" t="s">
        <v>174</v>
      </c>
      <c r="B26" s="319"/>
      <c r="C26" s="326" t="s">
        <v>175</v>
      </c>
      <c r="D26" s="326"/>
      <c r="E26" s="326"/>
      <c r="F26" s="326"/>
      <c r="G26" s="326"/>
      <c r="H26" s="326"/>
      <c r="I26" s="326"/>
      <c r="J26" s="326"/>
      <c r="K26" s="326"/>
      <c r="L26" s="325" t="s">
        <v>176</v>
      </c>
      <c r="M26" s="325"/>
      <c r="N26" s="325"/>
      <c r="O26" s="325"/>
      <c r="P26" s="325"/>
      <c r="Q26" s="325"/>
    </row>
    <row r="27" spans="1:17" ht="18" customHeight="1">
      <c r="A27" s="319" t="s">
        <v>33</v>
      </c>
      <c r="B27" s="319"/>
      <c r="C27" s="326" t="s">
        <v>151</v>
      </c>
      <c r="D27" s="326"/>
      <c r="E27" s="326"/>
      <c r="F27" s="326"/>
      <c r="G27" s="326"/>
      <c r="H27" s="326"/>
      <c r="I27" s="326"/>
      <c r="J27" s="326"/>
      <c r="K27" s="326"/>
      <c r="L27" s="22"/>
      <c r="M27" s="22"/>
      <c r="N27" s="2"/>
      <c r="O27" s="2"/>
      <c r="P27" s="2"/>
      <c r="Q27" s="22"/>
    </row>
    <row r="28" spans="1:17">
      <c r="A28" s="22"/>
      <c r="B28" s="22"/>
      <c r="C28" s="22"/>
      <c r="D28" s="22"/>
      <c r="E28" s="2"/>
      <c r="F28" s="22"/>
      <c r="G28" s="2"/>
      <c r="H28" s="22"/>
      <c r="I28" s="22"/>
      <c r="J28" s="22"/>
      <c r="K28" s="22"/>
      <c r="L28" s="22"/>
      <c r="M28" s="22"/>
      <c r="N28" s="2"/>
      <c r="O28" s="2"/>
      <c r="P28" s="2"/>
      <c r="Q28" s="22"/>
    </row>
    <row r="29" spans="1:17" ht="15" customHeight="1">
      <c r="A29" s="327" t="s">
        <v>177</v>
      </c>
      <c r="B29" s="327"/>
      <c r="C29" s="327"/>
      <c r="D29" s="327"/>
      <c r="E29" s="327"/>
      <c r="F29" s="327"/>
      <c r="G29" s="327"/>
      <c r="H29" s="327"/>
      <c r="I29" s="327"/>
      <c r="J29" s="327"/>
      <c r="K29" s="327"/>
      <c r="L29" s="327"/>
      <c r="M29" s="327"/>
      <c r="N29" s="327"/>
      <c r="O29" s="327"/>
      <c r="P29" s="327"/>
      <c r="Q29" s="327"/>
    </row>
    <row r="30" spans="1:17" ht="15" customHeight="1">
      <c r="A30" s="327"/>
      <c r="B30" s="327"/>
      <c r="C30" s="327"/>
      <c r="D30" s="327"/>
      <c r="E30" s="327"/>
      <c r="F30" s="327"/>
      <c r="G30" s="327"/>
      <c r="H30" s="327"/>
      <c r="I30" s="327"/>
      <c r="J30" s="327"/>
      <c r="K30" s="327"/>
      <c r="L30" s="327"/>
      <c r="M30" s="327"/>
      <c r="N30" s="327"/>
      <c r="O30" s="327"/>
      <c r="P30" s="327"/>
      <c r="Q30" s="327"/>
    </row>
    <row r="31" spans="1:17" ht="15" customHeight="1">
      <c r="A31" s="327"/>
      <c r="B31" s="327"/>
      <c r="C31" s="327"/>
      <c r="D31" s="327"/>
      <c r="E31" s="327"/>
      <c r="F31" s="327"/>
      <c r="G31" s="327"/>
      <c r="H31" s="327"/>
      <c r="I31" s="327"/>
      <c r="J31" s="327"/>
      <c r="K31" s="327"/>
      <c r="L31" s="327"/>
      <c r="M31" s="327"/>
      <c r="N31" s="327"/>
      <c r="O31" s="327"/>
      <c r="P31" s="327"/>
      <c r="Q31" s="327"/>
    </row>
  </sheetData>
  <sheetProtection algorithmName="SHA-512" hashValue="7MArD3aQp6FfOeKJMqbg6N9PIDD0Kwp/ucOrWG5vLyMF/9RGZTTEBoRF8KEXVyQ8BcnDCCUFAMSkRzVVFerU0A==" saltValue="XSQwVUQs3d78y+uTumIVjQ==" spinCount="100000" sheet="1" objects="1" scenarios="1"/>
  <mergeCells count="42">
    <mergeCell ref="A1:Q1"/>
    <mergeCell ref="A2:Q3"/>
    <mergeCell ref="A4:B4"/>
    <mergeCell ref="A6:Q8"/>
    <mergeCell ref="A10:Q10"/>
    <mergeCell ref="A11:B11"/>
    <mergeCell ref="C11:K11"/>
    <mergeCell ref="A12:B12"/>
    <mergeCell ref="C12:K12"/>
    <mergeCell ref="A13:B13"/>
    <mergeCell ref="C13:K13"/>
    <mergeCell ref="L13:Q13"/>
    <mergeCell ref="A14:B14"/>
    <mergeCell ref="C14:K14"/>
    <mergeCell ref="A15:B15"/>
    <mergeCell ref="C15:K15"/>
    <mergeCell ref="L15:Q15"/>
    <mergeCell ref="A16:B16"/>
    <mergeCell ref="C16:K16"/>
    <mergeCell ref="A17:B17"/>
    <mergeCell ref="C17:K17"/>
    <mergeCell ref="L17:Q17"/>
    <mergeCell ref="A18:B18"/>
    <mergeCell ref="C18:K18"/>
    <mergeCell ref="A19:B19"/>
    <mergeCell ref="C19:K19"/>
    <mergeCell ref="A21:Q21"/>
    <mergeCell ref="A22:B22"/>
    <mergeCell ref="C22:K22"/>
    <mergeCell ref="A23:B23"/>
    <mergeCell ref="C23:K23"/>
    <mergeCell ref="L23:Q23"/>
    <mergeCell ref="L26:Q26"/>
    <mergeCell ref="A27:B27"/>
    <mergeCell ref="C27:K27"/>
    <mergeCell ref="A29:Q31"/>
    <mergeCell ref="A24:B24"/>
    <mergeCell ref="C24:K24"/>
    <mergeCell ref="A25:B25"/>
    <mergeCell ref="C25:K25"/>
    <mergeCell ref="A26:B26"/>
    <mergeCell ref="C26:K26"/>
  </mergeCells>
  <dataValidations count="4">
    <dataValidation type="list" allowBlank="1" sqref="C11" xr:uid="{00000000-0002-0000-0700-000000000000}">
      <formula1>M41_lst_marca</formula1>
      <formula2>0</formula2>
    </dataValidation>
    <dataValidation type="list" allowBlank="1" sqref="C19" xr:uid="{00000000-0002-0000-0700-000001000000}">
      <formula1>M41_lst_estado</formula1>
      <formula2>0</formula2>
    </dataValidation>
    <dataValidation type="list" allowBlank="1" sqref="C23" xr:uid="{00000000-0002-0000-0700-000002000000}">
      <formula1>M41_lst_nivel</formula1>
      <formula2>0</formula2>
    </dataValidation>
    <dataValidation type="list" allowBlank="1" sqref="C26" xr:uid="{00000000-0002-0000-0700-000003000000}">
      <formula1>M41_lst_si</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Q33"/>
  <sheetViews>
    <sheetView showGridLines="0" zoomScaleNormal="100" workbookViewId="0">
      <selection sqref="A1:Q1"/>
    </sheetView>
  </sheetViews>
  <sheetFormatPr baseColWidth="10" defaultColWidth="8.7109375" defaultRowHeight="15"/>
  <cols>
    <col min="1" max="1" width="30" style="1" customWidth="1"/>
    <col min="2" max="2" width="28.42578125" style="1" customWidth="1"/>
    <col min="3" max="3" width="13" style="1" customWidth="1"/>
    <col min="7" max="7" width="14" style="1" customWidth="1"/>
    <col min="8" max="8" width="44"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178</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21" t="str">
        <f>HYPERLINK("#M41_INICIO!A1","▶  VOLVER A INICIO")</f>
        <v>▶  VOLVER A INICIO</v>
      </c>
      <c r="B4" s="321"/>
      <c r="C4" s="22"/>
      <c r="D4" s="2"/>
      <c r="E4" s="2"/>
      <c r="F4" s="2"/>
      <c r="G4" s="22"/>
      <c r="H4" s="22"/>
      <c r="I4" s="22"/>
      <c r="J4" s="22"/>
      <c r="K4" s="22"/>
      <c r="L4" s="22"/>
      <c r="M4" s="22"/>
      <c r="N4" s="2"/>
      <c r="O4" s="2"/>
      <c r="P4" s="2"/>
      <c r="Q4" s="22"/>
    </row>
    <row r="5" spans="1:17">
      <c r="A5" s="22"/>
      <c r="B5" s="22"/>
      <c r="C5" s="22"/>
      <c r="D5" s="2"/>
      <c r="E5" s="2"/>
      <c r="F5" s="2"/>
      <c r="G5" s="22"/>
      <c r="H5" s="22"/>
      <c r="I5" s="22"/>
      <c r="J5" s="22"/>
      <c r="K5" s="22"/>
      <c r="L5" s="22"/>
      <c r="M5" s="22"/>
      <c r="N5" s="2"/>
      <c r="O5" s="2"/>
      <c r="P5" s="2"/>
      <c r="Q5" s="22"/>
    </row>
    <row r="6" spans="1:17" ht="15" customHeight="1">
      <c r="A6" s="327" t="s">
        <v>179</v>
      </c>
      <c r="B6" s="327"/>
      <c r="C6" s="327"/>
      <c r="D6" s="327"/>
      <c r="E6" s="327"/>
      <c r="F6" s="327"/>
      <c r="G6" s="327"/>
      <c r="H6" s="327"/>
      <c r="I6" s="327"/>
      <c r="J6" s="327"/>
      <c r="K6" s="327"/>
      <c r="L6" s="327"/>
      <c r="M6" s="327"/>
      <c r="N6" s="327"/>
      <c r="O6" s="327"/>
      <c r="P6" s="327"/>
      <c r="Q6" s="327"/>
    </row>
    <row r="7" spans="1:17" ht="15" customHeight="1">
      <c r="A7" s="327"/>
      <c r="B7" s="327"/>
      <c r="C7" s="327"/>
      <c r="D7" s="327"/>
      <c r="E7" s="327"/>
      <c r="F7" s="327"/>
      <c r="G7" s="327"/>
      <c r="H7" s="327"/>
      <c r="I7" s="327"/>
      <c r="J7" s="327"/>
      <c r="K7" s="327"/>
      <c r="L7" s="327"/>
      <c r="M7" s="327"/>
      <c r="N7" s="327"/>
      <c r="O7" s="327"/>
      <c r="P7" s="327"/>
      <c r="Q7" s="327"/>
    </row>
    <row r="8" spans="1:17" ht="15" customHeight="1">
      <c r="A8" s="327"/>
      <c r="B8" s="327"/>
      <c r="C8" s="327"/>
      <c r="D8" s="327"/>
      <c r="E8" s="327"/>
      <c r="F8" s="327"/>
      <c r="G8" s="327"/>
      <c r="H8" s="327"/>
      <c r="I8" s="327"/>
      <c r="J8" s="327"/>
      <c r="K8" s="327"/>
      <c r="L8" s="327"/>
      <c r="M8" s="327"/>
      <c r="N8" s="327"/>
      <c r="O8" s="327"/>
      <c r="P8" s="327"/>
      <c r="Q8" s="327"/>
    </row>
    <row r="9" spans="1:17">
      <c r="A9" s="22"/>
      <c r="B9" s="22"/>
      <c r="C9" s="22"/>
      <c r="D9" s="2"/>
      <c r="E9" s="2"/>
      <c r="F9" s="2"/>
      <c r="G9" s="22"/>
      <c r="H9" s="22"/>
      <c r="I9" s="22"/>
      <c r="J9" s="22"/>
      <c r="K9" s="22"/>
      <c r="L9" s="22"/>
      <c r="M9" s="22"/>
      <c r="N9" s="2"/>
      <c r="O9" s="2"/>
      <c r="P9" s="2"/>
      <c r="Q9" s="22"/>
    </row>
    <row r="10" spans="1:17" ht="19.5" customHeight="1">
      <c r="A10" s="317" t="s">
        <v>180</v>
      </c>
      <c r="B10" s="317"/>
      <c r="C10" s="317"/>
      <c r="D10" s="317"/>
      <c r="E10" s="317"/>
      <c r="F10" s="317"/>
      <c r="G10" s="317"/>
      <c r="H10" s="317"/>
      <c r="I10" s="317"/>
      <c r="J10" s="317"/>
      <c r="K10" s="317"/>
      <c r="L10" s="317"/>
      <c r="M10" s="317"/>
      <c r="N10" s="317"/>
      <c r="O10" s="317"/>
      <c r="P10" s="317"/>
      <c r="Q10" s="317"/>
    </row>
    <row r="11" spans="1:17" ht="30" customHeight="1">
      <c r="A11" s="23" t="s">
        <v>181</v>
      </c>
      <c r="B11" s="23" t="s">
        <v>182</v>
      </c>
      <c r="C11" s="23" t="s">
        <v>183</v>
      </c>
      <c r="D11" s="23" t="s">
        <v>184</v>
      </c>
      <c r="E11" s="23" t="s">
        <v>185</v>
      </c>
      <c r="F11" s="23" t="s">
        <v>186</v>
      </c>
      <c r="G11" s="23" t="s">
        <v>187</v>
      </c>
      <c r="H11" s="23" t="s">
        <v>188</v>
      </c>
      <c r="I11" s="22"/>
      <c r="J11" s="22"/>
      <c r="K11" s="22"/>
      <c r="L11" s="22"/>
      <c r="M11" s="22"/>
      <c r="N11" s="2"/>
      <c r="O11" s="2"/>
      <c r="P11" s="2"/>
      <c r="Q11" s="22"/>
    </row>
    <row r="12" spans="1:17" ht="15" customHeight="1">
      <c r="A12" s="24" t="s">
        <v>189</v>
      </c>
      <c r="B12" s="29">
        <v>10</v>
      </c>
      <c r="C12" s="29">
        <v>10</v>
      </c>
      <c r="D12" s="29">
        <v>10.1</v>
      </c>
      <c r="E12" s="29">
        <v>10</v>
      </c>
      <c r="F12" s="25">
        <f>IF(COUNT(C12:E12)=0,"ND",AVERAGE(C12:E12))</f>
        <v>10.033333333333333</v>
      </c>
      <c r="G12" s="25">
        <f>IF(OR(NOT(ISNUMBER(F12)),NOT(ISNUMBER(B12))),"ND",F12-B12)</f>
        <v>3.3333333333333215E-2</v>
      </c>
      <c r="H12" s="26" t="str">
        <f>IF(NOT(ISNUMBER(G12)),"ND",IF(ABS(G12)&lt;=M41_u_patron,"Dentro de tolerancia","FUERA DE TOLERANCIA: el instrumento requiere ajuste"))</f>
        <v>Dentro de tolerancia</v>
      </c>
      <c r="I12" s="22"/>
      <c r="J12" s="22"/>
      <c r="K12" s="22"/>
      <c r="L12" s="22"/>
      <c r="M12" s="22"/>
      <c r="N12" s="2"/>
      <c r="O12" s="2"/>
      <c r="P12" s="2"/>
      <c r="Q12" s="22"/>
    </row>
    <row r="13" spans="1:17" ht="15" customHeight="1">
      <c r="A13" s="24" t="s">
        <v>190</v>
      </c>
      <c r="B13" s="29">
        <v>20</v>
      </c>
      <c r="C13" s="29">
        <v>20</v>
      </c>
      <c r="D13" s="29">
        <v>20</v>
      </c>
      <c r="E13" s="29">
        <v>20.100000000000001</v>
      </c>
      <c r="F13" s="25">
        <f>IF(COUNT(C13:E13)=0,"ND",AVERAGE(C13:E13))</f>
        <v>20.033333333333335</v>
      </c>
      <c r="G13" s="25">
        <f>IF(OR(NOT(ISNUMBER(F13)),NOT(ISNUMBER(B13))),"ND",F13-B13)</f>
        <v>3.3333333333334991E-2</v>
      </c>
      <c r="H13" s="26" t="str">
        <f>IF(NOT(ISNUMBER(G13)),"ND",IF(ABS(G13)&lt;=M41_u_patron,"Dentro de tolerancia","FUERA DE TOLERANCIA: el instrumento requiere ajuste"))</f>
        <v>Dentro de tolerancia</v>
      </c>
      <c r="I13" s="22"/>
      <c r="J13" s="22"/>
      <c r="K13" s="22"/>
      <c r="L13" s="22"/>
      <c r="M13" s="22"/>
      <c r="N13" s="2"/>
      <c r="O13" s="2"/>
      <c r="P13" s="2"/>
      <c r="Q13" s="22"/>
    </row>
    <row r="14" spans="1:17" ht="15" customHeight="1">
      <c r="A14" s="24" t="s">
        <v>191</v>
      </c>
      <c r="B14" s="29">
        <v>40</v>
      </c>
      <c r="C14" s="29">
        <v>40.200000000000003</v>
      </c>
      <c r="D14" s="29">
        <v>40.1</v>
      </c>
      <c r="E14" s="29">
        <v>40.200000000000003</v>
      </c>
      <c r="F14" s="25">
        <f>IF(COUNT(C14:E14)=0,"ND",AVERAGE(C14:E14))</f>
        <v>40.166666666666671</v>
      </c>
      <c r="G14" s="25">
        <f>IF(OR(NOT(ISNUMBER(F14)),NOT(ISNUMBER(B14))),"ND",F14-B14)</f>
        <v>0.1666666666666714</v>
      </c>
      <c r="H14" s="26" t="str">
        <f>IF(NOT(ISNUMBER(G14)),"ND",IF(ABS(G14)&lt;=M41_u_patron,"Dentro de tolerancia","FUERA DE TOLERANCIA: el instrumento requiere ajuste"))</f>
        <v>Dentro de tolerancia</v>
      </c>
      <c r="I14" s="22"/>
      <c r="J14" s="22"/>
      <c r="K14" s="22"/>
      <c r="L14" s="22"/>
      <c r="M14" s="22"/>
      <c r="N14" s="2"/>
      <c r="O14" s="2"/>
      <c r="P14" s="2"/>
      <c r="Q14" s="22"/>
    </row>
    <row r="15" spans="1:17" ht="15" customHeight="1">
      <c r="A15" s="24" t="s">
        <v>192</v>
      </c>
      <c r="B15" s="29">
        <v>60</v>
      </c>
      <c r="C15" s="29">
        <v>60.1</v>
      </c>
      <c r="D15" s="29">
        <v>60.2</v>
      </c>
      <c r="E15" s="29">
        <v>60.1</v>
      </c>
      <c r="F15" s="25">
        <f>IF(COUNT(C15:E15)=0,"ND",AVERAGE(C15:E15))</f>
        <v>60.133333333333333</v>
      </c>
      <c r="G15" s="25">
        <f>IF(OR(NOT(ISNUMBER(F15)),NOT(ISNUMBER(B15))),"ND",F15-B15)</f>
        <v>0.13333333333333286</v>
      </c>
      <c r="H15" s="26" t="str">
        <f>IF(NOT(ISNUMBER(G15)),"ND",IF(ABS(G15)&lt;=M41_u_patron,"Dentro de tolerancia","FUERA DE TOLERANCIA: el instrumento requiere ajuste"))</f>
        <v>Dentro de tolerancia</v>
      </c>
      <c r="I15" s="22"/>
      <c r="J15" s="22"/>
      <c r="K15" s="22"/>
      <c r="L15" s="22"/>
      <c r="M15" s="22"/>
      <c r="N15" s="2"/>
      <c r="O15" s="2"/>
      <c r="P15" s="2"/>
      <c r="Q15" s="22"/>
    </row>
    <row r="16" spans="1:17" ht="15" customHeight="1">
      <c r="A16" s="334" t="s">
        <v>193</v>
      </c>
      <c r="B16" s="334"/>
      <c r="C16" s="334"/>
      <c r="D16" s="334"/>
      <c r="E16" s="334"/>
      <c r="F16" s="334"/>
      <c r="G16" s="27">
        <f>IF(COUNT(G12:G15)=0,"ND",AVERAGE(G12:G15))</f>
        <v>9.1666666666668117E-2</v>
      </c>
      <c r="H16" s="28" t="str">
        <f>IF(NOT(ISNUMBER(G16)),"ND",IF(ABS(G16)&lt;=M41_u_patron,"Instrumento apto para uso","Instrumento NO apto: derive a ajuste antes de seguir midiendo"))</f>
        <v>Instrumento apto para uso</v>
      </c>
      <c r="I16" s="22"/>
      <c r="J16" s="22"/>
      <c r="K16" s="22"/>
      <c r="L16" s="22"/>
      <c r="M16" s="22"/>
      <c r="N16" s="2"/>
      <c r="O16" s="2"/>
      <c r="P16" s="2"/>
      <c r="Q16" s="22"/>
    </row>
    <row r="17" spans="1:17">
      <c r="A17" s="22"/>
      <c r="B17" s="22"/>
      <c r="C17" s="22"/>
      <c r="D17" s="2"/>
      <c r="E17" s="2"/>
      <c r="F17" s="2"/>
      <c r="G17" s="22"/>
      <c r="H17" s="22"/>
      <c r="I17" s="22"/>
      <c r="J17" s="22"/>
      <c r="K17" s="22"/>
      <c r="L17" s="22"/>
      <c r="M17" s="22"/>
      <c r="N17" s="2"/>
      <c r="O17" s="2"/>
      <c r="P17" s="2"/>
      <c r="Q17" s="22"/>
    </row>
    <row r="18" spans="1:17" ht="19.5" customHeight="1">
      <c r="A18" s="317" t="s">
        <v>194</v>
      </c>
      <c r="B18" s="317"/>
      <c r="C18" s="317"/>
      <c r="D18" s="317"/>
      <c r="E18" s="317"/>
      <c r="F18" s="317"/>
      <c r="G18" s="317"/>
      <c r="H18" s="317"/>
      <c r="I18" s="317"/>
      <c r="J18" s="317"/>
      <c r="K18" s="317"/>
      <c r="L18" s="317"/>
      <c r="M18" s="317"/>
      <c r="N18" s="317"/>
      <c r="O18" s="317"/>
      <c r="P18" s="317"/>
      <c r="Q18" s="317"/>
    </row>
    <row r="19" spans="1:17" ht="18" customHeight="1">
      <c r="A19" s="319" t="s">
        <v>195</v>
      </c>
      <c r="B19" s="319"/>
      <c r="C19" s="332" t="s">
        <v>175</v>
      </c>
      <c r="D19" s="332"/>
      <c r="E19" s="332"/>
      <c r="F19" s="332"/>
      <c r="G19" s="332"/>
      <c r="H19" s="332"/>
      <c r="I19" s="22"/>
      <c r="J19" s="22"/>
      <c r="K19" s="22"/>
      <c r="L19" s="22"/>
      <c r="M19" s="22"/>
      <c r="N19" s="2"/>
      <c r="O19" s="2"/>
      <c r="P19" s="2"/>
      <c r="Q19" s="22"/>
    </row>
    <row r="20" spans="1:17" ht="18" customHeight="1">
      <c r="A20" s="319" t="s">
        <v>196</v>
      </c>
      <c r="B20" s="319"/>
      <c r="C20" s="332" t="s">
        <v>175</v>
      </c>
      <c r="D20" s="332"/>
      <c r="E20" s="332"/>
      <c r="F20" s="332"/>
      <c r="G20" s="332"/>
      <c r="H20" s="332"/>
      <c r="I20" s="22"/>
      <c r="J20" s="22"/>
      <c r="K20" s="22"/>
      <c r="L20" s="22"/>
      <c r="M20" s="22"/>
      <c r="N20" s="2"/>
      <c r="O20" s="2"/>
      <c r="P20" s="2"/>
      <c r="Q20" s="22"/>
    </row>
    <row r="21" spans="1:17" ht="24" customHeight="1">
      <c r="A21" s="319" t="s">
        <v>197</v>
      </c>
      <c r="B21" s="319"/>
      <c r="C21" s="332" t="s">
        <v>175</v>
      </c>
      <c r="D21" s="332"/>
      <c r="E21" s="332"/>
      <c r="F21" s="332"/>
      <c r="G21" s="332"/>
      <c r="H21" s="332"/>
      <c r="I21" s="22"/>
      <c r="J21" s="22"/>
      <c r="K21" s="22"/>
      <c r="L21" s="22"/>
      <c r="M21" s="22"/>
      <c r="N21" s="2"/>
      <c r="O21" s="2"/>
      <c r="P21" s="2"/>
      <c r="Q21" s="22"/>
    </row>
    <row r="22" spans="1:17" ht="27.75" customHeight="1">
      <c r="A22" s="331" t="s">
        <v>198</v>
      </c>
      <c r="B22" s="331"/>
      <c r="C22" s="332" t="s">
        <v>175</v>
      </c>
      <c r="D22" s="332"/>
      <c r="E22" s="332"/>
      <c r="F22" s="332"/>
      <c r="G22" s="332"/>
      <c r="H22" s="332"/>
      <c r="I22" s="22"/>
      <c r="J22" s="22"/>
      <c r="K22" s="22"/>
      <c r="L22" s="22"/>
      <c r="M22" s="22"/>
      <c r="N22" s="2"/>
      <c r="O22" s="2"/>
      <c r="P22" s="2"/>
      <c r="Q22" s="22"/>
    </row>
    <row r="23" spans="1:17" ht="27.75" customHeight="1">
      <c r="A23" s="319" t="s">
        <v>199</v>
      </c>
      <c r="B23" s="319"/>
      <c r="C23" s="332" t="s">
        <v>175</v>
      </c>
      <c r="D23" s="332"/>
      <c r="E23" s="332"/>
      <c r="F23" s="332"/>
      <c r="G23" s="332"/>
      <c r="H23" s="332"/>
      <c r="I23" s="22"/>
      <c r="J23" s="22"/>
      <c r="K23" s="22"/>
      <c r="L23" s="22"/>
      <c r="M23" s="22"/>
      <c r="N23" s="2"/>
      <c r="O23" s="2"/>
      <c r="P23" s="2"/>
      <c r="Q23" s="22"/>
    </row>
    <row r="24" spans="1:17" ht="29.25" customHeight="1">
      <c r="A24" s="331" t="s">
        <v>200</v>
      </c>
      <c r="B24" s="331"/>
      <c r="C24" s="332" t="s">
        <v>201</v>
      </c>
      <c r="D24" s="332"/>
      <c r="E24" s="332"/>
      <c r="F24" s="332"/>
      <c r="G24" s="332"/>
      <c r="H24" s="332"/>
      <c r="I24" s="22"/>
      <c r="J24" s="22"/>
      <c r="K24" s="22"/>
      <c r="L24" s="22"/>
      <c r="M24" s="22"/>
      <c r="N24" s="2"/>
      <c r="O24" s="2"/>
      <c r="P24" s="2"/>
      <c r="Q24" s="22"/>
    </row>
    <row r="25" spans="1:17">
      <c r="A25" s="22"/>
      <c r="B25" s="22"/>
      <c r="C25" s="22"/>
      <c r="D25" s="2"/>
      <c r="E25" s="2"/>
      <c r="F25" s="2"/>
      <c r="G25" s="22"/>
      <c r="H25" s="22"/>
      <c r="I25" s="22"/>
      <c r="J25" s="22"/>
      <c r="K25" s="22"/>
      <c r="L25" s="22"/>
      <c r="M25" s="22"/>
      <c r="N25" s="2"/>
      <c r="O25" s="2"/>
      <c r="P25" s="2"/>
      <c r="Q25" s="22"/>
    </row>
    <row r="26" spans="1:17" ht="18" customHeight="1">
      <c r="A26" s="319" t="s">
        <v>202</v>
      </c>
      <c r="B26" s="319"/>
      <c r="C26" s="333">
        <f>COUNTIF(C19:C23,"Sí")+COUNTIF(C24,"No")</f>
        <v>6</v>
      </c>
      <c r="D26" s="333"/>
      <c r="E26" s="333"/>
      <c r="F26" s="333"/>
      <c r="G26" s="333"/>
      <c r="H26" s="333"/>
      <c r="I26" s="333"/>
      <c r="J26" s="333"/>
      <c r="K26" s="333"/>
      <c r="L26" s="325" t="s">
        <v>203</v>
      </c>
      <c r="M26" s="325"/>
      <c r="N26" s="325"/>
      <c r="O26" s="325"/>
      <c r="P26" s="325"/>
      <c r="Q26" s="325"/>
    </row>
    <row r="27" spans="1:17" ht="27.75" customHeight="1">
      <c r="A27" s="319" t="s">
        <v>204</v>
      </c>
      <c r="B27" s="319"/>
      <c r="C27" s="329" t="str">
        <f>IF(C26=6,"Revisión mecánica conforme en los seis puntos.","REVISAR: "&amp;(6-C26)&amp;" punto(s) no conforme(s). Resuélvalos antes de usar el instrumento.")</f>
        <v>Revisión mecánica conforme en los seis puntos.</v>
      </c>
      <c r="D27" s="329"/>
      <c r="E27" s="329"/>
      <c r="F27" s="329"/>
      <c r="G27" s="329"/>
      <c r="H27" s="329"/>
      <c r="I27" s="329"/>
      <c r="J27" s="329"/>
      <c r="K27" s="329"/>
      <c r="L27" s="22"/>
      <c r="M27" s="22"/>
      <c r="N27" s="2"/>
      <c r="O27" s="2"/>
      <c r="P27" s="2"/>
      <c r="Q27" s="22"/>
    </row>
    <row r="28" spans="1:17" ht="25.5" customHeight="1">
      <c r="A28" s="319" t="s">
        <v>205</v>
      </c>
      <c r="B28" s="319"/>
      <c r="C28" s="330" t="str">
        <f>IF(OR(NOT(ISNUMBER(G16)),NOT(ISNUMBER(C26))),"ND",IF(AND(ABS(G16)&lt;=M41_u_patron,C26=6),"APTO PARA USO","NO APTO: corrija los hallazgos antes de continuar midiendo"))</f>
        <v>APTO PARA USO</v>
      </c>
      <c r="D28" s="330"/>
      <c r="E28" s="330"/>
      <c r="F28" s="330"/>
      <c r="G28" s="330"/>
      <c r="H28" s="330"/>
      <c r="I28" s="330"/>
      <c r="J28" s="330"/>
      <c r="K28" s="330"/>
      <c r="L28" s="22"/>
      <c r="M28" s="22"/>
      <c r="N28" s="2"/>
      <c r="O28" s="2"/>
      <c r="P28" s="2"/>
      <c r="Q28" s="22"/>
    </row>
    <row r="29" spans="1:17">
      <c r="A29" s="22"/>
      <c r="B29" s="22"/>
      <c r="C29" s="22"/>
      <c r="D29" s="2"/>
      <c r="E29" s="2"/>
      <c r="F29" s="2"/>
      <c r="G29" s="22"/>
      <c r="H29" s="22"/>
      <c r="I29" s="22"/>
      <c r="J29" s="22"/>
      <c r="K29" s="22"/>
      <c r="L29" s="22"/>
      <c r="M29" s="22"/>
      <c r="N29" s="2"/>
      <c r="O29" s="2"/>
      <c r="P29" s="2"/>
      <c r="Q29" s="22"/>
    </row>
    <row r="30" spans="1:17" ht="15" customHeight="1">
      <c r="A30" s="327" t="s">
        <v>206</v>
      </c>
      <c r="B30" s="327"/>
      <c r="C30" s="327"/>
      <c r="D30" s="327"/>
      <c r="E30" s="327"/>
      <c r="F30" s="327"/>
      <c r="G30" s="327"/>
      <c r="H30" s="327"/>
      <c r="I30" s="327"/>
      <c r="J30" s="327"/>
      <c r="K30" s="327"/>
      <c r="L30" s="327"/>
      <c r="M30" s="327"/>
      <c r="N30" s="327"/>
      <c r="O30" s="327"/>
      <c r="P30" s="327"/>
      <c r="Q30" s="327"/>
    </row>
    <row r="31" spans="1:17" ht="15" customHeight="1">
      <c r="A31" s="327"/>
      <c r="B31" s="327"/>
      <c r="C31" s="327"/>
      <c r="D31" s="327"/>
      <c r="E31" s="327"/>
      <c r="F31" s="327"/>
      <c r="G31" s="327"/>
      <c r="H31" s="327"/>
      <c r="I31" s="327"/>
      <c r="J31" s="327"/>
      <c r="K31" s="327"/>
      <c r="L31" s="327"/>
      <c r="M31" s="327"/>
      <c r="N31" s="327"/>
      <c r="O31" s="327"/>
      <c r="P31" s="327"/>
      <c r="Q31" s="327"/>
    </row>
    <row r="32" spans="1:17" ht="15" customHeight="1">
      <c r="A32" s="327"/>
      <c r="B32" s="327"/>
      <c r="C32" s="327"/>
      <c r="D32" s="327"/>
      <c r="E32" s="327"/>
      <c r="F32" s="327"/>
      <c r="G32" s="327"/>
      <c r="H32" s="327"/>
      <c r="I32" s="327"/>
      <c r="J32" s="327"/>
      <c r="K32" s="327"/>
      <c r="L32" s="327"/>
      <c r="M32" s="327"/>
      <c r="N32" s="327"/>
      <c r="O32" s="327"/>
      <c r="P32" s="327"/>
      <c r="Q32" s="327"/>
    </row>
    <row r="33" spans="1:17" ht="15" customHeight="1">
      <c r="A33" s="327"/>
      <c r="B33" s="327"/>
      <c r="C33" s="327"/>
      <c r="D33" s="327"/>
      <c r="E33" s="327"/>
      <c r="F33" s="327"/>
      <c r="G33" s="327"/>
      <c r="H33" s="327"/>
      <c r="I33" s="327"/>
      <c r="J33" s="327"/>
      <c r="K33" s="327"/>
      <c r="L33" s="327"/>
      <c r="M33" s="327"/>
      <c r="N33" s="327"/>
      <c r="O33" s="327"/>
      <c r="P33" s="327"/>
      <c r="Q33" s="327"/>
    </row>
  </sheetData>
  <sheetProtection algorithmName="SHA-512" hashValue="X9mJC+ygdFStwgiThF1Aeyd2cwuA/Qji2NG5Cj+gN6i60PTImc4GD8NP4nGVFkHY8vZRNP3q/XsGz4LoxHCPDA==" saltValue="/gf5Q4QXHw0VVJoaRThmUg==" spinCount="100000" sheet="1" objects="1" scenarios="1"/>
  <mergeCells count="27">
    <mergeCell ref="A1:Q1"/>
    <mergeCell ref="A2:Q3"/>
    <mergeCell ref="A4:B4"/>
    <mergeCell ref="A6:Q8"/>
    <mergeCell ref="A10:Q10"/>
    <mergeCell ref="A16:F16"/>
    <mergeCell ref="A18:Q18"/>
    <mergeCell ref="A19:B19"/>
    <mergeCell ref="C19:H19"/>
    <mergeCell ref="A20:B20"/>
    <mergeCell ref="C20:H20"/>
    <mergeCell ref="A21:B21"/>
    <mergeCell ref="C21:H21"/>
    <mergeCell ref="A22:B22"/>
    <mergeCell ref="C22:H22"/>
    <mergeCell ref="A23:B23"/>
    <mergeCell ref="C23:H23"/>
    <mergeCell ref="A24:B24"/>
    <mergeCell ref="C24:H24"/>
    <mergeCell ref="A26:B26"/>
    <mergeCell ref="C26:K26"/>
    <mergeCell ref="L26:Q26"/>
    <mergeCell ref="A27:B27"/>
    <mergeCell ref="C27:K27"/>
    <mergeCell ref="A28:B28"/>
    <mergeCell ref="C28:K28"/>
    <mergeCell ref="A30:Q33"/>
  </mergeCells>
  <dataValidations count="1">
    <dataValidation type="list" allowBlank="1" sqref="C19:C24" xr:uid="{00000000-0002-0000-0800-000000000000}">
      <formula1>M41_lst_si</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Q35"/>
  <sheetViews>
    <sheetView showGridLines="0" zoomScaleNormal="100" workbookViewId="0">
      <selection sqref="A1:Q1"/>
    </sheetView>
  </sheetViews>
  <sheetFormatPr baseColWidth="10" defaultColWidth="8.7109375" defaultRowHeight="15"/>
  <cols>
    <col min="1" max="1" width="30" style="1" customWidth="1"/>
    <col min="2" max="2" width="56" style="1" customWidth="1"/>
    <col min="3" max="3" width="30" style="1" customWidth="1"/>
    <col min="4" max="4" width="34" style="1" customWidth="1"/>
    <col min="5" max="5"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207</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21" t="str">
        <f>HYPERLINK("#M41_INICIO!A1","▶  VOLVER A INICIO")</f>
        <v>▶  VOLVER A INICIO</v>
      </c>
      <c r="B4" s="321"/>
      <c r="C4" s="22"/>
      <c r="D4" s="22"/>
      <c r="E4" s="22"/>
      <c r="F4" s="22"/>
      <c r="G4" s="2"/>
      <c r="H4" s="22"/>
      <c r="I4" s="22"/>
      <c r="J4" s="22"/>
      <c r="K4" s="22"/>
      <c r="L4" s="22"/>
      <c r="M4" s="22"/>
      <c r="N4" s="2"/>
      <c r="O4" s="2"/>
      <c r="P4" s="2"/>
      <c r="Q4" s="22"/>
    </row>
    <row r="5" spans="1:17">
      <c r="A5" s="22"/>
      <c r="B5" s="22"/>
      <c r="C5" s="22"/>
      <c r="D5" s="22"/>
      <c r="E5" s="22"/>
      <c r="F5" s="22"/>
      <c r="G5" s="2"/>
      <c r="H5" s="22"/>
      <c r="I5" s="22"/>
      <c r="J5" s="22"/>
      <c r="K5" s="22"/>
      <c r="L5" s="22"/>
      <c r="M5" s="22"/>
      <c r="N5" s="2"/>
      <c r="O5" s="2"/>
      <c r="P5" s="2"/>
      <c r="Q5" s="22"/>
    </row>
    <row r="6" spans="1:17" ht="19.5" customHeight="1">
      <c r="A6" s="317" t="s">
        <v>208</v>
      </c>
      <c r="B6" s="317"/>
      <c r="C6" s="317"/>
      <c r="D6" s="317"/>
      <c r="E6" s="317"/>
      <c r="F6" s="317"/>
      <c r="G6" s="317"/>
      <c r="H6" s="317"/>
      <c r="I6" s="317"/>
      <c r="J6" s="317"/>
      <c r="K6" s="317"/>
      <c r="L6" s="317"/>
      <c r="M6" s="317"/>
      <c r="N6" s="317"/>
      <c r="O6" s="317"/>
      <c r="P6" s="317"/>
      <c r="Q6" s="317"/>
    </row>
    <row r="7" spans="1:17" ht="30" customHeight="1">
      <c r="A7" s="314">
        <v>1</v>
      </c>
      <c r="B7" s="314"/>
      <c r="C7" s="336" t="s">
        <v>209</v>
      </c>
      <c r="D7" s="336"/>
      <c r="E7" s="336"/>
      <c r="F7" s="336"/>
      <c r="G7" s="336"/>
      <c r="H7" s="336"/>
      <c r="I7" s="336"/>
      <c r="J7" s="336"/>
      <c r="K7" s="336"/>
      <c r="L7" s="336"/>
      <c r="M7" s="336"/>
      <c r="N7" s="336"/>
      <c r="O7" s="336"/>
      <c r="P7" s="336"/>
      <c r="Q7" s="336"/>
    </row>
    <row r="8" spans="1:17" ht="30" customHeight="1">
      <c r="A8" s="314">
        <v>2</v>
      </c>
      <c r="B8" s="314"/>
      <c r="C8" s="336" t="s">
        <v>210</v>
      </c>
      <c r="D8" s="336"/>
      <c r="E8" s="336"/>
      <c r="F8" s="336"/>
      <c r="G8" s="336"/>
      <c r="H8" s="336"/>
      <c r="I8" s="336"/>
      <c r="J8" s="336"/>
      <c r="K8" s="336"/>
      <c r="L8" s="336"/>
      <c r="M8" s="336"/>
      <c r="N8" s="336"/>
      <c r="O8" s="336"/>
      <c r="P8" s="336"/>
      <c r="Q8" s="336"/>
    </row>
    <row r="9" spans="1:17" ht="30" customHeight="1">
      <c r="A9" s="314">
        <v>3</v>
      </c>
      <c r="B9" s="314"/>
      <c r="C9" s="336" t="s">
        <v>211</v>
      </c>
      <c r="D9" s="336"/>
      <c r="E9" s="336"/>
      <c r="F9" s="336"/>
      <c r="G9" s="336"/>
      <c r="H9" s="336"/>
      <c r="I9" s="336"/>
      <c r="J9" s="336"/>
      <c r="K9" s="336"/>
      <c r="L9" s="336"/>
      <c r="M9" s="336"/>
      <c r="N9" s="336"/>
      <c r="O9" s="336"/>
      <c r="P9" s="336"/>
      <c r="Q9" s="336"/>
    </row>
    <row r="10" spans="1:17" ht="30" customHeight="1">
      <c r="A10" s="314">
        <v>4</v>
      </c>
      <c r="B10" s="314"/>
      <c r="C10" s="336" t="s">
        <v>212</v>
      </c>
      <c r="D10" s="336"/>
      <c r="E10" s="336"/>
      <c r="F10" s="336"/>
      <c r="G10" s="336"/>
      <c r="H10" s="336"/>
      <c r="I10" s="336"/>
      <c r="J10" s="336"/>
      <c r="K10" s="336"/>
      <c r="L10" s="336"/>
      <c r="M10" s="336"/>
      <c r="N10" s="336"/>
      <c r="O10" s="336"/>
      <c r="P10" s="336"/>
      <c r="Q10" s="336"/>
    </row>
    <row r="11" spans="1:17" ht="30" customHeight="1">
      <c r="A11" s="314">
        <v>5</v>
      </c>
      <c r="B11" s="314"/>
      <c r="C11" s="336" t="s">
        <v>213</v>
      </c>
      <c r="D11" s="336"/>
      <c r="E11" s="336"/>
      <c r="F11" s="336"/>
      <c r="G11" s="336"/>
      <c r="H11" s="336"/>
      <c r="I11" s="336"/>
      <c r="J11" s="336"/>
      <c r="K11" s="336"/>
      <c r="L11" s="336"/>
      <c r="M11" s="336"/>
      <c r="N11" s="336"/>
      <c r="O11" s="336"/>
      <c r="P11" s="336"/>
      <c r="Q11" s="336"/>
    </row>
    <row r="12" spans="1:17" ht="30" customHeight="1">
      <c r="A12" s="314">
        <v>6</v>
      </c>
      <c r="B12" s="314"/>
      <c r="C12" s="336" t="s">
        <v>214</v>
      </c>
      <c r="D12" s="336"/>
      <c r="E12" s="336"/>
      <c r="F12" s="336"/>
      <c r="G12" s="336"/>
      <c r="H12" s="336"/>
      <c r="I12" s="336"/>
      <c r="J12" s="336"/>
      <c r="K12" s="336"/>
      <c r="L12" s="336"/>
      <c r="M12" s="336"/>
      <c r="N12" s="336"/>
      <c r="O12" s="336"/>
      <c r="P12" s="336"/>
      <c r="Q12" s="336"/>
    </row>
    <row r="13" spans="1:17">
      <c r="A13" s="22"/>
      <c r="B13" s="22"/>
      <c r="C13" s="22"/>
      <c r="D13" s="22"/>
      <c r="E13" s="22"/>
      <c r="F13" s="22"/>
      <c r="G13" s="2"/>
      <c r="H13" s="22"/>
      <c r="I13" s="22"/>
      <c r="J13" s="22"/>
      <c r="K13" s="22"/>
      <c r="L13" s="22"/>
      <c r="M13" s="22"/>
      <c r="N13" s="2"/>
      <c r="O13" s="2"/>
      <c r="P13" s="2"/>
      <c r="Q13" s="22"/>
    </row>
    <row r="14" spans="1:17" ht="19.5" customHeight="1">
      <c r="A14" s="317" t="s">
        <v>215</v>
      </c>
      <c r="B14" s="317"/>
      <c r="C14" s="317"/>
      <c r="D14" s="317"/>
      <c r="E14" s="317"/>
      <c r="F14" s="317"/>
      <c r="G14" s="317"/>
      <c r="H14" s="317"/>
      <c r="I14" s="317"/>
      <c r="J14" s="317"/>
      <c r="K14" s="317"/>
      <c r="L14" s="317"/>
      <c r="M14" s="317"/>
      <c r="N14" s="317"/>
      <c r="O14" s="317"/>
      <c r="P14" s="317"/>
      <c r="Q14" s="317"/>
    </row>
    <row r="15" spans="1:17" ht="27.75" customHeight="1">
      <c r="A15" s="23" t="s">
        <v>36</v>
      </c>
      <c r="B15" s="23" t="s">
        <v>216</v>
      </c>
      <c r="C15" s="23" t="s">
        <v>217</v>
      </c>
      <c r="D15" s="23" t="s">
        <v>218</v>
      </c>
      <c r="E15" s="22"/>
      <c r="F15" s="22"/>
      <c r="G15" s="2"/>
      <c r="H15" s="22"/>
      <c r="I15" s="22"/>
      <c r="J15" s="22"/>
      <c r="K15" s="22"/>
      <c r="L15" s="22"/>
      <c r="M15" s="22"/>
      <c r="N15" s="2"/>
      <c r="O15" s="2"/>
      <c r="P15" s="2"/>
      <c r="Q15" s="22"/>
    </row>
    <row r="16" spans="1:17" ht="25.5" customHeight="1">
      <c r="A16" s="30" t="str">
        <f>INDEX(M41_rng_sitios,1,1)</f>
        <v>Tríceps</v>
      </c>
      <c r="B16" s="30" t="str">
        <f>INDEX(M41_rng_sitios,1,2)</f>
        <v>Punto medio entre acromion y olécranon, cara posterior del brazo</v>
      </c>
      <c r="C16" s="30" t="str">
        <f>INDEX(M41_rng_sitios,1,3)</f>
        <v>Vertical</v>
      </c>
      <c r="D16" s="30" t="str">
        <f>INDEX(M41_rng_sitios,1,4)</f>
        <v>De pie, brazo relajado</v>
      </c>
      <c r="E16" s="22"/>
      <c r="F16" s="22"/>
      <c r="G16" s="2"/>
      <c r="H16" s="22"/>
      <c r="I16" s="22"/>
      <c r="J16" s="22"/>
      <c r="K16" s="22"/>
      <c r="L16" s="22"/>
      <c r="M16" s="22"/>
      <c r="N16" s="2"/>
      <c r="O16" s="2"/>
      <c r="P16" s="2"/>
      <c r="Q16" s="22"/>
    </row>
    <row r="17" spans="1:17" ht="25.5" customHeight="1">
      <c r="A17" s="30" t="str">
        <f>INDEX(M41_rng_sitios,2,1)</f>
        <v>Subescapular</v>
      </c>
      <c r="B17" s="30" t="str">
        <f>INDEX(M41_rng_sitios,2,2)</f>
        <v>Dos centímetros por debajo del ángulo inferior de la escápula</v>
      </c>
      <c r="C17" s="30" t="str">
        <f>INDEX(M41_rng_sitios,2,3)</f>
        <v>Oblicua, hacia abajo y afuera</v>
      </c>
      <c r="D17" s="30" t="str">
        <f>INDEX(M41_rng_sitios,2,4)</f>
        <v>De pie, brazos a los lados</v>
      </c>
      <c r="E17" s="22"/>
      <c r="F17" s="22"/>
      <c r="G17" s="2"/>
      <c r="H17" s="22"/>
      <c r="I17" s="22"/>
      <c r="J17" s="22"/>
      <c r="K17" s="22"/>
      <c r="L17" s="22"/>
      <c r="M17" s="22"/>
      <c r="N17" s="2"/>
      <c r="O17" s="2"/>
      <c r="P17" s="2"/>
      <c r="Q17" s="22"/>
    </row>
    <row r="18" spans="1:17" ht="25.5" customHeight="1">
      <c r="A18" s="30" t="str">
        <f>INDEX(M41_rng_sitios,3,1)</f>
        <v>Bíceps</v>
      </c>
      <c r="B18" s="30" t="str">
        <f>INDEX(M41_rng_sitios,3,2)</f>
        <v>Punto medio del brazo, cara anterior, sobre el vientre del bíceps</v>
      </c>
      <c r="C18" s="30" t="str">
        <f>INDEX(M41_rng_sitios,3,3)</f>
        <v>Vertical</v>
      </c>
      <c r="D18" s="30" t="str">
        <f>INDEX(M41_rng_sitios,3,4)</f>
        <v>De pie, brazo relajado y supinado</v>
      </c>
      <c r="E18" s="22"/>
      <c r="F18" s="22"/>
      <c r="G18" s="2"/>
      <c r="H18" s="22"/>
      <c r="I18" s="22"/>
      <c r="J18" s="22"/>
      <c r="K18" s="22"/>
      <c r="L18" s="22"/>
      <c r="M18" s="22"/>
      <c r="N18" s="2"/>
      <c r="O18" s="2"/>
      <c r="P18" s="2"/>
      <c r="Q18" s="22"/>
    </row>
    <row r="19" spans="1:17" ht="25.5" customHeight="1">
      <c r="A19" s="30" t="str">
        <f>INDEX(M41_rng_sitios,4,1)</f>
        <v>Suprailíaco</v>
      </c>
      <c r="B19" s="30" t="str">
        <f>INDEX(M41_rng_sitios,4,2)</f>
        <v>Sobre la cresta ilíaca, en la línea axilar media</v>
      </c>
      <c r="C19" s="30" t="str">
        <f>INDEX(M41_rng_sitios,4,3)</f>
        <v>Oblicua, siguiendo la cresta</v>
      </c>
      <c r="D19" s="30" t="str">
        <f>INDEX(M41_rng_sitios,4,4)</f>
        <v>De pie, brazo separado</v>
      </c>
      <c r="E19" s="22"/>
      <c r="F19" s="22"/>
      <c r="G19" s="2"/>
      <c r="H19" s="22"/>
      <c r="I19" s="22"/>
      <c r="J19" s="22"/>
      <c r="K19" s="22"/>
      <c r="L19" s="22"/>
      <c r="M19" s="22"/>
      <c r="N19" s="2"/>
      <c r="O19" s="2"/>
      <c r="P19" s="2"/>
      <c r="Q19" s="22"/>
    </row>
    <row r="20" spans="1:17" ht="25.5" customHeight="1">
      <c r="A20" s="30" t="str">
        <f>INDEX(M41_rng_sitios,5,1)</f>
        <v>Supraespinal</v>
      </c>
      <c r="B20" s="30" t="str">
        <f>INDEX(M41_rng_sitios,5,2)</f>
        <v>Intersección de la línea axilar anterior con la cresta ilíaca</v>
      </c>
      <c r="C20" s="30" t="str">
        <f>INDEX(M41_rng_sitios,5,3)</f>
        <v>Oblicua, hacia abajo y adentro</v>
      </c>
      <c r="D20" s="30" t="str">
        <f>INDEX(M41_rng_sitios,5,4)</f>
        <v>De pie, brazo relajado</v>
      </c>
      <c r="E20" s="22"/>
      <c r="F20" s="22"/>
      <c r="G20" s="2"/>
      <c r="H20" s="22"/>
      <c r="I20" s="22"/>
      <c r="J20" s="22"/>
      <c r="K20" s="22"/>
      <c r="L20" s="22"/>
      <c r="M20" s="22"/>
      <c r="N20" s="2"/>
      <c r="O20" s="2"/>
      <c r="P20" s="2"/>
      <c r="Q20" s="22"/>
    </row>
    <row r="21" spans="1:17" ht="25.5" customHeight="1">
      <c r="A21" s="30" t="str">
        <f>INDEX(M41_rng_sitios,6,1)</f>
        <v>Abdominal</v>
      </c>
      <c r="B21" s="30" t="str">
        <f>INDEX(M41_rng_sitios,6,2)</f>
        <v>Cinco centímetros a la derecha del ombligo</v>
      </c>
      <c r="C21" s="30" t="str">
        <f>INDEX(M41_rng_sitios,6,3)</f>
        <v>Vertical</v>
      </c>
      <c r="D21" s="30" t="str">
        <f>INDEX(M41_rng_sitios,6,4)</f>
        <v>De pie, abdomen relajado</v>
      </c>
      <c r="E21" s="22"/>
      <c r="F21" s="22"/>
      <c r="G21" s="2"/>
      <c r="H21" s="22"/>
      <c r="I21" s="22"/>
      <c r="J21" s="22"/>
      <c r="K21" s="22"/>
      <c r="L21" s="22"/>
      <c r="M21" s="22"/>
      <c r="N21" s="2"/>
      <c r="O21" s="2"/>
      <c r="P21" s="2"/>
      <c r="Q21" s="22"/>
    </row>
    <row r="22" spans="1:17" ht="25.5" customHeight="1">
      <c r="A22" s="30" t="str">
        <f>INDEX(M41_rng_sitios,7,1)</f>
        <v>Muslo anterior</v>
      </c>
      <c r="B22" s="30" t="str">
        <f>INDEX(M41_rng_sitios,7,2)</f>
        <v>Punto medio entre pliegue inguinal y borde superior de la rótula</v>
      </c>
      <c r="C22" s="30" t="str">
        <f>INDEX(M41_rng_sitios,7,3)</f>
        <v>Vertical</v>
      </c>
      <c r="D22" s="30" t="str">
        <f>INDEX(M41_rng_sitios,7,4)</f>
        <v>Sentado, rodilla a noventa grados</v>
      </c>
      <c r="E22" s="22"/>
      <c r="F22" s="22"/>
      <c r="G22" s="2"/>
      <c r="H22" s="22"/>
      <c r="I22" s="22"/>
      <c r="J22" s="22"/>
      <c r="K22" s="22"/>
      <c r="L22" s="22"/>
      <c r="M22" s="22"/>
      <c r="N22" s="2"/>
      <c r="O22" s="2"/>
      <c r="P22" s="2"/>
      <c r="Q22" s="22"/>
    </row>
    <row r="23" spans="1:17" ht="25.5" customHeight="1">
      <c r="A23" s="30" t="str">
        <f>INDEX(M41_rng_sitios,8,1)</f>
        <v>Pantorrilla medial</v>
      </c>
      <c r="B23" s="30" t="str">
        <f>INDEX(M41_rng_sitios,8,2)</f>
        <v>Cara medial, en el perímetro máximo</v>
      </c>
      <c r="C23" s="30" t="str">
        <f>INDEX(M41_rng_sitios,8,3)</f>
        <v>Vertical</v>
      </c>
      <c r="D23" s="30" t="str">
        <f>INDEX(M41_rng_sitios,8,4)</f>
        <v>Sentado o de pie con la pierna apoyada</v>
      </c>
      <c r="E23" s="22"/>
      <c r="F23" s="22"/>
      <c r="G23" s="2"/>
      <c r="H23" s="22"/>
      <c r="I23" s="22"/>
      <c r="J23" s="22"/>
      <c r="K23" s="22"/>
      <c r="L23" s="22"/>
      <c r="M23" s="22"/>
      <c r="N23" s="2"/>
      <c r="O23" s="2"/>
      <c r="P23" s="2"/>
      <c r="Q23" s="22"/>
    </row>
    <row r="24" spans="1:17">
      <c r="A24" s="22"/>
      <c r="B24" s="22"/>
      <c r="C24" s="22"/>
      <c r="D24" s="22"/>
      <c r="E24" s="22"/>
      <c r="F24" s="22"/>
      <c r="G24" s="2"/>
      <c r="H24" s="22"/>
      <c r="I24" s="22"/>
      <c r="J24" s="22"/>
      <c r="K24" s="22"/>
      <c r="L24" s="22"/>
      <c r="M24" s="22"/>
      <c r="N24" s="2"/>
      <c r="O24" s="2"/>
      <c r="P24" s="2"/>
      <c r="Q24" s="22"/>
    </row>
    <row r="25" spans="1:17" ht="19.5" customHeight="1">
      <c r="A25" s="317" t="s">
        <v>219</v>
      </c>
      <c r="B25" s="317"/>
      <c r="C25" s="317"/>
      <c r="D25" s="317"/>
      <c r="E25" s="317"/>
      <c r="F25" s="317"/>
      <c r="G25" s="317"/>
      <c r="H25" s="317"/>
      <c r="I25" s="317"/>
      <c r="J25" s="317"/>
      <c r="K25" s="317"/>
      <c r="L25" s="317"/>
      <c r="M25" s="317"/>
      <c r="N25" s="317"/>
      <c r="O25" s="317"/>
      <c r="P25" s="317"/>
      <c r="Q25" s="317"/>
    </row>
    <row r="26" spans="1:17" ht="30" customHeight="1">
      <c r="A26" s="31" t="s">
        <v>220</v>
      </c>
      <c r="B26" s="335" t="s">
        <v>221</v>
      </c>
      <c r="C26" s="335"/>
      <c r="D26" s="335"/>
      <c r="E26" s="335"/>
      <c r="F26" s="335"/>
      <c r="G26" s="335"/>
      <c r="H26" s="335"/>
      <c r="I26" s="335"/>
      <c r="J26" s="335"/>
      <c r="K26" s="335"/>
      <c r="L26" s="335"/>
      <c r="M26" s="335"/>
      <c r="N26" s="335"/>
      <c r="O26" s="335"/>
      <c r="P26" s="335"/>
      <c r="Q26" s="335"/>
    </row>
    <row r="27" spans="1:17" ht="30" customHeight="1">
      <c r="A27" s="31" t="s">
        <v>222</v>
      </c>
      <c r="B27" s="335" t="s">
        <v>223</v>
      </c>
      <c r="C27" s="335"/>
      <c r="D27" s="335"/>
      <c r="E27" s="335"/>
      <c r="F27" s="335"/>
      <c r="G27" s="335"/>
      <c r="H27" s="335"/>
      <c r="I27" s="335"/>
      <c r="J27" s="335"/>
      <c r="K27" s="335"/>
      <c r="L27" s="335"/>
      <c r="M27" s="335"/>
      <c r="N27" s="335"/>
      <c r="O27" s="335"/>
      <c r="P27" s="335"/>
      <c r="Q27" s="335"/>
    </row>
    <row r="28" spans="1:17" ht="30" customHeight="1">
      <c r="A28" s="31" t="s">
        <v>224</v>
      </c>
      <c r="B28" s="335" t="s">
        <v>225</v>
      </c>
      <c r="C28" s="335"/>
      <c r="D28" s="335"/>
      <c r="E28" s="335"/>
      <c r="F28" s="335"/>
      <c r="G28" s="335"/>
      <c r="H28" s="335"/>
      <c r="I28" s="335"/>
      <c r="J28" s="335"/>
      <c r="K28" s="335"/>
      <c r="L28" s="335"/>
      <c r="M28" s="335"/>
      <c r="N28" s="335"/>
      <c r="O28" s="335"/>
      <c r="P28" s="335"/>
      <c r="Q28" s="335"/>
    </row>
    <row r="29" spans="1:17" ht="30" customHeight="1">
      <c r="A29" s="31" t="s">
        <v>226</v>
      </c>
      <c r="B29" s="335" t="s">
        <v>227</v>
      </c>
      <c r="C29" s="335"/>
      <c r="D29" s="335"/>
      <c r="E29" s="335"/>
      <c r="F29" s="335"/>
      <c r="G29" s="335"/>
      <c r="H29" s="335"/>
      <c r="I29" s="335"/>
      <c r="J29" s="335"/>
      <c r="K29" s="335"/>
      <c r="L29" s="335"/>
      <c r="M29" s="335"/>
      <c r="N29" s="335"/>
      <c r="O29" s="335"/>
      <c r="P29" s="335"/>
      <c r="Q29" s="335"/>
    </row>
    <row r="30" spans="1:17" ht="30" customHeight="1">
      <c r="A30" s="31" t="s">
        <v>228</v>
      </c>
      <c r="B30" s="335" t="s">
        <v>229</v>
      </c>
      <c r="C30" s="335"/>
      <c r="D30" s="335"/>
      <c r="E30" s="335"/>
      <c r="F30" s="335"/>
      <c r="G30" s="335"/>
      <c r="H30" s="335"/>
      <c r="I30" s="335"/>
      <c r="J30" s="335"/>
      <c r="K30" s="335"/>
      <c r="L30" s="335"/>
      <c r="M30" s="335"/>
      <c r="N30" s="335"/>
      <c r="O30" s="335"/>
      <c r="P30" s="335"/>
      <c r="Q30" s="335"/>
    </row>
    <row r="31" spans="1:17" ht="30" customHeight="1">
      <c r="A31" s="31" t="s">
        <v>230</v>
      </c>
      <c r="B31" s="335" t="s">
        <v>231</v>
      </c>
      <c r="C31" s="335"/>
      <c r="D31" s="335"/>
      <c r="E31" s="335"/>
      <c r="F31" s="335"/>
      <c r="G31" s="335"/>
      <c r="H31" s="335"/>
      <c r="I31" s="335"/>
      <c r="J31" s="335"/>
      <c r="K31" s="335"/>
      <c r="L31" s="335"/>
      <c r="M31" s="335"/>
      <c r="N31" s="335"/>
      <c r="O31" s="335"/>
      <c r="P31" s="335"/>
      <c r="Q31" s="335"/>
    </row>
    <row r="32" spans="1:17">
      <c r="A32" s="22"/>
      <c r="B32" s="22"/>
      <c r="C32" s="22"/>
      <c r="D32" s="22"/>
      <c r="E32" s="22"/>
      <c r="F32" s="22"/>
      <c r="G32" s="2"/>
      <c r="H32" s="22"/>
      <c r="I32" s="22"/>
      <c r="J32" s="22"/>
      <c r="K32" s="22"/>
      <c r="L32" s="22"/>
      <c r="M32" s="22"/>
      <c r="N32" s="2"/>
      <c r="O32" s="2"/>
      <c r="P32" s="2"/>
      <c r="Q32" s="22"/>
    </row>
    <row r="33" spans="1:17" ht="15" customHeight="1">
      <c r="A33" s="327" t="s">
        <v>232</v>
      </c>
      <c r="B33" s="327"/>
      <c r="C33" s="327"/>
      <c r="D33" s="327"/>
      <c r="E33" s="327"/>
      <c r="F33" s="327"/>
      <c r="G33" s="327"/>
      <c r="H33" s="327"/>
      <c r="I33" s="327"/>
      <c r="J33" s="327"/>
      <c r="K33" s="327"/>
      <c r="L33" s="327"/>
      <c r="M33" s="327"/>
      <c r="N33" s="327"/>
      <c r="O33" s="327"/>
      <c r="P33" s="327"/>
      <c r="Q33" s="327"/>
    </row>
    <row r="34" spans="1:17" ht="15" customHeight="1">
      <c r="A34" s="327"/>
      <c r="B34" s="327"/>
      <c r="C34" s="327"/>
      <c r="D34" s="327"/>
      <c r="E34" s="327"/>
      <c r="F34" s="327"/>
      <c r="G34" s="327"/>
      <c r="H34" s="327"/>
      <c r="I34" s="327"/>
      <c r="J34" s="327"/>
      <c r="K34" s="327"/>
      <c r="L34" s="327"/>
      <c r="M34" s="327"/>
      <c r="N34" s="327"/>
      <c r="O34" s="327"/>
      <c r="P34" s="327"/>
      <c r="Q34" s="327"/>
    </row>
    <row r="35" spans="1:17" ht="15" customHeight="1">
      <c r="A35" s="327"/>
      <c r="B35" s="327"/>
      <c r="C35" s="327"/>
      <c r="D35" s="327"/>
      <c r="E35" s="327"/>
      <c r="F35" s="327"/>
      <c r="G35" s="327"/>
      <c r="H35" s="327"/>
      <c r="I35" s="327"/>
      <c r="J35" s="327"/>
      <c r="K35" s="327"/>
      <c r="L35" s="327"/>
      <c r="M35" s="327"/>
      <c r="N35" s="327"/>
      <c r="O35" s="327"/>
      <c r="P35" s="327"/>
      <c r="Q35" s="327"/>
    </row>
  </sheetData>
  <sheetProtection algorithmName="SHA-512" hashValue="hLkqQSlzOIOVh9W/xQNsb89iIA2NPimFhesnUA/DI4HBRnKAonNSFVbNAypcAk4ws1kj5p+hsN4nGGFxeB1nSg==" saltValue="uoaD6t68xEiKWpa5pFeKbA==" spinCount="100000" sheet="1" objects="1" scenarios="1"/>
  <mergeCells count="25">
    <mergeCell ref="A1:Q1"/>
    <mergeCell ref="A2:Q3"/>
    <mergeCell ref="A4:B4"/>
    <mergeCell ref="A6:Q6"/>
    <mergeCell ref="A7:B7"/>
    <mergeCell ref="C7:Q7"/>
    <mergeCell ref="A8:B8"/>
    <mergeCell ref="C8:Q8"/>
    <mergeCell ref="A9:B9"/>
    <mergeCell ref="C9:Q9"/>
    <mergeCell ref="A10:B10"/>
    <mergeCell ref="C10:Q10"/>
    <mergeCell ref="A11:B11"/>
    <mergeCell ref="C11:Q11"/>
    <mergeCell ref="A12:B12"/>
    <mergeCell ref="C12:Q12"/>
    <mergeCell ref="A14:Q14"/>
    <mergeCell ref="B30:Q30"/>
    <mergeCell ref="B31:Q31"/>
    <mergeCell ref="A33:Q35"/>
    <mergeCell ref="A25:Q25"/>
    <mergeCell ref="B26:Q26"/>
    <mergeCell ref="B27:Q27"/>
    <mergeCell ref="B28:Q28"/>
    <mergeCell ref="B29:Q2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Q48"/>
  <sheetViews>
    <sheetView showGridLines="0" topLeftCell="A16" zoomScaleNormal="100" workbookViewId="0">
      <selection activeCell="J21" sqref="J20:J21"/>
    </sheetView>
  </sheetViews>
  <sheetFormatPr baseColWidth="10" defaultColWidth="8.7109375" defaultRowHeight="15"/>
  <cols>
    <col min="1" max="1" width="26" style="1" customWidth="1"/>
    <col min="2" max="2" width="22" style="1" customWidth="1"/>
    <col min="3" max="3" width="24" style="1" customWidth="1"/>
    <col min="4" max="4" width="16" style="1" customWidth="1"/>
    <col min="5" max="5" width="22" style="1" customWidth="1"/>
    <col min="6" max="6" width="40" style="1" customWidth="1"/>
    <col min="7"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274</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21" t="str">
        <f>HYPERLINK("#M41_INICIO!A1","▶  VOLVER A INICIO")</f>
        <v>▶  VOLVER A INICIO</v>
      </c>
      <c r="B4" s="321"/>
      <c r="C4" s="22"/>
      <c r="D4" s="22"/>
      <c r="E4" s="22"/>
      <c r="F4" s="22"/>
      <c r="G4" s="22"/>
      <c r="H4" s="22"/>
      <c r="I4" s="22"/>
      <c r="J4" s="22"/>
      <c r="K4" s="22"/>
      <c r="L4" s="22"/>
      <c r="M4" s="22"/>
      <c r="N4" s="2"/>
      <c r="O4" s="2"/>
      <c r="P4" s="2"/>
      <c r="Q4" s="22"/>
    </row>
    <row r="5" spans="1:17">
      <c r="A5" s="22"/>
      <c r="B5" s="22"/>
      <c r="C5" s="22"/>
      <c r="D5" s="22"/>
      <c r="E5" s="22"/>
      <c r="F5" s="22"/>
      <c r="G5" s="22"/>
      <c r="H5" s="22"/>
      <c r="I5" s="22"/>
      <c r="J5" s="22"/>
      <c r="K5" s="22"/>
      <c r="L5" s="22"/>
      <c r="M5" s="22"/>
      <c r="N5" s="2"/>
      <c r="O5" s="2"/>
      <c r="P5" s="2"/>
      <c r="Q5" s="22"/>
    </row>
    <row r="6" spans="1:17" ht="15" customHeight="1">
      <c r="A6" s="327" t="s">
        <v>275</v>
      </c>
      <c r="B6" s="327"/>
      <c r="C6" s="327"/>
      <c r="D6" s="327"/>
      <c r="E6" s="327"/>
      <c r="F6" s="327"/>
      <c r="G6" s="327"/>
      <c r="H6" s="327"/>
      <c r="I6" s="327"/>
      <c r="J6" s="327"/>
      <c r="K6" s="327"/>
      <c r="L6" s="327"/>
      <c r="M6" s="327"/>
      <c r="N6" s="327"/>
      <c r="O6" s="327"/>
      <c r="P6" s="327"/>
      <c r="Q6" s="327"/>
    </row>
    <row r="7" spans="1:17" ht="15" customHeight="1">
      <c r="A7" s="327"/>
      <c r="B7" s="327"/>
      <c r="C7" s="327"/>
      <c r="D7" s="327"/>
      <c r="E7" s="327"/>
      <c r="F7" s="327"/>
      <c r="G7" s="327"/>
      <c r="H7" s="327"/>
      <c r="I7" s="327"/>
      <c r="J7" s="327"/>
      <c r="K7" s="327"/>
      <c r="L7" s="327"/>
      <c r="M7" s="327"/>
      <c r="N7" s="327"/>
      <c r="O7" s="327"/>
      <c r="P7" s="327"/>
      <c r="Q7" s="327"/>
    </row>
    <row r="8" spans="1:17" ht="15" customHeight="1">
      <c r="A8" s="327"/>
      <c r="B8" s="327"/>
      <c r="C8" s="327"/>
      <c r="D8" s="327"/>
      <c r="E8" s="327"/>
      <c r="F8" s="327"/>
      <c r="G8" s="327"/>
      <c r="H8" s="327"/>
      <c r="I8" s="327"/>
      <c r="J8" s="327"/>
      <c r="K8" s="327"/>
      <c r="L8" s="327"/>
      <c r="M8" s="327"/>
      <c r="N8" s="327"/>
      <c r="O8" s="327"/>
      <c r="P8" s="327"/>
      <c r="Q8" s="327"/>
    </row>
    <row r="9" spans="1:17">
      <c r="A9" s="22"/>
      <c r="B9" s="22"/>
      <c r="C9" s="22"/>
      <c r="D9" s="22"/>
      <c r="E9" s="22"/>
      <c r="F9" s="22"/>
      <c r="G9" s="22"/>
      <c r="H9" s="22"/>
      <c r="I9" s="22"/>
      <c r="J9" s="22"/>
      <c r="K9" s="22"/>
      <c r="L9" s="22"/>
      <c r="M9" s="22"/>
      <c r="N9" s="2"/>
      <c r="O9" s="2"/>
      <c r="P9" s="2"/>
      <c r="Q9" s="22"/>
    </row>
    <row r="10" spans="1:17" ht="19.5" customHeight="1">
      <c r="A10" s="317" t="s">
        <v>276</v>
      </c>
      <c r="B10" s="317"/>
      <c r="C10" s="317"/>
      <c r="D10" s="317"/>
      <c r="E10" s="317"/>
      <c r="F10" s="317"/>
      <c r="G10" s="317"/>
      <c r="H10" s="317"/>
      <c r="I10" s="317"/>
      <c r="J10" s="317"/>
      <c r="K10" s="317"/>
      <c r="L10" s="317"/>
      <c r="M10" s="317"/>
      <c r="N10" s="317"/>
      <c r="O10" s="317"/>
      <c r="P10" s="317"/>
      <c r="Q10" s="317"/>
    </row>
    <row r="11" spans="1:17" ht="36" customHeight="1">
      <c r="A11" s="23" t="s">
        <v>36</v>
      </c>
      <c r="B11" s="23" t="s">
        <v>277</v>
      </c>
      <c r="C11" s="23" t="s">
        <v>278</v>
      </c>
      <c r="D11" s="23" t="s">
        <v>279</v>
      </c>
      <c r="E11" s="23" t="s">
        <v>280</v>
      </c>
      <c r="F11" s="23" t="s">
        <v>281</v>
      </c>
      <c r="G11" s="22"/>
      <c r="H11" s="22"/>
      <c r="I11" s="22"/>
      <c r="J11" s="22"/>
      <c r="K11" s="22"/>
      <c r="L11" s="22"/>
      <c r="M11" s="22"/>
      <c r="N11" s="2"/>
      <c r="O11" s="2"/>
      <c r="P11" s="2"/>
      <c r="Q11" s="22"/>
    </row>
    <row r="12" spans="1:17" ht="15" customHeight="1">
      <c r="A12" s="36" t="s">
        <v>49</v>
      </c>
      <c r="B12" s="29">
        <v>12.4</v>
      </c>
      <c r="C12" s="29">
        <v>11</v>
      </c>
      <c r="D12" s="25">
        <f t="shared" ref="D12:D20" si="0">IF(OR(NOT(ISNUMBER(B12)),NOT(ISNUMBER(C12))),"",C12-B12)</f>
        <v>-1.4000000000000004</v>
      </c>
      <c r="E12" s="25">
        <f t="shared" ref="E12:E19" si="1">IF(NOT(ISNUMBER(D12)),"",M41_v_mdc)</f>
        <v>0.81758082169287682</v>
      </c>
      <c r="F12" s="26" t="str">
        <f t="shared" ref="F12:F19" si="2">IF(NOT(ISNUMBER(D12)),"",IF(ABS(D12)&gt;M41_v_mdc,"Sí · el cambio supera el error","No · queda dentro del error de medición"))</f>
        <v>Sí · el cambio supera el error</v>
      </c>
      <c r="G12" s="22"/>
      <c r="H12" s="22"/>
      <c r="I12" s="22"/>
      <c r="J12" s="22"/>
      <c r="K12" s="22"/>
      <c r="L12" s="22"/>
      <c r="M12" s="22"/>
      <c r="N12" s="2"/>
      <c r="O12" s="2"/>
      <c r="P12" s="2"/>
      <c r="Q12" s="22"/>
    </row>
    <row r="13" spans="1:17" ht="15" customHeight="1">
      <c r="A13" s="36" t="s">
        <v>50</v>
      </c>
      <c r="B13" s="29">
        <v>14</v>
      </c>
      <c r="C13" s="29">
        <v>12.8</v>
      </c>
      <c r="D13" s="25">
        <f t="shared" si="0"/>
        <v>-1.1999999999999993</v>
      </c>
      <c r="E13" s="25">
        <f t="shared" si="1"/>
        <v>0.81758082169287682</v>
      </c>
      <c r="F13" s="26" t="str">
        <f t="shared" si="2"/>
        <v>Sí · el cambio supera el error</v>
      </c>
      <c r="G13" s="22"/>
      <c r="H13" s="22"/>
      <c r="I13" s="22"/>
      <c r="J13" s="22"/>
      <c r="K13" s="22"/>
      <c r="L13" s="22"/>
      <c r="M13" s="22"/>
      <c r="N13" s="2"/>
      <c r="O13" s="2"/>
      <c r="P13" s="2"/>
      <c r="Q13" s="22"/>
    </row>
    <row r="14" spans="1:17" ht="15" customHeight="1">
      <c r="A14" s="36" t="s">
        <v>51</v>
      </c>
      <c r="B14" s="29">
        <v>6</v>
      </c>
      <c r="C14" s="29">
        <v>5.6</v>
      </c>
      <c r="D14" s="25">
        <f t="shared" si="0"/>
        <v>-0.40000000000000036</v>
      </c>
      <c r="E14" s="25">
        <f t="shared" si="1"/>
        <v>0.81758082169287682</v>
      </c>
      <c r="F14" s="26" t="str">
        <f t="shared" si="2"/>
        <v>No · queda dentro del error de medición</v>
      </c>
      <c r="G14" s="22"/>
      <c r="H14" s="22"/>
      <c r="I14" s="22"/>
      <c r="J14" s="22"/>
      <c r="K14" s="22"/>
      <c r="L14" s="22"/>
      <c r="M14" s="22"/>
      <c r="N14" s="2"/>
      <c r="O14" s="2"/>
      <c r="P14" s="2"/>
      <c r="Q14" s="22"/>
    </row>
    <row r="15" spans="1:17" ht="15" customHeight="1">
      <c r="A15" s="36" t="s">
        <v>52</v>
      </c>
      <c r="B15" s="29">
        <v>16</v>
      </c>
      <c r="C15" s="29">
        <v>14.2</v>
      </c>
      <c r="D15" s="25">
        <f t="shared" si="0"/>
        <v>-1.8000000000000007</v>
      </c>
      <c r="E15" s="25">
        <f t="shared" si="1"/>
        <v>0.81758082169287682</v>
      </c>
      <c r="F15" s="26" t="str">
        <f t="shared" si="2"/>
        <v>Sí · el cambio supera el error</v>
      </c>
      <c r="G15" s="22"/>
      <c r="H15" s="22"/>
      <c r="I15" s="22"/>
      <c r="J15" s="22"/>
      <c r="K15" s="22"/>
      <c r="L15" s="22"/>
      <c r="M15" s="22"/>
      <c r="N15" s="2"/>
      <c r="O15" s="2"/>
      <c r="P15" s="2"/>
      <c r="Q15" s="22"/>
    </row>
    <row r="16" spans="1:17" ht="15" customHeight="1">
      <c r="A16" s="36" t="s">
        <v>53</v>
      </c>
      <c r="B16" s="29">
        <v>18</v>
      </c>
      <c r="C16" s="29">
        <v>16.2</v>
      </c>
      <c r="D16" s="25">
        <f t="shared" si="0"/>
        <v>-1.8000000000000007</v>
      </c>
      <c r="E16" s="25">
        <f t="shared" si="1"/>
        <v>0.81758082169287682</v>
      </c>
      <c r="F16" s="26" t="str">
        <f t="shared" si="2"/>
        <v>Sí · el cambio supera el error</v>
      </c>
      <c r="G16" s="22"/>
      <c r="H16" s="22"/>
      <c r="I16" s="22"/>
      <c r="J16" s="22"/>
      <c r="K16" s="22"/>
      <c r="L16" s="22"/>
      <c r="M16" s="22"/>
      <c r="N16" s="2"/>
      <c r="O16" s="2"/>
      <c r="P16" s="2"/>
      <c r="Q16" s="22"/>
    </row>
    <row r="17" spans="1:17" ht="15" customHeight="1">
      <c r="A17" s="36" t="s">
        <v>282</v>
      </c>
      <c r="B17" s="29">
        <v>10.199999999999999</v>
      </c>
      <c r="C17" s="29">
        <v>9.4</v>
      </c>
      <c r="D17" s="25">
        <f t="shared" si="0"/>
        <v>-0.79999999999999893</v>
      </c>
      <c r="E17" s="25">
        <f t="shared" si="1"/>
        <v>0.81758082169287682</v>
      </c>
      <c r="F17" s="26" t="str">
        <f t="shared" si="2"/>
        <v>No · queda dentro del error de medición</v>
      </c>
      <c r="G17" s="22"/>
      <c r="H17" s="22"/>
      <c r="I17" s="22"/>
      <c r="J17" s="22"/>
      <c r="K17" s="22"/>
      <c r="L17" s="22"/>
      <c r="M17" s="22"/>
      <c r="N17" s="2"/>
      <c r="O17" s="2"/>
      <c r="P17" s="2"/>
      <c r="Q17" s="22"/>
    </row>
    <row r="18" spans="1:17" ht="15" customHeight="1">
      <c r="A18" s="36"/>
      <c r="B18" s="29"/>
      <c r="C18" s="29"/>
      <c r="D18" s="25" t="str">
        <f t="shared" si="0"/>
        <v/>
      </c>
      <c r="E18" s="25" t="str">
        <f t="shared" si="1"/>
        <v/>
      </c>
      <c r="F18" s="26" t="str">
        <f t="shared" si="2"/>
        <v/>
      </c>
      <c r="G18" s="22"/>
      <c r="H18" s="22"/>
      <c r="I18" s="22"/>
      <c r="J18" s="22"/>
      <c r="K18" s="22"/>
      <c r="L18" s="22"/>
      <c r="M18" s="22"/>
      <c r="N18" s="2"/>
      <c r="O18" s="2"/>
      <c r="P18" s="2"/>
      <c r="Q18" s="22"/>
    </row>
    <row r="19" spans="1:17" ht="15" customHeight="1">
      <c r="A19" s="36"/>
      <c r="B19" s="29"/>
      <c r="C19" s="29"/>
      <c r="D19" s="25" t="str">
        <f t="shared" si="0"/>
        <v/>
      </c>
      <c r="E19" s="25" t="str">
        <f t="shared" si="1"/>
        <v/>
      </c>
      <c r="F19" s="26" t="str">
        <f t="shared" si="2"/>
        <v/>
      </c>
      <c r="G19" s="22"/>
      <c r="H19" s="22"/>
      <c r="I19" s="22"/>
      <c r="J19" s="22"/>
      <c r="K19" s="22"/>
      <c r="L19" s="22"/>
      <c r="M19" s="22"/>
      <c r="N19" s="2"/>
      <c r="O19" s="2"/>
      <c r="P19" s="2"/>
      <c r="Q19" s="22"/>
    </row>
    <row r="20" spans="1:17" ht="15" customHeight="1">
      <c r="A20" s="37" t="s">
        <v>283</v>
      </c>
      <c r="B20" s="27">
        <f>SUM(B12:B19)</f>
        <v>76.600000000000009</v>
      </c>
      <c r="C20" s="27">
        <f>SUM(C12:C19)</f>
        <v>69.2</v>
      </c>
      <c r="D20" s="27">
        <f t="shared" si="0"/>
        <v>-7.4000000000000057</v>
      </c>
      <c r="E20" s="27">
        <f>IF(COUNT(D12:D19)=0,"ND",M41_k_z*SQRT(2)*M41_v_etm*SQRT(COUNT(D12:D19)))</f>
        <v>2.0026558366329441</v>
      </c>
      <c r="F20" s="28" t="str">
        <f>IF(OR(NOT(ISNUMBER(D20)),NOT(ISNUMBER(E20))),"ND",IF(ABS(D20)&gt;E20,"Sí · el cambio de la suma supera el error","No · queda dentro del error de medición"))</f>
        <v>Sí · el cambio de la suma supera el error</v>
      </c>
      <c r="G20" s="22"/>
      <c r="H20" s="22"/>
      <c r="I20" s="22"/>
      <c r="J20" s="22"/>
      <c r="K20" s="22"/>
      <c r="L20" s="22"/>
      <c r="M20" s="22"/>
      <c r="N20" s="2"/>
      <c r="O20" s="2"/>
      <c r="P20" s="2"/>
      <c r="Q20" s="22"/>
    </row>
    <row r="21" spans="1:17">
      <c r="A21" s="22"/>
      <c r="B21" s="22"/>
      <c r="C21" s="22"/>
      <c r="D21" s="22"/>
      <c r="E21" s="22"/>
      <c r="F21" s="22"/>
      <c r="G21" s="22"/>
      <c r="H21" s="22"/>
      <c r="I21" s="22"/>
      <c r="J21" s="22"/>
      <c r="K21" s="22"/>
      <c r="L21" s="22"/>
      <c r="M21" s="22"/>
      <c r="N21" s="2"/>
      <c r="O21" s="2"/>
      <c r="P21" s="2"/>
      <c r="Q21" s="22"/>
    </row>
    <row r="22" spans="1:17" ht="19.5" customHeight="1">
      <c r="A22" s="317" t="s">
        <v>284</v>
      </c>
      <c r="B22" s="317"/>
      <c r="C22" s="317"/>
      <c r="D22" s="317"/>
      <c r="E22" s="317"/>
      <c r="F22" s="317"/>
      <c r="G22" s="317"/>
      <c r="H22" s="317"/>
      <c r="I22" s="317"/>
      <c r="J22" s="317"/>
      <c r="K22" s="317"/>
      <c r="L22" s="317"/>
      <c r="M22" s="317"/>
      <c r="N22" s="317"/>
      <c r="O22" s="317"/>
      <c r="P22" s="317"/>
      <c r="Q22" s="317"/>
    </row>
    <row r="23" spans="1:17" ht="18" customHeight="1">
      <c r="A23" s="319" t="s">
        <v>285</v>
      </c>
      <c r="B23" s="319"/>
      <c r="C23" s="333">
        <f>M41_v_etm</f>
        <v>0.29495762407505244</v>
      </c>
      <c r="D23" s="333"/>
      <c r="E23" s="333"/>
      <c r="F23" s="333"/>
      <c r="G23" s="333"/>
      <c r="H23" s="333"/>
      <c r="I23" s="333"/>
      <c r="J23" s="333"/>
      <c r="K23" s="333"/>
      <c r="L23" s="22"/>
      <c r="M23" s="22"/>
      <c r="N23" s="2"/>
      <c r="O23" s="2"/>
      <c r="P23" s="2"/>
      <c r="Q23" s="22"/>
    </row>
    <row r="24" spans="1:17" ht="18" customHeight="1">
      <c r="A24" s="319" t="s">
        <v>286</v>
      </c>
      <c r="B24" s="319"/>
      <c r="C24" s="333">
        <f>COUNT(D12:D19)</f>
        <v>6</v>
      </c>
      <c r="D24" s="333"/>
      <c r="E24" s="333"/>
      <c r="F24" s="333"/>
      <c r="G24" s="333"/>
      <c r="H24" s="333"/>
      <c r="I24" s="333"/>
      <c r="J24" s="333"/>
      <c r="K24" s="333"/>
      <c r="L24" s="22"/>
      <c r="M24" s="22"/>
      <c r="N24" s="2"/>
      <c r="O24" s="2"/>
      <c r="P24" s="2"/>
      <c r="Q24" s="22"/>
    </row>
    <row r="25" spans="1:17" ht="18" customHeight="1">
      <c r="A25" s="319" t="s">
        <v>287</v>
      </c>
      <c r="B25" s="319"/>
      <c r="C25" s="333">
        <f>IF(OR(NOT(ISNUMBER(M41_v_etm)),NOT(ISNUMBER(C24))),"ND",M41_v_etm*SQRT(C24))</f>
        <v>0.72249567472753751</v>
      </c>
      <c r="D25" s="333"/>
      <c r="E25" s="333"/>
      <c r="F25" s="333"/>
      <c r="G25" s="333"/>
      <c r="H25" s="333"/>
      <c r="I25" s="333"/>
      <c r="J25" s="333"/>
      <c r="K25" s="333"/>
      <c r="L25" s="325" t="s">
        <v>288</v>
      </c>
      <c r="M25" s="325"/>
      <c r="N25" s="325"/>
      <c r="O25" s="325"/>
      <c r="P25" s="325"/>
      <c r="Q25" s="325"/>
    </row>
    <row r="26" spans="1:17" ht="18" customHeight="1">
      <c r="A26" s="319" t="s">
        <v>289</v>
      </c>
      <c r="B26" s="319"/>
      <c r="C26" s="339">
        <f>IF(OR(NOT(ISNUMBER(E20)),NOT(ISNUMBER(B20)),B20=0),"ND",E20/B20)</f>
        <v>2.614433207092616E-2</v>
      </c>
      <c r="D26" s="339"/>
      <c r="E26" s="339"/>
      <c r="F26" s="339"/>
      <c r="G26" s="339"/>
      <c r="H26" s="339"/>
      <c r="I26" s="339"/>
      <c r="J26" s="339"/>
      <c r="K26" s="339"/>
      <c r="L26" s="22"/>
      <c r="M26" s="22"/>
      <c r="N26" s="2"/>
      <c r="O26" s="2"/>
      <c r="P26" s="2"/>
      <c r="Q26" s="22"/>
    </row>
    <row r="27" spans="1:17" ht="48" customHeight="1">
      <c r="A27" s="319" t="s">
        <v>290</v>
      </c>
      <c r="B27" s="319"/>
      <c r="C27" s="337" t="str">
        <f>IF(OR(NOT(ISNUMBER(E20)),NOT(ISNUMBER(M41_v_mdc))),"ND","Cada pliegue por separado necesita cambiar más de "&amp;TEXT(M41_v_mdc,"0.00")&amp;" mm para ser distinguible del error. La suma de "&amp;TEXT(C24,"0")&amp;" pliegues necesita cambiar más de "&amp;TEXT(E20,"0.00")&amp;" mm, que representa una proporción MENOR del total: por eso el seguimiento se hace sobre la suma y no sobre pliegues aislados.")</f>
        <v>Cada pliegue por separado necesita cambiar más de 001 mm para ser distinguible del error. La suma de 6 pliegues necesita cambiar más de 002 mm, que representa una proporción MENOR del total: por eso el seguimiento se hace sobre la suma y no sobre pliegues aislados.</v>
      </c>
      <c r="D27" s="337"/>
      <c r="E27" s="337"/>
      <c r="F27" s="337"/>
      <c r="G27" s="337"/>
      <c r="H27" s="337"/>
      <c r="I27" s="337"/>
      <c r="J27" s="337"/>
      <c r="K27" s="337"/>
      <c r="L27" s="22"/>
      <c r="M27" s="22"/>
      <c r="N27" s="2"/>
      <c r="O27" s="2"/>
      <c r="P27" s="2"/>
      <c r="Q27" s="22"/>
    </row>
    <row r="28" spans="1:17">
      <c r="A28" s="22"/>
      <c r="B28" s="22"/>
      <c r="C28" s="22"/>
      <c r="D28" s="22"/>
      <c r="E28" s="22"/>
      <c r="F28" s="22"/>
      <c r="G28" s="22"/>
      <c r="H28" s="22"/>
      <c r="I28" s="22"/>
      <c r="J28" s="22"/>
      <c r="K28" s="22"/>
      <c r="L28" s="22"/>
      <c r="M28" s="22"/>
      <c r="N28" s="2"/>
      <c r="O28" s="2"/>
      <c r="P28" s="2"/>
      <c r="Q28" s="22"/>
    </row>
    <row r="29" spans="1:17" ht="19.5" customHeight="1">
      <c r="A29" s="317" t="s">
        <v>291</v>
      </c>
      <c r="B29" s="317"/>
      <c r="C29" s="317"/>
      <c r="D29" s="317"/>
      <c r="E29" s="317"/>
      <c r="F29" s="317"/>
      <c r="G29" s="317"/>
      <c r="H29" s="317"/>
      <c r="I29" s="317"/>
      <c r="J29" s="317"/>
      <c r="K29" s="317"/>
      <c r="L29" s="317"/>
      <c r="M29" s="317"/>
      <c r="N29" s="317"/>
      <c r="O29" s="317"/>
      <c r="P29" s="317"/>
      <c r="Q29" s="317"/>
    </row>
    <row r="30" spans="1:17" ht="18" customHeight="1">
      <c r="A30" s="319" t="s">
        <v>292</v>
      </c>
      <c r="B30" s="319"/>
      <c r="C30" s="326" t="s">
        <v>175</v>
      </c>
      <c r="D30" s="326"/>
      <c r="E30" s="326"/>
      <c r="F30" s="326"/>
      <c r="G30" s="326"/>
      <c r="H30" s="326"/>
      <c r="I30" s="326"/>
      <c r="J30" s="326"/>
      <c r="K30" s="326"/>
      <c r="L30" s="22"/>
      <c r="M30" s="22"/>
      <c r="N30" s="2"/>
      <c r="O30" s="2"/>
      <c r="P30" s="2"/>
      <c r="Q30" s="22"/>
    </row>
    <row r="31" spans="1:17" ht="18" customHeight="1">
      <c r="A31" s="319" t="s">
        <v>293</v>
      </c>
      <c r="B31" s="319"/>
      <c r="C31" s="326" t="s">
        <v>175</v>
      </c>
      <c r="D31" s="326"/>
      <c r="E31" s="326"/>
      <c r="F31" s="326"/>
      <c r="G31" s="326"/>
      <c r="H31" s="326"/>
      <c r="I31" s="326"/>
      <c r="J31" s="326"/>
      <c r="K31" s="326"/>
      <c r="L31" s="22"/>
      <c r="M31" s="22"/>
      <c r="N31" s="2"/>
      <c r="O31" s="2"/>
      <c r="P31" s="2"/>
      <c r="Q31" s="22"/>
    </row>
    <row r="32" spans="1:17" ht="18" customHeight="1">
      <c r="A32" s="319" t="s">
        <v>294</v>
      </c>
      <c r="B32" s="319"/>
      <c r="C32" s="326" t="s">
        <v>175</v>
      </c>
      <c r="D32" s="326"/>
      <c r="E32" s="326"/>
      <c r="F32" s="326"/>
      <c r="G32" s="326"/>
      <c r="H32" s="326"/>
      <c r="I32" s="326"/>
      <c r="J32" s="326"/>
      <c r="K32" s="326"/>
      <c r="L32" s="22"/>
      <c r="M32" s="22"/>
      <c r="N32" s="2"/>
      <c r="O32" s="2"/>
      <c r="P32" s="2"/>
      <c r="Q32" s="22"/>
    </row>
    <row r="33" spans="1:17" ht="18" customHeight="1">
      <c r="A33" s="319" t="s">
        <v>295</v>
      </c>
      <c r="B33" s="319"/>
      <c r="C33" s="326" t="s">
        <v>175</v>
      </c>
      <c r="D33" s="326"/>
      <c r="E33" s="326"/>
      <c r="F33" s="326"/>
      <c r="G33" s="326"/>
      <c r="H33" s="326"/>
      <c r="I33" s="326"/>
      <c r="J33" s="326"/>
      <c r="K33" s="326"/>
      <c r="L33" s="22"/>
      <c r="M33" s="22"/>
      <c r="N33" s="2"/>
      <c r="O33" s="2"/>
      <c r="P33" s="2"/>
      <c r="Q33" s="22"/>
    </row>
    <row r="34" spans="1:17" ht="39.75" customHeight="1">
      <c r="A34" s="319" t="s">
        <v>296</v>
      </c>
      <c r="B34" s="319"/>
      <c r="C34" s="337" t="str">
        <f>IF(COUNTIF(C30:C33,"Sí")=4,"Las cuatro condiciones se cumplen: la comparación entre ambas evaluaciones es válida.","ATENCIÓN: "&amp;(4-COUNTIF(C30:C33,"Sí"))&amp;" condición(es) no se cumple(n). El cambio observado puede deberse a esa diferencia y no a un cambio real de la persona.")</f>
        <v>Las cuatro condiciones se cumplen: la comparación entre ambas evaluaciones es válida.</v>
      </c>
      <c r="D34" s="337"/>
      <c r="E34" s="337"/>
      <c r="F34" s="337"/>
      <c r="G34" s="337"/>
      <c r="H34" s="337"/>
      <c r="I34" s="337"/>
      <c r="J34" s="337"/>
      <c r="K34" s="337"/>
      <c r="L34" s="22"/>
      <c r="M34" s="22"/>
      <c r="N34" s="2"/>
      <c r="O34" s="2"/>
      <c r="P34" s="2"/>
      <c r="Q34" s="22"/>
    </row>
    <row r="35" spans="1:17">
      <c r="A35" s="22"/>
      <c r="B35" s="22"/>
      <c r="C35" s="22"/>
      <c r="D35" s="22"/>
      <c r="E35" s="22"/>
      <c r="F35" s="22"/>
      <c r="G35" s="22"/>
      <c r="H35" s="22"/>
      <c r="I35" s="22"/>
      <c r="J35" s="22"/>
      <c r="K35" s="22"/>
      <c r="L35" s="22"/>
      <c r="M35" s="22"/>
      <c r="N35" s="2"/>
      <c r="O35" s="2"/>
      <c r="P35" s="2"/>
      <c r="Q35" s="22"/>
    </row>
    <row r="36" spans="1:17" ht="43.5" customHeight="1">
      <c r="A36" s="319" t="s">
        <v>297</v>
      </c>
      <c r="B36" s="319"/>
      <c r="C36" s="338" t="str">
        <f>IF(OR(NOT(ISNUMBER(D20)),NOT(ISNUMBER(E20))),"ND: faltan datos",IF(COUNTIF(C30:C33,"Sí")&lt;4,"No concluyente: primero resuelva las condiciones de comparabilidad.",IF(ABS(D20)&gt;E20,"Cambio DISTINGUIBLE del error de medición: la suma de pliegues varió "&amp;TEXT(D20,"+0.0;-0.0")&amp;" mm, por sobre el umbral de "&amp;TEXT(E20,"0.00")&amp;" mm.","Cambio NO distinguible del error: la variación de "&amp;TEXT(D20,"+0.0;-0.0")&amp;" mm queda dentro del margen del método. No informe un cambio como si fuera real.")))</f>
        <v>Cambio DISTINGUIBLE del error de medición: la suma de pliegues varió -07 mm, por sobre el umbral de 002 mm.</v>
      </c>
      <c r="D36" s="338"/>
      <c r="E36" s="338"/>
      <c r="F36" s="338"/>
      <c r="G36" s="338"/>
      <c r="H36" s="338"/>
      <c r="I36" s="338"/>
      <c r="J36" s="338"/>
      <c r="K36" s="338"/>
      <c r="L36" s="22"/>
      <c r="M36" s="22"/>
      <c r="N36" s="2"/>
      <c r="O36" s="2"/>
      <c r="P36" s="2"/>
      <c r="Q36" s="22"/>
    </row>
    <row r="37" spans="1:17">
      <c r="A37" s="22"/>
      <c r="B37" s="22"/>
      <c r="C37" s="22"/>
      <c r="D37" s="22"/>
      <c r="E37" s="22"/>
      <c r="F37" s="22"/>
      <c r="G37" s="22"/>
      <c r="H37" s="22"/>
      <c r="I37" s="22"/>
      <c r="J37" s="22"/>
      <c r="K37" s="22"/>
      <c r="L37" s="22"/>
      <c r="M37" s="22"/>
      <c r="N37" s="2"/>
      <c r="O37" s="2"/>
      <c r="P37" s="2"/>
      <c r="Q37" s="22"/>
    </row>
    <row r="38" spans="1:17" ht="15" customHeight="1">
      <c r="A38" s="38" t="s">
        <v>36</v>
      </c>
      <c r="B38" s="38" t="s">
        <v>279</v>
      </c>
      <c r="C38" s="22"/>
      <c r="D38" s="22"/>
      <c r="E38" s="22"/>
      <c r="F38" s="22"/>
      <c r="G38" s="22"/>
      <c r="H38" s="22"/>
      <c r="I38" s="22"/>
      <c r="J38" s="22"/>
      <c r="K38" s="22"/>
      <c r="L38" s="22"/>
      <c r="M38" s="22"/>
      <c r="N38" s="2"/>
      <c r="O38" s="2"/>
      <c r="P38" s="2"/>
      <c r="Q38" s="22"/>
    </row>
    <row r="39" spans="1:17" ht="15" customHeight="1">
      <c r="A39" s="39" t="str">
        <f t="shared" ref="A39:A44" si="3">A12</f>
        <v>Tríceps</v>
      </c>
      <c r="B39" s="40">
        <f t="shared" ref="B39:B44" si="4">D12</f>
        <v>-1.4000000000000004</v>
      </c>
      <c r="C39" s="22"/>
      <c r="D39" s="22"/>
      <c r="E39" s="22"/>
      <c r="F39" s="22"/>
      <c r="G39" s="22"/>
      <c r="H39" s="22"/>
      <c r="I39" s="22"/>
      <c r="J39" s="22"/>
      <c r="K39" s="22"/>
      <c r="L39" s="22"/>
      <c r="M39" s="22"/>
      <c r="N39" s="2"/>
      <c r="O39" s="2"/>
      <c r="P39" s="2"/>
      <c r="Q39" s="22"/>
    </row>
    <row r="40" spans="1:17" ht="15" customHeight="1">
      <c r="A40" s="39" t="str">
        <f t="shared" si="3"/>
        <v>Subescapular</v>
      </c>
      <c r="B40" s="40">
        <f t="shared" si="4"/>
        <v>-1.1999999999999993</v>
      </c>
      <c r="C40" s="22"/>
      <c r="D40" s="22"/>
      <c r="E40" s="22"/>
      <c r="F40" s="22"/>
      <c r="G40" s="22"/>
      <c r="H40" s="22"/>
      <c r="I40" s="22"/>
      <c r="J40" s="22"/>
      <c r="K40" s="22"/>
      <c r="L40" s="22"/>
      <c r="M40" s="22"/>
      <c r="N40" s="2"/>
      <c r="O40" s="2"/>
      <c r="P40" s="2"/>
      <c r="Q40" s="22"/>
    </row>
    <row r="41" spans="1:17" ht="15" customHeight="1">
      <c r="A41" s="39" t="str">
        <f t="shared" si="3"/>
        <v>Bíceps</v>
      </c>
      <c r="B41" s="40">
        <f t="shared" si="4"/>
        <v>-0.40000000000000036</v>
      </c>
      <c r="C41" s="22"/>
      <c r="D41" s="22"/>
      <c r="E41" s="22"/>
      <c r="F41" s="22"/>
      <c r="G41" s="22"/>
      <c r="H41" s="22"/>
      <c r="I41" s="22"/>
      <c r="J41" s="22"/>
      <c r="K41" s="22"/>
      <c r="L41" s="22"/>
      <c r="M41" s="22"/>
      <c r="N41" s="2"/>
      <c r="O41" s="2"/>
      <c r="P41" s="2"/>
      <c r="Q41" s="22"/>
    </row>
    <row r="42" spans="1:17" ht="15" customHeight="1">
      <c r="A42" s="39" t="str">
        <f t="shared" si="3"/>
        <v>Suprailíaco</v>
      </c>
      <c r="B42" s="40">
        <f t="shared" si="4"/>
        <v>-1.8000000000000007</v>
      </c>
      <c r="C42" s="22"/>
      <c r="D42" s="22"/>
      <c r="E42" s="22"/>
      <c r="F42" s="22"/>
      <c r="G42" s="22"/>
      <c r="H42" s="22"/>
      <c r="I42" s="22"/>
      <c r="J42" s="22"/>
      <c r="K42" s="22"/>
      <c r="L42" s="22"/>
      <c r="M42" s="22"/>
      <c r="N42" s="2"/>
      <c r="O42" s="2"/>
      <c r="P42" s="2"/>
      <c r="Q42" s="22"/>
    </row>
    <row r="43" spans="1:17" ht="15" customHeight="1">
      <c r="A43" s="39" t="str">
        <f t="shared" si="3"/>
        <v>Abdominal</v>
      </c>
      <c r="B43" s="40">
        <f t="shared" si="4"/>
        <v>-1.8000000000000007</v>
      </c>
      <c r="C43" s="22"/>
      <c r="D43" s="22"/>
      <c r="E43" s="22"/>
      <c r="F43" s="22"/>
      <c r="G43" s="22"/>
      <c r="H43" s="22"/>
      <c r="I43" s="22"/>
      <c r="J43" s="22"/>
      <c r="K43" s="22"/>
      <c r="L43" s="22"/>
      <c r="M43" s="22"/>
      <c r="N43" s="2"/>
      <c r="O43" s="2"/>
      <c r="P43" s="2"/>
      <c r="Q43" s="22"/>
    </row>
    <row r="44" spans="1:17" ht="15" customHeight="1">
      <c r="A44" s="39" t="str">
        <f t="shared" si="3"/>
        <v>Muslo anterior</v>
      </c>
      <c r="B44" s="40">
        <f t="shared" si="4"/>
        <v>-0.79999999999999893</v>
      </c>
      <c r="C44" s="22"/>
      <c r="D44" s="22"/>
      <c r="E44" s="22"/>
      <c r="F44" s="22"/>
      <c r="G44" s="22"/>
      <c r="H44" s="22"/>
      <c r="I44" s="22"/>
      <c r="J44" s="22"/>
      <c r="K44" s="22"/>
      <c r="L44" s="22"/>
      <c r="M44" s="22"/>
      <c r="N44" s="2"/>
      <c r="O44" s="2"/>
      <c r="P44" s="2"/>
      <c r="Q44" s="22"/>
    </row>
    <row r="45" spans="1:17">
      <c r="A45" s="22"/>
      <c r="B45" s="22"/>
      <c r="C45" s="22"/>
      <c r="D45" s="22"/>
      <c r="E45" s="22"/>
      <c r="F45" s="22"/>
      <c r="G45" s="22"/>
      <c r="H45" s="22"/>
      <c r="I45" s="22"/>
      <c r="J45" s="22"/>
      <c r="K45" s="22"/>
      <c r="L45" s="22"/>
      <c r="M45" s="22"/>
      <c r="N45" s="2"/>
      <c r="O45" s="2"/>
      <c r="P45" s="2"/>
      <c r="Q45" s="22"/>
    </row>
    <row r="46" spans="1:17" ht="15" customHeight="1">
      <c r="A46" s="327" t="s">
        <v>298</v>
      </c>
      <c r="B46" s="327"/>
      <c r="C46" s="327"/>
      <c r="D46" s="327"/>
      <c r="E46" s="327"/>
      <c r="F46" s="327"/>
      <c r="G46" s="327"/>
      <c r="H46" s="327"/>
      <c r="I46" s="327"/>
      <c r="J46" s="327"/>
      <c r="K46" s="327"/>
      <c r="L46" s="327"/>
      <c r="M46" s="327"/>
      <c r="N46" s="327"/>
      <c r="O46" s="327"/>
      <c r="P46" s="327"/>
      <c r="Q46" s="327"/>
    </row>
    <row r="47" spans="1:17" ht="15" customHeight="1">
      <c r="A47" s="327"/>
      <c r="B47" s="327"/>
      <c r="C47" s="327"/>
      <c r="D47" s="327"/>
      <c r="E47" s="327"/>
      <c r="F47" s="327"/>
      <c r="G47" s="327"/>
      <c r="H47" s="327"/>
      <c r="I47" s="327"/>
      <c r="J47" s="327"/>
      <c r="K47" s="327"/>
      <c r="L47" s="327"/>
      <c r="M47" s="327"/>
      <c r="N47" s="327"/>
      <c r="O47" s="327"/>
      <c r="P47" s="327"/>
      <c r="Q47" s="327"/>
    </row>
    <row r="48" spans="1:17" ht="15" customHeight="1">
      <c r="A48" s="327"/>
      <c r="B48" s="327"/>
      <c r="C48" s="327"/>
      <c r="D48" s="327"/>
      <c r="E48" s="327"/>
      <c r="F48" s="327"/>
      <c r="G48" s="327"/>
      <c r="H48" s="327"/>
      <c r="I48" s="327"/>
      <c r="J48" s="327"/>
      <c r="K48" s="327"/>
      <c r="L48" s="327"/>
      <c r="M48" s="327"/>
      <c r="N48" s="327"/>
      <c r="O48" s="327"/>
      <c r="P48" s="327"/>
      <c r="Q48" s="327"/>
    </row>
  </sheetData>
  <sheetProtection algorithmName="SHA-512" hashValue="iDYbe7jp0Uz7q5s5Kdjzf4FQDiBTbSsl3x/4P4IiG9JTJPOPbASlglIN1WmUb6j/ONgkQM6cemm84219Rt5OWQ==" saltValue="xJCezR2KXiIkHS6cqen8Fg==" spinCount="100000" sheet="1" objects="1" scenarios="1"/>
  <mergeCells count="31">
    <mergeCell ref="A1:Q1"/>
    <mergeCell ref="A2:Q3"/>
    <mergeCell ref="A4:B4"/>
    <mergeCell ref="A6:Q8"/>
    <mergeCell ref="A10:Q10"/>
    <mergeCell ref="A22:Q22"/>
    <mergeCell ref="A23:B23"/>
    <mergeCell ref="C23:K23"/>
    <mergeCell ref="A24:B24"/>
    <mergeCell ref="C24:K24"/>
    <mergeCell ref="A25:B25"/>
    <mergeCell ref="C25:K25"/>
    <mergeCell ref="L25:Q25"/>
    <mergeCell ref="A26:B26"/>
    <mergeCell ref="C26:K26"/>
    <mergeCell ref="A27:B27"/>
    <mergeCell ref="C27:K27"/>
    <mergeCell ref="A29:Q29"/>
    <mergeCell ref="A30:B30"/>
    <mergeCell ref="C30:K30"/>
    <mergeCell ref="A31:B31"/>
    <mergeCell ref="C31:K31"/>
    <mergeCell ref="A32:B32"/>
    <mergeCell ref="C32:K32"/>
    <mergeCell ref="A33:B33"/>
    <mergeCell ref="C33:K33"/>
    <mergeCell ref="A34:B34"/>
    <mergeCell ref="C34:K34"/>
    <mergeCell ref="A36:B36"/>
    <mergeCell ref="C36:K36"/>
    <mergeCell ref="A46:Q48"/>
  </mergeCells>
  <dataValidations count="2">
    <dataValidation type="list" allowBlank="1" sqref="A12:A19" xr:uid="{00000000-0002-0000-0B00-000000000000}">
      <formula1>M41_lst_sitios</formula1>
      <formula2>0</formula2>
    </dataValidation>
    <dataValidation type="list" allowBlank="1" sqref="C30:C33" xr:uid="{00000000-0002-0000-0B00-000001000000}">
      <formula1>M41_lst_si</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Q55"/>
  <sheetViews>
    <sheetView showGridLines="0" zoomScaleNormal="100" workbookViewId="0">
      <selection activeCell="A4" sqref="A4:E4"/>
    </sheetView>
  </sheetViews>
  <sheetFormatPr baseColWidth="10" defaultColWidth="8.7109375" defaultRowHeight="15"/>
  <cols>
    <col min="1" max="1" width="5" style="1" customWidth="1"/>
    <col min="2" max="2" width="16" style="1" customWidth="1"/>
    <col min="3" max="3" width="20" style="1" customWidth="1"/>
    <col min="4" max="4" width="14" style="1" customWidth="1"/>
    <col min="6" max="6" width="12" style="1" customWidth="1"/>
    <col min="7" max="7" width="13" style="1" customWidth="1"/>
    <col min="9" max="9" width="42"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233</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45" t="str">
        <f>HYPERLINK("#M41_INICIO!A1","▶  VOLVER A INICIO")</f>
        <v>▶  VOLVER A INICIO</v>
      </c>
      <c r="B4" s="346"/>
      <c r="C4" s="346"/>
      <c r="D4" s="346"/>
      <c r="E4" s="346"/>
      <c r="F4" s="22"/>
      <c r="G4" s="22"/>
      <c r="H4" s="2"/>
      <c r="I4" s="22"/>
      <c r="J4" s="22"/>
      <c r="K4" s="22"/>
      <c r="L4" s="22"/>
      <c r="M4" s="22"/>
      <c r="N4" s="2"/>
      <c r="O4" s="2"/>
      <c r="P4" s="2"/>
      <c r="Q4" s="22"/>
    </row>
    <row r="5" spans="1:17">
      <c r="A5" s="22"/>
      <c r="B5" s="22"/>
      <c r="C5" s="22"/>
      <c r="D5" s="22"/>
      <c r="E5" s="2"/>
      <c r="F5" s="22"/>
      <c r="G5" s="22"/>
      <c r="H5" s="2"/>
      <c r="I5" s="22"/>
      <c r="J5" s="22"/>
      <c r="K5" s="22"/>
      <c r="L5" s="22"/>
      <c r="M5" s="22"/>
      <c r="N5" s="2"/>
      <c r="O5" s="2"/>
      <c r="P5" s="2"/>
      <c r="Q5" s="22"/>
    </row>
    <row r="6" spans="1:17" ht="15" customHeight="1">
      <c r="A6" s="327" t="s">
        <v>234</v>
      </c>
      <c r="B6" s="327"/>
      <c r="C6" s="327"/>
      <c r="D6" s="327"/>
      <c r="E6" s="327"/>
      <c r="F6" s="327"/>
      <c r="G6" s="327"/>
      <c r="H6" s="327"/>
      <c r="I6" s="327"/>
      <c r="J6" s="327"/>
      <c r="K6" s="327"/>
      <c r="L6" s="327"/>
      <c r="M6" s="327"/>
      <c r="N6" s="327"/>
      <c r="O6" s="327"/>
      <c r="P6" s="327"/>
      <c r="Q6" s="327"/>
    </row>
    <row r="7" spans="1:17" ht="15" customHeight="1">
      <c r="A7" s="327"/>
      <c r="B7" s="327"/>
      <c r="C7" s="327"/>
      <c r="D7" s="327"/>
      <c r="E7" s="327"/>
      <c r="F7" s="327"/>
      <c r="G7" s="327"/>
      <c r="H7" s="327"/>
      <c r="I7" s="327"/>
      <c r="J7" s="327"/>
      <c r="K7" s="327"/>
      <c r="L7" s="327"/>
      <c r="M7" s="327"/>
      <c r="N7" s="327"/>
      <c r="O7" s="327"/>
      <c r="P7" s="327"/>
      <c r="Q7" s="327"/>
    </row>
    <row r="8" spans="1:17" ht="15" customHeight="1">
      <c r="A8" s="327"/>
      <c r="B8" s="327"/>
      <c r="C8" s="327"/>
      <c r="D8" s="327"/>
      <c r="E8" s="327"/>
      <c r="F8" s="327"/>
      <c r="G8" s="327"/>
      <c r="H8" s="327"/>
      <c r="I8" s="327"/>
      <c r="J8" s="327"/>
      <c r="K8" s="327"/>
      <c r="L8" s="327"/>
      <c r="M8" s="327"/>
      <c r="N8" s="327"/>
      <c r="O8" s="327"/>
      <c r="P8" s="327"/>
      <c r="Q8" s="327"/>
    </row>
    <row r="9" spans="1:17" ht="15" customHeight="1">
      <c r="A9" s="327"/>
      <c r="B9" s="327"/>
      <c r="C9" s="327"/>
      <c r="D9" s="327"/>
      <c r="E9" s="327"/>
      <c r="F9" s="327"/>
      <c r="G9" s="327"/>
      <c r="H9" s="327"/>
      <c r="I9" s="327"/>
      <c r="J9" s="327"/>
      <c r="K9" s="327"/>
      <c r="L9" s="327"/>
      <c r="M9" s="327"/>
      <c r="N9" s="327"/>
      <c r="O9" s="327"/>
      <c r="P9" s="327"/>
      <c r="Q9" s="327"/>
    </row>
    <row r="10" spans="1:17">
      <c r="A10" s="22"/>
      <c r="B10" s="22"/>
      <c r="C10" s="22"/>
      <c r="D10" s="22"/>
      <c r="E10" s="2"/>
      <c r="F10" s="22"/>
      <c r="G10" s="22"/>
      <c r="H10" s="2"/>
      <c r="I10" s="22"/>
      <c r="J10" s="22"/>
      <c r="K10" s="22"/>
      <c r="L10" s="22"/>
      <c r="M10" s="22"/>
      <c r="N10" s="2"/>
      <c r="O10" s="2"/>
      <c r="P10" s="2"/>
      <c r="Q10" s="22"/>
    </row>
    <row r="11" spans="1:17" ht="19.5" customHeight="1">
      <c r="A11" s="317" t="s">
        <v>235</v>
      </c>
      <c r="B11" s="317"/>
      <c r="C11" s="317"/>
      <c r="D11" s="317"/>
      <c r="E11" s="317"/>
      <c r="F11" s="317"/>
      <c r="G11" s="317"/>
      <c r="H11" s="317"/>
      <c r="I11" s="317"/>
      <c r="J11" s="317"/>
      <c r="K11" s="317"/>
      <c r="L11" s="317"/>
      <c r="M11" s="317"/>
      <c r="N11" s="317"/>
      <c r="O11" s="317"/>
      <c r="P11" s="317"/>
      <c r="Q11" s="317"/>
    </row>
    <row r="12" spans="1:17" ht="31.5" customHeight="1">
      <c r="A12" s="23" t="s">
        <v>236</v>
      </c>
      <c r="B12" s="23" t="s">
        <v>237</v>
      </c>
      <c r="C12" s="23" t="s">
        <v>238</v>
      </c>
      <c r="D12" s="23" t="s">
        <v>239</v>
      </c>
      <c r="E12" s="23" t="s">
        <v>240</v>
      </c>
      <c r="F12" s="23" t="s">
        <v>186</v>
      </c>
      <c r="G12" s="23" t="s">
        <v>40</v>
      </c>
      <c r="H12" s="23" t="s">
        <v>241</v>
      </c>
      <c r="I12" s="23" t="s">
        <v>242</v>
      </c>
      <c r="J12" s="22"/>
      <c r="K12" s="22"/>
      <c r="L12" s="22"/>
      <c r="M12" s="22"/>
      <c r="N12" s="2"/>
      <c r="O12" s="2"/>
      <c r="P12" s="2"/>
      <c r="Q12" s="22"/>
    </row>
    <row r="13" spans="1:17" ht="15" customHeight="1">
      <c r="A13" s="32">
        <v>1</v>
      </c>
      <c r="B13" s="36" t="s">
        <v>243</v>
      </c>
      <c r="C13" s="36" t="s">
        <v>49</v>
      </c>
      <c r="D13" s="29">
        <v>12.4</v>
      </c>
      <c r="E13" s="29">
        <v>12.1</v>
      </c>
      <c r="F13" s="33">
        <f t="shared" ref="F13:F32" si="0">IF(OR(NOT(ISNUMBER(D13)),NOT(ISNUMBER(E13))),"",(D13+E13)/2)</f>
        <v>12.25</v>
      </c>
      <c r="G13" s="33">
        <f t="shared" ref="G13:G32" si="1">IF(OR(NOT(ISNUMBER(D13)),NOT(ISNUMBER(E13))),"",D13-E13)</f>
        <v>0.30000000000000071</v>
      </c>
      <c r="H13" s="33">
        <f t="shared" ref="H13:H32" si="2">IF(NOT(ISNUMBER(G13)),"",G13^2)</f>
        <v>9.0000000000000427E-2</v>
      </c>
      <c r="I13" s="26" t="str">
        <f t="shared" ref="I13:I32" si="3">IF(OR(NOT(ISNUMBER(G13)),NOT(ISNUMBER(F13)),F13=0),"",IF(ABS(G13)/F13&gt;M41_u_dif,"REVISAR: las dos medidas difieren más del 5%","OK"))</f>
        <v>OK</v>
      </c>
      <c r="J13" s="22"/>
      <c r="K13" s="22"/>
      <c r="L13" s="22"/>
      <c r="M13" s="22"/>
      <c r="N13" s="2"/>
      <c r="O13" s="2"/>
      <c r="P13" s="2"/>
      <c r="Q13" s="22"/>
    </row>
    <row r="14" spans="1:17" ht="15" customHeight="1">
      <c r="A14" s="32">
        <v>2</v>
      </c>
      <c r="B14" s="36" t="s">
        <v>244</v>
      </c>
      <c r="C14" s="36" t="s">
        <v>49</v>
      </c>
      <c r="D14" s="29">
        <v>18.600000000000001</v>
      </c>
      <c r="E14" s="29">
        <v>18.899999999999999</v>
      </c>
      <c r="F14" s="33">
        <f t="shared" si="0"/>
        <v>18.75</v>
      </c>
      <c r="G14" s="33">
        <f t="shared" si="1"/>
        <v>-0.29999999999999716</v>
      </c>
      <c r="H14" s="33">
        <f t="shared" si="2"/>
        <v>8.999999999999829E-2</v>
      </c>
      <c r="I14" s="26" t="str">
        <f t="shared" si="3"/>
        <v>OK</v>
      </c>
      <c r="J14" s="22"/>
      <c r="K14" s="22"/>
      <c r="L14" s="22"/>
      <c r="M14" s="22"/>
      <c r="N14" s="2"/>
      <c r="O14" s="2"/>
      <c r="P14" s="2"/>
      <c r="Q14" s="22"/>
    </row>
    <row r="15" spans="1:17" ht="15" customHeight="1">
      <c r="A15" s="32">
        <v>3</v>
      </c>
      <c r="B15" s="36" t="s">
        <v>245</v>
      </c>
      <c r="C15" s="36" t="s">
        <v>49</v>
      </c>
      <c r="D15" s="29">
        <v>9.1999999999999993</v>
      </c>
      <c r="E15" s="29">
        <v>9.5</v>
      </c>
      <c r="F15" s="33">
        <f t="shared" si="0"/>
        <v>9.35</v>
      </c>
      <c r="G15" s="33">
        <f t="shared" si="1"/>
        <v>-0.30000000000000071</v>
      </c>
      <c r="H15" s="33">
        <f t="shared" si="2"/>
        <v>9.0000000000000427E-2</v>
      </c>
      <c r="I15" s="26" t="str">
        <f t="shared" si="3"/>
        <v>OK</v>
      </c>
      <c r="J15" s="22"/>
      <c r="K15" s="22"/>
      <c r="L15" s="22"/>
      <c r="M15" s="22"/>
      <c r="N15" s="2"/>
      <c r="O15" s="2"/>
      <c r="P15" s="2"/>
      <c r="Q15" s="22"/>
    </row>
    <row r="16" spans="1:17" ht="15" customHeight="1">
      <c r="A16" s="32">
        <v>4</v>
      </c>
      <c r="B16" s="36" t="s">
        <v>246</v>
      </c>
      <c r="C16" s="36" t="s">
        <v>49</v>
      </c>
      <c r="D16" s="29">
        <v>24.8</v>
      </c>
      <c r="E16" s="29">
        <v>24.2</v>
      </c>
      <c r="F16" s="33">
        <f t="shared" si="0"/>
        <v>24.5</v>
      </c>
      <c r="G16" s="33">
        <f t="shared" si="1"/>
        <v>0.60000000000000142</v>
      </c>
      <c r="H16" s="33">
        <f t="shared" si="2"/>
        <v>0.36000000000000171</v>
      </c>
      <c r="I16" s="26" t="str">
        <f t="shared" si="3"/>
        <v>OK</v>
      </c>
      <c r="J16" s="22"/>
      <c r="K16" s="22"/>
      <c r="L16" s="22"/>
      <c r="M16" s="22"/>
      <c r="N16" s="2"/>
      <c r="O16" s="2"/>
      <c r="P16" s="2"/>
      <c r="Q16" s="22"/>
    </row>
    <row r="17" spans="1:17" ht="15" customHeight="1">
      <c r="A17" s="32">
        <v>5</v>
      </c>
      <c r="B17" s="36" t="s">
        <v>247</v>
      </c>
      <c r="C17" s="36" t="s">
        <v>49</v>
      </c>
      <c r="D17" s="29">
        <v>15</v>
      </c>
      <c r="E17" s="29">
        <v>15.4</v>
      </c>
      <c r="F17" s="33">
        <f t="shared" si="0"/>
        <v>15.2</v>
      </c>
      <c r="G17" s="33">
        <f t="shared" si="1"/>
        <v>-0.40000000000000036</v>
      </c>
      <c r="H17" s="33">
        <f t="shared" si="2"/>
        <v>0.16000000000000028</v>
      </c>
      <c r="I17" s="26" t="str">
        <f t="shared" si="3"/>
        <v>OK</v>
      </c>
      <c r="J17" s="22"/>
      <c r="K17" s="22"/>
      <c r="L17" s="22"/>
      <c r="M17" s="22"/>
      <c r="N17" s="2"/>
      <c r="O17" s="2"/>
      <c r="P17" s="2"/>
      <c r="Q17" s="22"/>
    </row>
    <row r="18" spans="1:17" ht="15" customHeight="1">
      <c r="A18" s="32">
        <v>6</v>
      </c>
      <c r="B18" s="36" t="s">
        <v>248</v>
      </c>
      <c r="C18" s="36" t="s">
        <v>49</v>
      </c>
      <c r="D18" s="29">
        <v>21.3</v>
      </c>
      <c r="E18" s="29">
        <v>21</v>
      </c>
      <c r="F18" s="33">
        <f t="shared" si="0"/>
        <v>21.15</v>
      </c>
      <c r="G18" s="33">
        <f t="shared" si="1"/>
        <v>0.30000000000000071</v>
      </c>
      <c r="H18" s="33">
        <f t="shared" si="2"/>
        <v>9.0000000000000427E-2</v>
      </c>
      <c r="I18" s="26" t="str">
        <f t="shared" si="3"/>
        <v>OK</v>
      </c>
      <c r="J18" s="22"/>
      <c r="K18" s="22"/>
      <c r="L18" s="22"/>
      <c r="M18" s="22"/>
      <c r="N18" s="2"/>
      <c r="O18" s="2"/>
      <c r="P18" s="2"/>
      <c r="Q18" s="22"/>
    </row>
    <row r="19" spans="1:17" ht="15" customHeight="1">
      <c r="A19" s="32">
        <v>7</v>
      </c>
      <c r="B19" s="36" t="s">
        <v>249</v>
      </c>
      <c r="C19" s="36" t="s">
        <v>49</v>
      </c>
      <c r="D19" s="29">
        <v>11.7</v>
      </c>
      <c r="E19" s="29">
        <v>11.4</v>
      </c>
      <c r="F19" s="33">
        <f t="shared" si="0"/>
        <v>11.55</v>
      </c>
      <c r="G19" s="33">
        <f t="shared" si="1"/>
        <v>0.29999999999999893</v>
      </c>
      <c r="H19" s="33">
        <f t="shared" si="2"/>
        <v>8.9999999999999358E-2</v>
      </c>
      <c r="I19" s="26" t="str">
        <f t="shared" si="3"/>
        <v>OK</v>
      </c>
      <c r="J19" s="22"/>
      <c r="K19" s="22"/>
      <c r="L19" s="22"/>
      <c r="M19" s="22"/>
      <c r="N19" s="2"/>
      <c r="O19" s="2"/>
      <c r="P19" s="2"/>
      <c r="Q19" s="22"/>
    </row>
    <row r="20" spans="1:17" ht="15" customHeight="1">
      <c r="A20" s="32">
        <v>8</v>
      </c>
      <c r="B20" s="36" t="s">
        <v>250</v>
      </c>
      <c r="C20" s="36" t="s">
        <v>49</v>
      </c>
      <c r="D20" s="29">
        <v>17.399999999999999</v>
      </c>
      <c r="E20" s="29">
        <v>17.899999999999999</v>
      </c>
      <c r="F20" s="33">
        <f t="shared" si="0"/>
        <v>17.649999999999999</v>
      </c>
      <c r="G20" s="33">
        <f t="shared" si="1"/>
        <v>-0.5</v>
      </c>
      <c r="H20" s="33">
        <f t="shared" si="2"/>
        <v>0.25</v>
      </c>
      <c r="I20" s="26" t="str">
        <f t="shared" si="3"/>
        <v>OK</v>
      </c>
      <c r="J20" s="22"/>
      <c r="K20" s="22"/>
      <c r="L20" s="22"/>
      <c r="M20" s="22"/>
      <c r="N20" s="2"/>
      <c r="O20" s="2"/>
      <c r="P20" s="2"/>
      <c r="Q20" s="22"/>
    </row>
    <row r="21" spans="1:17" ht="15" customHeight="1">
      <c r="A21" s="32">
        <v>9</v>
      </c>
      <c r="B21" s="36" t="s">
        <v>251</v>
      </c>
      <c r="C21" s="36" t="s">
        <v>49</v>
      </c>
      <c r="D21" s="29">
        <v>28.2</v>
      </c>
      <c r="E21" s="29">
        <v>27.6</v>
      </c>
      <c r="F21" s="33">
        <f t="shared" si="0"/>
        <v>27.9</v>
      </c>
      <c r="G21" s="33">
        <f t="shared" si="1"/>
        <v>0.59999999999999787</v>
      </c>
      <c r="H21" s="33">
        <f t="shared" si="2"/>
        <v>0.35999999999999743</v>
      </c>
      <c r="I21" s="26" t="str">
        <f t="shared" si="3"/>
        <v>OK</v>
      </c>
      <c r="J21" s="22"/>
      <c r="K21" s="22"/>
      <c r="L21" s="22"/>
      <c r="M21" s="22"/>
      <c r="N21" s="2"/>
      <c r="O21" s="2"/>
      <c r="P21" s="2"/>
      <c r="Q21" s="22"/>
    </row>
    <row r="22" spans="1:17" ht="15" customHeight="1">
      <c r="A22" s="32">
        <v>10</v>
      </c>
      <c r="B22" s="36" t="s">
        <v>252</v>
      </c>
      <c r="C22" s="36" t="s">
        <v>49</v>
      </c>
      <c r="D22" s="29">
        <v>13.9</v>
      </c>
      <c r="E22" s="29">
        <v>14.3</v>
      </c>
      <c r="F22" s="33">
        <f t="shared" si="0"/>
        <v>14.100000000000001</v>
      </c>
      <c r="G22" s="33">
        <f t="shared" si="1"/>
        <v>-0.40000000000000036</v>
      </c>
      <c r="H22" s="33">
        <f t="shared" si="2"/>
        <v>0.16000000000000028</v>
      </c>
      <c r="I22" s="26" t="str">
        <f t="shared" si="3"/>
        <v>OK</v>
      </c>
      <c r="J22" s="22"/>
      <c r="K22" s="22"/>
      <c r="L22" s="22"/>
      <c r="M22" s="22"/>
      <c r="N22" s="2"/>
      <c r="O22" s="2"/>
      <c r="P22" s="2"/>
      <c r="Q22" s="22"/>
    </row>
    <row r="23" spans="1:17" ht="15" customHeight="1">
      <c r="A23" s="32">
        <v>11</v>
      </c>
      <c r="B23" s="36"/>
      <c r="C23" s="36"/>
      <c r="D23" s="29"/>
      <c r="E23" s="29"/>
      <c r="F23" s="33" t="str">
        <f t="shared" si="0"/>
        <v/>
      </c>
      <c r="G23" s="33" t="str">
        <f t="shared" si="1"/>
        <v/>
      </c>
      <c r="H23" s="33" t="str">
        <f t="shared" si="2"/>
        <v/>
      </c>
      <c r="I23" s="26" t="str">
        <f t="shared" si="3"/>
        <v/>
      </c>
      <c r="J23" s="22"/>
      <c r="K23" s="22"/>
      <c r="L23" s="22"/>
      <c r="M23" s="22"/>
      <c r="N23" s="2"/>
      <c r="O23" s="2"/>
      <c r="P23" s="2"/>
      <c r="Q23" s="22"/>
    </row>
    <row r="24" spans="1:17" ht="15" customHeight="1">
      <c r="A24" s="32">
        <v>12</v>
      </c>
      <c r="B24" s="36"/>
      <c r="C24" s="36"/>
      <c r="D24" s="29"/>
      <c r="E24" s="29"/>
      <c r="F24" s="33" t="str">
        <f t="shared" si="0"/>
        <v/>
      </c>
      <c r="G24" s="33" t="str">
        <f t="shared" si="1"/>
        <v/>
      </c>
      <c r="H24" s="33" t="str">
        <f t="shared" si="2"/>
        <v/>
      </c>
      <c r="I24" s="26" t="str">
        <f t="shared" si="3"/>
        <v/>
      </c>
      <c r="J24" s="22"/>
      <c r="K24" s="22"/>
      <c r="L24" s="22"/>
      <c r="M24" s="22"/>
      <c r="N24" s="2"/>
      <c r="O24" s="2"/>
      <c r="P24" s="2"/>
      <c r="Q24" s="22"/>
    </row>
    <row r="25" spans="1:17" ht="15" customHeight="1">
      <c r="A25" s="32">
        <v>13</v>
      </c>
      <c r="B25" s="36"/>
      <c r="C25" s="36"/>
      <c r="D25" s="29"/>
      <c r="E25" s="29"/>
      <c r="F25" s="33" t="str">
        <f t="shared" si="0"/>
        <v/>
      </c>
      <c r="G25" s="33" t="str">
        <f t="shared" si="1"/>
        <v/>
      </c>
      <c r="H25" s="33" t="str">
        <f t="shared" si="2"/>
        <v/>
      </c>
      <c r="I25" s="26" t="str">
        <f t="shared" si="3"/>
        <v/>
      </c>
      <c r="J25" s="22"/>
      <c r="K25" s="22"/>
      <c r="L25" s="22"/>
      <c r="M25" s="22"/>
      <c r="N25" s="2"/>
      <c r="O25" s="2"/>
      <c r="P25" s="2"/>
      <c r="Q25" s="22"/>
    </row>
    <row r="26" spans="1:17" ht="15" customHeight="1">
      <c r="A26" s="32">
        <v>14</v>
      </c>
      <c r="B26" s="36"/>
      <c r="C26" s="36"/>
      <c r="D26" s="29"/>
      <c r="E26" s="29"/>
      <c r="F26" s="33" t="str">
        <f t="shared" si="0"/>
        <v/>
      </c>
      <c r="G26" s="33" t="str">
        <f t="shared" si="1"/>
        <v/>
      </c>
      <c r="H26" s="33" t="str">
        <f t="shared" si="2"/>
        <v/>
      </c>
      <c r="I26" s="26" t="str">
        <f t="shared" si="3"/>
        <v/>
      </c>
      <c r="J26" s="22"/>
      <c r="K26" s="22"/>
      <c r="L26" s="22"/>
      <c r="M26" s="22"/>
      <c r="N26" s="2"/>
      <c r="O26" s="2"/>
      <c r="P26" s="2"/>
      <c r="Q26" s="22"/>
    </row>
    <row r="27" spans="1:17" ht="15" customHeight="1">
      <c r="A27" s="32">
        <v>15</v>
      </c>
      <c r="B27" s="36"/>
      <c r="C27" s="36"/>
      <c r="D27" s="29"/>
      <c r="E27" s="29"/>
      <c r="F27" s="33" t="str">
        <f t="shared" si="0"/>
        <v/>
      </c>
      <c r="G27" s="33" t="str">
        <f t="shared" si="1"/>
        <v/>
      </c>
      <c r="H27" s="33" t="str">
        <f t="shared" si="2"/>
        <v/>
      </c>
      <c r="I27" s="26" t="str">
        <f t="shared" si="3"/>
        <v/>
      </c>
      <c r="J27" s="22"/>
      <c r="K27" s="22"/>
      <c r="L27" s="22"/>
      <c r="M27" s="22"/>
      <c r="N27" s="2"/>
      <c r="O27" s="2"/>
      <c r="P27" s="2"/>
      <c r="Q27" s="22"/>
    </row>
    <row r="28" spans="1:17" ht="15" customHeight="1">
      <c r="A28" s="32">
        <v>16</v>
      </c>
      <c r="B28" s="36"/>
      <c r="C28" s="36"/>
      <c r="D28" s="29"/>
      <c r="E28" s="29"/>
      <c r="F28" s="33" t="str">
        <f t="shared" si="0"/>
        <v/>
      </c>
      <c r="G28" s="33" t="str">
        <f t="shared" si="1"/>
        <v/>
      </c>
      <c r="H28" s="33" t="str">
        <f t="shared" si="2"/>
        <v/>
      </c>
      <c r="I28" s="26" t="str">
        <f t="shared" si="3"/>
        <v/>
      </c>
      <c r="J28" s="22"/>
      <c r="K28" s="22"/>
      <c r="L28" s="22"/>
      <c r="M28" s="22"/>
      <c r="N28" s="2"/>
      <c r="O28" s="2"/>
      <c r="P28" s="2"/>
      <c r="Q28" s="22"/>
    </row>
    <row r="29" spans="1:17" ht="15" customHeight="1">
      <c r="A29" s="32">
        <v>17</v>
      </c>
      <c r="B29" s="36"/>
      <c r="C29" s="36"/>
      <c r="D29" s="29"/>
      <c r="E29" s="29"/>
      <c r="F29" s="33" t="str">
        <f t="shared" si="0"/>
        <v/>
      </c>
      <c r="G29" s="33" t="str">
        <f t="shared" si="1"/>
        <v/>
      </c>
      <c r="H29" s="33" t="str">
        <f t="shared" si="2"/>
        <v/>
      </c>
      <c r="I29" s="26" t="str">
        <f t="shared" si="3"/>
        <v/>
      </c>
      <c r="J29" s="22"/>
      <c r="K29" s="22"/>
      <c r="L29" s="22"/>
      <c r="M29" s="22"/>
      <c r="N29" s="2"/>
      <c r="O29" s="2"/>
      <c r="P29" s="2"/>
      <c r="Q29" s="22"/>
    </row>
    <row r="30" spans="1:17" ht="15" customHeight="1">
      <c r="A30" s="32">
        <v>18</v>
      </c>
      <c r="B30" s="36"/>
      <c r="C30" s="36"/>
      <c r="D30" s="29"/>
      <c r="E30" s="29"/>
      <c r="F30" s="33" t="str">
        <f t="shared" si="0"/>
        <v/>
      </c>
      <c r="G30" s="33" t="str">
        <f t="shared" si="1"/>
        <v/>
      </c>
      <c r="H30" s="33" t="str">
        <f t="shared" si="2"/>
        <v/>
      </c>
      <c r="I30" s="26" t="str">
        <f t="shared" si="3"/>
        <v/>
      </c>
      <c r="J30" s="22"/>
      <c r="K30" s="22"/>
      <c r="L30" s="22"/>
      <c r="M30" s="22"/>
      <c r="N30" s="2"/>
      <c r="O30" s="2"/>
      <c r="P30" s="2"/>
      <c r="Q30" s="22"/>
    </row>
    <row r="31" spans="1:17" ht="15" customHeight="1">
      <c r="A31" s="32">
        <v>19</v>
      </c>
      <c r="B31" s="36"/>
      <c r="C31" s="36"/>
      <c r="D31" s="29"/>
      <c r="E31" s="29"/>
      <c r="F31" s="33" t="str">
        <f t="shared" si="0"/>
        <v/>
      </c>
      <c r="G31" s="33" t="str">
        <f t="shared" si="1"/>
        <v/>
      </c>
      <c r="H31" s="33" t="str">
        <f t="shared" si="2"/>
        <v/>
      </c>
      <c r="I31" s="26" t="str">
        <f t="shared" si="3"/>
        <v/>
      </c>
      <c r="J31" s="22"/>
      <c r="K31" s="22"/>
      <c r="L31" s="22"/>
      <c r="M31" s="22"/>
      <c r="N31" s="2"/>
      <c r="O31" s="2"/>
      <c r="P31" s="2"/>
      <c r="Q31" s="22"/>
    </row>
    <row r="32" spans="1:17" ht="15" customHeight="1">
      <c r="A32" s="32">
        <v>20</v>
      </c>
      <c r="B32" s="36"/>
      <c r="C32" s="36"/>
      <c r="D32" s="29"/>
      <c r="E32" s="29"/>
      <c r="F32" s="33" t="str">
        <f t="shared" si="0"/>
        <v/>
      </c>
      <c r="G32" s="33" t="str">
        <f t="shared" si="1"/>
        <v/>
      </c>
      <c r="H32" s="33" t="str">
        <f t="shared" si="2"/>
        <v/>
      </c>
      <c r="I32" s="26" t="str">
        <f t="shared" si="3"/>
        <v/>
      </c>
      <c r="J32" s="22"/>
      <c r="K32" s="22"/>
      <c r="L32" s="22"/>
      <c r="M32" s="22"/>
      <c r="N32" s="2"/>
      <c r="O32" s="2"/>
      <c r="P32" s="2"/>
      <c r="Q32" s="22"/>
    </row>
    <row r="33" spans="1:17" ht="15" customHeight="1">
      <c r="A33" s="344" t="s">
        <v>253</v>
      </c>
      <c r="B33" s="344"/>
      <c r="C33" s="344"/>
      <c r="D33" s="344"/>
      <c r="E33" s="344"/>
      <c r="F33" s="34">
        <f>IF(COUNT(F13:F32)=0,"ND",AVERAGE(F13:F32))</f>
        <v>17.239999999999998</v>
      </c>
      <c r="G33" s="34">
        <f>COUNT(G13:G32)</f>
        <v>10</v>
      </c>
      <c r="H33" s="34">
        <f>SUM(H13:H32)</f>
        <v>1.7399999999999987</v>
      </c>
      <c r="I33" s="35" t="str">
        <f>COUNTIF(I13:I32,"REVISAR*")&amp;" con diferencia sobre el 5%"</f>
        <v>0 con diferencia sobre el 5%</v>
      </c>
      <c r="J33" s="22"/>
      <c r="K33" s="22"/>
      <c r="L33" s="22"/>
      <c r="M33" s="22"/>
      <c r="N33" s="2"/>
      <c r="O33" s="2"/>
      <c r="P33" s="2"/>
      <c r="Q33" s="22"/>
    </row>
    <row r="34" spans="1:17">
      <c r="A34" s="22"/>
      <c r="B34" s="22"/>
      <c r="C34" s="22"/>
      <c r="D34" s="22"/>
      <c r="E34" s="2"/>
      <c r="F34" s="22"/>
      <c r="G34" s="22"/>
      <c r="H34" s="2"/>
      <c r="I34" s="22"/>
      <c r="J34" s="22"/>
      <c r="K34" s="22"/>
      <c r="L34" s="22"/>
      <c r="M34" s="22"/>
      <c r="N34" s="2"/>
      <c r="O34" s="2"/>
      <c r="P34" s="2"/>
      <c r="Q34" s="22"/>
    </row>
    <row r="35" spans="1:17" ht="19.5" customHeight="1">
      <c r="A35" s="317" t="s">
        <v>254</v>
      </c>
      <c r="B35" s="317"/>
      <c r="C35" s="317"/>
      <c r="D35" s="317"/>
      <c r="E35" s="317"/>
      <c r="F35" s="317"/>
      <c r="G35" s="317"/>
      <c r="H35" s="317"/>
      <c r="I35" s="317"/>
      <c r="J35" s="317"/>
      <c r="K35" s="317"/>
      <c r="L35" s="317"/>
      <c r="M35" s="317"/>
      <c r="N35" s="317"/>
      <c r="O35" s="317"/>
      <c r="P35" s="317"/>
      <c r="Q35" s="317"/>
    </row>
    <row r="36" spans="1:17" ht="18" customHeight="1">
      <c r="A36" s="319" t="s">
        <v>255</v>
      </c>
      <c r="B36" s="319"/>
      <c r="C36" s="342">
        <f>G33</f>
        <v>10</v>
      </c>
      <c r="D36" s="342"/>
      <c r="E36" s="342"/>
      <c r="F36" s="342"/>
      <c r="G36" s="342"/>
      <c r="H36" s="342"/>
      <c r="I36" s="342"/>
      <c r="J36" s="342"/>
      <c r="K36" s="342"/>
      <c r="L36" s="22"/>
      <c r="M36" s="22"/>
      <c r="N36" s="2"/>
      <c r="O36" s="2"/>
      <c r="P36" s="2"/>
      <c r="Q36" s="22"/>
    </row>
    <row r="37" spans="1:17" ht="18" customHeight="1">
      <c r="A37" s="319" t="s">
        <v>256</v>
      </c>
      <c r="B37" s="319"/>
      <c r="C37" s="342">
        <f>H33</f>
        <v>1.7399999999999987</v>
      </c>
      <c r="D37" s="342"/>
      <c r="E37" s="342"/>
      <c r="F37" s="342"/>
      <c r="G37" s="342"/>
      <c r="H37" s="342"/>
      <c r="I37" s="342"/>
      <c r="J37" s="342"/>
      <c r="K37" s="342"/>
      <c r="L37" s="22"/>
      <c r="M37" s="22"/>
      <c r="N37" s="2"/>
      <c r="O37" s="2"/>
      <c r="P37" s="2"/>
      <c r="Q37" s="22"/>
    </row>
    <row r="38" spans="1:17" ht="18" customHeight="1">
      <c r="A38" s="319" t="s">
        <v>257</v>
      </c>
      <c r="B38" s="319"/>
      <c r="C38" s="342">
        <f>F33</f>
        <v>17.239999999999998</v>
      </c>
      <c r="D38" s="342"/>
      <c r="E38" s="342"/>
      <c r="F38" s="342"/>
      <c r="G38" s="342"/>
      <c r="H38" s="342"/>
      <c r="I38" s="342"/>
      <c r="J38" s="342"/>
      <c r="K38" s="342"/>
      <c r="L38" s="22"/>
      <c r="M38" s="22"/>
      <c r="N38" s="2"/>
      <c r="O38" s="2"/>
      <c r="P38" s="2"/>
      <c r="Q38" s="22"/>
    </row>
    <row r="39" spans="1:17" ht="25.5" customHeight="1">
      <c r="A39" s="319" t="s">
        <v>258</v>
      </c>
      <c r="B39" s="319"/>
      <c r="C39" s="343">
        <f>IF(OR(NOT(ISNUMBER(C36)),C36=0,NOT(ISNUMBER(C37))),"ND: faltan mediciones",SQRT(C37/(2*C36)))</f>
        <v>0.29495762407505244</v>
      </c>
      <c r="D39" s="343"/>
      <c r="E39" s="343"/>
      <c r="F39" s="343"/>
      <c r="G39" s="343"/>
      <c r="H39" s="343"/>
      <c r="I39" s="343"/>
      <c r="J39" s="343"/>
      <c r="K39" s="343"/>
      <c r="L39" s="325" t="s">
        <v>259</v>
      </c>
      <c r="M39" s="325"/>
      <c r="N39" s="325"/>
      <c r="O39" s="325"/>
      <c r="P39" s="325"/>
      <c r="Q39" s="325"/>
    </row>
    <row r="40" spans="1:17" ht="18" customHeight="1">
      <c r="A40" s="319" t="s">
        <v>260</v>
      </c>
      <c r="B40" s="319"/>
      <c r="C40" s="340">
        <f>IF(OR(NOT(ISNUMBER(C39)),NOT(ISNUMBER(C38)),C38=0),"ND",C39/C38)</f>
        <v>1.7108910909225779E-2</v>
      </c>
      <c r="D40" s="340"/>
      <c r="E40" s="340"/>
      <c r="F40" s="340"/>
      <c r="G40" s="340"/>
      <c r="H40" s="340"/>
      <c r="I40" s="340"/>
      <c r="J40" s="340"/>
      <c r="K40" s="340"/>
      <c r="L40" s="22"/>
      <c r="M40" s="22"/>
      <c r="N40" s="2"/>
      <c r="O40" s="2"/>
      <c r="P40" s="2"/>
      <c r="Q40" s="22"/>
    </row>
    <row r="41" spans="1:17" ht="18" customHeight="1">
      <c r="A41" s="319" t="s">
        <v>261</v>
      </c>
      <c r="B41" s="319"/>
      <c r="C41" s="333">
        <f>IF(COUNT(F13:F32)&lt;2,"ND",STDEV(F13:F32))</f>
        <v>5.9407163802954948</v>
      </c>
      <c r="D41" s="333"/>
      <c r="E41" s="333"/>
      <c r="F41" s="333"/>
      <c r="G41" s="333"/>
      <c r="H41" s="333"/>
      <c r="I41" s="333"/>
      <c r="J41" s="333"/>
      <c r="K41" s="333"/>
      <c r="L41" s="22"/>
      <c r="M41" s="22"/>
      <c r="N41" s="2"/>
      <c r="O41" s="2"/>
      <c r="P41" s="2"/>
      <c r="Q41" s="22"/>
    </row>
    <row r="42" spans="1:17" ht="18" customHeight="1">
      <c r="A42" s="319" t="s">
        <v>262</v>
      </c>
      <c r="B42" s="319"/>
      <c r="C42" s="341">
        <f>IF(OR(NOT(ISNUMBER(C39)),NOT(ISNUMBER(C41)),C41=0),"ND",1-(C39^2/C41^2))</f>
        <v>0.99753485985221757</v>
      </c>
      <c r="D42" s="341"/>
      <c r="E42" s="341"/>
      <c r="F42" s="341"/>
      <c r="G42" s="341"/>
      <c r="H42" s="341"/>
      <c r="I42" s="341"/>
      <c r="J42" s="341"/>
      <c r="K42" s="341"/>
      <c r="L42" s="325" t="s">
        <v>263</v>
      </c>
      <c r="M42" s="325"/>
      <c r="N42" s="325"/>
      <c r="O42" s="325"/>
      <c r="P42" s="325"/>
      <c r="Q42" s="325"/>
    </row>
    <row r="43" spans="1:17">
      <c r="A43" s="22"/>
      <c r="B43" s="22"/>
      <c r="C43" s="22"/>
      <c r="D43" s="22"/>
      <c r="E43" s="2"/>
      <c r="F43" s="22"/>
      <c r="G43" s="22"/>
      <c r="H43" s="2"/>
      <c r="I43" s="22"/>
      <c r="J43" s="22"/>
      <c r="K43" s="22"/>
      <c r="L43" s="22"/>
      <c r="M43" s="22"/>
      <c r="N43" s="2"/>
      <c r="O43" s="2"/>
      <c r="P43" s="2"/>
      <c r="Q43" s="22"/>
    </row>
    <row r="44" spans="1:17" ht="19.5" customHeight="1">
      <c r="A44" s="317" t="s">
        <v>264</v>
      </c>
      <c r="B44" s="317"/>
      <c r="C44" s="317"/>
      <c r="D44" s="317"/>
      <c r="E44" s="317"/>
      <c r="F44" s="317"/>
      <c r="G44" s="317"/>
      <c r="H44" s="317"/>
      <c r="I44" s="317"/>
      <c r="J44" s="317"/>
      <c r="K44" s="317"/>
      <c r="L44" s="317"/>
      <c r="M44" s="317"/>
      <c r="N44" s="317"/>
      <c r="O44" s="317"/>
      <c r="P44" s="317"/>
      <c r="Q44" s="317"/>
    </row>
    <row r="45" spans="1:17" ht="48" customHeight="1">
      <c r="A45" s="319" t="s">
        <v>265</v>
      </c>
      <c r="B45" s="319"/>
      <c r="C45" s="337" t="str">
        <f>IF(NOT(ISNUMBER(C40)),"ND",IF(C40&lt;=M41_u_intra,"El error relativo de "&amp;TEXT(C40,"0.00%")&amp;" cumple el criterio para un mismo evaluador, que es de "&amp;TEXT(M41_u_intra,"0%")&amp;".",IF(C40&lt;=M41_u_inter,"El error relativo de "&amp;TEXT(C40,"0.00%")&amp;" supera el criterio para un mismo evaluador pero se mantiene bajo el criterio entre evaluadores. Conviene entrenar la técnica antes de usar estas mediciones para seguimiento fino.","El error relativo de "&amp;TEXT(C40,"0.00%")&amp;" SUPERA ambos criterios. Las mediciones no son suficientemente reproducibles: revise la técnica con supervisión antes de continuar.")))</f>
        <v>El error relativo de 002% cumple el criterio para un mismo evaluador, que es de 5%.</v>
      </c>
      <c r="D45" s="337"/>
      <c r="E45" s="337"/>
      <c r="F45" s="337"/>
      <c r="G45" s="337"/>
      <c r="H45" s="337"/>
      <c r="I45" s="337"/>
      <c r="J45" s="337"/>
      <c r="K45" s="337"/>
      <c r="L45" s="22"/>
      <c r="M45" s="22"/>
      <c r="N45" s="2"/>
      <c r="O45" s="2"/>
      <c r="P45" s="2"/>
      <c r="Q45" s="22"/>
    </row>
    <row r="46" spans="1:17" ht="43.5" customHeight="1">
      <c r="A46" s="319" t="s">
        <v>266</v>
      </c>
      <c r="B46" s="319"/>
      <c r="C46" s="337" t="str">
        <f>IF(NOT(ISNUMBER(C42)),"ND",IF(C42&gt;=M41_u_R,"La fiabilidad de "&amp;TEXT(C42,"0.000")&amp;" alcanza el mínimo de "&amp;TEXT(M41_u_R,"0.00")&amp;": la variación observada entre sujetos se debe mayormente a diferencias reales y no al error del método.","La fiabilidad de "&amp;TEXT(C42,"0.000")&amp;" queda bajo el mínimo: una parte importante de lo que usted observa es error de medición, no diferencia real."))</f>
        <v>La fiabilidad de 0.001 alcanza el mínimo de 001: la variación observada entre sujetos se debe mayormente a diferencias reales y no al error del método.</v>
      </c>
      <c r="D46" s="337"/>
      <c r="E46" s="337"/>
      <c r="F46" s="337"/>
      <c r="G46" s="337"/>
      <c r="H46" s="337"/>
      <c r="I46" s="337"/>
      <c r="J46" s="337"/>
      <c r="K46" s="337"/>
      <c r="L46" s="22"/>
      <c r="M46" s="22"/>
      <c r="N46" s="2"/>
      <c r="O46" s="2"/>
      <c r="P46" s="2"/>
      <c r="Q46" s="22"/>
    </row>
    <row r="47" spans="1:17" ht="18" customHeight="1">
      <c r="A47" s="319" t="s">
        <v>267</v>
      </c>
      <c r="B47" s="319"/>
      <c r="C47" s="333">
        <f>COUNTIF(I13:I32,"REVISAR*")</f>
        <v>0</v>
      </c>
      <c r="D47" s="333"/>
      <c r="E47" s="333"/>
      <c r="F47" s="333"/>
      <c r="G47" s="333"/>
      <c r="H47" s="333"/>
      <c r="I47" s="333"/>
      <c r="J47" s="333"/>
      <c r="K47" s="333"/>
      <c r="L47" s="325" t="s">
        <v>268</v>
      </c>
      <c r="M47" s="325"/>
      <c r="N47" s="325"/>
      <c r="O47" s="325"/>
      <c r="P47" s="325"/>
      <c r="Q47" s="325"/>
    </row>
    <row r="48" spans="1:17">
      <c r="A48" s="22"/>
      <c r="B48" s="22"/>
      <c r="C48" s="22"/>
      <c r="D48" s="22"/>
      <c r="E48" s="2"/>
      <c r="F48" s="22"/>
      <c r="G48" s="22"/>
      <c r="H48" s="2"/>
      <c r="I48" s="22"/>
      <c r="J48" s="22"/>
      <c r="K48" s="22"/>
      <c r="L48" s="22"/>
      <c r="M48" s="22"/>
      <c r="N48" s="2"/>
      <c r="O48" s="2"/>
      <c r="P48" s="2"/>
      <c r="Q48" s="22"/>
    </row>
    <row r="49" spans="1:17" ht="19.5" customHeight="1">
      <c r="A49" s="317" t="s">
        <v>269</v>
      </c>
      <c r="B49" s="317"/>
      <c r="C49" s="317"/>
      <c r="D49" s="317"/>
      <c r="E49" s="317"/>
      <c r="F49" s="317"/>
      <c r="G49" s="317"/>
      <c r="H49" s="317"/>
      <c r="I49" s="317"/>
      <c r="J49" s="317"/>
      <c r="K49" s="317"/>
      <c r="L49" s="317"/>
      <c r="M49" s="317"/>
      <c r="N49" s="317"/>
      <c r="O49" s="317"/>
      <c r="P49" s="317"/>
      <c r="Q49" s="317"/>
    </row>
    <row r="50" spans="1:17" ht="18" customHeight="1">
      <c r="A50" s="319" t="s">
        <v>270</v>
      </c>
      <c r="B50" s="319"/>
      <c r="C50" s="330">
        <f>IF(NOT(ISNUMBER(C39)),"ND",M41_k_z*SQRT(2)*C39)</f>
        <v>0.81758082169287682</v>
      </c>
      <c r="D50" s="330"/>
      <c r="E50" s="330"/>
      <c r="F50" s="330"/>
      <c r="G50" s="330"/>
      <c r="H50" s="330"/>
      <c r="I50" s="330"/>
      <c r="J50" s="330"/>
      <c r="K50" s="330"/>
      <c r="L50" s="325" t="s">
        <v>271</v>
      </c>
      <c r="M50" s="325"/>
      <c r="N50" s="325"/>
      <c r="O50" s="325"/>
      <c r="P50" s="325"/>
      <c r="Q50" s="325"/>
    </row>
    <row r="51" spans="1:17" ht="31.5" customHeight="1">
      <c r="A51" s="319" t="s">
        <v>272</v>
      </c>
      <c r="B51" s="319"/>
      <c r="C51" s="329" t="str">
        <f>IF(OR(NOT(ISNUMBER(C50)),NOT(ISNUMBER(M41_v_resol))),"ND",IF(C50&lt;M41_v_resol,"El error del evaluador es menor que la resolución del instrumento: la escala del plicómetro pasa a ser el factor limitante.","El error del evaluador supera la resolución del instrumento en "&amp;TEXT(C50/M41_v_resol,"0.0")&amp;" veces: el "&amp;"factor limitante es la técnica, no el aparato."))</f>
        <v>El error del evaluador supera la resolución del instrumento en 04 veces: el factor limitante es la técnica, no el aparato.</v>
      </c>
      <c r="D51" s="329"/>
      <c r="E51" s="329"/>
      <c r="F51" s="329"/>
      <c r="G51" s="329"/>
      <c r="H51" s="329"/>
      <c r="I51" s="329"/>
      <c r="J51" s="329"/>
      <c r="K51" s="329"/>
      <c r="L51" s="22"/>
      <c r="M51" s="22"/>
      <c r="N51" s="2"/>
      <c r="O51" s="2"/>
      <c r="P51" s="2"/>
      <c r="Q51" s="22"/>
    </row>
    <row r="52" spans="1:17">
      <c r="A52" s="22"/>
      <c r="B52" s="22"/>
      <c r="C52" s="22"/>
      <c r="D52" s="22"/>
      <c r="E52" s="2"/>
      <c r="F52" s="22"/>
      <c r="G52" s="22"/>
      <c r="H52" s="2"/>
      <c r="I52" s="22"/>
      <c r="J52" s="22"/>
      <c r="K52" s="22"/>
      <c r="L52" s="22"/>
      <c r="M52" s="22"/>
      <c r="N52" s="2"/>
      <c r="O52" s="2"/>
      <c r="P52" s="2"/>
      <c r="Q52" s="22"/>
    </row>
    <row r="53" spans="1:17" ht="15" customHeight="1">
      <c r="A53" s="327" t="s">
        <v>273</v>
      </c>
      <c r="B53" s="327"/>
      <c r="C53" s="327"/>
      <c r="D53" s="327"/>
      <c r="E53" s="327"/>
      <c r="F53" s="327"/>
      <c r="G53" s="327"/>
      <c r="H53" s="327"/>
      <c r="I53" s="327"/>
      <c r="J53" s="327"/>
      <c r="K53" s="327"/>
      <c r="L53" s="327"/>
      <c r="M53" s="327"/>
      <c r="N53" s="327"/>
      <c r="O53" s="327"/>
      <c r="P53" s="327"/>
      <c r="Q53" s="327"/>
    </row>
    <row r="54" spans="1:17" ht="15" customHeight="1">
      <c r="A54" s="327"/>
      <c r="B54" s="327"/>
      <c r="C54" s="327"/>
      <c r="D54" s="327"/>
      <c r="E54" s="327"/>
      <c r="F54" s="327"/>
      <c r="G54" s="327"/>
      <c r="H54" s="327"/>
      <c r="I54" s="327"/>
      <c r="J54" s="327"/>
      <c r="K54" s="327"/>
      <c r="L54" s="327"/>
      <c r="M54" s="327"/>
      <c r="N54" s="327"/>
      <c r="O54" s="327"/>
      <c r="P54" s="327"/>
      <c r="Q54" s="327"/>
    </row>
    <row r="55" spans="1:17" ht="15" customHeight="1">
      <c r="A55" s="327"/>
      <c r="B55" s="327"/>
      <c r="C55" s="327"/>
      <c r="D55" s="327"/>
      <c r="E55" s="327"/>
      <c r="F55" s="327"/>
      <c r="G55" s="327"/>
      <c r="H55" s="327"/>
      <c r="I55" s="327"/>
      <c r="J55" s="327"/>
      <c r="K55" s="327"/>
      <c r="L55" s="327"/>
      <c r="M55" s="327"/>
      <c r="N55" s="327"/>
      <c r="O55" s="327"/>
      <c r="P55" s="327"/>
      <c r="Q55" s="327"/>
    </row>
  </sheetData>
  <sheetProtection algorithmName="SHA-512" hashValue="gNKWpFanGCqReB6oMtomD3uvqExL4HodBaLJnnsD1Z1ofBhsNZZ+gjxcryhZ8ungf67gPWhm6ESRkMV6VIuaPQ==" saltValue="0ERVk7CurHO7IEt8ArY3bw==" spinCount="100000" sheet="1" objects="1" scenarios="1"/>
  <mergeCells count="38">
    <mergeCell ref="A1:Q1"/>
    <mergeCell ref="A2:Q3"/>
    <mergeCell ref="A6:Q9"/>
    <mergeCell ref="A11:Q11"/>
    <mergeCell ref="A4:E4"/>
    <mergeCell ref="A33:E33"/>
    <mergeCell ref="A35:Q35"/>
    <mergeCell ref="A36:B36"/>
    <mergeCell ref="C36:K36"/>
    <mergeCell ref="A37:B37"/>
    <mergeCell ref="C37:K37"/>
    <mergeCell ref="A38:B38"/>
    <mergeCell ref="C38:K38"/>
    <mergeCell ref="A39:B39"/>
    <mergeCell ref="C39:K39"/>
    <mergeCell ref="L39:Q39"/>
    <mergeCell ref="A40:B40"/>
    <mergeCell ref="C40:K40"/>
    <mergeCell ref="A41:B41"/>
    <mergeCell ref="C41:K41"/>
    <mergeCell ref="A42:B42"/>
    <mergeCell ref="C42:K42"/>
    <mergeCell ref="L42:Q42"/>
    <mergeCell ref="A44:Q44"/>
    <mergeCell ref="A45:B45"/>
    <mergeCell ref="C45:K45"/>
    <mergeCell ref="A46:B46"/>
    <mergeCell ref="C46:K46"/>
    <mergeCell ref="A51:B51"/>
    <mergeCell ref="C51:K51"/>
    <mergeCell ref="A53:Q55"/>
    <mergeCell ref="A47:B47"/>
    <mergeCell ref="C47:K47"/>
    <mergeCell ref="L47:Q47"/>
    <mergeCell ref="A49:Q49"/>
    <mergeCell ref="A50:B50"/>
    <mergeCell ref="C50:K50"/>
    <mergeCell ref="L50:Q50"/>
  </mergeCells>
  <dataValidations count="1">
    <dataValidation type="list" allowBlank="1" sqref="C13:C32" xr:uid="{00000000-0002-0000-0A00-000000000000}">
      <formula1>M41_lst_sitios</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Q18"/>
  <sheetViews>
    <sheetView showGridLines="0" zoomScaleNormal="100" workbookViewId="0">
      <selection sqref="A1:Q1"/>
    </sheetView>
  </sheetViews>
  <sheetFormatPr baseColWidth="10" defaultColWidth="8.7109375" defaultRowHeight="15"/>
  <cols>
    <col min="1" max="1" width="34" style="1" customWidth="1"/>
    <col min="2" max="2" width="15"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299</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21" t="str">
        <f>HYPERLINK("#M41_INICIO!A1","▶  VOLVER A INICIO")</f>
        <v>▶  VOLVER A INICIO</v>
      </c>
      <c r="B4" s="321"/>
      <c r="C4" s="22"/>
      <c r="D4" s="22"/>
      <c r="E4" s="2"/>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19.5" customHeight="1">
      <c r="A6" s="317" t="s">
        <v>300</v>
      </c>
      <c r="B6" s="317"/>
      <c r="C6" s="317"/>
      <c r="D6" s="317"/>
      <c r="E6" s="317"/>
      <c r="F6" s="317"/>
      <c r="G6" s="317"/>
      <c r="H6" s="317"/>
      <c r="I6" s="317"/>
      <c r="J6" s="317"/>
      <c r="K6" s="317"/>
      <c r="L6" s="317"/>
      <c r="M6" s="317"/>
      <c r="N6" s="317"/>
      <c r="O6" s="317"/>
      <c r="P6" s="317"/>
      <c r="Q6" s="317"/>
    </row>
    <row r="7" spans="1:17" ht="15" customHeight="1">
      <c r="A7" s="41" t="s">
        <v>301</v>
      </c>
      <c r="B7" s="348" t="s">
        <v>302</v>
      </c>
      <c r="C7" s="348"/>
      <c r="D7" s="348"/>
      <c r="E7" s="348"/>
      <c r="F7" s="348"/>
      <c r="G7" s="348"/>
      <c r="H7" s="348"/>
      <c r="I7" s="348"/>
      <c r="J7" s="348"/>
      <c r="K7" s="348"/>
      <c r="L7" s="348"/>
      <c r="M7" s="348"/>
      <c r="N7" s="348"/>
      <c r="O7" s="348"/>
      <c r="P7" s="348"/>
      <c r="Q7" s="348"/>
    </row>
    <row r="8" spans="1:17" ht="61.5" customHeight="1">
      <c r="A8" s="42" t="s">
        <v>303</v>
      </c>
      <c r="B8" s="347" t="s">
        <v>304</v>
      </c>
      <c r="C8" s="347"/>
      <c r="D8" s="347"/>
      <c r="E8" s="347"/>
      <c r="F8" s="347"/>
      <c r="G8" s="347"/>
      <c r="H8" s="347"/>
      <c r="I8" s="347"/>
      <c r="J8" s="347"/>
      <c r="K8" s="347"/>
      <c r="L8" s="347"/>
      <c r="M8" s="347"/>
      <c r="N8" s="347"/>
      <c r="O8" s="347"/>
      <c r="P8" s="347"/>
      <c r="Q8" s="347"/>
    </row>
    <row r="9" spans="1:17" ht="61.5" customHeight="1">
      <c r="A9" s="42" t="s">
        <v>109</v>
      </c>
      <c r="B9" s="347" t="s">
        <v>305</v>
      </c>
      <c r="C9" s="347"/>
      <c r="D9" s="347"/>
      <c r="E9" s="347"/>
      <c r="F9" s="347"/>
      <c r="G9" s="347"/>
      <c r="H9" s="347"/>
      <c r="I9" s="347"/>
      <c r="J9" s="347"/>
      <c r="K9" s="347"/>
      <c r="L9" s="347"/>
      <c r="M9" s="347"/>
      <c r="N9" s="347"/>
      <c r="O9" s="347"/>
      <c r="P9" s="347"/>
      <c r="Q9" s="347"/>
    </row>
    <row r="10" spans="1:17" ht="61.5" customHeight="1">
      <c r="A10" s="42" t="s">
        <v>306</v>
      </c>
      <c r="B10" s="347" t="s">
        <v>307</v>
      </c>
      <c r="C10" s="347"/>
      <c r="D10" s="347"/>
      <c r="E10" s="347"/>
      <c r="F10" s="347"/>
      <c r="G10" s="347"/>
      <c r="H10" s="347"/>
      <c r="I10" s="347"/>
      <c r="J10" s="347"/>
      <c r="K10" s="347"/>
      <c r="L10" s="347"/>
      <c r="M10" s="347"/>
      <c r="N10" s="347"/>
      <c r="O10" s="347"/>
      <c r="P10" s="347"/>
      <c r="Q10" s="347"/>
    </row>
    <row r="11" spans="1:17" ht="61.5" customHeight="1">
      <c r="A11" s="42" t="s">
        <v>308</v>
      </c>
      <c r="B11" s="347" t="s">
        <v>309</v>
      </c>
      <c r="C11" s="347"/>
      <c r="D11" s="347"/>
      <c r="E11" s="347"/>
      <c r="F11" s="347"/>
      <c r="G11" s="347"/>
      <c r="H11" s="347"/>
      <c r="I11" s="347"/>
      <c r="J11" s="347"/>
      <c r="K11" s="347"/>
      <c r="L11" s="347"/>
      <c r="M11" s="347"/>
      <c r="N11" s="347"/>
      <c r="O11" s="347"/>
      <c r="P11" s="347"/>
      <c r="Q11" s="347"/>
    </row>
    <row r="12" spans="1:17" ht="61.5" customHeight="1">
      <c r="A12" s="42" t="s">
        <v>262</v>
      </c>
      <c r="B12" s="347" t="s">
        <v>310</v>
      </c>
      <c r="C12" s="347"/>
      <c r="D12" s="347"/>
      <c r="E12" s="347"/>
      <c r="F12" s="347"/>
      <c r="G12" s="347"/>
      <c r="H12" s="347"/>
      <c r="I12" s="347"/>
      <c r="J12" s="347"/>
      <c r="K12" s="347"/>
      <c r="L12" s="347"/>
      <c r="M12" s="347"/>
      <c r="N12" s="347"/>
      <c r="O12" s="347"/>
      <c r="P12" s="347"/>
      <c r="Q12" s="347"/>
    </row>
    <row r="13" spans="1:17" ht="61.5" customHeight="1">
      <c r="A13" s="42" t="s">
        <v>280</v>
      </c>
      <c r="B13" s="347" t="s">
        <v>311</v>
      </c>
      <c r="C13" s="347"/>
      <c r="D13" s="347"/>
      <c r="E13" s="347"/>
      <c r="F13" s="347"/>
      <c r="G13" s="347"/>
      <c r="H13" s="347"/>
      <c r="I13" s="347"/>
      <c r="J13" s="347"/>
      <c r="K13" s="347"/>
      <c r="L13" s="347"/>
      <c r="M13" s="347"/>
      <c r="N13" s="347"/>
      <c r="O13" s="347"/>
      <c r="P13" s="347"/>
      <c r="Q13" s="347"/>
    </row>
    <row r="14" spans="1:17" ht="61.5" customHeight="1">
      <c r="A14" s="42" t="s">
        <v>312</v>
      </c>
      <c r="B14" s="347" t="s">
        <v>313</v>
      </c>
      <c r="C14" s="347"/>
      <c r="D14" s="347"/>
      <c r="E14" s="347"/>
      <c r="F14" s="347"/>
      <c r="G14" s="347"/>
      <c r="H14" s="347"/>
      <c r="I14" s="347"/>
      <c r="J14" s="347"/>
      <c r="K14" s="347"/>
      <c r="L14" s="347"/>
      <c r="M14" s="347"/>
      <c r="N14" s="347"/>
      <c r="O14" s="347"/>
      <c r="P14" s="347"/>
      <c r="Q14" s="347"/>
    </row>
    <row r="15" spans="1:17" ht="61.5" customHeight="1">
      <c r="A15" s="42" t="s">
        <v>314</v>
      </c>
      <c r="B15" s="347" t="s">
        <v>315</v>
      </c>
      <c r="C15" s="347"/>
      <c r="D15" s="347"/>
      <c r="E15" s="347"/>
      <c r="F15" s="347"/>
      <c r="G15" s="347"/>
      <c r="H15" s="347"/>
      <c r="I15" s="347"/>
      <c r="J15" s="347"/>
      <c r="K15" s="347"/>
      <c r="L15" s="347"/>
      <c r="M15" s="347"/>
      <c r="N15" s="347"/>
      <c r="O15" s="347"/>
      <c r="P15" s="347"/>
      <c r="Q15" s="347"/>
    </row>
    <row r="16" spans="1:17" ht="61.5" customHeight="1">
      <c r="A16" s="42" t="s">
        <v>316</v>
      </c>
      <c r="B16" s="347" t="s">
        <v>317</v>
      </c>
      <c r="C16" s="347"/>
      <c r="D16" s="347"/>
      <c r="E16" s="347"/>
      <c r="F16" s="347"/>
      <c r="G16" s="347"/>
      <c r="H16" s="347"/>
      <c r="I16" s="347"/>
      <c r="J16" s="347"/>
      <c r="K16" s="347"/>
      <c r="L16" s="347"/>
      <c r="M16" s="347"/>
      <c r="N16" s="347"/>
      <c r="O16" s="347"/>
      <c r="P16" s="347"/>
      <c r="Q16" s="347"/>
    </row>
    <row r="17" spans="1:17" ht="61.5" customHeight="1">
      <c r="A17" s="42" t="s">
        <v>318</v>
      </c>
      <c r="B17" s="347" t="s">
        <v>319</v>
      </c>
      <c r="C17" s="347"/>
      <c r="D17" s="347"/>
      <c r="E17" s="347"/>
      <c r="F17" s="347"/>
      <c r="G17" s="347"/>
      <c r="H17" s="347"/>
      <c r="I17" s="347"/>
      <c r="J17" s="347"/>
      <c r="K17" s="347"/>
      <c r="L17" s="347"/>
      <c r="M17" s="347"/>
      <c r="N17" s="347"/>
      <c r="O17" s="347"/>
      <c r="P17" s="347"/>
      <c r="Q17" s="347"/>
    </row>
    <row r="18" spans="1:17" ht="61.5" customHeight="1">
      <c r="A18" s="42" t="s">
        <v>320</v>
      </c>
      <c r="B18" s="347" t="s">
        <v>321</v>
      </c>
      <c r="C18" s="347"/>
      <c r="D18" s="347"/>
      <c r="E18" s="347"/>
      <c r="F18" s="347"/>
      <c r="G18" s="347"/>
      <c r="H18" s="347"/>
      <c r="I18" s="347"/>
      <c r="J18" s="347"/>
      <c r="K18" s="347"/>
      <c r="L18" s="347"/>
      <c r="M18" s="347"/>
      <c r="N18" s="347"/>
      <c r="O18" s="347"/>
      <c r="P18" s="347"/>
      <c r="Q18" s="347"/>
    </row>
  </sheetData>
  <sheetProtection algorithmName="SHA-512" hashValue="4m8AzBL0ipojz1Cb4+SGrBJZB4XmZQuUQzSOtAGopGHrbLCHa79cT/ODdYcQz0AycwLQK8KXLHpG7jVj9Lh+AA==" saltValue="xZDsnNicuDn6gztr1/bHjg==" spinCount="100000" sheet="1" objects="1" scenarios="1"/>
  <mergeCells count="16">
    <mergeCell ref="A1:Q1"/>
    <mergeCell ref="A2:Q3"/>
    <mergeCell ref="A4:B4"/>
    <mergeCell ref="A6:Q6"/>
    <mergeCell ref="B7:Q7"/>
    <mergeCell ref="B8:Q8"/>
    <mergeCell ref="B9:Q9"/>
    <mergeCell ref="B10:Q10"/>
    <mergeCell ref="B11:Q11"/>
    <mergeCell ref="B12:Q12"/>
    <mergeCell ref="B18:Q18"/>
    <mergeCell ref="B13:Q13"/>
    <mergeCell ref="B14:Q14"/>
    <mergeCell ref="B15:Q15"/>
    <mergeCell ref="B16:Q16"/>
    <mergeCell ref="B17:Q17"/>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Q40"/>
  <sheetViews>
    <sheetView showGridLines="0" zoomScaleNormal="100" workbookViewId="0">
      <selection sqref="A1:Q1"/>
    </sheetView>
  </sheetViews>
  <sheetFormatPr baseColWidth="10" defaultColWidth="8.7109375" defaultRowHeight="15"/>
  <cols>
    <col min="1" max="1" width="18.5703125" style="1" customWidth="1"/>
    <col min="2" max="2" width="56" style="1" customWidth="1"/>
    <col min="3" max="3" width="20"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322</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21" t="str">
        <f>HYPERLINK("#M41_INICIO!A1","▶  VOLVER A INICIO")</f>
        <v>▶  VOLVER A INICIO</v>
      </c>
      <c r="B4" s="321"/>
      <c r="C4" s="22"/>
      <c r="D4" s="2"/>
      <c r="E4" s="2"/>
      <c r="F4" s="22"/>
      <c r="G4" s="2"/>
      <c r="H4" s="22"/>
      <c r="I4" s="22"/>
      <c r="J4" s="22"/>
      <c r="K4" s="22"/>
      <c r="L4" s="22"/>
      <c r="M4" s="22"/>
      <c r="N4" s="2"/>
      <c r="O4" s="2"/>
      <c r="P4" s="2"/>
      <c r="Q4" s="22"/>
    </row>
    <row r="5" spans="1:17">
      <c r="A5" s="22"/>
      <c r="B5" s="22"/>
      <c r="C5" s="22"/>
      <c r="D5" s="2"/>
      <c r="E5" s="2"/>
      <c r="F5" s="22"/>
      <c r="G5" s="2"/>
      <c r="H5" s="22"/>
      <c r="I5" s="22"/>
      <c r="J5" s="22"/>
      <c r="K5" s="22"/>
      <c r="L5" s="22"/>
      <c r="M5" s="22"/>
      <c r="N5" s="2"/>
      <c r="O5" s="2"/>
      <c r="P5" s="2"/>
      <c r="Q5" s="22"/>
    </row>
    <row r="6" spans="1:17" ht="15" customHeight="1">
      <c r="A6" s="43" t="s">
        <v>323</v>
      </c>
      <c r="B6" s="22"/>
      <c r="C6" s="22"/>
      <c r="D6" s="2"/>
      <c r="E6" s="2"/>
      <c r="F6" s="22"/>
      <c r="G6" s="2"/>
      <c r="H6" s="22"/>
      <c r="I6" s="22"/>
      <c r="J6" s="22"/>
      <c r="K6" s="22"/>
      <c r="L6" s="22"/>
      <c r="M6" s="22"/>
      <c r="N6" s="2"/>
      <c r="O6" s="2"/>
      <c r="P6" s="2"/>
      <c r="Q6" s="22"/>
    </row>
    <row r="7" spans="1:17">
      <c r="A7" s="22"/>
      <c r="B7" s="22"/>
      <c r="C7" s="22"/>
      <c r="D7" s="2"/>
      <c r="E7" s="2"/>
      <c r="F7" s="22"/>
      <c r="G7" s="2"/>
      <c r="H7" s="22"/>
      <c r="I7" s="22"/>
      <c r="J7" s="22"/>
      <c r="K7" s="22"/>
      <c r="L7" s="22"/>
      <c r="M7" s="22"/>
      <c r="N7" s="2"/>
      <c r="O7" s="2"/>
      <c r="P7" s="2"/>
      <c r="Q7" s="22"/>
    </row>
    <row r="8" spans="1:17" ht="15" customHeight="1">
      <c r="A8" s="41" t="s">
        <v>324</v>
      </c>
      <c r="B8" s="41" t="s">
        <v>325</v>
      </c>
      <c r="C8" s="41" t="s">
        <v>326</v>
      </c>
      <c r="D8" s="41" t="s">
        <v>327</v>
      </c>
      <c r="E8" s="41" t="s">
        <v>44</v>
      </c>
      <c r="F8" s="22"/>
      <c r="G8" s="2"/>
      <c r="H8" s="22"/>
      <c r="I8" s="22"/>
      <c r="J8" s="22"/>
      <c r="K8" s="22"/>
      <c r="L8" s="22"/>
      <c r="M8" s="22"/>
      <c r="N8" s="2"/>
      <c r="O8" s="2"/>
      <c r="P8" s="2"/>
      <c r="Q8" s="22"/>
    </row>
    <row r="9" spans="1:17" ht="15" customHeight="1">
      <c r="A9" s="44" t="s">
        <v>328</v>
      </c>
      <c r="B9" s="45" t="s">
        <v>329</v>
      </c>
      <c r="C9" s="33">
        <f>M41_FIABILIDAD!F13</f>
        <v>12.25</v>
      </c>
      <c r="D9" s="44">
        <v>12.25</v>
      </c>
      <c r="E9" s="46" t="str">
        <f t="shared" ref="E9:E38" si="0">IF(AND(ISNUMBER(C9),ISNUMBER(D9)),IF(ABS(C9-D9)&lt;=0.001,"APROBADO","REVISAR"),IF(EXACT(C9&amp;"",D9&amp;""),"APROBADO","REVISAR"))</f>
        <v>APROBADO</v>
      </c>
      <c r="F9" s="22"/>
      <c r="G9" s="2"/>
      <c r="H9" s="22"/>
      <c r="I9" s="22"/>
      <c r="J9" s="22"/>
      <c r="K9" s="22"/>
      <c r="L9" s="22"/>
      <c r="M9" s="22"/>
      <c r="N9" s="2"/>
      <c r="O9" s="2"/>
      <c r="P9" s="2"/>
      <c r="Q9" s="22"/>
    </row>
    <row r="10" spans="1:17" ht="15" customHeight="1">
      <c r="A10" s="44" t="s">
        <v>328</v>
      </c>
      <c r="B10" s="45" t="s">
        <v>330</v>
      </c>
      <c r="C10" s="33">
        <f>M41_FIABILIDAD!G13</f>
        <v>0.30000000000000071</v>
      </c>
      <c r="D10" s="44">
        <v>0.3</v>
      </c>
      <c r="E10" s="46" t="str">
        <f t="shared" si="0"/>
        <v>APROBADO</v>
      </c>
      <c r="F10" s="22"/>
      <c r="G10" s="2"/>
      <c r="H10" s="22"/>
      <c r="I10" s="22"/>
      <c r="J10" s="22"/>
      <c r="K10" s="22"/>
      <c r="L10" s="22"/>
      <c r="M10" s="22"/>
      <c r="N10" s="2"/>
      <c r="O10" s="2"/>
      <c r="P10" s="2"/>
      <c r="Q10" s="22"/>
    </row>
    <row r="11" spans="1:17" ht="15" customHeight="1">
      <c r="A11" s="44" t="s">
        <v>328</v>
      </c>
      <c r="B11" s="45" t="s">
        <v>331</v>
      </c>
      <c r="C11" s="33">
        <f>M41_FIABILIDAD!H13</f>
        <v>9.0000000000000427E-2</v>
      </c>
      <c r="D11" s="44">
        <v>0.09</v>
      </c>
      <c r="E11" s="46" t="str">
        <f t="shared" si="0"/>
        <v>APROBADO</v>
      </c>
      <c r="F11" s="22"/>
      <c r="G11" s="2"/>
      <c r="H11" s="22"/>
      <c r="I11" s="22"/>
      <c r="J11" s="22"/>
      <c r="K11" s="22"/>
      <c r="L11" s="22"/>
      <c r="M11" s="22"/>
      <c r="N11" s="2"/>
      <c r="O11" s="2"/>
      <c r="P11" s="2"/>
      <c r="Q11" s="22"/>
    </row>
    <row r="12" spans="1:17" ht="15" customHeight="1">
      <c r="A12" s="44" t="s">
        <v>328</v>
      </c>
      <c r="B12" s="45" t="s">
        <v>255</v>
      </c>
      <c r="C12" s="33">
        <f>M41_FIABILIDAD!C36</f>
        <v>10</v>
      </c>
      <c r="D12" s="44">
        <v>10</v>
      </c>
      <c r="E12" s="46" t="str">
        <f t="shared" si="0"/>
        <v>APROBADO</v>
      </c>
      <c r="F12" s="22"/>
      <c r="G12" s="2"/>
      <c r="H12" s="22"/>
      <c r="I12" s="22"/>
      <c r="J12" s="22"/>
      <c r="K12" s="22"/>
      <c r="L12" s="22"/>
      <c r="M12" s="22"/>
      <c r="N12" s="2"/>
      <c r="O12" s="2"/>
      <c r="P12" s="2"/>
      <c r="Q12" s="22"/>
    </row>
    <row r="13" spans="1:17" ht="15" customHeight="1">
      <c r="A13" s="44" t="s">
        <v>328</v>
      </c>
      <c r="B13" s="45" t="s">
        <v>256</v>
      </c>
      <c r="C13" s="33">
        <f>M41_FIABILIDAD!C37</f>
        <v>1.7399999999999987</v>
      </c>
      <c r="D13" s="44">
        <v>1.74</v>
      </c>
      <c r="E13" s="46" t="str">
        <f t="shared" si="0"/>
        <v>APROBADO</v>
      </c>
      <c r="F13" s="22"/>
      <c r="G13" s="2"/>
      <c r="H13" s="22"/>
      <c r="I13" s="22"/>
      <c r="J13" s="22"/>
      <c r="K13" s="22"/>
      <c r="L13" s="22"/>
      <c r="M13" s="22"/>
      <c r="N13" s="2"/>
      <c r="O13" s="2"/>
      <c r="P13" s="2"/>
      <c r="Q13" s="22"/>
    </row>
    <row r="14" spans="1:17" ht="15" customHeight="1">
      <c r="A14" s="44" t="s">
        <v>328</v>
      </c>
      <c r="B14" s="45" t="s">
        <v>332</v>
      </c>
      <c r="C14" s="33">
        <f>M41_FIABILIDAD!C38</f>
        <v>17.239999999999998</v>
      </c>
      <c r="D14" s="44">
        <v>17.239999999999998</v>
      </c>
      <c r="E14" s="46" t="str">
        <f t="shared" si="0"/>
        <v>APROBADO</v>
      </c>
      <c r="F14" s="22"/>
      <c r="G14" s="2"/>
      <c r="H14" s="22"/>
      <c r="I14" s="22"/>
      <c r="J14" s="22"/>
      <c r="K14" s="22"/>
      <c r="L14" s="22"/>
      <c r="M14" s="22"/>
      <c r="N14" s="2"/>
      <c r="O14" s="2"/>
      <c r="P14" s="2"/>
      <c r="Q14" s="22"/>
    </row>
    <row r="15" spans="1:17" ht="15" customHeight="1">
      <c r="A15" s="44" t="s">
        <v>333</v>
      </c>
      <c r="B15" s="45" t="s">
        <v>334</v>
      </c>
      <c r="C15" s="44">
        <f>M41_FIABILIDAD!C39</f>
        <v>0.29495762407505244</v>
      </c>
      <c r="D15" s="44">
        <v>0.29495762399999997</v>
      </c>
      <c r="E15" s="46" t="str">
        <f t="shared" si="0"/>
        <v>APROBADO</v>
      </c>
      <c r="F15" s="22"/>
      <c r="G15" s="2"/>
      <c r="H15" s="22"/>
      <c r="I15" s="22"/>
      <c r="J15" s="22"/>
      <c r="K15" s="22"/>
      <c r="L15" s="22"/>
      <c r="M15" s="22"/>
      <c r="N15" s="2"/>
      <c r="O15" s="2"/>
      <c r="P15" s="2"/>
      <c r="Q15" s="22"/>
    </row>
    <row r="16" spans="1:17" ht="15" customHeight="1">
      <c r="A16" s="44" t="s">
        <v>333</v>
      </c>
      <c r="B16" s="45" t="s">
        <v>306</v>
      </c>
      <c r="C16" s="47">
        <f>M41_FIABILIDAD!C40</f>
        <v>1.7108910909225779E-2</v>
      </c>
      <c r="D16" s="44">
        <v>1.7108911000000001E-2</v>
      </c>
      <c r="E16" s="46" t="str">
        <f t="shared" si="0"/>
        <v>APROBADO</v>
      </c>
      <c r="F16" s="22"/>
      <c r="G16" s="2"/>
      <c r="H16" s="22"/>
      <c r="I16" s="22"/>
      <c r="J16" s="22"/>
      <c r="K16" s="22"/>
      <c r="L16" s="22"/>
      <c r="M16" s="22"/>
      <c r="N16" s="2"/>
      <c r="O16" s="2"/>
      <c r="P16" s="2"/>
      <c r="Q16" s="22"/>
    </row>
    <row r="17" spans="1:17" ht="15" customHeight="1">
      <c r="A17" s="44" t="s">
        <v>333</v>
      </c>
      <c r="B17" s="45" t="s">
        <v>335</v>
      </c>
      <c r="C17" s="44">
        <f>M41_FIABILIDAD!C41</f>
        <v>5.9407163802954948</v>
      </c>
      <c r="D17" s="44">
        <v>5.9407163799999996</v>
      </c>
      <c r="E17" s="46" t="str">
        <f t="shared" si="0"/>
        <v>APROBADO</v>
      </c>
      <c r="F17" s="22"/>
      <c r="G17" s="2"/>
      <c r="H17" s="22"/>
      <c r="I17" s="22"/>
      <c r="J17" s="22"/>
      <c r="K17" s="22"/>
      <c r="L17" s="22"/>
      <c r="M17" s="22"/>
      <c r="N17" s="2"/>
      <c r="O17" s="2"/>
      <c r="P17" s="2"/>
      <c r="Q17" s="22"/>
    </row>
    <row r="18" spans="1:17" ht="15" customHeight="1">
      <c r="A18" s="44" t="s">
        <v>333</v>
      </c>
      <c r="B18" s="45" t="s">
        <v>262</v>
      </c>
      <c r="C18" s="48">
        <f>M41_FIABILIDAD!C42</f>
        <v>0.99753485985221757</v>
      </c>
      <c r="D18" s="44">
        <v>0.99753486000000002</v>
      </c>
      <c r="E18" s="46" t="str">
        <f t="shared" si="0"/>
        <v>APROBADO</v>
      </c>
      <c r="F18" s="22"/>
      <c r="G18" s="2"/>
      <c r="H18" s="22"/>
      <c r="I18" s="22"/>
      <c r="J18" s="22"/>
      <c r="K18" s="22"/>
      <c r="L18" s="22"/>
      <c r="M18" s="22"/>
      <c r="N18" s="2"/>
      <c r="O18" s="2"/>
      <c r="P18" s="2"/>
      <c r="Q18" s="22"/>
    </row>
    <row r="19" spans="1:17" ht="15" customHeight="1">
      <c r="A19" s="44" t="s">
        <v>336</v>
      </c>
      <c r="B19" s="45" t="s">
        <v>337</v>
      </c>
      <c r="C19" s="44" t="str">
        <f>IF(M41_FIABILIDAD!C40&lt;=M41_u_intra,"CUMPLE","NO CUMPLE")</f>
        <v>CUMPLE</v>
      </c>
      <c r="D19" s="44" t="s">
        <v>338</v>
      </c>
      <c r="E19" s="46" t="str">
        <f t="shared" si="0"/>
        <v>APROBADO</v>
      </c>
      <c r="F19" s="22"/>
      <c r="G19" s="2"/>
      <c r="H19" s="22"/>
      <c r="I19" s="22"/>
      <c r="J19" s="22"/>
      <c r="K19" s="22"/>
      <c r="L19" s="22"/>
      <c r="M19" s="22"/>
      <c r="N19" s="2"/>
      <c r="O19" s="2"/>
      <c r="P19" s="2"/>
      <c r="Q19" s="22"/>
    </row>
    <row r="20" spans="1:17" ht="15" customHeight="1">
      <c r="A20" s="44" t="s">
        <v>336</v>
      </c>
      <c r="B20" s="45" t="s">
        <v>339</v>
      </c>
      <c r="C20" s="44" t="str">
        <f>IF(M41_FIABILIDAD!C42&gt;=M41_u_R,"ALCANZA","NO ALCANZA")</f>
        <v>ALCANZA</v>
      </c>
      <c r="D20" s="44" t="s">
        <v>340</v>
      </c>
      <c r="E20" s="46" t="str">
        <f t="shared" si="0"/>
        <v>APROBADO</v>
      </c>
      <c r="F20" s="22"/>
      <c r="G20" s="2"/>
      <c r="H20" s="22"/>
      <c r="I20" s="22"/>
      <c r="J20" s="22"/>
      <c r="K20" s="22"/>
      <c r="L20" s="22"/>
      <c r="M20" s="22"/>
      <c r="N20" s="2"/>
      <c r="O20" s="2"/>
      <c r="P20" s="2"/>
      <c r="Q20" s="22"/>
    </row>
    <row r="21" spans="1:17" ht="15" customHeight="1">
      <c r="A21" s="44" t="s">
        <v>336</v>
      </c>
      <c r="B21" s="45" t="s">
        <v>341</v>
      </c>
      <c r="C21" s="44">
        <f>COUNTIF(M41_FIABILIDAD!I13:I32,"REVISAR*")</f>
        <v>0</v>
      </c>
      <c r="D21" s="44">
        <v>0</v>
      </c>
      <c r="E21" s="46" t="str">
        <f t="shared" si="0"/>
        <v>APROBADO</v>
      </c>
      <c r="F21" s="22"/>
      <c r="G21" s="2"/>
      <c r="H21" s="22"/>
      <c r="I21" s="22"/>
      <c r="J21" s="22"/>
      <c r="K21" s="22"/>
      <c r="L21" s="22"/>
      <c r="M21" s="22"/>
      <c r="N21" s="2"/>
      <c r="O21" s="2"/>
      <c r="P21" s="2"/>
      <c r="Q21" s="22"/>
    </row>
    <row r="22" spans="1:17" ht="15" customHeight="1">
      <c r="A22" s="44" t="s">
        <v>342</v>
      </c>
      <c r="B22" s="45" t="s">
        <v>343</v>
      </c>
      <c r="C22" s="44">
        <f>M41_FIABILIDAD!C50</f>
        <v>0.81758082169287682</v>
      </c>
      <c r="D22" s="44">
        <v>0.81758082200000004</v>
      </c>
      <c r="E22" s="46" t="str">
        <f t="shared" si="0"/>
        <v>APROBADO</v>
      </c>
      <c r="F22" s="22"/>
      <c r="G22" s="2"/>
      <c r="H22" s="22"/>
      <c r="I22" s="22"/>
      <c r="J22" s="22"/>
      <c r="K22" s="22"/>
      <c r="L22" s="22"/>
      <c r="M22" s="22"/>
      <c r="N22" s="2"/>
      <c r="O22" s="2"/>
      <c r="P22" s="2"/>
      <c r="Q22" s="22"/>
    </row>
    <row r="23" spans="1:17" ht="15" customHeight="1">
      <c r="A23" s="44" t="s">
        <v>342</v>
      </c>
      <c r="B23" s="45" t="s">
        <v>344</v>
      </c>
      <c r="C23" s="44">
        <f>M41_SEGUIMIENTO!C25</f>
        <v>0.72249567472753751</v>
      </c>
      <c r="D23" s="44">
        <v>0.722495675</v>
      </c>
      <c r="E23" s="46" t="str">
        <f t="shared" si="0"/>
        <v>APROBADO</v>
      </c>
      <c r="F23" s="22"/>
      <c r="G23" s="2"/>
      <c r="H23" s="22"/>
      <c r="I23" s="22"/>
      <c r="J23" s="22"/>
      <c r="K23" s="22"/>
      <c r="L23" s="22"/>
      <c r="M23" s="22"/>
      <c r="N23" s="2"/>
      <c r="O23" s="2"/>
      <c r="P23" s="2"/>
      <c r="Q23" s="22"/>
    </row>
    <row r="24" spans="1:17" ht="15" customHeight="1">
      <c r="A24" s="44" t="s">
        <v>342</v>
      </c>
      <c r="B24" s="45" t="s">
        <v>345</v>
      </c>
      <c r="C24" s="40">
        <f>M41_SEGUIMIENTO!E20</f>
        <v>2.0026558366329441</v>
      </c>
      <c r="D24" s="44">
        <v>2.0026558369999998</v>
      </c>
      <c r="E24" s="46" t="str">
        <f t="shared" si="0"/>
        <v>APROBADO</v>
      </c>
      <c r="F24" s="22"/>
      <c r="G24" s="2"/>
      <c r="H24" s="22"/>
      <c r="I24" s="22"/>
      <c r="J24" s="22"/>
      <c r="K24" s="22"/>
      <c r="L24" s="22"/>
      <c r="M24" s="22"/>
      <c r="N24" s="2"/>
      <c r="O24" s="2"/>
      <c r="P24" s="2"/>
      <c r="Q24" s="22"/>
    </row>
    <row r="25" spans="1:17" ht="15" customHeight="1">
      <c r="A25" s="44" t="s">
        <v>342</v>
      </c>
      <c r="B25" s="45" t="s">
        <v>346</v>
      </c>
      <c r="C25" s="44" t="str">
        <f>IF(M41_SEGUIMIENTO!C25&lt;6*M41_FIABILIDAD!C39,"MENOR","MAYOR")</f>
        <v>MENOR</v>
      </c>
      <c r="D25" s="44" t="s">
        <v>347</v>
      </c>
      <c r="E25" s="46" t="str">
        <f t="shared" si="0"/>
        <v>APROBADO</v>
      </c>
      <c r="F25" s="22"/>
      <c r="G25" s="2"/>
      <c r="H25" s="22"/>
      <c r="I25" s="22"/>
      <c r="J25" s="22"/>
      <c r="K25" s="22"/>
      <c r="L25" s="22"/>
      <c r="M25" s="22"/>
      <c r="N25" s="2"/>
      <c r="O25" s="2"/>
      <c r="P25" s="2"/>
      <c r="Q25" s="22"/>
    </row>
    <row r="26" spans="1:17" ht="15" customHeight="1">
      <c r="A26" s="44" t="s">
        <v>348</v>
      </c>
      <c r="B26" s="45" t="s">
        <v>349</v>
      </c>
      <c r="C26" s="40">
        <f>M41_SEGUIMIENTO!B20</f>
        <v>76.600000000000009</v>
      </c>
      <c r="D26" s="44">
        <v>76.599999999999994</v>
      </c>
      <c r="E26" s="46" t="str">
        <f t="shared" si="0"/>
        <v>APROBADO</v>
      </c>
      <c r="F26" s="22"/>
      <c r="G26" s="2"/>
      <c r="H26" s="22"/>
      <c r="I26" s="22"/>
      <c r="J26" s="22"/>
      <c r="K26" s="22"/>
      <c r="L26" s="22"/>
      <c r="M26" s="22"/>
      <c r="N26" s="2"/>
      <c r="O26" s="2"/>
      <c r="P26" s="2"/>
      <c r="Q26" s="22"/>
    </row>
    <row r="27" spans="1:17" ht="15" customHeight="1">
      <c r="A27" s="44" t="s">
        <v>348</v>
      </c>
      <c r="B27" s="45" t="s">
        <v>350</v>
      </c>
      <c r="C27" s="40">
        <f>M41_SEGUIMIENTO!C20</f>
        <v>69.2</v>
      </c>
      <c r="D27" s="44">
        <v>69.2</v>
      </c>
      <c r="E27" s="46" t="str">
        <f t="shared" si="0"/>
        <v>APROBADO</v>
      </c>
      <c r="F27" s="22"/>
      <c r="G27" s="2"/>
      <c r="H27" s="22"/>
      <c r="I27" s="22"/>
      <c r="J27" s="22"/>
      <c r="K27" s="22"/>
      <c r="L27" s="22"/>
      <c r="M27" s="22"/>
      <c r="N27" s="2"/>
      <c r="O27" s="2"/>
      <c r="P27" s="2"/>
      <c r="Q27" s="22"/>
    </row>
    <row r="28" spans="1:17" ht="15" customHeight="1">
      <c r="A28" s="44" t="s">
        <v>348</v>
      </c>
      <c r="B28" s="45" t="s">
        <v>351</v>
      </c>
      <c r="C28" s="40">
        <f>M41_SEGUIMIENTO!D20</f>
        <v>-7.4000000000000057</v>
      </c>
      <c r="D28" s="44">
        <v>-7.4</v>
      </c>
      <c r="E28" s="46" t="str">
        <f t="shared" si="0"/>
        <v>APROBADO</v>
      </c>
      <c r="F28" s="22"/>
      <c r="G28" s="2"/>
      <c r="H28" s="22"/>
      <c r="I28" s="22"/>
      <c r="J28" s="22"/>
      <c r="K28" s="22"/>
      <c r="L28" s="22"/>
      <c r="M28" s="22"/>
      <c r="N28" s="2"/>
      <c r="O28" s="2"/>
      <c r="P28" s="2"/>
      <c r="Q28" s="22"/>
    </row>
    <row r="29" spans="1:17" ht="15" customHeight="1">
      <c r="A29" s="44" t="s">
        <v>348</v>
      </c>
      <c r="B29" s="45" t="s">
        <v>352</v>
      </c>
      <c r="C29" s="44" t="str">
        <f>IF(ABS(M41_SEGUIMIENTO!D20)&gt;M41_SEGUIMIENTO!E20,"SUPERA","NO SUPERA")</f>
        <v>SUPERA</v>
      </c>
      <c r="D29" s="44" t="s">
        <v>353</v>
      </c>
      <c r="E29" s="46" t="str">
        <f t="shared" si="0"/>
        <v>APROBADO</v>
      </c>
      <c r="F29" s="22"/>
      <c r="G29" s="2"/>
      <c r="H29" s="22"/>
      <c r="I29" s="22"/>
      <c r="J29" s="22"/>
      <c r="K29" s="22"/>
      <c r="L29" s="22"/>
      <c r="M29" s="22"/>
      <c r="N29" s="2"/>
      <c r="O29" s="2"/>
      <c r="P29" s="2"/>
      <c r="Q29" s="22"/>
    </row>
    <row r="30" spans="1:17" ht="15" customHeight="1">
      <c r="A30" s="44" t="s">
        <v>348</v>
      </c>
      <c r="B30" s="45" t="s">
        <v>354</v>
      </c>
      <c r="C30" s="40">
        <f>M41_SEGUIMIENTO!D14</f>
        <v>-0.40000000000000036</v>
      </c>
      <c r="D30" s="44">
        <v>-0.4</v>
      </c>
      <c r="E30" s="46" t="str">
        <f t="shared" si="0"/>
        <v>APROBADO</v>
      </c>
      <c r="F30" s="22"/>
      <c r="G30" s="2"/>
      <c r="H30" s="22"/>
      <c r="I30" s="22"/>
      <c r="J30" s="22"/>
      <c r="K30" s="22"/>
      <c r="L30" s="22"/>
      <c r="M30" s="22"/>
      <c r="N30" s="2"/>
      <c r="O30" s="2"/>
      <c r="P30" s="2"/>
      <c r="Q30" s="22"/>
    </row>
    <row r="31" spans="1:17" ht="15" customHeight="1">
      <c r="A31" s="44" t="s">
        <v>348</v>
      </c>
      <c r="B31" s="45" t="s">
        <v>355</v>
      </c>
      <c r="C31" s="44" t="str">
        <f>IF(ABS(M41_SEGUIMIENTO!D14)&gt;M41_v_mdc,"DISTINGUIBLE","NO DISTINGUIBLE")</f>
        <v>NO DISTINGUIBLE</v>
      </c>
      <c r="D31" s="44" t="s">
        <v>356</v>
      </c>
      <c r="E31" s="46" t="str">
        <f t="shared" si="0"/>
        <v>APROBADO</v>
      </c>
      <c r="F31" s="22"/>
      <c r="G31" s="2"/>
      <c r="H31" s="22"/>
      <c r="I31" s="22"/>
      <c r="J31" s="22"/>
      <c r="K31" s="22"/>
      <c r="L31" s="22"/>
      <c r="M31" s="22"/>
      <c r="N31" s="2"/>
      <c r="O31" s="2"/>
      <c r="P31" s="2"/>
      <c r="Q31" s="22"/>
    </row>
    <row r="32" spans="1:17" ht="15" customHeight="1">
      <c r="A32" s="44" t="s">
        <v>348</v>
      </c>
      <c r="B32" s="45" t="s">
        <v>357</v>
      </c>
      <c r="C32" s="40">
        <f>M41_SEGUIMIENTO!D15</f>
        <v>-1.8000000000000007</v>
      </c>
      <c r="D32" s="44">
        <v>-1.8</v>
      </c>
      <c r="E32" s="46" t="str">
        <f t="shared" si="0"/>
        <v>APROBADO</v>
      </c>
      <c r="F32" s="22"/>
      <c r="G32" s="2"/>
      <c r="H32" s="22"/>
      <c r="I32" s="22"/>
      <c r="J32" s="22"/>
      <c r="K32" s="22"/>
      <c r="L32" s="22"/>
      <c r="M32" s="22"/>
      <c r="N32" s="2"/>
      <c r="O32" s="2"/>
      <c r="P32" s="2"/>
      <c r="Q32" s="22"/>
    </row>
    <row r="33" spans="1:17" ht="15" customHeight="1">
      <c r="A33" s="44" t="s">
        <v>348</v>
      </c>
      <c r="B33" s="45" t="s">
        <v>358</v>
      </c>
      <c r="C33" s="44" t="str">
        <f>IF(ABS(M41_SEGUIMIENTO!D15)&gt;M41_v_mdc,"DISTINGUIBLE","NO DISTINGUIBLE")</f>
        <v>DISTINGUIBLE</v>
      </c>
      <c r="D33" s="44" t="s">
        <v>359</v>
      </c>
      <c r="E33" s="46" t="str">
        <f t="shared" si="0"/>
        <v>APROBADO</v>
      </c>
      <c r="F33" s="22"/>
      <c r="G33" s="2"/>
      <c r="H33" s="22"/>
      <c r="I33" s="22"/>
      <c r="J33" s="22"/>
      <c r="K33" s="22"/>
      <c r="L33" s="22"/>
      <c r="M33" s="22"/>
      <c r="N33" s="2"/>
      <c r="O33" s="2"/>
      <c r="P33" s="2"/>
      <c r="Q33" s="22"/>
    </row>
    <row r="34" spans="1:17" ht="15" customHeight="1">
      <c r="A34" s="44" t="s">
        <v>360</v>
      </c>
      <c r="B34" s="45" t="s">
        <v>361</v>
      </c>
      <c r="C34" s="40">
        <f>M41_CALIBRACION!G16</f>
        <v>9.1666666666668117E-2</v>
      </c>
      <c r="D34" s="44">
        <v>9.1666666999999993E-2</v>
      </c>
      <c r="E34" s="46" t="str">
        <f t="shared" si="0"/>
        <v>APROBADO</v>
      </c>
      <c r="F34" s="22"/>
      <c r="G34" s="2"/>
      <c r="H34" s="22"/>
      <c r="I34" s="22"/>
      <c r="J34" s="22"/>
      <c r="K34" s="22"/>
      <c r="L34" s="22"/>
      <c r="M34" s="22"/>
      <c r="N34" s="2"/>
      <c r="O34" s="2"/>
      <c r="P34" s="2"/>
      <c r="Q34" s="22"/>
    </row>
    <row r="35" spans="1:17" ht="15" customHeight="1">
      <c r="A35" s="44" t="s">
        <v>360</v>
      </c>
      <c r="B35" s="45" t="s">
        <v>362</v>
      </c>
      <c r="C35" s="44" t="str">
        <f>IF(ABS(M41_CALIBRACION!G16)&lt;=M41_u_patron,"DENTRO","FUERA")</f>
        <v>DENTRO</v>
      </c>
      <c r="D35" s="44" t="s">
        <v>363</v>
      </c>
      <c r="E35" s="46" t="str">
        <f t="shared" si="0"/>
        <v>APROBADO</v>
      </c>
      <c r="F35" s="22"/>
      <c r="G35" s="2"/>
      <c r="H35" s="22"/>
      <c r="I35" s="22"/>
      <c r="J35" s="22"/>
      <c r="K35" s="22"/>
      <c r="L35" s="22"/>
      <c r="M35" s="22"/>
      <c r="N35" s="2"/>
      <c r="O35" s="2"/>
      <c r="P35" s="2"/>
      <c r="Q35" s="22"/>
    </row>
    <row r="36" spans="1:17" ht="15" customHeight="1">
      <c r="A36" s="44" t="s">
        <v>360</v>
      </c>
      <c r="B36" s="45" t="s">
        <v>364</v>
      </c>
      <c r="C36" s="44">
        <f>M41_CALIBRACION!C26</f>
        <v>6</v>
      </c>
      <c r="D36" s="44">
        <v>6</v>
      </c>
      <c r="E36" s="46" t="str">
        <f t="shared" si="0"/>
        <v>APROBADO</v>
      </c>
      <c r="F36" s="22"/>
      <c r="G36" s="2"/>
      <c r="H36" s="22"/>
      <c r="I36" s="22"/>
      <c r="J36" s="22"/>
      <c r="K36" s="22"/>
      <c r="L36" s="22"/>
      <c r="M36" s="22"/>
      <c r="N36" s="2"/>
      <c r="O36" s="2"/>
      <c r="P36" s="2"/>
      <c r="Q36" s="22"/>
    </row>
    <row r="37" spans="1:17" ht="15" customHeight="1">
      <c r="A37" s="44" t="s">
        <v>360</v>
      </c>
      <c r="B37" s="45" t="s">
        <v>365</v>
      </c>
      <c r="C37" s="44" t="str">
        <f>M41_CALIBRACION!C28</f>
        <v>APTO PARA USO</v>
      </c>
      <c r="D37" s="44" t="s">
        <v>366</v>
      </c>
      <c r="E37" s="46" t="str">
        <f t="shared" si="0"/>
        <v>APROBADO</v>
      </c>
      <c r="F37" s="22"/>
      <c r="G37" s="2"/>
      <c r="H37" s="22"/>
      <c r="I37" s="22"/>
      <c r="J37" s="22"/>
      <c r="K37" s="22"/>
      <c r="L37" s="22"/>
      <c r="M37" s="22"/>
      <c r="N37" s="2"/>
      <c r="O37" s="2"/>
      <c r="P37" s="2"/>
      <c r="Q37" s="22"/>
    </row>
    <row r="38" spans="1:17" ht="15" customHeight="1">
      <c r="A38" s="44" t="s">
        <v>367</v>
      </c>
      <c r="B38" s="45" t="s">
        <v>368</v>
      </c>
      <c r="C38" s="44" t="str">
        <f>IF(ISNUMBER(""),"NUMERO","ND")</f>
        <v>ND</v>
      </c>
      <c r="D38" s="44" t="s">
        <v>369</v>
      </c>
      <c r="E38" s="46" t="str">
        <f t="shared" si="0"/>
        <v>APROBADO</v>
      </c>
      <c r="F38" s="22"/>
      <c r="G38" s="2"/>
      <c r="H38" s="22"/>
      <c r="I38" s="22"/>
      <c r="J38" s="22"/>
      <c r="K38" s="22"/>
      <c r="L38" s="22"/>
      <c r="M38" s="22"/>
      <c r="N38" s="2"/>
      <c r="O38" s="2"/>
      <c r="P38" s="2"/>
      <c r="Q38" s="22"/>
    </row>
    <row r="39" spans="1:17">
      <c r="A39" s="22"/>
      <c r="B39" s="22"/>
      <c r="C39" s="22"/>
      <c r="D39" s="2"/>
      <c r="E39" s="2"/>
      <c r="F39" s="22"/>
      <c r="G39" s="2"/>
      <c r="H39" s="22"/>
      <c r="I39" s="22"/>
      <c r="J39" s="22"/>
      <c r="K39" s="22"/>
      <c r="L39" s="22"/>
      <c r="M39" s="22"/>
      <c r="N39" s="2"/>
      <c r="O39" s="2"/>
      <c r="P39" s="2"/>
      <c r="Q39" s="22"/>
    </row>
    <row r="40" spans="1:17" ht="15" customHeight="1">
      <c r="A40" s="49" t="s">
        <v>370</v>
      </c>
      <c r="B40" s="50" t="s">
        <v>371</v>
      </c>
      <c r="C40" s="49">
        <f>COUNTIF(E9:E38,"APROBADO")</f>
        <v>30</v>
      </c>
      <c r="D40" s="49">
        <f>COUNTA(E9:E38)</f>
        <v>30</v>
      </c>
      <c r="E40" s="49" t="str">
        <f>IF(C40=D40,"TODAS APROBADAS","HAY PRUEBAS POR REVISAR")</f>
        <v>TODAS APROBADAS</v>
      </c>
      <c r="F40" s="22"/>
      <c r="G40" s="2"/>
      <c r="H40" s="22"/>
      <c r="I40" s="22"/>
      <c r="J40" s="22"/>
      <c r="K40" s="22"/>
      <c r="L40" s="22"/>
      <c r="M40" s="22"/>
      <c r="N40" s="2"/>
      <c r="O40" s="2"/>
      <c r="P40" s="2"/>
      <c r="Q40" s="22"/>
    </row>
  </sheetData>
  <sheetProtection algorithmName="SHA-512" hashValue="yHNy/qEpJugFRm3kDI9zag6Np2Hnk2FQG5kErruLX7O3lZStmhlVxqYdp/Gvz8VxdaYFsslg0ZViGkjAdA71XQ==" saltValue="OVES/iPkHnZLZfxH46l8jQ==" spinCount="100000" sheet="1" objects="1" scenarios="1"/>
  <mergeCells count="3">
    <mergeCell ref="A1:Q1"/>
    <mergeCell ref="A2:Q3"/>
    <mergeCell ref="A4:B4"/>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Q37"/>
  <sheetViews>
    <sheetView showGridLines="0" zoomScaleNormal="100" workbookViewId="0">
      <selection activeCell="N27" sqref="N27"/>
    </sheetView>
  </sheetViews>
  <sheetFormatPr baseColWidth="10" defaultColWidth="8.7109375" defaultRowHeight="15"/>
  <cols>
    <col min="1" max="1" width="30" style="1" customWidth="1"/>
    <col min="2" max="2" width="56" style="1" customWidth="1"/>
    <col min="3" max="3" width="30" style="1" customWidth="1"/>
    <col min="4" max="4" width="34" style="1" customWidth="1"/>
    <col min="5" max="5"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372</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21" t="str">
        <f>HYPERLINK("#M41_INICIO!A1","▶  VOLVER A INICIO")</f>
        <v>▶  VOLVER A INICIO</v>
      </c>
      <c r="B4" s="321"/>
      <c r="C4" s="22"/>
      <c r="D4" s="22"/>
      <c r="E4" s="22"/>
      <c r="F4" s="22"/>
      <c r="G4" s="2"/>
      <c r="H4" s="22"/>
      <c r="I4" s="22"/>
      <c r="J4" s="22"/>
      <c r="K4" s="22"/>
      <c r="L4" s="22"/>
      <c r="M4" s="22"/>
      <c r="N4" s="2"/>
      <c r="O4" s="2"/>
      <c r="P4" s="2"/>
      <c r="Q4" s="22"/>
    </row>
    <row r="5" spans="1:17">
      <c r="A5" s="22"/>
      <c r="B5" s="22"/>
      <c r="C5" s="22"/>
      <c r="D5" s="22"/>
      <c r="E5" s="22"/>
      <c r="F5" s="22"/>
      <c r="G5" s="2"/>
      <c r="H5" s="22"/>
      <c r="I5" s="22"/>
      <c r="J5" s="22"/>
      <c r="K5" s="22"/>
      <c r="L5" s="22"/>
      <c r="M5" s="22"/>
      <c r="N5" s="2"/>
      <c r="O5" s="2"/>
      <c r="P5" s="2"/>
      <c r="Q5" s="22"/>
    </row>
    <row r="6" spans="1:17" ht="19.5" customHeight="1">
      <c r="A6" s="317" t="s">
        <v>373</v>
      </c>
      <c r="B6" s="317"/>
      <c r="C6" s="317"/>
      <c r="D6" s="317"/>
      <c r="E6" s="317"/>
      <c r="F6" s="317"/>
      <c r="G6" s="317"/>
      <c r="H6" s="317"/>
      <c r="I6" s="317"/>
      <c r="J6" s="317"/>
      <c r="K6" s="317"/>
      <c r="L6" s="317"/>
      <c r="M6" s="317"/>
      <c r="N6" s="317"/>
      <c r="O6" s="317"/>
      <c r="P6" s="317"/>
      <c r="Q6" s="317"/>
    </row>
    <row r="7" spans="1:17" ht="15" customHeight="1">
      <c r="A7" s="349" t="s">
        <v>374</v>
      </c>
      <c r="B7" s="349"/>
      <c r="C7" s="349"/>
      <c r="D7" s="51" t="s">
        <v>375</v>
      </c>
      <c r="E7" s="52">
        <v>0.05</v>
      </c>
      <c r="F7" s="22"/>
      <c r="G7" s="2"/>
      <c r="H7" s="22"/>
      <c r="I7" s="22"/>
      <c r="J7" s="22"/>
      <c r="K7" s="22"/>
      <c r="L7" s="22"/>
      <c r="M7" s="22"/>
      <c r="N7" s="2"/>
      <c r="O7" s="2"/>
      <c r="P7" s="2"/>
      <c r="Q7" s="22"/>
    </row>
    <row r="8" spans="1:17" ht="15" customHeight="1">
      <c r="A8" s="349" t="s">
        <v>376</v>
      </c>
      <c r="B8" s="349"/>
      <c r="C8" s="349"/>
      <c r="D8" s="51" t="s">
        <v>375</v>
      </c>
      <c r="E8" s="52">
        <v>7.4999999999999997E-2</v>
      </c>
      <c r="F8" s="22"/>
      <c r="G8" s="2"/>
      <c r="H8" s="22"/>
      <c r="I8" s="22"/>
      <c r="J8" s="22"/>
      <c r="K8" s="22"/>
      <c r="L8" s="22"/>
      <c r="M8" s="22"/>
      <c r="N8" s="2"/>
      <c r="O8" s="2"/>
      <c r="P8" s="2"/>
      <c r="Q8" s="22"/>
    </row>
    <row r="9" spans="1:17" ht="15" customHeight="1">
      <c r="A9" s="349" t="s">
        <v>377</v>
      </c>
      <c r="B9" s="349"/>
      <c r="C9" s="349"/>
      <c r="D9" s="51" t="s">
        <v>378</v>
      </c>
      <c r="E9" s="29">
        <v>0.95</v>
      </c>
      <c r="F9" s="22"/>
      <c r="G9" s="2"/>
      <c r="H9" s="22"/>
      <c r="I9" s="22"/>
      <c r="J9" s="22"/>
      <c r="K9" s="22"/>
      <c r="L9" s="22"/>
      <c r="M9" s="22"/>
      <c r="N9" s="2"/>
      <c r="O9" s="2"/>
      <c r="P9" s="2"/>
      <c r="Q9" s="22"/>
    </row>
    <row r="10" spans="1:17" ht="15" customHeight="1">
      <c r="A10" s="349" t="s">
        <v>379</v>
      </c>
      <c r="B10" s="349"/>
      <c r="C10" s="349"/>
      <c r="D10" s="51" t="s">
        <v>380</v>
      </c>
      <c r="E10" s="29">
        <v>1.96</v>
      </c>
      <c r="F10" s="22"/>
      <c r="G10" s="2"/>
      <c r="H10" s="22"/>
      <c r="I10" s="22"/>
      <c r="J10" s="22"/>
      <c r="K10" s="22"/>
      <c r="L10" s="22"/>
      <c r="M10" s="22"/>
      <c r="N10" s="2"/>
      <c r="O10" s="2"/>
      <c r="P10" s="2"/>
      <c r="Q10" s="22"/>
    </row>
    <row r="11" spans="1:17" ht="15" customHeight="1">
      <c r="A11" s="349" t="s">
        <v>381</v>
      </c>
      <c r="B11" s="349"/>
      <c r="C11" s="349"/>
      <c r="D11" s="51" t="s">
        <v>382</v>
      </c>
      <c r="E11" s="29">
        <v>10</v>
      </c>
      <c r="F11" s="22"/>
      <c r="G11" s="2"/>
      <c r="H11" s="22"/>
      <c r="I11" s="22"/>
      <c r="J11" s="22"/>
      <c r="K11" s="22"/>
      <c r="L11" s="22"/>
      <c r="M11" s="22"/>
      <c r="N11" s="2"/>
      <c r="O11" s="2"/>
      <c r="P11" s="2"/>
      <c r="Q11" s="22"/>
    </row>
    <row r="12" spans="1:17" ht="15" customHeight="1">
      <c r="A12" s="349" t="s">
        <v>383</v>
      </c>
      <c r="B12" s="349"/>
      <c r="C12" s="349"/>
      <c r="D12" s="51" t="s">
        <v>47</v>
      </c>
      <c r="E12" s="29">
        <v>0.2</v>
      </c>
      <c r="F12" s="22"/>
      <c r="G12" s="2"/>
      <c r="H12" s="22"/>
      <c r="I12" s="22"/>
      <c r="J12" s="22"/>
      <c r="K12" s="22"/>
      <c r="L12" s="22"/>
      <c r="M12" s="22"/>
      <c r="N12" s="2"/>
      <c r="O12" s="2"/>
      <c r="P12" s="2"/>
      <c r="Q12" s="22"/>
    </row>
    <row r="13" spans="1:17" ht="15" customHeight="1">
      <c r="A13" s="349" t="s">
        <v>384</v>
      </c>
      <c r="B13" s="349"/>
      <c r="C13" s="349"/>
      <c r="D13" s="51" t="s">
        <v>375</v>
      </c>
      <c r="E13" s="52">
        <v>0.05</v>
      </c>
      <c r="F13" s="22"/>
      <c r="G13" s="2"/>
      <c r="H13" s="22"/>
      <c r="I13" s="22"/>
      <c r="J13" s="22"/>
      <c r="K13" s="22"/>
      <c r="L13" s="22"/>
      <c r="M13" s="22"/>
      <c r="N13" s="2"/>
      <c r="O13" s="2"/>
      <c r="P13" s="2"/>
      <c r="Q13" s="22"/>
    </row>
    <row r="14" spans="1:17" ht="15" customHeight="1">
      <c r="A14" s="349" t="s">
        <v>385</v>
      </c>
      <c r="B14" s="349"/>
      <c r="C14" s="349"/>
      <c r="D14" s="51" t="s">
        <v>386</v>
      </c>
      <c r="E14" s="29">
        <v>10</v>
      </c>
      <c r="F14" s="22"/>
      <c r="G14" s="2"/>
      <c r="H14" s="22"/>
      <c r="I14" s="22"/>
      <c r="J14" s="22"/>
      <c r="K14" s="22"/>
      <c r="L14" s="22"/>
      <c r="M14" s="22"/>
      <c r="N14" s="2"/>
      <c r="O14" s="2"/>
      <c r="P14" s="2"/>
      <c r="Q14" s="22"/>
    </row>
    <row r="15" spans="1:17" ht="15" customHeight="1">
      <c r="A15" s="349" t="s">
        <v>387</v>
      </c>
      <c r="B15" s="349"/>
      <c r="C15" s="349"/>
      <c r="D15" s="51" t="s">
        <v>388</v>
      </c>
      <c r="E15" s="29">
        <v>1E-4</v>
      </c>
      <c r="F15" s="22"/>
      <c r="G15" s="2"/>
      <c r="H15" s="22"/>
      <c r="I15" s="22"/>
      <c r="J15" s="22"/>
      <c r="K15" s="22"/>
      <c r="L15" s="22"/>
      <c r="M15" s="22"/>
      <c r="N15" s="2"/>
      <c r="O15" s="2"/>
      <c r="P15" s="2"/>
      <c r="Q15" s="22"/>
    </row>
    <row r="16" spans="1:17" ht="15" customHeight="1">
      <c r="A16" s="327" t="s">
        <v>389</v>
      </c>
      <c r="B16" s="327"/>
      <c r="C16" s="327"/>
      <c r="D16" s="327"/>
      <c r="E16" s="327"/>
      <c r="F16" s="327"/>
      <c r="G16" s="327"/>
      <c r="H16" s="327"/>
      <c r="I16" s="327"/>
      <c r="J16" s="327"/>
      <c r="K16" s="327"/>
      <c r="L16" s="327"/>
      <c r="M16" s="327"/>
      <c r="N16" s="327"/>
      <c r="O16" s="327"/>
      <c r="P16" s="327"/>
      <c r="Q16" s="327"/>
    </row>
    <row r="17" spans="1:17" ht="15" customHeight="1">
      <c r="A17" s="327"/>
      <c r="B17" s="327"/>
      <c r="C17" s="327"/>
      <c r="D17" s="327"/>
      <c r="E17" s="327"/>
      <c r="F17" s="327"/>
      <c r="G17" s="327"/>
      <c r="H17" s="327"/>
      <c r="I17" s="327"/>
      <c r="J17" s="327"/>
      <c r="K17" s="327"/>
      <c r="L17" s="327"/>
      <c r="M17" s="327"/>
      <c r="N17" s="327"/>
      <c r="O17" s="327"/>
      <c r="P17" s="327"/>
      <c r="Q17" s="327"/>
    </row>
    <row r="18" spans="1:17" ht="15" customHeight="1">
      <c r="A18" s="327"/>
      <c r="B18" s="327"/>
      <c r="C18" s="327"/>
      <c r="D18" s="327"/>
      <c r="E18" s="327"/>
      <c r="F18" s="327"/>
      <c r="G18" s="327"/>
      <c r="H18" s="327"/>
      <c r="I18" s="327"/>
      <c r="J18" s="327"/>
      <c r="K18" s="327"/>
      <c r="L18" s="327"/>
      <c r="M18" s="327"/>
      <c r="N18" s="327"/>
      <c r="O18" s="327"/>
      <c r="P18" s="327"/>
      <c r="Q18" s="327"/>
    </row>
    <row r="19" spans="1:17">
      <c r="A19" s="22"/>
      <c r="B19" s="22"/>
      <c r="C19" s="22"/>
      <c r="D19" s="22"/>
      <c r="E19" s="22"/>
      <c r="F19" s="22"/>
      <c r="G19" s="2"/>
      <c r="H19" s="22"/>
      <c r="I19" s="22"/>
      <c r="J19" s="22"/>
      <c r="K19" s="22"/>
      <c r="L19" s="22"/>
      <c r="M19" s="22"/>
      <c r="N19" s="2"/>
      <c r="O19" s="2"/>
      <c r="P19" s="2"/>
      <c r="Q19" s="22"/>
    </row>
    <row r="20" spans="1:17" ht="19.5" customHeight="1">
      <c r="A20" s="317" t="s">
        <v>390</v>
      </c>
      <c r="B20" s="317"/>
      <c r="C20" s="317"/>
      <c r="D20" s="317"/>
      <c r="E20" s="317"/>
      <c r="F20" s="317"/>
      <c r="G20" s="317"/>
      <c r="H20" s="317"/>
      <c r="I20" s="317"/>
      <c r="J20" s="317"/>
      <c r="K20" s="317"/>
      <c r="L20" s="317"/>
      <c r="M20" s="317"/>
      <c r="N20" s="317"/>
      <c r="O20" s="317"/>
      <c r="P20" s="317"/>
      <c r="Q20" s="317"/>
    </row>
    <row r="21" spans="1:17" ht="30" customHeight="1">
      <c r="A21" s="23" t="s">
        <v>36</v>
      </c>
      <c r="B21" s="23" t="s">
        <v>216</v>
      </c>
      <c r="C21" s="23" t="s">
        <v>217</v>
      </c>
      <c r="D21" s="23" t="s">
        <v>218</v>
      </c>
      <c r="E21" s="22"/>
      <c r="F21" s="22"/>
      <c r="G21" s="2"/>
      <c r="H21" s="22"/>
      <c r="I21" s="22"/>
      <c r="J21" s="22"/>
      <c r="K21" s="22"/>
      <c r="L21" s="22"/>
      <c r="M21" s="22"/>
      <c r="N21" s="2"/>
      <c r="O21" s="2"/>
      <c r="P21" s="2"/>
      <c r="Q21" s="22"/>
    </row>
    <row r="22" spans="1:17" ht="25.5" customHeight="1">
      <c r="A22" s="30" t="s">
        <v>49</v>
      </c>
      <c r="B22" s="30" t="s">
        <v>391</v>
      </c>
      <c r="C22" s="30" t="s">
        <v>392</v>
      </c>
      <c r="D22" s="30" t="s">
        <v>393</v>
      </c>
      <c r="E22" s="22"/>
      <c r="F22" s="22"/>
      <c r="G22" s="2"/>
      <c r="H22" s="22"/>
      <c r="I22" s="22"/>
      <c r="J22" s="22"/>
      <c r="K22" s="22"/>
      <c r="L22" s="22"/>
      <c r="M22" s="22"/>
      <c r="N22" s="2"/>
      <c r="O22" s="2"/>
      <c r="P22" s="2"/>
      <c r="Q22" s="22"/>
    </row>
    <row r="23" spans="1:17" ht="25.5" customHeight="1">
      <c r="A23" s="30" t="s">
        <v>50</v>
      </c>
      <c r="B23" s="30" t="s">
        <v>394</v>
      </c>
      <c r="C23" s="30" t="s">
        <v>395</v>
      </c>
      <c r="D23" s="30" t="s">
        <v>396</v>
      </c>
      <c r="E23" s="22"/>
      <c r="F23" s="22"/>
      <c r="G23" s="2"/>
      <c r="H23" s="22"/>
      <c r="I23" s="22"/>
      <c r="J23" s="22"/>
      <c r="K23" s="22"/>
      <c r="L23" s="22"/>
      <c r="M23" s="22"/>
      <c r="N23" s="2"/>
      <c r="O23" s="2"/>
      <c r="P23" s="2"/>
      <c r="Q23" s="22"/>
    </row>
    <row r="24" spans="1:17" ht="25.5" customHeight="1">
      <c r="A24" s="30" t="s">
        <v>51</v>
      </c>
      <c r="B24" s="30" t="s">
        <v>397</v>
      </c>
      <c r="C24" s="30" t="s">
        <v>392</v>
      </c>
      <c r="D24" s="30" t="s">
        <v>398</v>
      </c>
      <c r="E24" s="22"/>
      <c r="F24" s="22"/>
      <c r="G24" s="2"/>
      <c r="H24" s="22"/>
      <c r="I24" s="22"/>
      <c r="J24" s="22"/>
      <c r="K24" s="22"/>
      <c r="L24" s="22"/>
      <c r="M24" s="22"/>
      <c r="N24" s="2"/>
      <c r="O24" s="2"/>
      <c r="P24" s="2"/>
      <c r="Q24" s="22"/>
    </row>
    <row r="25" spans="1:17" ht="25.5" customHeight="1">
      <c r="A25" s="30" t="s">
        <v>52</v>
      </c>
      <c r="B25" s="30" t="s">
        <v>399</v>
      </c>
      <c r="C25" s="30" t="s">
        <v>400</v>
      </c>
      <c r="D25" s="30" t="s">
        <v>401</v>
      </c>
      <c r="E25" s="22"/>
      <c r="F25" s="22"/>
      <c r="G25" s="2"/>
      <c r="H25" s="22"/>
      <c r="I25" s="22"/>
      <c r="J25" s="22"/>
      <c r="K25" s="22"/>
      <c r="L25" s="22"/>
      <c r="M25" s="22"/>
      <c r="N25" s="2"/>
      <c r="O25" s="2"/>
      <c r="P25" s="2"/>
      <c r="Q25" s="22"/>
    </row>
    <row r="26" spans="1:17" ht="25.5" customHeight="1">
      <c r="A26" s="30" t="s">
        <v>402</v>
      </c>
      <c r="B26" s="30" t="s">
        <v>403</v>
      </c>
      <c r="C26" s="30" t="s">
        <v>404</v>
      </c>
      <c r="D26" s="30" t="s">
        <v>393</v>
      </c>
      <c r="E26" s="22"/>
      <c r="F26" s="22"/>
      <c r="G26" s="2"/>
      <c r="H26" s="22"/>
      <c r="I26" s="22"/>
      <c r="J26" s="22"/>
      <c r="K26" s="22"/>
      <c r="L26" s="22"/>
      <c r="M26" s="22"/>
      <c r="N26" s="2"/>
      <c r="O26" s="2"/>
      <c r="P26" s="2"/>
      <c r="Q26" s="22"/>
    </row>
    <row r="27" spans="1:17" ht="25.5" customHeight="1">
      <c r="A27" s="30" t="s">
        <v>53</v>
      </c>
      <c r="B27" s="30" t="s">
        <v>405</v>
      </c>
      <c r="C27" s="30" t="s">
        <v>392</v>
      </c>
      <c r="D27" s="30" t="s">
        <v>406</v>
      </c>
      <c r="E27" s="22"/>
      <c r="F27" s="22"/>
      <c r="G27" s="2"/>
      <c r="H27" s="22"/>
      <c r="I27" s="22"/>
      <c r="J27" s="22"/>
      <c r="K27" s="22"/>
      <c r="L27" s="22"/>
      <c r="M27" s="22"/>
      <c r="N27" s="2"/>
      <c r="O27" s="2"/>
      <c r="P27" s="2"/>
      <c r="Q27" s="22"/>
    </row>
    <row r="28" spans="1:17" ht="25.5" customHeight="1">
      <c r="A28" s="30" t="s">
        <v>282</v>
      </c>
      <c r="B28" s="30" t="s">
        <v>407</v>
      </c>
      <c r="C28" s="30" t="s">
        <v>392</v>
      </c>
      <c r="D28" s="30" t="s">
        <v>408</v>
      </c>
      <c r="E28" s="22"/>
      <c r="F28" s="22"/>
      <c r="G28" s="2"/>
      <c r="H28" s="22"/>
      <c r="I28" s="22"/>
      <c r="J28" s="22"/>
      <c r="K28" s="22"/>
      <c r="L28" s="22"/>
      <c r="M28" s="22"/>
      <c r="N28" s="2"/>
      <c r="O28" s="2"/>
      <c r="P28" s="2"/>
      <c r="Q28" s="22"/>
    </row>
    <row r="29" spans="1:17" ht="25.5" customHeight="1">
      <c r="A29" s="30" t="s">
        <v>409</v>
      </c>
      <c r="B29" s="30" t="s">
        <v>410</v>
      </c>
      <c r="C29" s="30" t="s">
        <v>392</v>
      </c>
      <c r="D29" s="30" t="s">
        <v>411</v>
      </c>
      <c r="E29" s="22"/>
      <c r="F29" s="22"/>
      <c r="G29" s="2"/>
      <c r="H29" s="22"/>
      <c r="I29" s="22"/>
      <c r="J29" s="22"/>
      <c r="K29" s="22"/>
      <c r="L29" s="22"/>
      <c r="M29" s="22"/>
      <c r="N29" s="2"/>
      <c r="O29" s="2"/>
      <c r="P29" s="2"/>
      <c r="Q29" s="22"/>
    </row>
    <row r="30" spans="1:17">
      <c r="A30" s="22"/>
      <c r="B30" s="22"/>
      <c r="C30" s="22"/>
      <c r="D30" s="22"/>
      <c r="E30" s="22"/>
      <c r="F30" s="22"/>
      <c r="G30" s="2"/>
      <c r="H30" s="22"/>
      <c r="I30" s="22"/>
      <c r="J30" s="22"/>
      <c r="K30" s="22"/>
      <c r="L30" s="22"/>
      <c r="M30" s="22"/>
      <c r="N30" s="2"/>
      <c r="O30" s="2"/>
      <c r="P30" s="2"/>
      <c r="Q30" s="22"/>
    </row>
    <row r="31" spans="1:17" ht="19.5" customHeight="1">
      <c r="A31" s="317" t="s">
        <v>412</v>
      </c>
      <c r="B31" s="317"/>
      <c r="C31" s="317"/>
      <c r="D31" s="317"/>
      <c r="E31" s="317"/>
      <c r="F31" s="317"/>
      <c r="G31" s="317"/>
      <c r="H31" s="317"/>
      <c r="I31" s="317"/>
      <c r="J31" s="317"/>
      <c r="K31" s="317"/>
      <c r="L31" s="317"/>
      <c r="M31" s="317"/>
      <c r="N31" s="317"/>
      <c r="O31" s="317"/>
      <c r="P31" s="317"/>
      <c r="Q31" s="317"/>
    </row>
    <row r="32" spans="1:17" ht="15" customHeight="1">
      <c r="A32" s="41" t="s">
        <v>413</v>
      </c>
      <c r="B32" s="41" t="s">
        <v>414</v>
      </c>
      <c r="C32" s="41" t="s">
        <v>415</v>
      </c>
      <c r="D32" s="41" t="s">
        <v>416</v>
      </c>
      <c r="E32" s="22"/>
      <c r="F32" s="22"/>
      <c r="G32" s="2"/>
      <c r="H32" s="22"/>
      <c r="I32" s="22"/>
      <c r="J32" s="22"/>
      <c r="K32" s="22"/>
      <c r="L32" s="22"/>
      <c r="M32" s="22"/>
      <c r="N32" s="2"/>
      <c r="O32" s="2"/>
      <c r="P32" s="2"/>
      <c r="Q32" s="22"/>
    </row>
    <row r="33" spans="1:17" ht="15" customHeight="1">
      <c r="A33" s="24" t="s">
        <v>149</v>
      </c>
      <c r="B33" s="24" t="s">
        <v>175</v>
      </c>
      <c r="C33" s="24" t="s">
        <v>165</v>
      </c>
      <c r="D33" s="24" t="s">
        <v>170</v>
      </c>
      <c r="E33" s="22"/>
      <c r="F33" s="22"/>
      <c r="G33" s="2"/>
      <c r="H33" s="22"/>
      <c r="I33" s="22"/>
      <c r="J33" s="22"/>
      <c r="K33" s="22"/>
      <c r="L33" s="22"/>
      <c r="M33" s="22"/>
      <c r="N33" s="2"/>
      <c r="O33" s="2"/>
      <c r="P33" s="2"/>
      <c r="Q33" s="22"/>
    </row>
    <row r="34" spans="1:17" ht="15" customHeight="1">
      <c r="A34" s="24" t="s">
        <v>417</v>
      </c>
      <c r="B34" s="24" t="s">
        <v>201</v>
      </c>
      <c r="C34" s="24" t="s">
        <v>418</v>
      </c>
      <c r="D34" s="24" t="s">
        <v>419</v>
      </c>
      <c r="E34" s="22"/>
      <c r="F34" s="22"/>
      <c r="G34" s="2"/>
      <c r="H34" s="22"/>
      <c r="I34" s="22"/>
      <c r="J34" s="22"/>
      <c r="K34" s="22"/>
      <c r="L34" s="22"/>
      <c r="M34" s="22"/>
      <c r="N34" s="2"/>
      <c r="O34" s="2"/>
      <c r="P34" s="2"/>
      <c r="Q34" s="22"/>
    </row>
    <row r="35" spans="1:17" ht="15" customHeight="1">
      <c r="A35" s="24" t="s">
        <v>420</v>
      </c>
      <c r="B35" s="22"/>
      <c r="C35" s="24" t="s">
        <v>421</v>
      </c>
      <c r="D35" s="24" t="s">
        <v>422</v>
      </c>
      <c r="E35" s="22"/>
      <c r="F35" s="22"/>
      <c r="G35" s="2"/>
      <c r="H35" s="22"/>
      <c r="I35" s="22"/>
      <c r="J35" s="22"/>
      <c r="K35" s="22"/>
      <c r="L35" s="22"/>
      <c r="M35" s="22"/>
      <c r="N35" s="2"/>
      <c r="O35" s="2"/>
      <c r="P35" s="2"/>
      <c r="Q35" s="22"/>
    </row>
    <row r="36" spans="1:17" ht="15" customHeight="1">
      <c r="A36" s="24" t="s">
        <v>423</v>
      </c>
      <c r="B36" s="22"/>
      <c r="C36" s="22"/>
      <c r="D36" s="24" t="s">
        <v>424</v>
      </c>
      <c r="E36" s="22"/>
      <c r="F36" s="22"/>
      <c r="G36" s="2"/>
      <c r="H36" s="22"/>
      <c r="I36" s="22"/>
      <c r="J36" s="22"/>
      <c r="K36" s="22"/>
      <c r="L36" s="22"/>
      <c r="M36" s="22"/>
      <c r="N36" s="2"/>
      <c r="O36" s="2"/>
      <c r="P36" s="2"/>
      <c r="Q36" s="22"/>
    </row>
    <row r="37" spans="1:17" ht="15" customHeight="1">
      <c r="A37" s="24" t="s">
        <v>425</v>
      </c>
      <c r="B37" s="22"/>
      <c r="C37" s="22"/>
      <c r="D37" s="22"/>
      <c r="E37" s="22"/>
      <c r="F37" s="22"/>
      <c r="G37" s="2"/>
      <c r="H37" s="22"/>
      <c r="I37" s="22"/>
      <c r="J37" s="22"/>
      <c r="K37" s="22"/>
      <c r="L37" s="22"/>
      <c r="M37" s="22"/>
      <c r="N37" s="2"/>
      <c r="O37" s="2"/>
      <c r="P37" s="2"/>
      <c r="Q37" s="22"/>
    </row>
  </sheetData>
  <sheetProtection algorithmName="SHA-512" hashValue="caL/lxHAgdVR3TdUCNMwcRklpXa7kSRujo496mdoX0y58v03/+sTd27QiHGxE+XRcz+wzkxH30ySQq/IFXqYLA==" saltValue="h2W2NYYf8+2fC6xDIxEewg==" spinCount="100000" sheet="1" objects="1" scenarios="1"/>
  <mergeCells count="16">
    <mergeCell ref="A1:Q1"/>
    <mergeCell ref="A2:Q3"/>
    <mergeCell ref="A4:B4"/>
    <mergeCell ref="A6:Q6"/>
    <mergeCell ref="A7:C7"/>
    <mergeCell ref="A8:C8"/>
    <mergeCell ref="A9:C9"/>
    <mergeCell ref="A10:C10"/>
    <mergeCell ref="A11:C11"/>
    <mergeCell ref="A12:C12"/>
    <mergeCell ref="A31:Q31"/>
    <mergeCell ref="A13:C13"/>
    <mergeCell ref="A14:C14"/>
    <mergeCell ref="A15:C15"/>
    <mergeCell ref="A16:Q18"/>
    <mergeCell ref="A20:Q20"/>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Q15"/>
  <sheetViews>
    <sheetView showGridLines="0" topLeftCell="A11" zoomScaleNormal="100" workbookViewId="0">
      <selection activeCell="D25" sqref="D25"/>
    </sheetView>
  </sheetViews>
  <sheetFormatPr baseColWidth="10" defaultColWidth="8.7109375" defaultRowHeight="15"/>
  <cols>
    <col min="1" max="1" width="12" style="1" customWidth="1"/>
    <col min="2" max="2" width="14"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322" t="s">
        <v>103</v>
      </c>
      <c r="B1" s="322"/>
      <c r="C1" s="322"/>
      <c r="D1" s="322"/>
      <c r="E1" s="322"/>
      <c r="F1" s="322"/>
      <c r="G1" s="322"/>
      <c r="H1" s="322"/>
      <c r="I1" s="322"/>
      <c r="J1" s="322"/>
      <c r="K1" s="322"/>
      <c r="L1" s="322"/>
      <c r="M1" s="322"/>
      <c r="N1" s="322"/>
      <c r="O1" s="322"/>
      <c r="P1" s="322"/>
      <c r="Q1" s="322"/>
    </row>
    <row r="2" spans="1:17" ht="15" customHeight="1">
      <c r="A2" s="323" t="s">
        <v>426</v>
      </c>
      <c r="B2" s="323"/>
      <c r="C2" s="323"/>
      <c r="D2" s="323"/>
      <c r="E2" s="323"/>
      <c r="F2" s="323"/>
      <c r="G2" s="323"/>
      <c r="H2" s="323"/>
      <c r="I2" s="323"/>
      <c r="J2" s="323"/>
      <c r="K2" s="323"/>
      <c r="L2" s="323"/>
      <c r="M2" s="323"/>
      <c r="N2" s="323"/>
      <c r="O2" s="323"/>
      <c r="P2" s="323"/>
      <c r="Q2" s="323"/>
    </row>
    <row r="3" spans="1:17" ht="15" customHeight="1">
      <c r="A3" s="323"/>
      <c r="B3" s="323"/>
      <c r="C3" s="323"/>
      <c r="D3" s="323"/>
      <c r="E3" s="323"/>
      <c r="F3" s="323"/>
      <c r="G3" s="323"/>
      <c r="H3" s="323"/>
      <c r="I3" s="323"/>
      <c r="J3" s="323"/>
      <c r="K3" s="323"/>
      <c r="L3" s="323"/>
      <c r="M3" s="323"/>
      <c r="N3" s="323"/>
      <c r="O3" s="323"/>
      <c r="P3" s="323"/>
      <c r="Q3" s="323"/>
    </row>
    <row r="4" spans="1:17" ht="24" customHeight="1">
      <c r="A4" s="345" t="str">
        <f>HYPERLINK("#M41_INICIO!A1","▶  VOLVER A INICIO")</f>
        <v>▶  VOLVER A INICIO</v>
      </c>
      <c r="B4" s="346"/>
      <c r="C4" s="346"/>
      <c r="D4" s="346"/>
      <c r="E4" s="346"/>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20.25" customHeight="1">
      <c r="A6" s="41" t="s">
        <v>1</v>
      </c>
      <c r="B6" s="41" t="s">
        <v>19</v>
      </c>
      <c r="C6" s="353" t="s">
        <v>427</v>
      </c>
      <c r="D6" s="353"/>
      <c r="E6" s="353"/>
      <c r="F6" s="353"/>
      <c r="G6" s="353"/>
      <c r="H6" s="353"/>
      <c r="I6" s="353"/>
      <c r="J6" s="353"/>
      <c r="K6" s="353"/>
      <c r="L6" s="353"/>
      <c r="M6" s="353"/>
      <c r="N6" s="353"/>
      <c r="O6" s="353"/>
      <c r="P6" s="353"/>
      <c r="Q6" s="353"/>
    </row>
    <row r="7" spans="1:17" ht="45.75" customHeight="1">
      <c r="A7" s="53" t="s">
        <v>116</v>
      </c>
      <c r="B7" s="53" t="s">
        <v>117</v>
      </c>
      <c r="C7" s="347" t="s">
        <v>428</v>
      </c>
      <c r="D7" s="347"/>
      <c r="E7" s="347"/>
      <c r="F7" s="347"/>
      <c r="G7" s="347"/>
      <c r="H7" s="347"/>
      <c r="I7" s="347"/>
      <c r="J7" s="347" t="s">
        <v>429</v>
      </c>
      <c r="K7" s="347"/>
      <c r="L7" s="347"/>
      <c r="M7" s="347"/>
      <c r="N7" s="347"/>
      <c r="O7" s="347"/>
      <c r="P7" s="347"/>
      <c r="Q7" s="347"/>
    </row>
    <row r="8" spans="1:17" ht="45.75" customHeight="1">
      <c r="A8" s="53" t="s">
        <v>116</v>
      </c>
      <c r="B8" s="53" t="s">
        <v>117</v>
      </c>
      <c r="C8" s="347" t="s">
        <v>430</v>
      </c>
      <c r="D8" s="347"/>
      <c r="E8" s="347"/>
      <c r="F8" s="347"/>
      <c r="G8" s="347"/>
      <c r="H8" s="347"/>
      <c r="I8" s="347"/>
      <c r="J8" s="347" t="s">
        <v>431</v>
      </c>
      <c r="K8" s="347"/>
      <c r="L8" s="347"/>
      <c r="M8" s="347"/>
      <c r="N8" s="347"/>
      <c r="O8" s="347"/>
      <c r="P8" s="347"/>
      <c r="Q8" s="347"/>
    </row>
    <row r="9" spans="1:17" ht="45.75" customHeight="1">
      <c r="A9" s="53" t="s">
        <v>116</v>
      </c>
      <c r="B9" s="53" t="s">
        <v>117</v>
      </c>
      <c r="C9" s="347" t="s">
        <v>432</v>
      </c>
      <c r="D9" s="347"/>
      <c r="E9" s="347"/>
      <c r="F9" s="347"/>
      <c r="G9" s="347"/>
      <c r="H9" s="347"/>
      <c r="I9" s="347"/>
      <c r="J9" s="347" t="s">
        <v>433</v>
      </c>
      <c r="K9" s="347"/>
      <c r="L9" s="347"/>
      <c r="M9" s="347"/>
      <c r="N9" s="347"/>
      <c r="O9" s="347"/>
      <c r="P9" s="347"/>
      <c r="Q9" s="347"/>
    </row>
    <row r="10" spans="1:17" ht="45.75" customHeight="1">
      <c r="A10" s="53" t="s">
        <v>116</v>
      </c>
      <c r="B10" s="53" t="s">
        <v>117</v>
      </c>
      <c r="C10" s="347" t="s">
        <v>434</v>
      </c>
      <c r="D10" s="347"/>
      <c r="E10" s="347"/>
      <c r="F10" s="347"/>
      <c r="G10" s="347"/>
      <c r="H10" s="347"/>
      <c r="I10" s="347"/>
      <c r="J10" s="347" t="s">
        <v>435</v>
      </c>
      <c r="K10" s="347"/>
      <c r="L10" s="347"/>
      <c r="M10" s="347"/>
      <c r="N10" s="347"/>
      <c r="O10" s="347"/>
      <c r="P10" s="347"/>
      <c r="Q10" s="347"/>
    </row>
    <row r="11" spans="1:17" ht="45.75" customHeight="1">
      <c r="A11" s="53" t="s">
        <v>116</v>
      </c>
      <c r="B11" s="53" t="s">
        <v>117</v>
      </c>
      <c r="C11" s="347" t="s">
        <v>436</v>
      </c>
      <c r="D11" s="347"/>
      <c r="E11" s="347"/>
      <c r="F11" s="347"/>
      <c r="G11" s="347"/>
      <c r="H11" s="347"/>
      <c r="I11" s="347"/>
      <c r="J11" s="347" t="s">
        <v>437</v>
      </c>
      <c r="K11" s="347"/>
      <c r="L11" s="347"/>
      <c r="M11" s="347"/>
      <c r="N11" s="347"/>
      <c r="O11" s="347"/>
      <c r="P11" s="347"/>
      <c r="Q11" s="347"/>
    </row>
    <row r="12" spans="1:17" ht="45.75" customHeight="1">
      <c r="A12" s="53" t="s">
        <v>116</v>
      </c>
      <c r="B12" s="53" t="s">
        <v>117</v>
      </c>
      <c r="C12" s="347" t="s">
        <v>438</v>
      </c>
      <c r="D12" s="347"/>
      <c r="E12" s="347"/>
      <c r="F12" s="347"/>
      <c r="G12" s="347"/>
      <c r="H12" s="347"/>
      <c r="I12" s="347"/>
      <c r="J12" s="347" t="s">
        <v>439</v>
      </c>
      <c r="K12" s="347"/>
      <c r="L12" s="347"/>
      <c r="M12" s="347"/>
      <c r="N12" s="347"/>
      <c r="O12" s="347"/>
      <c r="P12" s="347"/>
      <c r="Q12" s="347"/>
    </row>
    <row r="13" spans="1:17" ht="45.75" customHeight="1">
      <c r="A13" s="53" t="s">
        <v>116</v>
      </c>
      <c r="B13" s="53" t="s">
        <v>117</v>
      </c>
      <c r="C13" s="347" t="s">
        <v>440</v>
      </c>
      <c r="D13" s="347"/>
      <c r="E13" s="347"/>
      <c r="F13" s="347"/>
      <c r="G13" s="347"/>
      <c r="H13" s="347"/>
      <c r="I13" s="347"/>
      <c r="J13" s="347" t="s">
        <v>441</v>
      </c>
      <c r="K13" s="347"/>
      <c r="L13" s="347"/>
      <c r="M13" s="347"/>
      <c r="N13" s="347"/>
      <c r="O13" s="347"/>
      <c r="P13" s="347"/>
      <c r="Q13" s="347"/>
    </row>
    <row r="14" spans="1:17" ht="45.75" customHeight="1">
      <c r="A14" s="53" t="s">
        <v>116</v>
      </c>
      <c r="B14" s="53" t="s">
        <v>117</v>
      </c>
      <c r="C14" s="347" t="s">
        <v>442</v>
      </c>
      <c r="D14" s="347"/>
      <c r="E14" s="347"/>
      <c r="F14" s="347"/>
      <c r="G14" s="347"/>
      <c r="H14" s="347"/>
      <c r="I14" s="347"/>
      <c r="J14" s="347" t="s">
        <v>443</v>
      </c>
      <c r="K14" s="347"/>
      <c r="L14" s="347"/>
      <c r="M14" s="347"/>
      <c r="N14" s="347"/>
      <c r="O14" s="347"/>
      <c r="P14" s="347"/>
      <c r="Q14" s="347"/>
    </row>
    <row r="15" spans="1:17" ht="43.5" customHeight="1">
      <c r="A15" s="54" t="s">
        <v>444</v>
      </c>
      <c r="B15" s="53" t="s">
        <v>445</v>
      </c>
      <c r="C15" s="350" t="s">
        <v>446</v>
      </c>
      <c r="D15" s="351"/>
      <c r="E15" s="351"/>
      <c r="F15" s="351"/>
      <c r="G15" s="351"/>
      <c r="H15" s="351"/>
      <c r="I15" s="351"/>
      <c r="J15" s="351"/>
      <c r="K15" s="351"/>
      <c r="L15" s="351"/>
      <c r="M15" s="351"/>
      <c r="N15" s="351"/>
      <c r="O15" s="351"/>
      <c r="P15" s="351"/>
      <c r="Q15" s="352"/>
    </row>
  </sheetData>
  <sheetProtection algorithmName="SHA-512" hashValue="9MaG+/IZD853v7yCtsXGKEiE/hcqYfsAUcBqieKMcxSMIOZXGxg8hCDvW2oeTRcg4GI68qCKhiYIWaHvvGQpIQ==" saltValue="SwM5PF5fGF7HylAZsP3qPw==" spinCount="100000" sheet="1" objects="1" scenarios="1"/>
  <mergeCells count="21">
    <mergeCell ref="C15:Q15"/>
    <mergeCell ref="A1:Q1"/>
    <mergeCell ref="A2:Q3"/>
    <mergeCell ref="C6:Q6"/>
    <mergeCell ref="C7:I7"/>
    <mergeCell ref="J7:Q7"/>
    <mergeCell ref="A4:E4"/>
    <mergeCell ref="C8:I8"/>
    <mergeCell ref="J8:Q8"/>
    <mergeCell ref="C9:I9"/>
    <mergeCell ref="J9:Q9"/>
    <mergeCell ref="C10:I10"/>
    <mergeCell ref="J10:Q10"/>
    <mergeCell ref="C14:I14"/>
    <mergeCell ref="J14:Q14"/>
    <mergeCell ref="C11:I11"/>
    <mergeCell ref="J11:Q11"/>
    <mergeCell ref="C12:I12"/>
    <mergeCell ref="J12:Q12"/>
    <mergeCell ref="C13:I13"/>
    <mergeCell ref="J13:Q13"/>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O31"/>
  <sheetViews>
    <sheetView showGridLines="0" zoomScaleNormal="100" workbookViewId="0">
      <selection sqref="A1:O1"/>
    </sheetView>
  </sheetViews>
  <sheetFormatPr baseColWidth="10" defaultColWidth="8.7109375" defaultRowHeight="15"/>
  <cols>
    <col min="1" max="1" width="25.28515625" style="1" customWidth="1"/>
    <col min="2" max="2" width="15" style="1" customWidth="1"/>
    <col min="5" max="5" width="11" style="1" customWidth="1"/>
    <col min="6" max="6" width="12" style="1" customWidth="1"/>
    <col min="8" max="8" width="11.42578125" style="1" customWidth="1"/>
    <col min="9" max="9" width="13.5703125" style="1" customWidth="1"/>
    <col min="10" max="10" width="11.7109375" style="1" customWidth="1"/>
    <col min="12" max="12" width="10.85546875" style="1" customWidth="1"/>
    <col min="13" max="13" width="10.7109375" style="1" customWidth="1"/>
    <col min="14" max="14" width="12.5703125" style="1" customWidth="1"/>
  </cols>
  <sheetData>
    <row r="1" spans="1:15" ht="25.5" customHeight="1">
      <c r="A1" s="362" t="s">
        <v>447</v>
      </c>
      <c r="B1" s="362"/>
      <c r="C1" s="362"/>
      <c r="D1" s="362"/>
      <c r="E1" s="362"/>
      <c r="F1" s="362"/>
      <c r="G1" s="362"/>
      <c r="H1" s="362"/>
      <c r="I1" s="362"/>
      <c r="J1" s="362"/>
      <c r="K1" s="362"/>
      <c r="L1" s="362"/>
      <c r="M1" s="362"/>
      <c r="N1" s="362"/>
      <c r="O1" s="362"/>
    </row>
    <row r="2" spans="1:15" ht="15" customHeight="1">
      <c r="A2" s="363" t="s">
        <v>448</v>
      </c>
      <c r="B2" s="363"/>
      <c r="C2" s="363"/>
      <c r="D2" s="363"/>
      <c r="E2" s="363"/>
      <c r="F2" s="363"/>
      <c r="G2" s="363"/>
      <c r="H2" s="363"/>
      <c r="I2" s="363"/>
      <c r="J2" s="363"/>
      <c r="K2" s="363"/>
      <c r="L2" s="363"/>
      <c r="M2" s="363"/>
      <c r="N2" s="363"/>
      <c r="O2" s="363"/>
    </row>
    <row r="3" spans="1:15" ht="15" customHeight="1">
      <c r="A3" s="363"/>
      <c r="B3" s="363"/>
      <c r="C3" s="363"/>
      <c r="D3" s="363"/>
      <c r="E3" s="363"/>
      <c r="F3" s="363"/>
      <c r="G3" s="363"/>
      <c r="H3" s="363"/>
      <c r="I3" s="363"/>
      <c r="J3" s="363"/>
      <c r="K3" s="363"/>
      <c r="L3" s="363"/>
      <c r="M3" s="363"/>
      <c r="N3" s="363"/>
      <c r="O3" s="363"/>
    </row>
    <row r="4" spans="1:15" ht="27.75" customHeight="1">
      <c r="A4" s="364" t="s">
        <v>105</v>
      </c>
      <c r="B4" s="364"/>
      <c r="C4" s="364"/>
      <c r="D4" s="364"/>
      <c r="E4" s="364"/>
      <c r="F4" s="364"/>
      <c r="G4" s="364"/>
      <c r="H4" s="364"/>
      <c r="I4" s="364"/>
      <c r="J4" s="364"/>
      <c r="K4" s="364"/>
      <c r="L4" s="364"/>
      <c r="M4" s="364"/>
      <c r="N4" s="364"/>
      <c r="O4" s="364"/>
    </row>
    <row r="5" spans="1:15" ht="27.75" customHeight="1">
      <c r="A5" s="55" t="str">
        <f>HYPERLINK("#M36_DATOS!A1","▶  DATOS")</f>
        <v>▶  DATOS</v>
      </c>
      <c r="B5" s="321" t="str">
        <f>HYPERLINK("#M36_PLIEGUES!A1","▶  PLIEGUES")</f>
        <v>▶  PLIEGUES</v>
      </c>
      <c r="C5" s="321"/>
      <c r="D5" s="321" t="str">
        <f>HYPERLINK("#M36_CALCULOS!A1","▶  CALCULOS")</f>
        <v>▶  CALCULOS</v>
      </c>
      <c r="E5" s="321"/>
      <c r="F5" s="321" t="str">
        <f>HYPERLINK("#M36_RESULTADOS!A1","▶  RESULTADOS")</f>
        <v>▶  RESULTADOS</v>
      </c>
      <c r="G5" s="321"/>
      <c r="H5" s="321" t="str">
        <f>HYPERLINK("#M36_FUENTES!A1","▶  FUENTES")</f>
        <v>▶  FUENTES</v>
      </c>
      <c r="I5" s="321"/>
      <c r="J5" s="321" t="str">
        <f>HYPERLINK("#M36_PRUEBAS!A1","▶  PRUEBAS")</f>
        <v>▶  PRUEBAS</v>
      </c>
      <c r="K5" s="321"/>
      <c r="L5" s="321" t="str">
        <f>HYPERLINK("#M36_CONFIG!A1","▶  CONFIG")</f>
        <v>▶  CONFIG</v>
      </c>
      <c r="M5" s="321"/>
      <c r="N5" s="321" t="str">
        <f>HYPERLINK("#M36_CHANGELOG!A1","▶  CHANGELOG")</f>
        <v>▶  CHANGELOG</v>
      </c>
      <c r="O5" s="321"/>
    </row>
    <row r="6" spans="1:15" ht="29.25" customHeight="1">
      <c r="A6" s="56" t="s">
        <v>449</v>
      </c>
      <c r="B6" s="361" t="s">
        <v>450</v>
      </c>
      <c r="C6" s="361"/>
      <c r="D6" s="361" t="s">
        <v>451</v>
      </c>
      <c r="E6" s="361"/>
      <c r="F6" s="361" t="s">
        <v>452</v>
      </c>
      <c r="G6" s="361"/>
      <c r="H6" s="361" t="s">
        <v>453</v>
      </c>
      <c r="I6" s="361"/>
      <c r="J6" s="361" t="s">
        <v>112</v>
      </c>
      <c r="K6" s="361"/>
      <c r="L6" s="320" t="s">
        <v>113</v>
      </c>
      <c r="M6" s="320"/>
      <c r="N6" s="320" t="s">
        <v>114</v>
      </c>
      <c r="O6" s="320"/>
    </row>
    <row r="7" spans="1:15" ht="15" customHeight="1">
      <c r="A7" s="356" t="s">
        <v>115</v>
      </c>
      <c r="B7" s="356"/>
      <c r="C7" s="357" t="s">
        <v>86</v>
      </c>
      <c r="D7" s="357"/>
      <c r="E7" s="357"/>
      <c r="F7" s="357"/>
      <c r="G7" s="357"/>
      <c r="H7" s="357"/>
      <c r="I7" s="357"/>
      <c r="J7" s="357"/>
      <c r="K7" s="2"/>
      <c r="L7" s="22"/>
      <c r="M7" s="22"/>
      <c r="N7" s="22"/>
      <c r="O7" s="2"/>
    </row>
    <row r="8" spans="1:15" ht="15" customHeight="1">
      <c r="A8" s="356" t="s">
        <v>1</v>
      </c>
      <c r="B8" s="356"/>
      <c r="C8" s="357" t="s">
        <v>116</v>
      </c>
      <c r="D8" s="357"/>
      <c r="E8" s="357"/>
      <c r="F8" s="357"/>
      <c r="G8" s="357"/>
      <c r="H8" s="357"/>
      <c r="I8" s="357"/>
      <c r="J8" s="357"/>
      <c r="K8" s="2"/>
      <c r="L8" s="22"/>
      <c r="M8" s="22"/>
      <c r="N8" s="22"/>
      <c r="O8" s="2"/>
    </row>
    <row r="9" spans="1:15" ht="15" customHeight="1">
      <c r="A9" s="356" t="s">
        <v>19</v>
      </c>
      <c r="B9" s="356"/>
      <c r="C9" s="357" t="s">
        <v>454</v>
      </c>
      <c r="D9" s="357"/>
      <c r="E9" s="357"/>
      <c r="F9" s="357"/>
      <c r="G9" s="357"/>
      <c r="H9" s="357"/>
      <c r="I9" s="357"/>
      <c r="J9" s="357"/>
      <c r="K9" s="2"/>
      <c r="L9" s="22"/>
      <c r="M9" s="22"/>
      <c r="N9" s="22"/>
      <c r="O9" s="2"/>
    </row>
    <row r="10" spans="1:15" ht="15" customHeight="1">
      <c r="A10" s="356" t="s">
        <v>122</v>
      </c>
      <c r="B10" s="356"/>
      <c r="C10" s="357" t="s">
        <v>455</v>
      </c>
      <c r="D10" s="357"/>
      <c r="E10" s="357"/>
      <c r="F10" s="357"/>
      <c r="G10" s="357"/>
      <c r="H10" s="357"/>
      <c r="I10" s="357"/>
      <c r="J10" s="357"/>
      <c r="K10" s="2"/>
      <c r="L10" s="22"/>
      <c r="M10" s="22"/>
      <c r="N10" s="22"/>
      <c r="O10" s="2"/>
    </row>
    <row r="11" spans="1:15" ht="15" customHeight="1">
      <c r="A11" s="356" t="s">
        <v>124</v>
      </c>
      <c r="B11" s="356"/>
      <c r="C11" s="357" t="s">
        <v>125</v>
      </c>
      <c r="D11" s="357"/>
      <c r="E11" s="357"/>
      <c r="F11" s="357"/>
      <c r="G11" s="357"/>
      <c r="H11" s="357"/>
      <c r="I11" s="357"/>
      <c r="J11" s="357"/>
      <c r="K11" s="2"/>
      <c r="L11" s="22"/>
      <c r="M11" s="22"/>
      <c r="N11" s="22"/>
      <c r="O11" s="2"/>
    </row>
    <row r="12" spans="1:15" ht="19.5" customHeight="1">
      <c r="A12" s="358" t="s">
        <v>131</v>
      </c>
      <c r="B12" s="358"/>
      <c r="C12" s="358"/>
      <c r="D12" s="358"/>
      <c r="E12" s="358"/>
      <c r="F12" s="358"/>
      <c r="G12" s="358"/>
      <c r="H12" s="358"/>
      <c r="I12" s="358"/>
      <c r="J12" s="358"/>
      <c r="K12" s="2"/>
      <c r="L12" s="22"/>
      <c r="M12" s="22"/>
      <c r="N12" s="22"/>
      <c r="O12" s="2"/>
    </row>
    <row r="13" spans="1:15" ht="24" customHeight="1">
      <c r="A13" s="360" t="s">
        <v>456</v>
      </c>
      <c r="B13" s="360"/>
      <c r="C13" s="360"/>
      <c r="D13" s="360"/>
      <c r="E13" s="360"/>
      <c r="F13" s="360"/>
      <c r="G13" s="360"/>
      <c r="H13" s="360"/>
      <c r="I13" s="360"/>
      <c r="J13" s="360"/>
      <c r="K13" s="2"/>
      <c r="L13" s="22"/>
      <c r="M13" s="22"/>
      <c r="N13" s="22"/>
      <c r="O13" s="2"/>
    </row>
    <row r="14" spans="1:15" ht="24" customHeight="1">
      <c r="A14" s="360" t="s">
        <v>457</v>
      </c>
      <c r="B14" s="360"/>
      <c r="C14" s="360"/>
      <c r="D14" s="360"/>
      <c r="E14" s="360"/>
      <c r="F14" s="360"/>
      <c r="G14" s="360"/>
      <c r="H14" s="360"/>
      <c r="I14" s="360"/>
      <c r="J14" s="360"/>
      <c r="K14" s="2"/>
      <c r="L14" s="22"/>
      <c r="M14" s="22"/>
      <c r="N14" s="22"/>
      <c r="O14" s="2"/>
    </row>
    <row r="15" spans="1:15" ht="24" customHeight="1">
      <c r="A15" s="360" t="s">
        <v>458</v>
      </c>
      <c r="B15" s="360"/>
      <c r="C15" s="360"/>
      <c r="D15" s="360"/>
      <c r="E15" s="360"/>
      <c r="F15" s="360"/>
      <c r="G15" s="360"/>
      <c r="H15" s="360"/>
      <c r="I15" s="360"/>
      <c r="J15" s="360"/>
      <c r="K15" s="2"/>
      <c r="L15" s="22"/>
      <c r="M15" s="22"/>
      <c r="N15" s="22"/>
      <c r="O15" s="2"/>
    </row>
    <row r="16" spans="1:15" ht="24" customHeight="1">
      <c r="A16" s="360" t="s">
        <v>459</v>
      </c>
      <c r="B16" s="360"/>
      <c r="C16" s="360"/>
      <c r="D16" s="360"/>
      <c r="E16" s="360"/>
      <c r="F16" s="360"/>
      <c r="G16" s="360"/>
      <c r="H16" s="360"/>
      <c r="I16" s="360"/>
      <c r="J16" s="360"/>
      <c r="K16" s="2"/>
      <c r="L16" s="22"/>
      <c r="M16" s="22"/>
      <c r="N16" s="22"/>
      <c r="O16" s="2"/>
    </row>
    <row r="17" spans="1:15" ht="24" customHeight="1">
      <c r="A17" s="360" t="s">
        <v>460</v>
      </c>
      <c r="B17" s="360"/>
      <c r="C17" s="360"/>
      <c r="D17" s="360"/>
      <c r="E17" s="360"/>
      <c r="F17" s="360"/>
      <c r="G17" s="360"/>
      <c r="H17" s="360"/>
      <c r="I17" s="360"/>
      <c r="J17" s="360"/>
      <c r="K17" s="2"/>
      <c r="L17" s="22"/>
      <c r="M17" s="22"/>
      <c r="N17" s="22"/>
      <c r="O17" s="2"/>
    </row>
    <row r="18" spans="1:15" ht="24" customHeight="1">
      <c r="A18" s="360" t="s">
        <v>461</v>
      </c>
      <c r="B18" s="360"/>
      <c r="C18" s="360"/>
      <c r="D18" s="360"/>
      <c r="E18" s="360"/>
      <c r="F18" s="360"/>
      <c r="G18" s="360"/>
      <c r="H18" s="360"/>
      <c r="I18" s="360"/>
      <c r="J18" s="360"/>
      <c r="K18" s="2"/>
      <c r="L18" s="22"/>
      <c r="M18" s="22"/>
      <c r="N18" s="22"/>
      <c r="O18" s="2"/>
    </row>
    <row r="19" spans="1:15" ht="24" customHeight="1">
      <c r="A19" s="360" t="s">
        <v>462</v>
      </c>
      <c r="B19" s="360"/>
      <c r="C19" s="360"/>
      <c r="D19" s="360"/>
      <c r="E19" s="360"/>
      <c r="F19" s="360"/>
      <c r="G19" s="360"/>
      <c r="H19" s="360"/>
      <c r="I19" s="360"/>
      <c r="J19" s="360"/>
      <c r="K19" s="2"/>
      <c r="L19" s="22"/>
      <c r="M19" s="22"/>
      <c r="N19" s="22"/>
      <c r="O19" s="2"/>
    </row>
    <row r="20" spans="1:15" ht="23.25" customHeight="1">
      <c r="A20" s="358" t="s">
        <v>463</v>
      </c>
      <c r="B20" s="358"/>
      <c r="C20" s="358"/>
      <c r="D20" s="358"/>
      <c r="E20" s="358"/>
      <c r="F20" s="358"/>
      <c r="G20" s="358"/>
      <c r="H20" s="358"/>
      <c r="I20" s="358"/>
      <c r="J20" s="358"/>
      <c r="K20" s="2"/>
      <c r="L20" s="22"/>
      <c r="M20" s="22"/>
      <c r="N20" s="22"/>
      <c r="O20" s="2"/>
    </row>
    <row r="21" spans="1:15" ht="52.5" customHeight="1">
      <c r="A21" s="356" t="s">
        <v>464</v>
      </c>
      <c r="B21" s="356"/>
      <c r="C21" s="357" t="s">
        <v>465</v>
      </c>
      <c r="D21" s="357"/>
      <c r="E21" s="357"/>
      <c r="F21" s="357"/>
      <c r="G21" s="357"/>
      <c r="H21" s="357"/>
      <c r="I21" s="357"/>
      <c r="J21" s="357"/>
      <c r="K21" s="2"/>
      <c r="L21" s="22"/>
      <c r="M21" s="22"/>
      <c r="N21" s="22"/>
      <c r="O21" s="2"/>
    </row>
    <row r="22" spans="1:15" ht="30.75" customHeight="1">
      <c r="A22" s="356" t="s">
        <v>466</v>
      </c>
      <c r="B22" s="356"/>
      <c r="C22" s="357" t="s">
        <v>467</v>
      </c>
      <c r="D22" s="357"/>
      <c r="E22" s="357"/>
      <c r="F22" s="357"/>
      <c r="G22" s="357"/>
      <c r="H22" s="357"/>
      <c r="I22" s="357"/>
      <c r="J22" s="357"/>
      <c r="K22" s="2"/>
      <c r="L22" s="22"/>
      <c r="M22" s="22"/>
      <c r="N22" s="22"/>
      <c r="O22" s="2"/>
    </row>
    <row r="23" spans="1:15" ht="20.25" customHeight="1">
      <c r="A23" s="356" t="s">
        <v>468</v>
      </c>
      <c r="B23" s="356"/>
      <c r="C23" s="357" t="s">
        <v>459</v>
      </c>
      <c r="D23" s="357"/>
      <c r="E23" s="357"/>
      <c r="F23" s="357"/>
      <c r="G23" s="357"/>
      <c r="H23" s="357"/>
      <c r="I23" s="357"/>
      <c r="J23" s="357"/>
      <c r="K23" s="2"/>
      <c r="L23" s="22"/>
      <c r="M23" s="22"/>
      <c r="N23" s="22"/>
      <c r="O23" s="2"/>
    </row>
    <row r="24" spans="1:15" ht="24.75" customHeight="1">
      <c r="A24" s="356" t="s">
        <v>469</v>
      </c>
      <c r="B24" s="356"/>
      <c r="C24" s="357" t="s">
        <v>455</v>
      </c>
      <c r="D24" s="357"/>
      <c r="E24" s="357"/>
      <c r="F24" s="357"/>
      <c r="G24" s="357"/>
      <c r="H24" s="357"/>
      <c r="I24" s="357"/>
      <c r="J24" s="357"/>
      <c r="K24" s="2"/>
      <c r="L24" s="22"/>
      <c r="M24" s="22"/>
      <c r="N24" s="22"/>
      <c r="O24" s="2"/>
    </row>
    <row r="25" spans="1:15" ht="24" customHeight="1">
      <c r="A25" s="356" t="s">
        <v>8</v>
      </c>
      <c r="B25" s="356"/>
      <c r="C25" s="357" t="s">
        <v>470</v>
      </c>
      <c r="D25" s="357"/>
      <c r="E25" s="357"/>
      <c r="F25" s="357"/>
      <c r="G25" s="357"/>
      <c r="H25" s="357"/>
      <c r="I25" s="357"/>
      <c r="J25" s="357"/>
      <c r="K25" s="2"/>
      <c r="L25" s="22"/>
      <c r="M25" s="22"/>
      <c r="N25" s="22"/>
      <c r="O25" s="2"/>
    </row>
    <row r="26" spans="1:15" ht="21" customHeight="1">
      <c r="A26" s="358" t="s">
        <v>471</v>
      </c>
      <c r="B26" s="358"/>
      <c r="C26" s="358"/>
      <c r="D26" s="358"/>
      <c r="E26" s="358"/>
      <c r="F26" s="358"/>
      <c r="G26" s="358"/>
      <c r="H26" s="358"/>
      <c r="I26" s="358"/>
      <c r="J26" s="358"/>
      <c r="K26" s="2"/>
      <c r="L26" s="22"/>
      <c r="M26" s="22"/>
      <c r="N26" s="22"/>
      <c r="O26" s="2"/>
    </row>
    <row r="27" spans="1:15" ht="27.75" customHeight="1">
      <c r="A27" s="359" t="s">
        <v>472</v>
      </c>
      <c r="B27" s="359"/>
      <c r="C27" s="359"/>
      <c r="D27" s="359"/>
      <c r="E27" s="359"/>
      <c r="F27" s="359"/>
      <c r="G27" s="359"/>
      <c r="H27" s="359"/>
      <c r="I27" s="359"/>
      <c r="J27" s="359"/>
      <c r="K27" s="2"/>
      <c r="L27" s="22"/>
      <c r="M27" s="22"/>
      <c r="N27" s="22"/>
      <c r="O27" s="2"/>
    </row>
    <row r="28" spans="1:15" ht="27.75" customHeight="1">
      <c r="A28" s="354" t="s">
        <v>473</v>
      </c>
      <c r="B28" s="354"/>
      <c r="C28" s="354"/>
      <c r="D28" s="354"/>
      <c r="E28" s="354"/>
      <c r="F28" s="354"/>
      <c r="G28" s="354"/>
      <c r="H28" s="354"/>
      <c r="I28" s="354"/>
      <c r="J28" s="354"/>
      <c r="K28" s="2"/>
      <c r="L28" s="22"/>
      <c r="M28" s="22"/>
      <c r="N28" s="22"/>
      <c r="O28" s="2"/>
    </row>
    <row r="29" spans="1:15" ht="27.75" customHeight="1">
      <c r="A29" s="354" t="s">
        <v>474</v>
      </c>
      <c r="B29" s="354"/>
      <c r="C29" s="354"/>
      <c r="D29" s="354"/>
      <c r="E29" s="354"/>
      <c r="F29" s="354"/>
      <c r="G29" s="354"/>
      <c r="H29" s="354"/>
      <c r="I29" s="354"/>
      <c r="J29" s="354"/>
      <c r="K29" s="2"/>
      <c r="L29" s="22"/>
      <c r="M29" s="22"/>
      <c r="N29" s="22"/>
      <c r="O29" s="2"/>
    </row>
    <row r="30" spans="1:15" ht="27.75" customHeight="1">
      <c r="A30" s="354" t="s">
        <v>475</v>
      </c>
      <c r="B30" s="354"/>
      <c r="C30" s="354"/>
      <c r="D30" s="354"/>
      <c r="E30" s="354"/>
      <c r="F30" s="354"/>
      <c r="G30" s="354"/>
      <c r="H30" s="354"/>
      <c r="I30" s="354"/>
      <c r="J30" s="354"/>
      <c r="K30" s="2"/>
      <c r="L30" s="22"/>
      <c r="M30" s="22"/>
      <c r="N30" s="22"/>
      <c r="O30" s="2"/>
    </row>
    <row r="31" spans="1:15" ht="27.75" customHeight="1">
      <c r="A31" s="355" t="s">
        <v>476</v>
      </c>
      <c r="B31" s="355"/>
      <c r="C31" s="355"/>
      <c r="D31" s="355"/>
      <c r="E31" s="355"/>
      <c r="F31" s="355"/>
      <c r="G31" s="355"/>
      <c r="H31" s="355"/>
      <c r="I31" s="355"/>
      <c r="J31" s="355"/>
      <c r="K31" s="2"/>
      <c r="L31" s="22"/>
      <c r="M31" s="22"/>
      <c r="N31" s="22"/>
      <c r="O31" s="2"/>
    </row>
  </sheetData>
  <sheetProtection algorithmName="SHA-512" hashValue="JQf6NbTufdGYgQ+LDrneZO6wenWxx+SirQbucwcPOj7QKDSUrbEwlMZjSn0YS916FeE6fTjE6iRKD/NLRHWDIQ==" saltValue="0xjTve44o8txKfDBfLF0jw==" spinCount="100000" sheet="1" objects="1" scenarios="1"/>
  <mergeCells count="52">
    <mergeCell ref="A1:O1"/>
    <mergeCell ref="A2:O3"/>
    <mergeCell ref="A4:O4"/>
    <mergeCell ref="B5:C5"/>
    <mergeCell ref="D5:E5"/>
    <mergeCell ref="F5:G5"/>
    <mergeCell ref="H5:I5"/>
    <mergeCell ref="J5:K5"/>
    <mergeCell ref="L5:M5"/>
    <mergeCell ref="N5:O5"/>
    <mergeCell ref="L6:M6"/>
    <mergeCell ref="N6:O6"/>
    <mergeCell ref="A7:B7"/>
    <mergeCell ref="C7:J7"/>
    <mergeCell ref="A8:B8"/>
    <mergeCell ref="C8:J8"/>
    <mergeCell ref="B6:C6"/>
    <mergeCell ref="D6:E6"/>
    <mergeCell ref="F6:G6"/>
    <mergeCell ref="H6:I6"/>
    <mergeCell ref="J6:K6"/>
    <mergeCell ref="A9:B9"/>
    <mergeCell ref="C9:J9"/>
    <mergeCell ref="A10:B10"/>
    <mergeCell ref="C10:J10"/>
    <mergeCell ref="A11:B11"/>
    <mergeCell ref="C11:J11"/>
    <mergeCell ref="A12:J12"/>
    <mergeCell ref="A13:J13"/>
    <mergeCell ref="A14:J14"/>
    <mergeCell ref="A15:J15"/>
    <mergeCell ref="A16:J16"/>
    <mergeCell ref="A17:J17"/>
    <mergeCell ref="A18:J18"/>
    <mergeCell ref="A19:J19"/>
    <mergeCell ref="A20:J20"/>
    <mergeCell ref="A21:B21"/>
    <mergeCell ref="C21:J21"/>
    <mergeCell ref="A22:B22"/>
    <mergeCell ref="C22:J22"/>
    <mergeCell ref="A23:B23"/>
    <mergeCell ref="C23:J23"/>
    <mergeCell ref="A24:B24"/>
    <mergeCell ref="C24:J24"/>
    <mergeCell ref="A29:J29"/>
    <mergeCell ref="A30:J30"/>
    <mergeCell ref="A31:J31"/>
    <mergeCell ref="A25:B25"/>
    <mergeCell ref="C25:J25"/>
    <mergeCell ref="A26:J26"/>
    <mergeCell ref="A27:J27"/>
    <mergeCell ref="A28:J28"/>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E17"/>
  <sheetViews>
    <sheetView showGridLines="0" zoomScaleNormal="100" workbookViewId="0">
      <pane ySplit="6" topLeftCell="A7" activePane="bottomLeft" state="frozen"/>
      <selection pane="bottomLeft"/>
    </sheetView>
  </sheetViews>
  <sheetFormatPr baseColWidth="10" defaultColWidth="8.7109375" defaultRowHeight="15"/>
  <cols>
    <col min="1" max="1" width="40" style="1" customWidth="1"/>
    <col min="2" max="2" width="32" style="1" customWidth="1"/>
    <col min="3" max="3" width="12" style="1" customWidth="1"/>
    <col min="4" max="4" width="28.42578125" style="1" customWidth="1"/>
    <col min="5" max="5" width="50" style="1" customWidth="1"/>
  </cols>
  <sheetData>
    <row r="1" spans="1:5" ht="25.5" customHeight="1">
      <c r="A1" s="57" t="s">
        <v>447</v>
      </c>
      <c r="B1" s="58"/>
      <c r="C1" s="58"/>
      <c r="D1" s="58"/>
      <c r="E1" s="58"/>
    </row>
    <row r="2" spans="1:5" ht="19.5" customHeight="1">
      <c r="A2" s="365" t="s">
        <v>477</v>
      </c>
      <c r="B2" s="365"/>
      <c r="C2" s="365"/>
      <c r="D2" s="365"/>
      <c r="E2" s="365"/>
    </row>
    <row r="3" spans="1:5" ht="15" customHeight="1">
      <c r="A3" s="59" t="str">
        <f>HYPERLINK("#M36_INICIO!A1","◀ INICIO")</f>
        <v>◀ INICIO</v>
      </c>
      <c r="B3" s="60" t="s">
        <v>478</v>
      </c>
      <c r="C3" s="366" t="str">
        <f>HYPERLINK("#M36_CALCULOS!A1","▶  CALCULOS")</f>
        <v>▶  CALCULOS</v>
      </c>
      <c r="D3" s="366"/>
      <c r="E3" s="61" t="str">
        <f>HYPERLINK("#M36_RESULTADOS!A1","▶ RESULTADOS")</f>
        <v>▶ RESULTADOS</v>
      </c>
    </row>
    <row r="4" spans="1:5" ht="19.5" customHeight="1">
      <c r="A4" s="367" t="s">
        <v>479</v>
      </c>
      <c r="B4" s="367"/>
      <c r="C4" s="367"/>
      <c r="D4" s="367"/>
      <c r="E4" s="367"/>
    </row>
    <row r="5" spans="1:5" ht="15" customHeight="1">
      <c r="A5" s="368" t="s">
        <v>480</v>
      </c>
      <c r="B5" s="368"/>
      <c r="C5" s="368"/>
      <c r="D5" s="368"/>
      <c r="E5" s="368"/>
    </row>
    <row r="6" spans="1:5" ht="15" customHeight="1">
      <c r="A6" s="62" t="s">
        <v>15</v>
      </c>
      <c r="B6" s="62" t="s">
        <v>16</v>
      </c>
      <c r="C6" s="62" t="s">
        <v>43</v>
      </c>
      <c r="D6" s="62" t="s">
        <v>481</v>
      </c>
      <c r="E6" s="62" t="s">
        <v>482</v>
      </c>
    </row>
    <row r="7" spans="1:5" ht="15" customHeight="1">
      <c r="A7" s="63" t="s">
        <v>483</v>
      </c>
      <c r="B7" s="66" t="str">
        <f>DATOS!$B$7</f>
        <v>NMX-2026-0028</v>
      </c>
      <c r="C7" s="64" t="s">
        <v>151</v>
      </c>
      <c r="D7" s="65" t="s">
        <v>484</v>
      </c>
      <c r="E7" s="65" t="s">
        <v>485</v>
      </c>
    </row>
    <row r="8" spans="1:5" ht="15" customHeight="1">
      <c r="A8" s="63" t="s">
        <v>19</v>
      </c>
      <c r="B8" s="67">
        <f>DATOS!$B$8</f>
        <v>46236</v>
      </c>
      <c r="C8" s="64" t="s">
        <v>486</v>
      </c>
      <c r="D8" s="65" t="s">
        <v>19</v>
      </c>
      <c r="E8" s="65" t="s">
        <v>487</v>
      </c>
    </row>
    <row r="9" spans="1:5" ht="15" customHeight="1">
      <c r="A9" s="63" t="s">
        <v>488</v>
      </c>
      <c r="B9" s="66" t="str">
        <f>DATOS!$B$9</f>
        <v>PER-0007</v>
      </c>
      <c r="C9" s="64" t="s">
        <v>151</v>
      </c>
      <c r="D9" s="65" t="s">
        <v>484</v>
      </c>
      <c r="E9" s="65" t="s">
        <v>489</v>
      </c>
    </row>
    <row r="10" spans="1:5" ht="15" customHeight="1">
      <c r="A10" s="63" t="s">
        <v>490</v>
      </c>
      <c r="B10" s="66" t="str">
        <f>DATOS!$B$10</f>
        <v>Hombre</v>
      </c>
      <c r="C10" s="64" t="s">
        <v>151</v>
      </c>
      <c r="D10" s="65" t="s">
        <v>491</v>
      </c>
      <c r="E10" s="65" t="s">
        <v>492</v>
      </c>
    </row>
    <row r="11" spans="1:5" ht="15" customHeight="1">
      <c r="A11" s="63" t="s">
        <v>493</v>
      </c>
      <c r="B11" s="68">
        <f>DATOS!$B$11</f>
        <v>34</v>
      </c>
      <c r="C11" s="64" t="s">
        <v>494</v>
      </c>
      <c r="D11" s="65" t="s">
        <v>495</v>
      </c>
      <c r="E11" s="65" t="s">
        <v>496</v>
      </c>
    </row>
    <row r="12" spans="1:5" ht="15" customHeight="1">
      <c r="A12" s="63" t="s">
        <v>66</v>
      </c>
      <c r="B12" s="69">
        <f>DATOS!$B$12</f>
        <v>78.5</v>
      </c>
      <c r="C12" s="64" t="s">
        <v>497</v>
      </c>
      <c r="D12" s="65" t="s">
        <v>498</v>
      </c>
      <c r="E12" s="65" t="s">
        <v>499</v>
      </c>
    </row>
    <row r="13" spans="1:5" ht="15" customHeight="1">
      <c r="A13" s="63" t="s">
        <v>500</v>
      </c>
      <c r="B13" s="69">
        <f>DATOS!$B$13</f>
        <v>176</v>
      </c>
      <c r="C13" s="64" t="s">
        <v>56</v>
      </c>
      <c r="D13" s="65" t="s">
        <v>501</v>
      </c>
      <c r="E13" s="65" t="s">
        <v>502</v>
      </c>
    </row>
    <row r="14" spans="1:5" ht="15" customHeight="1">
      <c r="A14" s="63" t="s">
        <v>503</v>
      </c>
      <c r="B14" s="66" t="s">
        <v>504</v>
      </c>
      <c r="C14" s="64" t="s">
        <v>151</v>
      </c>
      <c r="D14" s="65" t="s">
        <v>505</v>
      </c>
      <c r="E14" s="65" t="s">
        <v>506</v>
      </c>
    </row>
    <row r="15" spans="1:5" ht="15" customHeight="1">
      <c r="A15" s="63" t="s">
        <v>507</v>
      </c>
      <c r="B15" s="66" t="s">
        <v>508</v>
      </c>
      <c r="C15" s="64" t="s">
        <v>151</v>
      </c>
      <c r="D15" s="65" t="s">
        <v>509</v>
      </c>
      <c r="E15" s="65" t="s">
        <v>510</v>
      </c>
    </row>
    <row r="16" spans="1:5" ht="15" customHeight="1">
      <c r="A16" s="63" t="s">
        <v>27</v>
      </c>
      <c r="B16" s="66" t="str">
        <f>DATOS!$B$14</f>
        <v>EVAL-01</v>
      </c>
      <c r="C16" s="64" t="s">
        <v>151</v>
      </c>
      <c r="D16" s="65" t="s">
        <v>484</v>
      </c>
      <c r="E16" s="65" t="s">
        <v>511</v>
      </c>
    </row>
    <row r="17" spans="1:5" ht="15" customHeight="1">
      <c r="A17" s="63" t="s">
        <v>33</v>
      </c>
      <c r="B17" s="66">
        <f>DATOS!$B$17</f>
        <v>0</v>
      </c>
      <c r="C17" s="64" t="s">
        <v>151</v>
      </c>
      <c r="D17" s="65" t="s">
        <v>484</v>
      </c>
      <c r="E17" s="65" t="s">
        <v>512</v>
      </c>
    </row>
  </sheetData>
  <sheetProtection algorithmName="SHA-512" hashValue="gfCOA8sHfhylG0Ogl/M/Vt4tL4hqMkRc6V0vRYSj7U12mXPE3zPGPA0hxiG6py1+886aPF22dWy2wN7U2HCGZw==" saltValue="gMNPQaTBLV5ilsmZfDSJ/Q==" spinCount="100000" sheet="1" objects="1" scenarios="1"/>
  <mergeCells count="4">
    <mergeCell ref="A2:E2"/>
    <mergeCell ref="C3:D3"/>
    <mergeCell ref="A4:E4"/>
    <mergeCell ref="A5:E5"/>
  </mergeCells>
  <dataValidations count="6">
    <dataValidation type="list" allowBlank="1" sqref="B10" xr:uid="{00000000-0002-0000-1100-000000000000}">
      <formula1>M36_SEXOS</formula1>
      <formula2>0</formula2>
    </dataValidation>
    <dataValidation type="decimal" allowBlank="1" sqref="B11" xr:uid="{00000000-0002-0000-1100-000001000000}">
      <formula1>M36_EDAD_MIN</formula1>
      <formula2>edad_max</formula2>
    </dataValidation>
    <dataValidation type="decimal" allowBlank="1" sqref="B12" xr:uid="{00000000-0002-0000-1100-000002000000}">
      <formula1>M36_PESO_MIN</formula1>
      <formula2>peso_max</formula2>
    </dataValidation>
    <dataValidation type="decimal" allowBlank="1" sqref="B13" xr:uid="{00000000-0002-0000-1100-000003000000}">
      <formula1>M36_EST_MIN</formula1>
      <formula2>est_max</formula2>
    </dataValidation>
    <dataValidation type="list" allowBlank="1" sqref="B14" xr:uid="{00000000-0002-0000-1100-000004000000}">
      <formula1>M36_LISTA_ECU</formula1>
      <formula2>0</formula2>
    </dataValidation>
    <dataValidation type="list" allowBlank="1" sqref="B15" xr:uid="{00000000-0002-0000-1100-000005000000}">
      <formula1>M36_LISTA_DEN</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G26"/>
  <sheetViews>
    <sheetView showGridLines="0" zoomScaleNormal="100" workbookViewId="0">
      <pane ySplit="12" topLeftCell="A13" activePane="bottomLeft" state="frozen"/>
      <selection pane="bottomLeft"/>
    </sheetView>
  </sheetViews>
  <sheetFormatPr baseColWidth="10" defaultColWidth="8.7109375" defaultRowHeight="15"/>
  <cols>
    <col min="1" max="1" width="5" style="1" customWidth="1"/>
    <col min="2" max="2" width="34" style="1" customWidth="1"/>
    <col min="3" max="3" width="10" style="1" customWidth="1"/>
    <col min="6" max="6" width="11" style="1" customWidth="1"/>
    <col min="7" max="7" width="40" style="1" customWidth="1"/>
  </cols>
  <sheetData>
    <row r="1" spans="1:7" ht="25.5" customHeight="1">
      <c r="A1" s="57" t="s">
        <v>447</v>
      </c>
      <c r="B1" s="58"/>
      <c r="C1" s="58"/>
      <c r="D1" s="58"/>
      <c r="E1" s="58"/>
      <c r="F1" s="58"/>
      <c r="G1" s="58"/>
    </row>
    <row r="2" spans="1:7" ht="21.75" customHeight="1">
      <c r="A2" s="365" t="s">
        <v>513</v>
      </c>
      <c r="B2" s="365"/>
      <c r="C2" s="365"/>
      <c r="D2" s="365"/>
      <c r="E2" s="365"/>
      <c r="F2" s="365"/>
      <c r="G2" s="365"/>
    </row>
    <row r="3" spans="1:7" ht="43.5" customHeight="1">
      <c r="A3" s="367" t="s">
        <v>514</v>
      </c>
      <c r="B3" s="367"/>
      <c r="C3" s="367"/>
      <c r="D3" s="367"/>
      <c r="E3" s="367"/>
      <c r="F3" s="367"/>
      <c r="G3" s="367"/>
    </row>
    <row r="4" spans="1:7" ht="15" customHeight="1">
      <c r="A4" s="380" t="str">
        <f>HYPERLINK("#M36_DATOS!A1","◀ DATOS")</f>
        <v>◀ DATOS</v>
      </c>
      <c r="B4" s="380"/>
      <c r="C4" s="381" t="str">
        <f>HYPERLINK("#M36_CALCULOS!A1","▶  CALCULOS")</f>
        <v>▶  CALCULOS</v>
      </c>
      <c r="D4" s="381"/>
      <c r="E4" s="381"/>
      <c r="F4" s="380" t="str">
        <f>HYPERLINK("#M36_RESULTADOS!A1","▶ RESULTADOS")</f>
        <v>▶ RESULTADOS</v>
      </c>
      <c r="G4" s="380"/>
    </row>
    <row r="5" spans="1:7">
      <c r="A5" s="22"/>
      <c r="B5" s="22"/>
      <c r="C5" s="22"/>
      <c r="D5" s="2"/>
      <c r="E5" s="2"/>
      <c r="F5" s="22"/>
      <c r="G5" s="22"/>
    </row>
    <row r="6" spans="1:7" ht="15" customHeight="1">
      <c r="A6" s="70" t="s">
        <v>236</v>
      </c>
      <c r="B6" s="70" t="s">
        <v>515</v>
      </c>
      <c r="C6" s="70" t="s">
        <v>516</v>
      </c>
      <c r="D6" s="70" t="s">
        <v>517</v>
      </c>
      <c r="E6" s="70" t="s">
        <v>186</v>
      </c>
      <c r="F6" s="70" t="s">
        <v>518</v>
      </c>
      <c r="G6" s="70" t="s">
        <v>519</v>
      </c>
    </row>
    <row r="7" spans="1:7" ht="23.25" customHeight="1">
      <c r="A7" s="71">
        <v>1</v>
      </c>
      <c r="B7" s="72" t="s">
        <v>520</v>
      </c>
      <c r="C7" s="69">
        <v>12</v>
      </c>
      <c r="D7" s="69">
        <v>12</v>
      </c>
      <c r="E7" s="73">
        <f>MED_Pect</f>
        <v>8</v>
      </c>
      <c r="F7" s="74">
        <f t="shared" ref="F7:F14" si="0">IF(AND(ISNUMBER(C7),ISNUMBER(D7)),ABS(C7-D7),"")</f>
        <v>0</v>
      </c>
      <c r="G7" s="75" t="s">
        <v>521</v>
      </c>
    </row>
    <row r="8" spans="1:7" ht="28.5" customHeight="1">
      <c r="A8" s="71">
        <v>2</v>
      </c>
      <c r="B8" s="72" t="s">
        <v>48</v>
      </c>
      <c r="C8" s="69">
        <v>14</v>
      </c>
      <c r="D8" s="69">
        <v>14</v>
      </c>
      <c r="E8" s="73">
        <f>MED_Axil</f>
        <v>10</v>
      </c>
      <c r="F8" s="74">
        <f t="shared" si="0"/>
        <v>0</v>
      </c>
      <c r="G8" s="75" t="s">
        <v>522</v>
      </c>
    </row>
    <row r="9" spans="1:7" ht="20.25" customHeight="1">
      <c r="A9" s="71">
        <v>3</v>
      </c>
      <c r="B9" s="72" t="s">
        <v>49</v>
      </c>
      <c r="C9" s="69">
        <v>13</v>
      </c>
      <c r="D9" s="69">
        <v>11</v>
      </c>
      <c r="E9" s="73">
        <f>MED_Tri</f>
        <v>12</v>
      </c>
      <c r="F9" s="74">
        <f t="shared" si="0"/>
        <v>2</v>
      </c>
      <c r="G9" s="75" t="s">
        <v>523</v>
      </c>
    </row>
    <row r="10" spans="1:7" ht="27.75" customHeight="1">
      <c r="A10" s="71">
        <v>4</v>
      </c>
      <c r="B10" s="72" t="s">
        <v>50</v>
      </c>
      <c r="C10" s="69">
        <v>16</v>
      </c>
      <c r="D10" s="69">
        <v>16</v>
      </c>
      <c r="E10" s="73">
        <f>MED_Sub</f>
        <v>14</v>
      </c>
      <c r="F10" s="74">
        <f t="shared" si="0"/>
        <v>0</v>
      </c>
      <c r="G10" s="75" t="s">
        <v>524</v>
      </c>
    </row>
    <row r="11" spans="1:7" ht="23.25" customHeight="1">
      <c r="A11" s="71">
        <v>5</v>
      </c>
      <c r="B11" s="72" t="s">
        <v>51</v>
      </c>
      <c r="C11" s="69">
        <v>7</v>
      </c>
      <c r="D11" s="69">
        <v>7</v>
      </c>
      <c r="E11" s="73">
        <f>MED_Bic</f>
        <v>5</v>
      </c>
      <c r="F11" s="74">
        <f t="shared" si="0"/>
        <v>0</v>
      </c>
      <c r="G11" s="75" t="s">
        <v>525</v>
      </c>
    </row>
    <row r="12" spans="1:7" ht="21.75" customHeight="1">
      <c r="A12" s="71">
        <v>6</v>
      </c>
      <c r="B12" s="72" t="s">
        <v>526</v>
      </c>
      <c r="C12" s="69">
        <v>17</v>
      </c>
      <c r="D12" s="69">
        <v>15</v>
      </c>
      <c r="E12" s="73">
        <f>MED_Supra</f>
        <v>16</v>
      </c>
      <c r="F12" s="74">
        <f t="shared" si="0"/>
        <v>2</v>
      </c>
      <c r="G12" s="75" t="s">
        <v>527</v>
      </c>
    </row>
    <row r="13" spans="1:7" ht="17.25" customHeight="1">
      <c r="A13" s="71">
        <v>7</v>
      </c>
      <c r="B13" s="72" t="s">
        <v>53</v>
      </c>
      <c r="C13" s="69">
        <v>23</v>
      </c>
      <c r="D13" s="69">
        <v>21</v>
      </c>
      <c r="E13" s="73">
        <f>MED_Abd</f>
        <v>20</v>
      </c>
      <c r="F13" s="74">
        <f t="shared" si="0"/>
        <v>2</v>
      </c>
      <c r="G13" s="75" t="s">
        <v>528</v>
      </c>
    </row>
    <row r="14" spans="1:7" ht="29.25" customHeight="1">
      <c r="A14" s="71">
        <v>8</v>
      </c>
      <c r="B14" s="72" t="s">
        <v>282</v>
      </c>
      <c r="C14" s="69">
        <v>16</v>
      </c>
      <c r="D14" s="69">
        <v>16</v>
      </c>
      <c r="E14" s="73">
        <f>MED_Muslo</f>
        <v>12</v>
      </c>
      <c r="F14" s="74">
        <f t="shared" si="0"/>
        <v>0</v>
      </c>
      <c r="G14" s="75" t="s">
        <v>529</v>
      </c>
    </row>
    <row r="15" spans="1:7">
      <c r="A15" s="22"/>
      <c r="B15" s="22"/>
      <c r="C15" s="22"/>
      <c r="D15" s="2"/>
      <c r="E15" s="2"/>
      <c r="F15" s="22"/>
      <c r="G15" s="22"/>
    </row>
    <row r="16" spans="1:7" ht="15" customHeight="1">
      <c r="A16" s="76" t="s">
        <v>530</v>
      </c>
      <c r="B16" s="77"/>
      <c r="C16" s="77"/>
      <c r="D16" s="77"/>
      <c r="E16" s="77"/>
      <c r="F16" s="77"/>
      <c r="G16" s="77"/>
    </row>
    <row r="17" spans="1:7" ht="15" customHeight="1">
      <c r="A17" s="370" t="s">
        <v>531</v>
      </c>
      <c r="B17" s="370"/>
      <c r="C17" s="378">
        <f>SUMPRODUCT((ISNUMBER(C7:C14))*(ISNUMBER(D7:D14)))</f>
        <v>8</v>
      </c>
      <c r="D17" s="378"/>
      <c r="E17" s="71" t="s">
        <v>532</v>
      </c>
      <c r="F17" s="372" t="s">
        <v>533</v>
      </c>
      <c r="G17" s="372"/>
    </row>
    <row r="18" spans="1:7" ht="15" customHeight="1">
      <c r="A18" s="370" t="s">
        <v>534</v>
      </c>
      <c r="B18" s="370"/>
      <c r="C18" s="379">
        <f>SUMPRODUCT((ISNUMBER(C7:C14))*(ISNUMBER(D7:D14))*(C7:C14-D7:D14)^2)</f>
        <v>12</v>
      </c>
      <c r="D18" s="379"/>
      <c r="E18" s="71" t="s">
        <v>535</v>
      </c>
      <c r="F18" s="372" t="s">
        <v>536</v>
      </c>
      <c r="G18" s="372"/>
    </row>
    <row r="19" spans="1:7" ht="15" customHeight="1">
      <c r="A19" s="370" t="s">
        <v>537</v>
      </c>
      <c r="B19" s="370"/>
      <c r="C19" s="376">
        <f>IF(M36_a_k&gt;0,SQRT(M36_a_Sd2/(2*M36_a_k)),"ND")</f>
        <v>0.8660254037844386</v>
      </c>
      <c r="D19" s="376"/>
      <c r="E19" s="71" t="s">
        <v>47</v>
      </c>
      <c r="F19" s="372" t="s">
        <v>538</v>
      </c>
      <c r="G19" s="372"/>
    </row>
    <row r="20" spans="1:7" ht="15" customHeight="1">
      <c r="A20" s="370" t="s">
        <v>539</v>
      </c>
      <c r="B20" s="370"/>
      <c r="C20" s="377">
        <f>IF((COUNT(C7:C14)+COUNT(D7:D14))&gt;0,(SUM(C7:C14)+SUM(D7:D14))/(COUNT(C7:C14)+COUNT(D7:D14)),"ND")</f>
        <v>14.375</v>
      </c>
      <c r="D20" s="377"/>
      <c r="E20" s="71" t="s">
        <v>47</v>
      </c>
      <c r="F20" s="372" t="s">
        <v>540</v>
      </c>
      <c r="G20" s="372"/>
    </row>
    <row r="21" spans="1:7" ht="15" customHeight="1">
      <c r="A21" s="370" t="s">
        <v>541</v>
      </c>
      <c r="B21" s="370"/>
      <c r="C21" s="374">
        <f>IF(AND(ISNUMBER(M36_a_TEMabs),ISNUMBER(M36_a_MediaG),M36_a_MediaG&gt;0),M36_a_TEMabs/M36_a_MediaG,"ND")</f>
        <v>6.0245245480656601E-2</v>
      </c>
      <c r="D21" s="374"/>
      <c r="E21" s="71" t="s">
        <v>151</v>
      </c>
      <c r="F21" s="372" t="s">
        <v>542</v>
      </c>
      <c r="G21" s="372"/>
    </row>
    <row r="22" spans="1:7" ht="15" customHeight="1">
      <c r="A22" s="370" t="s">
        <v>543</v>
      </c>
      <c r="B22" s="370"/>
      <c r="C22" s="375" t="str">
        <f>IF(ISNUMBER(M36_a_TEMrel),IF(M36_a_TEMrel&lt;=M36_TEM_OK,"OK (≤5%)",IF(M36_a_TEMrel&lt;=M36_TEM_ACC,"Aceptable (5–7,5%)","Revisar técnica (&gt;7,5%)")),"ND")</f>
        <v>Aceptable (5–7,5%)</v>
      </c>
      <c r="D22" s="375"/>
      <c r="E22" s="71" t="s">
        <v>151</v>
      </c>
      <c r="F22" s="372" t="s">
        <v>544</v>
      </c>
      <c r="G22" s="372"/>
    </row>
    <row r="23" spans="1:7" ht="15" customHeight="1">
      <c r="A23" s="369"/>
      <c r="B23" s="369"/>
      <c r="C23" s="369"/>
      <c r="D23" s="369"/>
      <c r="E23" s="369"/>
      <c r="F23" s="369"/>
      <c r="G23" s="369"/>
    </row>
    <row r="24" spans="1:7" ht="21.75" customHeight="1">
      <c r="A24" s="370" t="s">
        <v>545</v>
      </c>
      <c r="B24" s="370"/>
      <c r="C24" s="371">
        <f>IF(COUNT(E7:E14)&gt;0,SUM(E7:E14),"ND")</f>
        <v>97</v>
      </c>
      <c r="D24" s="371"/>
      <c r="E24" s="71" t="s">
        <v>47</v>
      </c>
      <c r="F24" s="372" t="s">
        <v>546</v>
      </c>
      <c r="G24" s="372"/>
    </row>
    <row r="25" spans="1:7">
      <c r="A25" s="22"/>
      <c r="B25" s="22"/>
      <c r="C25" s="22"/>
      <c r="D25" s="2"/>
      <c r="E25" s="2"/>
      <c r="F25" s="22"/>
      <c r="G25" s="22"/>
    </row>
    <row r="26" spans="1:7" ht="30" customHeight="1">
      <c r="A26" s="373" t="s">
        <v>547</v>
      </c>
      <c r="B26" s="373"/>
      <c r="C26" s="373"/>
      <c r="D26" s="373"/>
      <c r="E26" s="373"/>
      <c r="F26" s="373"/>
      <c r="G26" s="373"/>
    </row>
  </sheetData>
  <sheetProtection algorithmName="SHA-512" hashValue="fFH7Vs0/xsXW8Shg4OsmML9YJ+1qzPCks+UuieBpDbfHqvySttqCLwuoaash6efxclrGHk5V6SlY2T+LvQk/Zw==" saltValue="VLfo/O45WeUdAwwHex2/2Q==" spinCount="100000" sheet="1" objects="1" scenarios="1"/>
  <mergeCells count="28">
    <mergeCell ref="A2:G2"/>
    <mergeCell ref="A3:G3"/>
    <mergeCell ref="A4:B4"/>
    <mergeCell ref="C4:E4"/>
    <mergeCell ref="F4:G4"/>
    <mergeCell ref="A17:B17"/>
    <mergeCell ref="C17:D17"/>
    <mergeCell ref="F17:G17"/>
    <mergeCell ref="A18:B18"/>
    <mergeCell ref="C18:D18"/>
    <mergeCell ref="F18:G18"/>
    <mergeCell ref="A19:B19"/>
    <mergeCell ref="C19:D19"/>
    <mergeCell ref="F19:G19"/>
    <mergeCell ref="A20:B20"/>
    <mergeCell ref="C20:D20"/>
    <mergeCell ref="F20:G20"/>
    <mergeCell ref="A21:B21"/>
    <mergeCell ref="C21:D21"/>
    <mergeCell ref="F21:G21"/>
    <mergeCell ref="A22:B22"/>
    <mergeCell ref="C22:D22"/>
    <mergeCell ref="F22:G22"/>
    <mergeCell ref="A23:G23"/>
    <mergeCell ref="A24:B24"/>
    <mergeCell ref="C24:D24"/>
    <mergeCell ref="F24:G24"/>
    <mergeCell ref="A26:G26"/>
  </mergeCells>
  <dataValidations count="1">
    <dataValidation type="decimal" allowBlank="1" sqref="C7:D14" xr:uid="{00000000-0002-0000-1200-000000000000}">
      <formula1>M36_PLI_MIN</formula1>
      <formula2>pli_max</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F55"/>
  <sheetViews>
    <sheetView showGridLines="0" zoomScaleNormal="100" workbookViewId="0">
      <pane ySplit="5" topLeftCell="A6" activePane="bottomLeft" state="frozen"/>
      <selection pane="bottomLeft" sqref="A1:F1"/>
    </sheetView>
  </sheetViews>
  <sheetFormatPr baseColWidth="10" defaultColWidth="8.7109375" defaultRowHeight="15"/>
  <cols>
    <col min="1" max="1" width="42.28515625" style="1" customWidth="1"/>
    <col min="2" max="2" width="22.140625" style="1" customWidth="1"/>
    <col min="3" max="3" width="17.42578125" style="1" customWidth="1"/>
    <col min="4" max="4" width="52.7109375" style="1" customWidth="1"/>
    <col min="6" max="6" width="17.28515625" style="1" customWidth="1"/>
  </cols>
  <sheetData>
    <row r="1" spans="1:6" ht="25.5" customHeight="1">
      <c r="A1" s="385" t="s">
        <v>447</v>
      </c>
      <c r="B1" s="385"/>
      <c r="C1" s="385"/>
      <c r="D1" s="385"/>
      <c r="E1" s="385"/>
      <c r="F1" s="385"/>
    </row>
    <row r="2" spans="1:6" ht="24.75" customHeight="1">
      <c r="A2" s="386" t="s">
        <v>548</v>
      </c>
      <c r="B2" s="386"/>
      <c r="C2" s="386"/>
      <c r="D2" s="386"/>
      <c r="E2" s="386"/>
      <c r="F2" s="386"/>
    </row>
    <row r="3" spans="1:6" ht="18" customHeight="1">
      <c r="A3" s="59" t="str">
        <f>HYPERLINK("#M36_DATOS!A1","◀ DATOS")</f>
        <v>◀ DATOS</v>
      </c>
      <c r="B3" s="380" t="str">
        <f>HYPERLINK("#M36_PLIEGUES!A1", "◀ PLIEGUES")</f>
        <v>◀ PLIEGUES</v>
      </c>
      <c r="C3" s="380"/>
      <c r="D3" s="61" t="str">
        <f>HYPERLINK("#M36_RESULTADOS!A1","▶ RESULTADOS")</f>
        <v>▶ RESULTADOS</v>
      </c>
      <c r="E3" s="366" t="str">
        <f>HYPERLINK("#M36_FUENTES!A1","▶  FUENTES")</f>
        <v>▶  FUENTES</v>
      </c>
      <c r="F3" s="366"/>
    </row>
    <row r="4" spans="1:6" ht="27.75" customHeight="1">
      <c r="A4" s="367" t="s">
        <v>549</v>
      </c>
      <c r="B4" s="367"/>
      <c r="C4" s="367"/>
      <c r="D4" s="367"/>
      <c r="E4" s="367"/>
      <c r="F4" s="367"/>
    </row>
    <row r="5" spans="1:6">
      <c r="A5" s="22"/>
      <c r="B5" s="22"/>
      <c r="C5" s="22"/>
      <c r="D5" s="22"/>
      <c r="E5" s="2"/>
      <c r="F5" s="22"/>
    </row>
    <row r="6" spans="1:6" ht="15" customHeight="1">
      <c r="A6" s="76" t="s">
        <v>550</v>
      </c>
      <c r="B6" s="77"/>
      <c r="C6" s="77"/>
      <c r="D6" s="77"/>
      <c r="E6" s="2"/>
      <c r="F6" s="22"/>
    </row>
    <row r="7" spans="1:6" ht="15" customHeight="1">
      <c r="A7" s="78" t="s">
        <v>551</v>
      </c>
      <c r="B7" s="78" t="s">
        <v>16</v>
      </c>
      <c r="C7" s="78" t="s">
        <v>43</v>
      </c>
      <c r="D7" s="78" t="s">
        <v>552</v>
      </c>
      <c r="E7" s="2"/>
      <c r="F7" s="22"/>
    </row>
    <row r="8" spans="1:6" ht="28.5" customHeight="1">
      <c r="A8" s="72" t="s">
        <v>553</v>
      </c>
      <c r="B8" s="79">
        <f>IF(ISNUMBER(M36_in_Est),M36_in_Est/100,"ND: estatura")</f>
        <v>1.76</v>
      </c>
      <c r="C8" s="71" t="s">
        <v>554</v>
      </c>
      <c r="D8" s="80" t="s">
        <v>555</v>
      </c>
      <c r="E8" s="2"/>
      <c r="F8" s="22"/>
    </row>
    <row r="9" spans="1:6" ht="28.5" customHeight="1">
      <c r="A9" s="72" t="s">
        <v>67</v>
      </c>
      <c r="B9" s="73">
        <f>IF(AND(ISNUMBER(M36_in_Peso),ISNUMBER(M36_in_Est),M36_in_Est&gt;0),M36_in_Peso/(M36_in_Est/100)^2,"ND")</f>
        <v>25.342200413223143</v>
      </c>
      <c r="C9" s="71" t="s">
        <v>556</v>
      </c>
      <c r="D9" s="80" t="s">
        <v>557</v>
      </c>
      <c r="E9" s="2"/>
      <c r="F9" s="22"/>
    </row>
    <row r="10" spans="1:6" ht="33.75" customHeight="1">
      <c r="A10" s="72" t="s">
        <v>558</v>
      </c>
      <c r="B10" s="74">
        <f>IF(AND(ISNUMBER(M36_p_Pect),ISNUMBER(M36_p_Axil),ISNUMBER(M36_p_Tri),ISNUMBER(M36_p_Sub),ISNUMBER(M36_p_Abd),ISNUMBER(M36_p_Supra),ISNUMBER(M36_p_Muslo)),M36_p_Pect+M36_p_Axil+M36_p_Tri+M36_p_Sub+M36_p_Abd+M36_p_Supra+M36_p_Muslo,"ND: faltan sitios")</f>
        <v>92</v>
      </c>
      <c r="C10" s="71" t="s">
        <v>47</v>
      </c>
      <c r="D10" s="80" t="s">
        <v>559</v>
      </c>
      <c r="E10" s="2"/>
      <c r="F10" s="22"/>
    </row>
    <row r="11" spans="1:6" ht="27" customHeight="1">
      <c r="A11" s="72" t="s">
        <v>560</v>
      </c>
      <c r="B11" s="74">
        <f>IF(M36_in_Sexo="Hombre",IF(AND(ISNUMBER(M36_p_Pect),ISNUMBER(M36_p_Abd),ISNUMBER(M36_p_Muslo)),M36_p_Pect+M36_p_Abd+M36_p_Muslo,"ND: faltan sitios"),IF(AND(ISNUMBER(M36_p_Tri),ISNUMBER(M36_p_Supra),ISNUMBER(M36_p_Muslo)),M36_p_Tri+M36_p_Supra+M36_p_Muslo,"ND: faltan sitios"))</f>
        <v>40</v>
      </c>
      <c r="C11" s="71" t="s">
        <v>47</v>
      </c>
      <c r="D11" s="80" t="s">
        <v>561</v>
      </c>
      <c r="E11" s="2"/>
      <c r="F11" s="22"/>
    </row>
    <row r="12" spans="1:6" ht="24.75" customHeight="1">
      <c r="A12" s="72" t="s">
        <v>562</v>
      </c>
      <c r="B12" s="74">
        <f>IF(AND(ISNUMBER(M36_p_Bic),ISNUMBER(M36_p_Tri),ISNUMBER(M36_p_Sub),ISNUMBER(M36_p_Supra)),M36_p_Bic+M36_p_Tri+M36_p_Sub+M36_p_Supra,"ND: faltan sitios")</f>
        <v>47</v>
      </c>
      <c r="C12" s="71" t="s">
        <v>47</v>
      </c>
      <c r="D12" s="80" t="s">
        <v>563</v>
      </c>
      <c r="E12" s="2"/>
      <c r="F12" s="22"/>
    </row>
    <row r="13" spans="1:6" ht="15" customHeight="1">
      <c r="A13" s="72" t="s">
        <v>564</v>
      </c>
      <c r="B13" s="74">
        <f>IF(AND(ISNUMBER(M36_p_Tri),ISNUMBER(M36_p_Sub),ISNUMBER(M36_p_Supra),ISNUMBER(M36_p_Abd)),M36_p_Tri+M36_p_Sub+M36_p_Supra+M36_p_Abd,"ND: faltan sitios")</f>
        <v>62</v>
      </c>
      <c r="C13" s="71" t="s">
        <v>47</v>
      </c>
      <c r="D13" s="80" t="s">
        <v>565</v>
      </c>
      <c r="E13" s="2"/>
      <c r="F13" s="22"/>
    </row>
    <row r="14" spans="1:6" ht="15" customHeight="1">
      <c r="A14" s="76" t="s">
        <v>566</v>
      </c>
      <c r="B14" s="77"/>
      <c r="C14" s="77"/>
      <c r="D14" s="77"/>
      <c r="E14" s="2"/>
      <c r="F14" s="22"/>
    </row>
    <row r="15" spans="1:6" ht="15" customHeight="1">
      <c r="A15" s="78" t="s">
        <v>551</v>
      </c>
      <c r="B15" s="78" t="s">
        <v>16</v>
      </c>
      <c r="C15" s="78" t="s">
        <v>43</v>
      </c>
      <c r="D15" s="78" t="s">
        <v>552</v>
      </c>
      <c r="E15" s="2"/>
      <c r="F15" s="22"/>
    </row>
    <row r="16" spans="1:6" ht="15" customHeight="1">
      <c r="A16" s="72" t="s">
        <v>567</v>
      </c>
      <c r="B16" s="81" t="str">
        <f>IF(AND(COUNTIF(M36_SEXOS,M36_in_Sexo)&gt;0,ISNUMBER(M36_in_Edad),M36_in_Edad&gt;=M36_EDAD_MIN,M36_in_Edad&lt;=M36_EDAD_MAX,ISNUMBER(M36_in_Peso),M36_in_Peso&gt;=M36_PESO_MIN,M36_in_Peso&lt;=M36_PESO_MAX,ISNUMBER(M36_in_Est),M36_in_Est&gt;=M36_EST_MIN,M36_in_Est&lt;=M36_EST_MAX),"SÍ","NO")</f>
        <v>SÍ</v>
      </c>
      <c r="C16" s="71" t="s">
        <v>151</v>
      </c>
      <c r="D16" s="80" t="s">
        <v>568</v>
      </c>
      <c r="E16" s="2"/>
      <c r="F16" s="22"/>
    </row>
    <row r="17" spans="1:6" ht="15" customHeight="1">
      <c r="A17" s="76" t="s">
        <v>569</v>
      </c>
      <c r="B17" s="77"/>
      <c r="C17" s="77"/>
      <c r="D17" s="77"/>
      <c r="E17" s="2"/>
      <c r="F17" s="22"/>
    </row>
    <row r="18" spans="1:6" ht="15" customHeight="1">
      <c r="A18" s="82" t="s">
        <v>551</v>
      </c>
      <c r="B18" s="82" t="s">
        <v>16</v>
      </c>
      <c r="C18" s="82" t="s">
        <v>43</v>
      </c>
      <c r="D18" s="82" t="s">
        <v>552</v>
      </c>
      <c r="E18" s="2"/>
      <c r="F18" s="22"/>
    </row>
    <row r="19" spans="1:6" ht="15" customHeight="1">
      <c r="A19" s="83" t="s">
        <v>570</v>
      </c>
      <c r="B19" s="84">
        <f>IF(AND(M36_c_Gate="SÍ",ISNUMBER(M36_c_Sum7)),IF(M36_in_Sexo="Hombre",M36_JP7_HA-M36_JP7_HB1*M36_c_Sum7+M36_JP7_HB2*M36_c_Sum7^2-M36_JP7_HB3*M36_in_Edad,M36_JP7_MA-M36_JP7_MB1*M36_c_Sum7+M36_JP7_MB2*M36_c_Sum7^2-M36_JP7_MB3*M36_in_Edad),"ND")</f>
        <v>1.0668352800000001</v>
      </c>
      <c r="C19" s="64" t="s">
        <v>571</v>
      </c>
      <c r="D19" s="80" t="s">
        <v>572</v>
      </c>
      <c r="E19" s="2"/>
      <c r="F19" s="22"/>
    </row>
    <row r="20" spans="1:6" ht="15" customHeight="1">
      <c r="A20" s="83" t="s">
        <v>573</v>
      </c>
      <c r="B20" s="85">
        <f>IF(ISNUMBER(M36_c_BDjp7),IF(M36_in_Conv="Brožek (1963)",(M36_BRO_A/M36_c_BDjp7-M36_BRO_B)/100,(M36_SIRI_A/M36_c_BDjp7-M36_SIRI_B)/100),"ND")</f>
        <v>0.13989154914336893</v>
      </c>
      <c r="C20" s="64" t="s">
        <v>375</v>
      </c>
      <c r="D20" s="80" t="s">
        <v>574</v>
      </c>
      <c r="E20" s="2"/>
      <c r="F20" s="22"/>
    </row>
    <row r="21" spans="1:6" ht="15" customHeight="1">
      <c r="A21" s="83" t="s">
        <v>575</v>
      </c>
      <c r="B21" s="84">
        <f>IF(AND(M36_c_Gate="SÍ",ISNUMBER(M36_c_SumJP3)),IF(M36_in_Sexo="Hombre",M36_JP3_HA-M36_JP3_HB1*M36_c_SumJP3+M36_JP3_HB2*M36_c_SumJP3^2-M36_JP3_HB3*M36_in_Edad,M36_JP3_MA-M36_JP3_MB1*M36_c_SumJP3+M36_JP3_MB2*M36_c_SumJP3^2-M36_JP3_MB3*M36_in_Edad),"ND")</f>
        <v>1.0701203999999997</v>
      </c>
      <c r="C21" s="64" t="s">
        <v>571</v>
      </c>
      <c r="D21" s="80" t="s">
        <v>572</v>
      </c>
      <c r="E21" s="2"/>
      <c r="F21" s="22"/>
    </row>
    <row r="22" spans="1:6" ht="15" customHeight="1">
      <c r="A22" s="83" t="s">
        <v>576</v>
      </c>
      <c r="B22" s="85">
        <f>IF(ISNUMBER(M36_c_BDjp3),IF(M36_in_Conv="Brožek (1963)",(M36_BRO_A/M36_c_BDjp3-M36_BRO_B)/100,(M36_SIRI_A/M36_c_BDjp3-M36_SIRI_B)/100),"ND")</f>
        <v>0.12564773085346417</v>
      </c>
      <c r="C22" s="64" t="s">
        <v>375</v>
      </c>
      <c r="D22" s="80" t="s">
        <v>574</v>
      </c>
      <c r="E22" s="2"/>
      <c r="F22" s="22"/>
    </row>
    <row r="23" spans="1:6" ht="15" customHeight="1">
      <c r="A23" s="83" t="s">
        <v>577</v>
      </c>
      <c r="B23" s="86">
        <f>IF(AND(M36_c_Gate="SÍ",ISNUMBER(M36_c_SumDW)),SUMPRODUCT((M36_CONFIG!$A$72:$A$81=M36_in_Sexo)*(M36_CONFIG!$B$72:$B$81&lt;=M36_in_Edad)*(M36_CONFIG!$C$72:$C$81&gt;M36_in_Edad)*M36_CONFIG!$D$72:$D$81),"ND")</f>
        <v>1.1422000000000001</v>
      </c>
      <c r="C23" s="64" t="s">
        <v>151</v>
      </c>
      <c r="D23" s="80" t="s">
        <v>578</v>
      </c>
      <c r="E23" s="2"/>
      <c r="F23" s="22"/>
    </row>
    <row r="24" spans="1:6" ht="15" customHeight="1">
      <c r="A24" s="83" t="s">
        <v>579</v>
      </c>
      <c r="B24" s="86">
        <f>IF(AND(M36_c_Gate="SÍ",ISNUMBER(M36_c_SumDW)),SUMPRODUCT((M36_CONFIG!$A$72:$A$81=M36_in_Sexo)*(M36_CONFIG!$B$72:$B$81&lt;=M36_in_Edad)*(M36_CONFIG!$C$72:$C$81&gt;M36_in_Edad)*M36_CONFIG!$E$72:$E$81),"ND")</f>
        <v>5.4399999999999997E-2</v>
      </c>
      <c r="C24" s="64" t="s">
        <v>151</v>
      </c>
      <c r="D24" s="80" t="s">
        <v>580</v>
      </c>
      <c r="E24" s="2"/>
      <c r="F24" s="22"/>
    </row>
    <row r="25" spans="1:6" ht="15" customHeight="1">
      <c r="A25" s="83" t="s">
        <v>581</v>
      </c>
      <c r="B25" s="84">
        <f>IF(AND(ISNUMBER(M36_c_DWc),ISNUMBER(M36_c_DWm),ISNUMBER(M36_c_SumDW)),M36_c_DWc-M36_c_DWm*LOG10(M36_c_SumDW),"ND")</f>
        <v>1.051237876528297</v>
      </c>
      <c r="C25" s="64" t="s">
        <v>571</v>
      </c>
      <c r="D25" s="80" t="s">
        <v>582</v>
      </c>
      <c r="E25" s="2"/>
      <c r="F25" s="22"/>
    </row>
    <row r="26" spans="1:6" ht="15" customHeight="1">
      <c r="A26" s="83" t="s">
        <v>583</v>
      </c>
      <c r="B26" s="85">
        <f>IF(ISNUMBER(M36_c_BDdw),IF(M36_in_Conv="Brožek (1963)",(M36_BRO_A/M36_c_BDdw-M36_BRO_B)/100,(M36_SIRI_A/M36_c_BDdw-M36_SIRI_B)/100),"ND")</f>
        <v>0.20873444585856021</v>
      </c>
      <c r="C26" s="64" t="s">
        <v>375</v>
      </c>
      <c r="D26" s="80" t="s">
        <v>574</v>
      </c>
      <c r="E26" s="2"/>
      <c r="F26" s="22"/>
    </row>
    <row r="27" spans="1:6" ht="15" customHeight="1">
      <c r="A27" s="83" t="s">
        <v>584</v>
      </c>
      <c r="B27" s="85">
        <f>IF(AND(M36_c_Gate="SÍ",ISNUMBER(M36_c_SumFaulk)),(M36_FAULK_A*M36_c_SumFaulk+M36_FAULK_B)/100,"ND")</f>
        <v>0.15269000000000002</v>
      </c>
      <c r="C27" s="64" t="s">
        <v>375</v>
      </c>
      <c r="D27" s="80" t="s">
        <v>585</v>
      </c>
      <c r="E27" s="2"/>
      <c r="F27" s="22"/>
    </row>
    <row r="28" spans="1:6" ht="15" customHeight="1">
      <c r="A28" s="76" t="s">
        <v>586</v>
      </c>
      <c r="B28" s="77"/>
      <c r="C28" s="77"/>
      <c r="D28" s="77"/>
      <c r="E28" s="2"/>
      <c r="F28" s="22"/>
    </row>
    <row r="29" spans="1:6" ht="15" customHeight="1">
      <c r="A29" s="87" t="s">
        <v>551</v>
      </c>
      <c r="B29" s="87" t="s">
        <v>16</v>
      </c>
      <c r="C29" s="87" t="s">
        <v>43</v>
      </c>
      <c r="D29" s="87" t="s">
        <v>552</v>
      </c>
      <c r="E29" s="2"/>
      <c r="F29" s="22"/>
    </row>
    <row r="30" spans="1:6" ht="15" customHeight="1">
      <c r="A30" s="83" t="s">
        <v>587</v>
      </c>
      <c r="B30" s="88">
        <f>CHOOSE(MATCH(M36_in_Ecu,M36_LISTA_ECU,0),M36_c_GrJP7,M36_c_GrJP3,M36_c_GrDW,M36_c_GrFaulk)</f>
        <v>0.13989154914336893</v>
      </c>
      <c r="C30" s="64" t="s">
        <v>375</v>
      </c>
      <c r="D30" s="80" t="s">
        <v>588</v>
      </c>
      <c r="E30" s="2"/>
      <c r="F30" s="22"/>
    </row>
    <row r="31" spans="1:6" ht="15" customHeight="1">
      <c r="A31" s="83" t="s">
        <v>589</v>
      </c>
      <c r="B31" s="89">
        <f>COUNT(M36_c_GrJP7,M36_c_GrJP3,M36_c_GrDW,M36_c_GrFaulk)</f>
        <v>4</v>
      </c>
      <c r="C31" s="64" t="s">
        <v>151</v>
      </c>
      <c r="D31" s="80" t="s">
        <v>590</v>
      </c>
      <c r="E31" s="2"/>
      <c r="F31" s="22"/>
    </row>
    <row r="32" spans="1:6" ht="15" customHeight="1">
      <c r="A32" s="83" t="s">
        <v>591</v>
      </c>
      <c r="B32" s="85">
        <f>IF(M36_c_n&gt;0,AVERAGE(M36_c_GrJP7,M36_c_GrJP3,M36_c_GrDW,M36_c_GrFaulk),"ND")</f>
        <v>0.15674093146384835</v>
      </c>
      <c r="C32" s="64" t="s">
        <v>375</v>
      </c>
      <c r="D32" s="80" t="s">
        <v>592</v>
      </c>
      <c r="E32" s="2"/>
      <c r="F32" s="22"/>
    </row>
    <row r="33" spans="1:6" ht="15" customHeight="1">
      <c r="A33" s="83" t="s">
        <v>593</v>
      </c>
      <c r="B33" s="85">
        <f>IF(M36_c_n&gt;0,MIN(M36_c_GrJP7,M36_c_GrJP3,M36_c_GrDW,M36_c_GrFaulk),"ND")</f>
        <v>0.12564773085346417</v>
      </c>
      <c r="C33" s="64" t="s">
        <v>375</v>
      </c>
      <c r="D33" s="80"/>
      <c r="E33" s="2"/>
      <c r="F33" s="22"/>
    </row>
    <row r="34" spans="1:6" ht="15" customHeight="1">
      <c r="A34" s="83" t="s">
        <v>594</v>
      </c>
      <c r="B34" s="85">
        <f>IF(M36_c_n&gt;0,MAX(M36_c_GrJP7,M36_c_GrJP3,M36_c_GrDW,M36_c_GrFaulk),"ND")</f>
        <v>0.20873444585856021</v>
      </c>
      <c r="C34" s="64" t="s">
        <v>375</v>
      </c>
      <c r="D34" s="80"/>
      <c r="E34" s="2"/>
      <c r="F34" s="22"/>
    </row>
    <row r="35" spans="1:6" ht="15" customHeight="1">
      <c r="A35" s="83" t="s">
        <v>595</v>
      </c>
      <c r="B35" s="85">
        <f>IF(AND(ISNUMBER(M36_c_min),ISNUMBER(M36_c_max)),M36_c_max-M36_c_min,"ND")</f>
        <v>8.308671500509604E-2</v>
      </c>
      <c r="C35" s="64" t="s">
        <v>596</v>
      </c>
      <c r="D35" s="80" t="s">
        <v>597</v>
      </c>
      <c r="E35" s="2"/>
      <c r="F35" s="22"/>
    </row>
    <row r="36" spans="1:6" ht="15" customHeight="1">
      <c r="A36" s="83" t="s">
        <v>598</v>
      </c>
      <c r="B36" s="85">
        <f>IF(AND(ISNUMBER(M36_c_rango),ISNUMBER(M36_c_prom),M36_c_prom&gt;0),M36_c_rango/M36_c_prom,"ND")</f>
        <v>0.53008945544169905</v>
      </c>
      <c r="C36" s="64" t="s">
        <v>151</v>
      </c>
      <c r="D36" s="80" t="s">
        <v>599</v>
      </c>
      <c r="E36" s="2"/>
      <c r="F36" s="22"/>
    </row>
    <row r="37" spans="1:6" ht="25.5" customHeight="1">
      <c r="A37" s="83" t="s">
        <v>600</v>
      </c>
      <c r="B37" s="90" t="str">
        <f>IF(ISNUMBER(M36_c_rango),IF(M36_c_rango&lt;=M36_DISP_MAX,"OK: las ecuaciones concuerdan dentro del umbral.","ATENCIÓN: las ecuaciones de pliegues no son intercambiables; elija UNA y sígala en el tiempo."),"ND")</f>
        <v>ATENCIÓN: las ecuaciones de pliegues no son intercambiables; elija UNA y sígala en el tiempo.</v>
      </c>
      <c r="C37" s="64" t="s">
        <v>151</v>
      </c>
      <c r="D37" s="80" t="s">
        <v>601</v>
      </c>
      <c r="E37" s="2"/>
      <c r="F37" s="22"/>
    </row>
    <row r="38" spans="1:6" ht="15" customHeight="1">
      <c r="A38" s="76" t="s">
        <v>602</v>
      </c>
      <c r="B38" s="77"/>
      <c r="C38" s="77"/>
      <c r="D38" s="77"/>
      <c r="E38" s="2"/>
      <c r="F38" s="22"/>
    </row>
    <row r="39" spans="1:6" ht="15" customHeight="1">
      <c r="A39" s="87" t="s">
        <v>551</v>
      </c>
      <c r="B39" s="87" t="s">
        <v>16</v>
      </c>
      <c r="C39" s="87" t="s">
        <v>43</v>
      </c>
      <c r="D39" s="87" t="s">
        <v>552</v>
      </c>
      <c r="E39" s="2"/>
      <c r="F39" s="22"/>
    </row>
    <row r="40" spans="1:6" ht="15" customHeight="1">
      <c r="A40" s="83" t="s">
        <v>603</v>
      </c>
      <c r="B40" s="91">
        <f>IF(AND(ISNUMBER(M36_c_GrRep),ISNUMBER(M36_in_Peso)),M36_c_GrRep*M36_in_Peso,"ND")</f>
        <v>10.98148660775446</v>
      </c>
      <c r="C40" s="64" t="s">
        <v>497</v>
      </c>
      <c r="D40" s="80" t="s">
        <v>604</v>
      </c>
      <c r="E40" s="2"/>
      <c r="F40" s="22"/>
    </row>
    <row r="41" spans="1:6" ht="15" customHeight="1">
      <c r="A41" s="83" t="s">
        <v>605</v>
      </c>
      <c r="B41" s="91">
        <f>IF(AND(ISNUMBER(M36_c_MG),ISNUMBER(M36_in_Peso)),M36_in_Peso-M36_c_MG,"ND")</f>
        <v>67.518513392245538</v>
      </c>
      <c r="C41" s="64" t="s">
        <v>497</v>
      </c>
      <c r="D41" s="80" t="s">
        <v>606</v>
      </c>
      <c r="E41" s="2"/>
      <c r="F41" s="22"/>
    </row>
    <row r="42" spans="1:6" ht="15" customHeight="1">
      <c r="A42" s="83" t="s">
        <v>607</v>
      </c>
      <c r="B42" s="91">
        <f>IF(AND(ISNUMBER(M36_c_MG),ISNUMBER(M36_c_TallaM),M36_c_TallaM&gt;0),M36_c_MG/M36_c_TallaM^2,"ND")</f>
        <v>3.5451596745075094</v>
      </c>
      <c r="C42" s="64" t="s">
        <v>556</v>
      </c>
      <c r="D42" s="80" t="s">
        <v>608</v>
      </c>
      <c r="E42" s="2"/>
      <c r="F42" s="22"/>
    </row>
    <row r="43" spans="1:6" ht="15" customHeight="1">
      <c r="A43" s="83" t="s">
        <v>609</v>
      </c>
      <c r="B43" s="91">
        <f>IF(AND(ISNUMBER(M36_c_MLG),ISNUMBER(M36_c_TallaM),M36_c_TallaM&gt;0),M36_c_MLG/M36_c_TallaM^2,"ND")</f>
        <v>21.79704073871563</v>
      </c>
      <c r="C43" s="64" t="s">
        <v>556</v>
      </c>
      <c r="D43" s="80" t="s">
        <v>610</v>
      </c>
      <c r="E43" s="2"/>
      <c r="F43" s="22"/>
    </row>
    <row r="44" spans="1:6" ht="15" customHeight="1">
      <c r="A44" s="76" t="s">
        <v>611</v>
      </c>
      <c r="B44" s="77"/>
      <c r="C44" s="77"/>
      <c r="D44" s="77"/>
      <c r="E44" s="2"/>
      <c r="F44" s="22"/>
    </row>
    <row r="45" spans="1:6" ht="15" customHeight="1">
      <c r="A45" s="87" t="s">
        <v>551</v>
      </c>
      <c r="B45" s="87" t="s">
        <v>16</v>
      </c>
      <c r="C45" s="87" t="s">
        <v>43</v>
      </c>
      <c r="D45" s="87" t="s">
        <v>552</v>
      </c>
      <c r="E45" s="2"/>
      <c r="F45" s="22"/>
    </row>
    <row r="46" spans="1:6" ht="15" customHeight="1">
      <c r="A46" s="83" t="s">
        <v>612</v>
      </c>
      <c r="B46" s="92" t="str">
        <f>IF(ISNUMBER(M36_c_GrRep),INDEX(M36_CONFIG!$B$85:$B$94,IF(M36_in_Sexo="Hombre",0,5)+MAX(1,SUMPRODUCT((M36_CONFIG!$A$85:$A$94=M36_in_Sexo)*(M36_CONFIG!$C$85:$C$94&lt;=M36_c_GrRep)))),"ND")</f>
        <v>Atlético</v>
      </c>
      <c r="C46" s="64" t="s">
        <v>151</v>
      </c>
      <c r="D46" s="80" t="s">
        <v>613</v>
      </c>
      <c r="E46" s="2"/>
      <c r="F46" s="22"/>
    </row>
    <row r="47" spans="1:6" ht="15" customHeight="1">
      <c r="A47" s="76" t="s">
        <v>614</v>
      </c>
      <c r="B47" s="77"/>
      <c r="C47" s="77"/>
      <c r="D47" s="77"/>
      <c r="E47" s="2"/>
      <c r="F47" s="22"/>
    </row>
    <row r="48" spans="1:6" ht="15" customHeight="1">
      <c r="A48" s="93" t="s">
        <v>551</v>
      </c>
      <c r="B48" s="384" t="s">
        <v>188</v>
      </c>
      <c r="C48" s="384"/>
      <c r="D48" s="384"/>
      <c r="E48" s="2"/>
      <c r="F48" s="22"/>
    </row>
    <row r="49" spans="1:6" ht="15" customHeight="1">
      <c r="A49" s="72" t="s">
        <v>615</v>
      </c>
      <c r="B49" s="382" t="str">
        <f>IF(M36_c_Gate="NO","Corrija los datos imposibles (sexo, edad, peso o estatura) antes de interpretar.","—")</f>
        <v>—</v>
      </c>
      <c r="C49" s="382"/>
      <c r="D49" s="382"/>
      <c r="E49" s="2"/>
      <c r="F49" s="22"/>
    </row>
    <row r="50" spans="1:6" ht="15" customHeight="1">
      <c r="A50" s="72" t="s">
        <v>616</v>
      </c>
      <c r="B50" s="382" t="str">
        <f>IF(ISNUMBER(M36_c_GrRep),"—","La ecuación elegida no tiene todos sus sitios; complete los pliegues o elija otra.")</f>
        <v>—</v>
      </c>
      <c r="C50" s="382"/>
      <c r="D50" s="382"/>
      <c r="E50" s="2"/>
      <c r="F50" s="22"/>
    </row>
    <row r="51" spans="1:6" ht="15" customHeight="1">
      <c r="A51" s="72" t="s">
        <v>617</v>
      </c>
      <c r="B51" s="382" t="str">
        <f>IF(AND(ISNUMBER(M36_c_rango),M36_c_rango&gt;M36_DISP_MAX),"Las cuatro ecuaciones discrepan más que el umbral: reporte UNA sola y monitoree la Σ de pliegues.","—")</f>
        <v>Las cuatro ecuaciones discrepan más que el umbral: reporte UNA sola y monitoree la Σ de pliegues.</v>
      </c>
      <c r="C51" s="382"/>
      <c r="D51" s="382"/>
      <c r="E51" s="2"/>
      <c r="F51" s="22"/>
    </row>
    <row r="52" spans="1:6" ht="15" customHeight="1">
      <c r="A52" s="72" t="s">
        <v>618</v>
      </c>
      <c r="B52" s="382" t="str">
        <f>IF(ISNUMBER(M36_a_TEMrel),IF(M36_a_TEMrel&gt;M36_TEM_ACC,"El error técnico de medición supera 7,5 %: repita las mediciones antes de interpretar.","—"),"Sin ETM: mida cada sitio dos veces.")</f>
        <v>—</v>
      </c>
      <c r="C52" s="382"/>
      <c r="D52" s="382"/>
      <c r="E52" s="2"/>
      <c r="F52" s="22"/>
    </row>
    <row r="53" spans="1:6" ht="15" customHeight="1">
      <c r="A53" s="72" t="s">
        <v>619</v>
      </c>
      <c r="B53" s="382" t="str">
        <f>IF(AND(ISNUMBER(M36_c_GrRep),OR(M36_c_GrRep&lt;M36_GRASA_MIN,M36_c_GrRep&gt;M36_GRASA_MAX)),"El % de grasa reportado está fuera del rango fisiológico plausible.","—")</f>
        <v>—</v>
      </c>
      <c r="C53" s="382"/>
      <c r="D53" s="382"/>
      <c r="E53" s="2"/>
      <c r="F53" s="22"/>
    </row>
    <row r="54" spans="1:6" ht="15" customHeight="1">
      <c r="A54" s="72" t="s">
        <v>620</v>
      </c>
      <c r="B54" s="382" t="str">
        <f>IF(OR(AND(ISNUMBER(M36_p_Pect),M36_p_Pect&gt;M36_PLI_MAX),AND(ISNUMBER(M36_p_Abd),M36_p_Abd&gt;M36_PLI_MAX),AND(ISNUMBER(M36_p_Muslo),M36_p_Muslo&gt;M36_PLI_MAX),AND(ISNUMBER(M36_p_Supra),M36_p_Supra&gt;M36_PLI_MAX)),"Algún pliegue supera el máximo del catálogo: verifique la medición.","—")</f>
        <v>—</v>
      </c>
      <c r="C54" s="382"/>
      <c r="D54" s="382"/>
      <c r="E54" s="2"/>
      <c r="F54" s="22"/>
    </row>
    <row r="55" spans="1:6" ht="23.25" customHeight="1">
      <c r="A55" s="72" t="s">
        <v>621</v>
      </c>
      <c r="B55" s="383" t="str">
        <f>"Exactitud matemática ≠ validación clínica. Los pliegues ESTIMAN; la referencia es DEXA o pesaje hidrostático."</f>
        <v>Exactitud matemática ≠ validación clínica. Los pliegues ESTIMAN; la referencia es DEXA o pesaje hidrostático.</v>
      </c>
      <c r="C55" s="383"/>
      <c r="D55" s="383"/>
      <c r="E55" s="2"/>
      <c r="F55" s="22"/>
    </row>
  </sheetData>
  <sheetProtection algorithmName="SHA-512" hashValue="1pWqo7Ivtsgy82S49n7K37y/9gbViOZW1Y9DxtysGx1Buk2xrqnj4/lK0JYoP4fiTjuwB8xp2+6Cogi4FREE8A==" saltValue="6j7EOGQCjwWideRRPNJBuA==" spinCount="100000" sheet="1" objects="1" scenarios="1"/>
  <mergeCells count="13">
    <mergeCell ref="A1:F1"/>
    <mergeCell ref="A2:F2"/>
    <mergeCell ref="B3:C3"/>
    <mergeCell ref="E3:F3"/>
    <mergeCell ref="A4:F4"/>
    <mergeCell ref="B53:D53"/>
    <mergeCell ref="B54:D54"/>
    <mergeCell ref="B55:D55"/>
    <mergeCell ref="B48:D48"/>
    <mergeCell ref="B49:D49"/>
    <mergeCell ref="B50:D50"/>
    <mergeCell ref="B51:D51"/>
    <mergeCell ref="B52:D52"/>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F64"/>
  <sheetViews>
    <sheetView showGridLines="0" zoomScaleNormal="100" workbookViewId="0"/>
  </sheetViews>
  <sheetFormatPr baseColWidth="10" defaultColWidth="8.7109375" defaultRowHeight="15"/>
  <cols>
    <col min="1" max="1" width="34" style="1" customWidth="1"/>
    <col min="2" max="2" width="22" style="1" customWidth="1"/>
    <col min="3" max="3" width="18" style="1" customWidth="1"/>
    <col min="4" max="4" width="20" style="1" customWidth="1"/>
    <col min="5" max="5" width="18" style="1" customWidth="1"/>
  </cols>
  <sheetData>
    <row r="1" spans="1:6" ht="25.5" customHeight="1">
      <c r="A1" s="57" t="s">
        <v>447</v>
      </c>
      <c r="B1" s="58"/>
      <c r="C1" s="58"/>
      <c r="D1" s="58"/>
      <c r="E1" s="58"/>
      <c r="F1" s="58"/>
    </row>
    <row r="2" spans="1:6" ht="21.75" customHeight="1">
      <c r="A2" s="365" t="s">
        <v>622</v>
      </c>
      <c r="B2" s="365"/>
      <c r="C2" s="365"/>
      <c r="D2" s="365"/>
      <c r="E2" s="365"/>
      <c r="F2" s="365"/>
    </row>
    <row r="3" spans="1:6" ht="22.5" customHeight="1">
      <c r="A3" s="59" t="str">
        <f>HYPERLINK("#M36_DATOS!A1","◀ DATOS")</f>
        <v>◀ DATOS</v>
      </c>
      <c r="B3" s="94" t="str">
        <f>HYPERLINK("#M36_PLIEGUES!A1", "◀ PLIEGUES")</f>
        <v>◀ PLIEGUES</v>
      </c>
      <c r="C3" s="398" t="str">
        <f>HYPERLINK("#M36_CALCULOS!A1","◀  CALCULOS")</f>
        <v>◀  CALCULOS</v>
      </c>
      <c r="D3" s="398"/>
      <c r="E3" s="366" t="str">
        <f>HYPERLINK("#M36_FUENTES!A1","▶  FUENTES")</f>
        <v>▶  FUENTES</v>
      </c>
      <c r="F3" s="366"/>
    </row>
    <row r="4" spans="1:6">
      <c r="A4" s="22"/>
      <c r="B4" s="22"/>
      <c r="C4" s="22"/>
      <c r="D4" s="22"/>
      <c r="E4" s="22"/>
      <c r="F4" s="2"/>
    </row>
    <row r="5" spans="1:6" ht="15" customHeight="1">
      <c r="A5" s="399" t="s">
        <v>623</v>
      </c>
      <c r="B5" s="399"/>
      <c r="C5" s="399"/>
      <c r="D5" s="399"/>
      <c r="E5" s="399"/>
      <c r="F5" s="399"/>
    </row>
    <row r="6" spans="1:6" ht="15" customHeight="1">
      <c r="A6" s="72" t="s">
        <v>624</v>
      </c>
      <c r="B6" s="396" t="str">
        <f>M36_in_ID</f>
        <v>NMX-2026-0028</v>
      </c>
      <c r="C6" s="396"/>
      <c r="D6" s="396"/>
      <c r="E6" s="396"/>
      <c r="F6" s="396"/>
    </row>
    <row r="7" spans="1:6" ht="15" customHeight="1">
      <c r="A7" s="72" t="s">
        <v>19</v>
      </c>
      <c r="B7" s="397">
        <f>M36_in_Fecha</f>
        <v>46236</v>
      </c>
      <c r="C7" s="397"/>
      <c r="D7" s="397"/>
      <c r="E7" s="397"/>
      <c r="F7" s="397"/>
    </row>
    <row r="8" spans="1:6" ht="15" customHeight="1">
      <c r="A8" s="72" t="s">
        <v>625</v>
      </c>
      <c r="B8" s="396" t="str">
        <f>M36_in_Pac</f>
        <v>PER-0007</v>
      </c>
      <c r="C8" s="396"/>
      <c r="D8" s="396"/>
      <c r="E8" s="396"/>
      <c r="F8" s="396"/>
    </row>
    <row r="9" spans="1:6" ht="15" customHeight="1">
      <c r="A9" s="72" t="s">
        <v>27</v>
      </c>
      <c r="B9" s="396" t="str">
        <f>M36_in_Eval</f>
        <v>EVAL-01</v>
      </c>
      <c r="C9" s="396"/>
      <c r="D9" s="396"/>
      <c r="E9" s="396"/>
      <c r="F9" s="396"/>
    </row>
    <row r="10" spans="1:6" ht="15" customHeight="1">
      <c r="A10" s="72" t="s">
        <v>626</v>
      </c>
      <c r="B10" s="396" t="str">
        <f>M36_in_Sexo&amp;" · "&amp;IF(ISNUMBER(M36_in_Edad),M36_in_Edad&amp;" años","(edad no válida)")</f>
        <v>Hombre · 34 años</v>
      </c>
      <c r="C10" s="396"/>
      <c r="D10" s="396"/>
      <c r="E10" s="396"/>
      <c r="F10" s="396"/>
    </row>
    <row r="11" spans="1:6" ht="15" customHeight="1">
      <c r="A11" s="72" t="s">
        <v>627</v>
      </c>
      <c r="B11" s="396" t="str">
        <f>IF(ISNUMBER(M36_in_Peso),ROUND(M36_in_Peso,1)&amp;" kg","(?)")&amp;" · "&amp;IF(ISNUMBER(M36_in_Est),ROUND(M36_in_Est,1)&amp;" cm","(?)")</f>
        <v>78,5 kg · 176 cm</v>
      </c>
      <c r="C11" s="396"/>
      <c r="D11" s="396"/>
      <c r="E11" s="396"/>
      <c r="F11" s="396"/>
    </row>
    <row r="12" spans="1:6" ht="15" customHeight="1">
      <c r="A12" s="72" t="s">
        <v>628</v>
      </c>
      <c r="B12" s="396" t="str">
        <f>M36_in_Ecu</f>
        <v>7 sitios · Jackson–Pollock</v>
      </c>
      <c r="C12" s="396"/>
      <c r="D12" s="396"/>
      <c r="E12" s="396"/>
      <c r="F12" s="396"/>
    </row>
    <row r="13" spans="1:6" ht="15" customHeight="1">
      <c r="A13" s="72" t="s">
        <v>629</v>
      </c>
      <c r="B13" s="396" t="str">
        <f>IF(M36_c_Gate="SÍ","HABILITADO","BLOQUEADO — corrija los datos imposibles")</f>
        <v>HABILITADO</v>
      </c>
      <c r="C13" s="396"/>
      <c r="D13" s="396"/>
      <c r="E13" s="396"/>
      <c r="F13" s="396"/>
    </row>
    <row r="14" spans="1:6">
      <c r="A14" s="22"/>
      <c r="B14" s="22"/>
      <c r="C14" s="22"/>
      <c r="D14" s="22"/>
      <c r="E14" s="22"/>
      <c r="F14" s="2"/>
    </row>
    <row r="15" spans="1:6" ht="15" customHeight="1">
      <c r="A15" s="76" t="s">
        <v>630</v>
      </c>
      <c r="B15" s="77"/>
      <c r="C15" s="77"/>
      <c r="D15" s="77"/>
      <c r="E15" s="77"/>
      <c r="F15" s="77"/>
    </row>
    <row r="16" spans="1:6" ht="15" customHeight="1">
      <c r="A16" s="83" t="s">
        <v>531</v>
      </c>
      <c r="B16" s="89">
        <f>M36_a_k</f>
        <v>8</v>
      </c>
      <c r="C16" s="389"/>
      <c r="D16" s="389"/>
      <c r="E16" s="389"/>
      <c r="F16" s="389"/>
    </row>
    <row r="17" spans="1:6" ht="15" customHeight="1">
      <c r="A17" s="83" t="s">
        <v>537</v>
      </c>
      <c r="B17" s="95">
        <f>M36_a_TEMabs</f>
        <v>0.8660254037844386</v>
      </c>
      <c r="C17" s="389" t="s">
        <v>47</v>
      </c>
      <c r="D17" s="389"/>
      <c r="E17" s="389"/>
      <c r="F17" s="389"/>
    </row>
    <row r="18" spans="1:6" ht="15" customHeight="1">
      <c r="A18" s="83" t="s">
        <v>631</v>
      </c>
      <c r="B18" s="85">
        <f>M36_a_TEMrel</f>
        <v>6.0245245480656601E-2</v>
      </c>
      <c r="C18" s="389"/>
      <c r="D18" s="389"/>
      <c r="E18" s="389"/>
      <c r="F18" s="389"/>
    </row>
    <row r="19" spans="1:6" ht="15" customHeight="1">
      <c r="A19" s="96" t="s">
        <v>543</v>
      </c>
      <c r="B19" s="97" t="str">
        <f>M36_a_TEMver</f>
        <v>Aceptable (5–7,5%)</v>
      </c>
      <c r="C19" s="389"/>
      <c r="D19" s="389"/>
      <c r="E19" s="389"/>
      <c r="F19" s="389"/>
    </row>
    <row r="20" spans="1:6" ht="15" customHeight="1">
      <c r="A20" s="96" t="s">
        <v>545</v>
      </c>
      <c r="B20" s="98">
        <f>M36_a_Sum8</f>
        <v>97</v>
      </c>
      <c r="C20" s="389" t="s">
        <v>47</v>
      </c>
      <c r="D20" s="389"/>
      <c r="E20" s="389"/>
      <c r="F20" s="389"/>
    </row>
    <row r="21" spans="1:6">
      <c r="A21" s="22"/>
      <c r="B21" s="22"/>
      <c r="C21" s="22"/>
      <c r="D21" s="22"/>
      <c r="E21" s="22"/>
      <c r="F21" s="2"/>
    </row>
    <row r="22" spans="1:6" ht="15" customHeight="1">
      <c r="A22" s="390" t="s">
        <v>632</v>
      </c>
      <c r="B22" s="390"/>
      <c r="C22" s="390"/>
      <c r="D22" s="390"/>
      <c r="E22" s="390"/>
      <c r="F22" s="390"/>
    </row>
    <row r="23" spans="1:6" ht="15" customHeight="1">
      <c r="A23" s="62" t="s">
        <v>633</v>
      </c>
      <c r="B23" s="62" t="s">
        <v>634</v>
      </c>
      <c r="C23" s="62" t="s">
        <v>635</v>
      </c>
      <c r="D23" s="395" t="s">
        <v>636</v>
      </c>
      <c r="E23" s="395"/>
      <c r="F23" s="395"/>
    </row>
    <row r="24" spans="1:6" ht="15" customHeight="1">
      <c r="A24" s="83" t="s">
        <v>504</v>
      </c>
      <c r="B24" s="85">
        <f>M36_c_GrJP7</f>
        <v>0.13989154914336893</v>
      </c>
      <c r="C24" s="64" t="str">
        <f>IF(ISNUMBER(M36_c_GrJP7),"Sí","No")</f>
        <v>Sí</v>
      </c>
      <c r="D24" s="394" t="s">
        <v>637</v>
      </c>
      <c r="E24" s="394"/>
      <c r="F24" s="394"/>
    </row>
    <row r="25" spans="1:6" ht="15" customHeight="1">
      <c r="A25" s="83" t="s">
        <v>638</v>
      </c>
      <c r="B25" s="85">
        <f>M36_c_GrJP3</f>
        <v>0.12564773085346417</v>
      </c>
      <c r="C25" s="64" t="str">
        <f>IF(ISNUMBER(M36_c_GrJP3),"Sí","No")</f>
        <v>Sí</v>
      </c>
      <c r="D25" s="394" t="s">
        <v>637</v>
      </c>
      <c r="E25" s="394"/>
      <c r="F25" s="394"/>
    </row>
    <row r="26" spans="1:6" ht="15" customHeight="1">
      <c r="A26" s="83" t="s">
        <v>639</v>
      </c>
      <c r="B26" s="85">
        <f>M36_c_GrDW</f>
        <v>0.20873444585856021</v>
      </c>
      <c r="C26" s="64" t="str">
        <f>IF(ISNUMBER(M36_c_GrDW),"Sí","No")</f>
        <v>Sí</v>
      </c>
      <c r="D26" s="394" t="s">
        <v>640</v>
      </c>
      <c r="E26" s="394"/>
      <c r="F26" s="394"/>
    </row>
    <row r="27" spans="1:6" ht="15" customHeight="1">
      <c r="A27" s="83" t="s">
        <v>641</v>
      </c>
      <c r="B27" s="85">
        <f>M36_c_GrFaulk</f>
        <v>0.15269000000000002</v>
      </c>
      <c r="C27" s="64" t="str">
        <f>IF(ISNUMBER(M36_c_GrFaulk),"Sí","No")</f>
        <v>Sí</v>
      </c>
      <c r="D27" s="394" t="s">
        <v>642</v>
      </c>
      <c r="E27" s="394"/>
      <c r="F27" s="394"/>
    </row>
    <row r="28" spans="1:6" ht="15" customHeight="1">
      <c r="A28" s="96" t="s">
        <v>643</v>
      </c>
      <c r="B28" s="99">
        <f>M36_c_GrRep</f>
        <v>0.13989154914336893</v>
      </c>
      <c r="C28" s="394" t="str">
        <f>M36_in_Ecu</f>
        <v>7 sitios · Jackson–Pollock</v>
      </c>
      <c r="D28" s="394"/>
      <c r="E28" s="394"/>
      <c r="F28" s="394"/>
    </row>
    <row r="29" spans="1:6">
      <c r="A29" s="22"/>
      <c r="B29" s="22"/>
      <c r="C29" s="22"/>
      <c r="D29" s="22"/>
      <c r="E29" s="22"/>
      <c r="F29" s="2"/>
    </row>
    <row r="30" spans="1:6" ht="15" customHeight="1">
      <c r="A30" s="390" t="s">
        <v>644</v>
      </c>
      <c r="B30" s="390"/>
      <c r="C30" s="390"/>
      <c r="D30" s="390"/>
      <c r="E30" s="390"/>
      <c r="F30" s="390"/>
    </row>
    <row r="31" spans="1:6" ht="15" customHeight="1">
      <c r="A31" s="63" t="s">
        <v>591</v>
      </c>
      <c r="B31" s="100">
        <f>M36_c_prom</f>
        <v>0.15674093146384835</v>
      </c>
      <c r="C31" s="391"/>
      <c r="D31" s="391"/>
      <c r="E31" s="391"/>
      <c r="F31" s="391"/>
    </row>
    <row r="32" spans="1:6" ht="15" customHeight="1">
      <c r="A32" s="63" t="s">
        <v>595</v>
      </c>
      <c r="B32" s="100">
        <f>M36_c_rango</f>
        <v>8.308671500509604E-2</v>
      </c>
      <c r="C32" s="391"/>
      <c r="D32" s="391"/>
      <c r="E32" s="391"/>
      <c r="F32" s="391"/>
    </row>
    <row r="33" spans="1:6" ht="15" customHeight="1">
      <c r="A33" s="101" t="s">
        <v>598</v>
      </c>
      <c r="B33" s="102">
        <f>M36_c_ampl</f>
        <v>0.53008945544169905</v>
      </c>
      <c r="C33" s="392"/>
      <c r="D33" s="392"/>
      <c r="E33" s="392"/>
      <c r="F33" s="392"/>
    </row>
    <row r="34" spans="1:6" ht="27.75" customHeight="1">
      <c r="A34" s="393" t="str">
        <f>M36_c_estado</f>
        <v>ATENCIÓN: las ecuaciones de pliegues no son intercambiables; elija UNA y sígala en el tiempo.</v>
      </c>
      <c r="B34" s="393"/>
      <c r="C34" s="393"/>
      <c r="D34" s="393"/>
      <c r="E34" s="393"/>
      <c r="F34" s="393"/>
    </row>
    <row r="35" spans="1:6">
      <c r="A35" s="22"/>
      <c r="B35" s="22"/>
      <c r="C35" s="22"/>
      <c r="D35" s="22"/>
      <c r="E35" s="22"/>
      <c r="F35" s="2"/>
    </row>
    <row r="36" spans="1:6" ht="15" customHeight="1">
      <c r="A36" s="390" t="s">
        <v>645</v>
      </c>
      <c r="B36" s="390"/>
      <c r="C36" s="390"/>
      <c r="D36" s="390"/>
      <c r="E36" s="390"/>
      <c r="F36" s="390"/>
    </row>
    <row r="37" spans="1:6" ht="15" customHeight="1">
      <c r="A37" s="83" t="s">
        <v>646</v>
      </c>
      <c r="B37" s="85">
        <f>M36_c_GrRep</f>
        <v>0.13989154914336893</v>
      </c>
      <c r="C37" s="389"/>
      <c r="D37" s="389"/>
      <c r="E37" s="389"/>
      <c r="F37" s="389"/>
    </row>
    <row r="38" spans="1:6" ht="15" customHeight="1">
      <c r="A38" s="83" t="s">
        <v>603</v>
      </c>
      <c r="B38" s="91">
        <f>M36_c_MG</f>
        <v>10.98148660775446</v>
      </c>
      <c r="C38" s="389" t="s">
        <v>497</v>
      </c>
      <c r="D38" s="389"/>
      <c r="E38" s="389"/>
      <c r="F38" s="389"/>
    </row>
    <row r="39" spans="1:6" ht="15" customHeight="1">
      <c r="A39" s="83" t="s">
        <v>605</v>
      </c>
      <c r="B39" s="91">
        <f>M36_c_MLG</f>
        <v>67.518513392245538</v>
      </c>
      <c r="C39" s="389" t="s">
        <v>497</v>
      </c>
      <c r="D39" s="389"/>
      <c r="E39" s="389"/>
      <c r="F39" s="389"/>
    </row>
    <row r="40" spans="1:6" ht="15" customHeight="1">
      <c r="A40" s="83" t="s">
        <v>607</v>
      </c>
      <c r="B40" s="91">
        <f>M36_c_IMG</f>
        <v>3.5451596745075094</v>
      </c>
      <c r="C40" s="389" t="s">
        <v>556</v>
      </c>
      <c r="D40" s="389"/>
      <c r="E40" s="389"/>
      <c r="F40" s="389"/>
    </row>
    <row r="41" spans="1:6" ht="15" customHeight="1">
      <c r="A41" s="83" t="s">
        <v>609</v>
      </c>
      <c r="B41" s="91">
        <f>M36_c_IMLG</f>
        <v>21.79704073871563</v>
      </c>
      <c r="C41" s="389" t="s">
        <v>556</v>
      </c>
      <c r="D41" s="389"/>
      <c r="E41" s="389"/>
      <c r="F41" s="389"/>
    </row>
    <row r="42" spans="1:6" ht="15" customHeight="1">
      <c r="A42" s="83" t="s">
        <v>647</v>
      </c>
      <c r="B42" s="92" t="str">
        <f>M36_c_ClaseGrasa</f>
        <v>Atlético</v>
      </c>
      <c r="C42" s="389"/>
      <c r="D42" s="389"/>
      <c r="E42" s="389"/>
      <c r="F42" s="389"/>
    </row>
    <row r="43" spans="1:6">
      <c r="A43" s="22"/>
      <c r="B43" s="22"/>
      <c r="C43" s="22"/>
      <c r="D43" s="22"/>
      <c r="E43" s="22"/>
      <c r="F43" s="2"/>
    </row>
    <row r="44" spans="1:6" ht="15" customHeight="1">
      <c r="A44" s="390" t="s">
        <v>648</v>
      </c>
      <c r="B44" s="390"/>
      <c r="C44" s="390"/>
      <c r="D44" s="390"/>
      <c r="E44" s="390"/>
      <c r="F44" s="390"/>
    </row>
    <row r="45" spans="1:6" ht="15" customHeight="1">
      <c r="A45" s="78" t="s">
        <v>633</v>
      </c>
      <c r="B45" s="78" t="s">
        <v>634</v>
      </c>
      <c r="C45" s="22"/>
      <c r="D45" s="22"/>
      <c r="E45" s="22"/>
      <c r="F45" s="2"/>
    </row>
    <row r="46" spans="1:6" ht="15" customHeight="1">
      <c r="A46" s="72" t="s">
        <v>649</v>
      </c>
      <c r="B46" s="103">
        <f>IF(ISNUMBER(M36_c_GrJP7),M36_c_GrJP7,0)</f>
        <v>0.13989154914336893</v>
      </c>
      <c r="C46" s="22"/>
      <c r="D46" s="22"/>
      <c r="E46" s="22"/>
      <c r="F46" s="2"/>
    </row>
    <row r="47" spans="1:6" ht="15" customHeight="1">
      <c r="A47" s="72" t="s">
        <v>650</v>
      </c>
      <c r="B47" s="103">
        <f>IF(ISNUMBER(M36_c_GrJP3),M36_c_GrJP3,0)</f>
        <v>0.12564773085346417</v>
      </c>
      <c r="C47" s="22"/>
      <c r="D47" s="22"/>
      <c r="E47" s="22"/>
      <c r="F47" s="2"/>
    </row>
    <row r="48" spans="1:6" ht="15" customHeight="1">
      <c r="A48" s="72" t="s">
        <v>651</v>
      </c>
      <c r="B48" s="103">
        <f>IF(ISNUMBER(M36_c_GrDW),M36_c_GrDW,0)</f>
        <v>0.20873444585856021</v>
      </c>
      <c r="C48" s="22"/>
      <c r="D48" s="22"/>
      <c r="E48" s="22"/>
      <c r="F48" s="2"/>
    </row>
    <row r="49" spans="1:6" ht="15" customHeight="1">
      <c r="A49" s="72" t="s">
        <v>652</v>
      </c>
      <c r="B49" s="103">
        <f>IF(ISNUMBER(M36_c_GrFaulk),M36_c_GrFaulk,0)</f>
        <v>0.15269000000000002</v>
      </c>
      <c r="C49" s="22"/>
      <c r="D49" s="22"/>
      <c r="E49" s="22"/>
      <c r="F49" s="2"/>
    </row>
    <row r="50" spans="1:6">
      <c r="A50" s="22"/>
      <c r="B50" s="22"/>
      <c r="C50" s="22"/>
      <c r="D50" s="22"/>
      <c r="E50" s="22"/>
      <c r="F50" s="2"/>
    </row>
    <row r="51" spans="1:6" ht="15" customHeight="1">
      <c r="A51" s="78" t="s">
        <v>653</v>
      </c>
      <c r="B51" s="78" t="s">
        <v>497</v>
      </c>
      <c r="C51" s="22"/>
      <c r="D51" s="22"/>
      <c r="E51" s="22"/>
      <c r="F51" s="2"/>
    </row>
    <row r="52" spans="1:6" ht="15" customHeight="1">
      <c r="A52" s="72" t="s">
        <v>654</v>
      </c>
      <c r="B52" s="104">
        <f>IF(ISNUMBER(M36_c_MG),M36_c_MG,0)</f>
        <v>10.98148660775446</v>
      </c>
      <c r="C52" s="22"/>
      <c r="D52" s="22"/>
      <c r="E52" s="22"/>
      <c r="F52" s="2"/>
    </row>
    <row r="53" spans="1:6" ht="15" customHeight="1">
      <c r="A53" s="72" t="s">
        <v>655</v>
      </c>
      <c r="B53" s="104">
        <f>IF(ISNUMBER(M36_c_MLG),M36_c_MLG,0)</f>
        <v>67.518513392245538</v>
      </c>
      <c r="C53" s="22"/>
      <c r="D53" s="22"/>
      <c r="E53" s="22"/>
      <c r="F53" s="2"/>
    </row>
    <row r="54" spans="1:6">
      <c r="A54" s="22"/>
      <c r="B54" s="22"/>
      <c r="C54" s="22"/>
      <c r="D54" s="22"/>
      <c r="E54" s="22"/>
      <c r="F54" s="2"/>
    </row>
    <row r="55" spans="1:6" ht="15" customHeight="1">
      <c r="A55" s="390" t="s">
        <v>656</v>
      </c>
      <c r="B55" s="390"/>
      <c r="C55" s="390"/>
      <c r="D55" s="390"/>
      <c r="E55" s="390"/>
      <c r="F55" s="390"/>
    </row>
    <row r="56" spans="1:6" ht="15" customHeight="1">
      <c r="A56" s="105" t="s">
        <v>615</v>
      </c>
      <c r="B56" s="388" t="str">
        <f>M36_CALCULOS!B49</f>
        <v>—</v>
      </c>
      <c r="C56" s="388"/>
      <c r="D56" s="388"/>
      <c r="E56" s="388"/>
      <c r="F56" s="388"/>
    </row>
    <row r="57" spans="1:6" ht="15" customHeight="1">
      <c r="A57" s="105" t="s">
        <v>616</v>
      </c>
      <c r="B57" s="388" t="str">
        <f>M36_CALCULOS!B50</f>
        <v>—</v>
      </c>
      <c r="C57" s="388"/>
      <c r="D57" s="388"/>
      <c r="E57" s="388"/>
      <c r="F57" s="388"/>
    </row>
    <row r="58" spans="1:6" ht="15" customHeight="1">
      <c r="A58" s="105" t="s">
        <v>617</v>
      </c>
      <c r="B58" s="388" t="str">
        <f>M36_CALCULOS!B51</f>
        <v>Las cuatro ecuaciones discrepan más que el umbral: reporte UNA sola y monitoree la Σ de pliegues.</v>
      </c>
      <c r="C58" s="388"/>
      <c r="D58" s="388"/>
      <c r="E58" s="388"/>
      <c r="F58" s="388"/>
    </row>
    <row r="59" spans="1:6" ht="15" customHeight="1">
      <c r="A59" s="105" t="s">
        <v>618</v>
      </c>
      <c r="B59" s="388" t="str">
        <f>M36_CALCULOS!B52</f>
        <v>—</v>
      </c>
      <c r="C59" s="388"/>
      <c r="D59" s="388"/>
      <c r="E59" s="388"/>
      <c r="F59" s="388"/>
    </row>
    <row r="60" spans="1:6" ht="15" customHeight="1">
      <c r="A60" s="105" t="s">
        <v>657</v>
      </c>
      <c r="B60" s="388" t="str">
        <f>M36_CALCULOS!B53</f>
        <v>—</v>
      </c>
      <c r="C60" s="388"/>
      <c r="D60" s="388"/>
      <c r="E60" s="388"/>
      <c r="F60" s="388"/>
    </row>
    <row r="61" spans="1:6" ht="15" customHeight="1">
      <c r="A61" s="105" t="s">
        <v>658</v>
      </c>
      <c r="B61" s="388" t="str">
        <f>M36_CALCULOS!B54</f>
        <v>—</v>
      </c>
      <c r="C61" s="388"/>
      <c r="D61" s="388"/>
      <c r="E61" s="388"/>
      <c r="F61" s="388"/>
    </row>
    <row r="62" spans="1:6" ht="15" customHeight="1">
      <c r="A62" s="105" t="s">
        <v>621</v>
      </c>
      <c r="B62" s="388" t="str">
        <f>M36_CALCULOS!B55</f>
        <v>Exactitud matemática ≠ validación clínica. Los pliegues ESTIMAN; la referencia es DEXA o pesaje hidrostático.</v>
      </c>
      <c r="C62" s="388"/>
      <c r="D62" s="388"/>
      <c r="E62" s="388"/>
      <c r="F62" s="388"/>
    </row>
    <row r="63" spans="1:6">
      <c r="A63" s="22"/>
      <c r="B63" s="22"/>
      <c r="C63" s="22"/>
      <c r="D63" s="22"/>
      <c r="E63" s="22"/>
      <c r="F63" s="2"/>
    </row>
    <row r="64" spans="1:6" ht="43.5" customHeight="1">
      <c r="A64" s="387" t="s">
        <v>659</v>
      </c>
      <c r="B64" s="387"/>
      <c r="C64" s="387"/>
      <c r="D64" s="387"/>
      <c r="E64" s="387"/>
      <c r="F64" s="387"/>
    </row>
  </sheetData>
  <sheetProtection algorithmName="SHA-512" hashValue="KdJQAVW/+OjwmHkUD+ZC6mIt6rNc7QomQICArdmXY53s+j79rGbYoHW/+mJpyVsGU7ilP3+f611uL01NH1exiA==" saltValue="QDiuPdp/K9duJI65krDGhw==" spinCount="100000" sheet="1" objects="1" scenarios="1"/>
  <mergeCells count="46">
    <mergeCell ref="A2:F2"/>
    <mergeCell ref="C3:D3"/>
    <mergeCell ref="E3:F3"/>
    <mergeCell ref="A5:F5"/>
    <mergeCell ref="B6:F6"/>
    <mergeCell ref="B7:F7"/>
    <mergeCell ref="B8:F8"/>
    <mergeCell ref="B9:F9"/>
    <mergeCell ref="B10:F10"/>
    <mergeCell ref="B11:F11"/>
    <mergeCell ref="B12:F12"/>
    <mergeCell ref="B13:F13"/>
    <mergeCell ref="C16:F16"/>
    <mergeCell ref="C17:F17"/>
    <mergeCell ref="C18:F18"/>
    <mergeCell ref="C19:F19"/>
    <mergeCell ref="C20:F20"/>
    <mergeCell ref="A22:F22"/>
    <mergeCell ref="D23:F23"/>
    <mergeCell ref="D24:F24"/>
    <mergeCell ref="D25:F25"/>
    <mergeCell ref="D26:F26"/>
    <mergeCell ref="D27:F27"/>
    <mergeCell ref="C28:F28"/>
    <mergeCell ref="A30:F30"/>
    <mergeCell ref="C31:F31"/>
    <mergeCell ref="C32:F32"/>
    <mergeCell ref="C33:F33"/>
    <mergeCell ref="A34:F34"/>
    <mergeCell ref="A36:F36"/>
    <mergeCell ref="C37:F37"/>
    <mergeCell ref="C38:F38"/>
    <mergeCell ref="C39:F39"/>
    <mergeCell ref="C40:F40"/>
    <mergeCell ref="C41:F41"/>
    <mergeCell ref="C42:F42"/>
    <mergeCell ref="A44:F44"/>
    <mergeCell ref="A55:F55"/>
    <mergeCell ref="B56:F56"/>
    <mergeCell ref="B57:F57"/>
    <mergeCell ref="A64:F64"/>
    <mergeCell ref="B58:F58"/>
    <mergeCell ref="B59:F59"/>
    <mergeCell ref="B60:F60"/>
    <mergeCell ref="B61:F61"/>
    <mergeCell ref="B62:F62"/>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A1:K16"/>
  <sheetViews>
    <sheetView showGridLines="0" zoomScaleNormal="100" workbookViewId="0">
      <pane ySplit="5" topLeftCell="A6" activePane="bottomLeft" state="frozen"/>
      <selection pane="bottomLeft" sqref="A1:K1"/>
    </sheetView>
  </sheetViews>
  <sheetFormatPr baseColWidth="10" defaultColWidth="8.7109375" defaultRowHeight="15"/>
  <cols>
    <col min="1" max="1" width="24" style="1" customWidth="1"/>
    <col min="2" max="2" width="30" style="1" customWidth="1"/>
    <col min="3" max="3" width="8" style="1" customWidth="1"/>
    <col min="4" max="4" width="30" style="1" customWidth="1"/>
    <col min="5" max="5" width="36" style="1" customWidth="1"/>
    <col min="6" max="6" width="12" style="1" customWidth="1"/>
    <col min="7" max="7" width="34" style="1" customWidth="1"/>
    <col min="8" max="8" width="24" style="1" customWidth="1"/>
    <col min="9" max="9" width="12" style="1" customWidth="1"/>
    <col min="10" max="10" width="30" style="1" customWidth="1"/>
    <col min="11" max="11" width="8" style="1" customWidth="1"/>
  </cols>
  <sheetData>
    <row r="1" spans="1:11" ht="25.5" customHeight="1">
      <c r="A1" s="400" t="s">
        <v>447</v>
      </c>
      <c r="B1" s="400"/>
      <c r="C1" s="400"/>
      <c r="D1" s="400"/>
      <c r="E1" s="400"/>
      <c r="F1" s="400"/>
      <c r="G1" s="400"/>
      <c r="H1" s="400"/>
      <c r="I1" s="400"/>
      <c r="J1" s="400"/>
      <c r="K1" s="400"/>
    </row>
    <row r="2" spans="1:11" ht="24.75" customHeight="1">
      <c r="A2" s="365" t="s">
        <v>660</v>
      </c>
      <c r="B2" s="365"/>
      <c r="C2" s="365"/>
      <c r="D2" s="365"/>
      <c r="E2" s="365"/>
      <c r="F2" s="365"/>
      <c r="G2" s="365"/>
      <c r="H2" s="365"/>
      <c r="I2" s="365"/>
      <c r="J2" s="365"/>
      <c r="K2" s="365"/>
    </row>
    <row r="3" spans="1:11" ht="43.5" customHeight="1">
      <c r="A3" s="367" t="s">
        <v>661</v>
      </c>
      <c r="B3" s="367"/>
      <c r="C3" s="367"/>
      <c r="D3" s="367"/>
      <c r="E3" s="367"/>
      <c r="F3" s="367"/>
      <c r="G3" s="367"/>
      <c r="H3" s="367"/>
      <c r="I3" s="367"/>
      <c r="J3" s="367"/>
      <c r="K3" s="367"/>
    </row>
    <row r="4" spans="1:11" ht="21" customHeight="1">
      <c r="A4" s="59" t="str">
        <f>HYPERLINK("#M36_INICIO!A1","◀ INICIO")</f>
        <v>◀ INICIO</v>
      </c>
      <c r="B4" s="59" t="str">
        <f>HYPERLINK("#M36_DATOS!A1","◀ DATOS")</f>
        <v>◀ DATOS</v>
      </c>
      <c r="C4" s="381" t="str">
        <f>HYPERLINK("#M36_CALCULOS!A1","◀  CALCULOS")</f>
        <v>◀  CALCULOS</v>
      </c>
      <c r="D4" s="381"/>
      <c r="E4" s="381"/>
      <c r="F4" s="22"/>
      <c r="G4" s="22"/>
      <c r="H4" s="22"/>
      <c r="I4" s="22"/>
      <c r="J4" s="22"/>
      <c r="K4" s="22"/>
    </row>
    <row r="5" spans="1:11" ht="15" customHeight="1">
      <c r="A5" s="106" t="s">
        <v>662</v>
      </c>
      <c r="B5" s="106" t="s">
        <v>663</v>
      </c>
      <c r="C5" s="106" t="s">
        <v>664</v>
      </c>
      <c r="D5" s="106" t="s">
        <v>665</v>
      </c>
      <c r="E5" s="106" t="s">
        <v>666</v>
      </c>
      <c r="F5" s="106" t="s">
        <v>667</v>
      </c>
      <c r="G5" s="106" t="s">
        <v>668</v>
      </c>
      <c r="H5" s="106" t="s">
        <v>669</v>
      </c>
      <c r="I5" s="106" t="s">
        <v>670</v>
      </c>
      <c r="J5" s="106" t="s">
        <v>671</v>
      </c>
      <c r="K5" s="106" t="s">
        <v>672</v>
      </c>
    </row>
    <row r="6" spans="1:11" ht="55.5" customHeight="1">
      <c r="A6" s="107" t="s">
        <v>673</v>
      </c>
      <c r="B6" s="107" t="s">
        <v>674</v>
      </c>
      <c r="C6" s="107" t="s">
        <v>675</v>
      </c>
      <c r="D6" s="107" t="s">
        <v>676</v>
      </c>
      <c r="E6" s="107" t="s">
        <v>677</v>
      </c>
      <c r="F6" s="107" t="s">
        <v>678</v>
      </c>
      <c r="G6" s="107" t="s">
        <v>679</v>
      </c>
      <c r="H6" s="107" t="s">
        <v>680</v>
      </c>
      <c r="I6" s="107" t="s">
        <v>681</v>
      </c>
      <c r="J6" s="107" t="s">
        <v>682</v>
      </c>
      <c r="K6" s="108" t="s">
        <v>333</v>
      </c>
    </row>
    <row r="7" spans="1:11" ht="55.5" customHeight="1">
      <c r="A7" s="107" t="s">
        <v>683</v>
      </c>
      <c r="B7" s="107" t="s">
        <v>684</v>
      </c>
      <c r="C7" s="107" t="s">
        <v>685</v>
      </c>
      <c r="D7" s="107" t="s">
        <v>686</v>
      </c>
      <c r="E7" s="107" t="s">
        <v>687</v>
      </c>
      <c r="F7" s="107" t="s">
        <v>678</v>
      </c>
      <c r="G7" s="107" t="s">
        <v>688</v>
      </c>
      <c r="H7" s="107" t="s">
        <v>689</v>
      </c>
      <c r="I7" s="107" t="s">
        <v>681</v>
      </c>
      <c r="J7" s="107" t="s">
        <v>682</v>
      </c>
      <c r="K7" s="108" t="s">
        <v>333</v>
      </c>
    </row>
    <row r="8" spans="1:11" ht="55.5" customHeight="1">
      <c r="A8" s="107" t="s">
        <v>690</v>
      </c>
      <c r="B8" s="107" t="s">
        <v>674</v>
      </c>
      <c r="C8" s="107" t="s">
        <v>675</v>
      </c>
      <c r="D8" s="107" t="s">
        <v>691</v>
      </c>
      <c r="E8" s="107" t="s">
        <v>692</v>
      </c>
      <c r="F8" s="107" t="s">
        <v>678</v>
      </c>
      <c r="G8" s="107" t="s">
        <v>693</v>
      </c>
      <c r="H8" s="107" t="s">
        <v>680</v>
      </c>
      <c r="I8" s="107" t="s">
        <v>681</v>
      </c>
      <c r="J8" s="107" t="s">
        <v>682</v>
      </c>
      <c r="K8" s="108" t="s">
        <v>333</v>
      </c>
    </row>
    <row r="9" spans="1:11" ht="55.5" customHeight="1">
      <c r="A9" s="107" t="s">
        <v>694</v>
      </c>
      <c r="B9" s="107" t="s">
        <v>695</v>
      </c>
      <c r="C9" s="107" t="s">
        <v>696</v>
      </c>
      <c r="D9" s="107" t="s">
        <v>697</v>
      </c>
      <c r="E9" s="107" t="s">
        <v>698</v>
      </c>
      <c r="F9" s="107" t="s">
        <v>699</v>
      </c>
      <c r="G9" s="107" t="s">
        <v>700</v>
      </c>
      <c r="H9" s="107" t="s">
        <v>701</v>
      </c>
      <c r="I9" s="107" t="s">
        <v>681</v>
      </c>
      <c r="J9" s="107" t="s">
        <v>682</v>
      </c>
      <c r="K9" s="108" t="s">
        <v>333</v>
      </c>
    </row>
    <row r="10" spans="1:11" ht="55.5" customHeight="1">
      <c r="A10" s="107" t="s">
        <v>702</v>
      </c>
      <c r="B10" s="107" t="s">
        <v>703</v>
      </c>
      <c r="C10" s="107" t="s">
        <v>704</v>
      </c>
      <c r="D10" s="107" t="s">
        <v>705</v>
      </c>
      <c r="E10" s="107" t="s">
        <v>706</v>
      </c>
      <c r="F10" s="107" t="s">
        <v>707</v>
      </c>
      <c r="G10" s="107" t="s">
        <v>708</v>
      </c>
      <c r="H10" s="107" t="s">
        <v>709</v>
      </c>
      <c r="I10" s="107" t="s">
        <v>681</v>
      </c>
      <c r="J10" s="107" t="s">
        <v>710</v>
      </c>
      <c r="K10" s="108" t="s">
        <v>336</v>
      </c>
    </row>
    <row r="11" spans="1:11" ht="55.5" customHeight="1">
      <c r="A11" s="107" t="s">
        <v>711</v>
      </c>
      <c r="B11" s="107" t="s">
        <v>712</v>
      </c>
      <c r="C11" s="107" t="s">
        <v>713</v>
      </c>
      <c r="D11" s="107" t="s">
        <v>714</v>
      </c>
      <c r="E11" s="107" t="s">
        <v>715</v>
      </c>
      <c r="F11" s="107" t="s">
        <v>716</v>
      </c>
      <c r="G11" s="107" t="s">
        <v>717</v>
      </c>
      <c r="H11" s="107" t="s">
        <v>718</v>
      </c>
      <c r="I11" s="107" t="s">
        <v>681</v>
      </c>
      <c r="J11" s="107" t="s">
        <v>719</v>
      </c>
      <c r="K11" s="108" t="s">
        <v>333</v>
      </c>
    </row>
    <row r="12" spans="1:11" ht="55.5" customHeight="1">
      <c r="A12" s="107" t="s">
        <v>720</v>
      </c>
      <c r="B12" s="107" t="s">
        <v>721</v>
      </c>
      <c r="C12" s="107" t="s">
        <v>722</v>
      </c>
      <c r="D12" s="107" t="s">
        <v>723</v>
      </c>
      <c r="E12" s="107" t="s">
        <v>724</v>
      </c>
      <c r="F12" s="107" t="s">
        <v>716</v>
      </c>
      <c r="G12" s="107" t="s">
        <v>725</v>
      </c>
      <c r="H12" s="107" t="s">
        <v>726</v>
      </c>
      <c r="I12" s="107" t="s">
        <v>681</v>
      </c>
      <c r="J12" s="107" t="s">
        <v>727</v>
      </c>
      <c r="K12" s="108" t="s">
        <v>333</v>
      </c>
    </row>
    <row r="13" spans="1:11" ht="55.5" customHeight="1">
      <c r="A13" s="107" t="s">
        <v>728</v>
      </c>
      <c r="B13" s="107" t="s">
        <v>729</v>
      </c>
      <c r="C13" s="107" t="s">
        <v>730</v>
      </c>
      <c r="D13" s="107" t="s">
        <v>731</v>
      </c>
      <c r="E13" s="107" t="s">
        <v>732</v>
      </c>
      <c r="F13" s="107" t="s">
        <v>733</v>
      </c>
      <c r="G13" s="107" t="s">
        <v>734</v>
      </c>
      <c r="H13" s="107" t="s">
        <v>735</v>
      </c>
      <c r="I13" s="107" t="s">
        <v>681</v>
      </c>
      <c r="J13" s="107" t="s">
        <v>736</v>
      </c>
      <c r="K13" s="108" t="s">
        <v>328</v>
      </c>
    </row>
    <row r="14" spans="1:11" ht="55.5" customHeight="1">
      <c r="A14" s="107" t="s">
        <v>737</v>
      </c>
      <c r="B14" s="107" t="s">
        <v>738</v>
      </c>
      <c r="C14" s="107" t="s">
        <v>739</v>
      </c>
      <c r="D14" s="107" t="s">
        <v>740</v>
      </c>
      <c r="E14" s="107" t="s">
        <v>741</v>
      </c>
      <c r="F14" s="107" t="s">
        <v>375</v>
      </c>
      <c r="G14" s="107" t="s">
        <v>742</v>
      </c>
      <c r="H14" s="107" t="s">
        <v>743</v>
      </c>
      <c r="I14" s="107" t="s">
        <v>681</v>
      </c>
      <c r="J14" s="107" t="s">
        <v>744</v>
      </c>
      <c r="K14" s="108" t="s">
        <v>336</v>
      </c>
    </row>
    <row r="15" spans="1:11">
      <c r="A15" s="22"/>
      <c r="B15" s="22"/>
      <c r="C15" s="22"/>
      <c r="D15" s="22"/>
      <c r="E15" s="22"/>
      <c r="F15" s="22"/>
      <c r="G15" s="22"/>
      <c r="H15" s="22"/>
      <c r="I15" s="22"/>
      <c r="J15" s="22"/>
      <c r="K15" s="22"/>
    </row>
    <row r="16" spans="1:11" ht="33.75" customHeight="1">
      <c r="A16" s="367" t="s">
        <v>745</v>
      </c>
      <c r="B16" s="367"/>
      <c r="C16" s="367"/>
      <c r="D16" s="367"/>
      <c r="E16" s="367"/>
      <c r="F16" s="367"/>
      <c r="G16" s="367"/>
      <c r="H16" s="367"/>
      <c r="I16" s="367"/>
      <c r="J16" s="367"/>
      <c r="K16" s="367"/>
    </row>
  </sheetData>
  <sheetProtection algorithmName="SHA-512" hashValue="XxPORPdPbk22NMbUJ5Y88m3GN98StliZytmQKbCHH3nVzNMjwyNbINKCEaH27cT9Dq2IAD6jysbbeYNXbXtC6Q==" saltValue="N4F/aUgJM+770aGqA0Fueg==" spinCount="100000" sheet="1" objects="1" scenarios="1"/>
  <mergeCells count="5">
    <mergeCell ref="A1:K1"/>
    <mergeCell ref="A2:K2"/>
    <mergeCell ref="A3:K3"/>
    <mergeCell ref="C4:E4"/>
    <mergeCell ref="A16:K16"/>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M76"/>
  <sheetViews>
    <sheetView showGridLines="0" zoomScaleNormal="100" workbookViewId="0">
      <pane ySplit="56" topLeftCell="A57" activePane="bottomLeft" state="frozen"/>
      <selection pane="bottomLeft"/>
    </sheetView>
  </sheetViews>
  <sheetFormatPr baseColWidth="10" defaultColWidth="8.7109375" defaultRowHeight="15"/>
  <cols>
    <col min="1" max="1" width="6" style="1" customWidth="1"/>
    <col min="2" max="2" width="38" style="1" customWidth="1"/>
    <col min="3" max="3" width="9" style="1" customWidth="1"/>
    <col min="4" max="4" width="29.7109375" style="1" customWidth="1"/>
    <col min="5" max="5" width="27.7109375" style="1" customWidth="1"/>
    <col min="6" max="6" width="9" style="1" customWidth="1"/>
    <col min="8" max="8" width="12" style="1" customWidth="1"/>
    <col min="10" max="10" width="10" style="1" customWidth="1"/>
    <col min="11" max="11" width="11" style="1" customWidth="1"/>
    <col min="13" max="13" width="10" style="1" customWidth="1"/>
  </cols>
  <sheetData>
    <row r="1" spans="1:13" ht="25.5" customHeight="1">
      <c r="A1" s="57" t="s">
        <v>447</v>
      </c>
      <c r="B1" s="109"/>
      <c r="C1" s="109"/>
      <c r="D1" s="109"/>
      <c r="E1" s="109"/>
      <c r="F1" s="109"/>
      <c r="G1" s="109"/>
      <c r="H1" s="109"/>
      <c r="I1" s="109"/>
      <c r="J1" s="109"/>
      <c r="K1" s="109"/>
      <c r="L1" s="109"/>
      <c r="M1" s="109"/>
    </row>
    <row r="2" spans="1:13" ht="20.25" customHeight="1">
      <c r="A2" s="365" t="s">
        <v>746</v>
      </c>
      <c r="B2" s="365"/>
      <c r="C2" s="365"/>
      <c r="D2" s="365"/>
      <c r="E2" s="365"/>
      <c r="F2" s="365"/>
      <c r="G2" s="365"/>
      <c r="H2" s="365"/>
      <c r="I2" s="365"/>
      <c r="J2" s="365"/>
      <c r="K2" s="365"/>
      <c r="L2" s="365"/>
      <c r="M2" s="365"/>
    </row>
    <row r="3" spans="1:13" ht="33.75" customHeight="1">
      <c r="A3" s="367" t="s">
        <v>747</v>
      </c>
      <c r="B3" s="367"/>
      <c r="C3" s="367"/>
      <c r="D3" s="367"/>
      <c r="E3" s="367"/>
      <c r="F3" s="367"/>
      <c r="G3" s="367"/>
      <c r="H3" s="367"/>
      <c r="I3" s="367"/>
      <c r="J3" s="367"/>
      <c r="K3" s="367"/>
      <c r="L3" s="367"/>
      <c r="M3" s="367"/>
    </row>
    <row r="4" spans="1:13" ht="21.75" customHeight="1">
      <c r="A4" s="380" t="str">
        <f>HYPERLINK("#M36_INICIO!A1","◀ INICIO")</f>
        <v>◀ INICIO</v>
      </c>
      <c r="B4" s="380"/>
      <c r="C4" s="380"/>
      <c r="D4" s="380"/>
      <c r="E4" s="22"/>
      <c r="F4" s="22"/>
      <c r="G4" s="2"/>
      <c r="H4" s="22"/>
      <c r="I4" s="2"/>
      <c r="J4" s="22"/>
      <c r="K4" s="22"/>
      <c r="L4" s="2"/>
      <c r="M4" s="22"/>
    </row>
    <row r="5" spans="1:13">
      <c r="A5" s="22"/>
      <c r="B5" s="22"/>
      <c r="C5" s="22"/>
      <c r="D5" s="22"/>
      <c r="E5" s="22"/>
      <c r="F5" s="22"/>
      <c r="G5" s="2"/>
      <c r="H5" s="22"/>
      <c r="I5" s="2"/>
      <c r="J5" s="22"/>
      <c r="K5" s="22"/>
      <c r="L5" s="2"/>
      <c r="M5" s="22"/>
    </row>
    <row r="6" spans="1:13" ht="15" customHeight="1">
      <c r="A6" s="404" t="s">
        <v>748</v>
      </c>
      <c r="B6" s="404"/>
      <c r="C6" s="404"/>
      <c r="D6" s="404"/>
      <c r="E6" s="404"/>
      <c r="F6" s="404"/>
      <c r="G6" s="404"/>
      <c r="H6" s="404"/>
      <c r="I6" s="404"/>
      <c r="J6" s="404"/>
      <c r="K6" s="404"/>
      <c r="L6" s="404"/>
      <c r="M6" s="404"/>
    </row>
    <row r="7" spans="1:13" ht="15" customHeight="1">
      <c r="A7" s="110" t="s">
        <v>749</v>
      </c>
      <c r="B7" s="110" t="s">
        <v>750</v>
      </c>
      <c r="C7" s="110" t="s">
        <v>22</v>
      </c>
      <c r="D7" s="110" t="s">
        <v>751</v>
      </c>
      <c r="E7" s="110" t="s">
        <v>493</v>
      </c>
      <c r="F7" s="110" t="s">
        <v>326</v>
      </c>
      <c r="G7" s="110" t="s">
        <v>327</v>
      </c>
      <c r="H7" s="110" t="s">
        <v>752</v>
      </c>
      <c r="I7" s="405" t="s">
        <v>44</v>
      </c>
      <c r="J7" s="405"/>
      <c r="K7" s="405"/>
      <c r="L7" s="405"/>
      <c r="M7" s="405"/>
    </row>
    <row r="8" spans="1:13" ht="15" customHeight="1">
      <c r="A8" s="111" t="s">
        <v>753</v>
      </c>
      <c r="B8" s="112" t="s">
        <v>754</v>
      </c>
      <c r="C8" s="113" t="s">
        <v>23</v>
      </c>
      <c r="D8" s="111">
        <v>108</v>
      </c>
      <c r="E8" s="111">
        <v>34</v>
      </c>
      <c r="F8" s="114">
        <f t="shared" ref="F8:F13" si="0">IF(C8="Hombre",(495/(1.112-0.00043499*D8+0.00000055*D8^2-0.00028826*E8)-450)/100,(495/(1.097-0.00046971*D8+0.00000056*D8^2-0.00012828*E8)-450)/100)</f>
        <v>0.1626175177422482</v>
      </c>
      <c r="G8" s="115">
        <v>0.16261800000000001</v>
      </c>
      <c r="H8" s="116">
        <f t="shared" ref="H8:H13" si="1">F8-G8</f>
        <v>-4.8225775181598429E-7</v>
      </c>
      <c r="I8" s="402" t="str">
        <f t="shared" ref="I8:I13" si="2">IF(ABS(H8)&lt;=M36_TOL_FRAC,"APROBADO","FALLIDO")</f>
        <v>APROBADO</v>
      </c>
      <c r="J8" s="402"/>
      <c r="K8" s="402"/>
      <c r="L8" s="402"/>
      <c r="M8" s="402"/>
    </row>
    <row r="9" spans="1:13" ht="15" customHeight="1">
      <c r="A9" s="111" t="s">
        <v>755</v>
      </c>
      <c r="B9" s="112" t="s">
        <v>756</v>
      </c>
      <c r="C9" s="113" t="s">
        <v>757</v>
      </c>
      <c r="D9" s="111">
        <v>120</v>
      </c>
      <c r="E9" s="111">
        <v>30</v>
      </c>
      <c r="F9" s="114">
        <f t="shared" si="0"/>
        <v>0.23752031869825543</v>
      </c>
      <c r="G9" s="115">
        <v>0.23752000000000001</v>
      </c>
      <c r="H9" s="116">
        <f t="shared" si="1"/>
        <v>3.1869825542485408E-7</v>
      </c>
      <c r="I9" s="402" t="str">
        <f t="shared" si="2"/>
        <v>APROBADO</v>
      </c>
      <c r="J9" s="402"/>
      <c r="K9" s="402"/>
      <c r="L9" s="402"/>
      <c r="M9" s="402"/>
    </row>
    <row r="10" spans="1:13" ht="15" customHeight="1">
      <c r="A10" s="111" t="s">
        <v>758</v>
      </c>
      <c r="B10" s="112" t="s">
        <v>759</v>
      </c>
      <c r="C10" s="113" t="s">
        <v>23</v>
      </c>
      <c r="D10" s="111">
        <v>80</v>
      </c>
      <c r="E10" s="111">
        <v>25</v>
      </c>
      <c r="F10" s="114">
        <f t="shared" si="0"/>
        <v>0.11102381216533275</v>
      </c>
      <c r="G10" s="115">
        <v>0.111024</v>
      </c>
      <c r="H10" s="116">
        <f t="shared" si="1"/>
        <v>-1.8783466725069697E-7</v>
      </c>
      <c r="I10" s="402" t="str">
        <f t="shared" si="2"/>
        <v>APROBADO</v>
      </c>
      <c r="J10" s="402"/>
      <c r="K10" s="402"/>
      <c r="L10" s="402"/>
      <c r="M10" s="402"/>
    </row>
    <row r="11" spans="1:13" ht="15" customHeight="1">
      <c r="A11" s="111" t="s">
        <v>760</v>
      </c>
      <c r="B11" s="112" t="s">
        <v>761</v>
      </c>
      <c r="C11" s="113" t="s">
        <v>757</v>
      </c>
      <c r="D11" s="111">
        <v>150</v>
      </c>
      <c r="E11" s="111">
        <v>45</v>
      </c>
      <c r="F11" s="114">
        <f t="shared" si="0"/>
        <v>0.29014843557139103</v>
      </c>
      <c r="G11" s="115">
        <v>0.29014800000000002</v>
      </c>
      <c r="H11" s="116">
        <f t="shared" si="1"/>
        <v>4.355713910109138E-7</v>
      </c>
      <c r="I11" s="402" t="str">
        <f t="shared" si="2"/>
        <v>APROBADO</v>
      </c>
      <c r="J11" s="402"/>
      <c r="K11" s="402"/>
      <c r="L11" s="402"/>
      <c r="M11" s="402"/>
    </row>
    <row r="12" spans="1:13" ht="15" customHeight="1">
      <c r="A12" s="111" t="s">
        <v>762</v>
      </c>
      <c r="B12" s="112" t="s">
        <v>763</v>
      </c>
      <c r="C12" s="113" t="s">
        <v>23</v>
      </c>
      <c r="D12" s="111">
        <v>200</v>
      </c>
      <c r="E12" s="111">
        <v>55</v>
      </c>
      <c r="F12" s="114">
        <f t="shared" si="0"/>
        <v>0.30047620723975738</v>
      </c>
      <c r="G12" s="115">
        <v>0.30047600000000002</v>
      </c>
      <c r="H12" s="116">
        <f t="shared" si="1"/>
        <v>2.0723975735492672E-7</v>
      </c>
      <c r="I12" s="402" t="str">
        <f t="shared" si="2"/>
        <v>APROBADO</v>
      </c>
      <c r="J12" s="402"/>
      <c r="K12" s="402"/>
      <c r="L12" s="402"/>
      <c r="M12" s="402"/>
    </row>
    <row r="13" spans="1:13" ht="15" customHeight="1">
      <c r="A13" s="111" t="s">
        <v>764</v>
      </c>
      <c r="B13" s="112" t="s">
        <v>765</v>
      </c>
      <c r="C13" s="113" t="s">
        <v>757</v>
      </c>
      <c r="D13" s="111">
        <v>90</v>
      </c>
      <c r="E13" s="111">
        <v>22</v>
      </c>
      <c r="F13" s="114">
        <f t="shared" si="0"/>
        <v>0.18554795457657577</v>
      </c>
      <c r="G13" s="115">
        <v>0.18554799999999999</v>
      </c>
      <c r="H13" s="116">
        <f t="shared" si="1"/>
        <v>-4.5423424216428643E-8</v>
      </c>
      <c r="I13" s="402" t="str">
        <f t="shared" si="2"/>
        <v>APROBADO</v>
      </c>
      <c r="J13" s="402"/>
      <c r="K13" s="402"/>
      <c r="L13" s="402"/>
      <c r="M13" s="402"/>
    </row>
    <row r="14" spans="1:13">
      <c r="A14" s="22"/>
      <c r="B14" s="22"/>
      <c r="C14" s="22"/>
      <c r="D14" s="22"/>
      <c r="E14" s="22"/>
      <c r="F14" s="22"/>
      <c r="G14" s="2"/>
      <c r="H14" s="22"/>
      <c r="I14" s="2"/>
      <c r="J14" s="22"/>
      <c r="K14" s="22"/>
      <c r="L14" s="2"/>
      <c r="M14" s="22"/>
    </row>
    <row r="15" spans="1:13" ht="15" customHeight="1">
      <c r="A15" s="404" t="s">
        <v>766</v>
      </c>
      <c r="B15" s="404"/>
      <c r="C15" s="404"/>
      <c r="D15" s="404"/>
      <c r="E15" s="404"/>
      <c r="F15" s="404"/>
      <c r="G15" s="404"/>
      <c r="H15" s="404"/>
      <c r="I15" s="404"/>
      <c r="J15" s="404"/>
      <c r="K15" s="404"/>
      <c r="L15" s="404"/>
      <c r="M15" s="404"/>
    </row>
    <row r="16" spans="1:13" ht="15" customHeight="1">
      <c r="A16" s="110" t="s">
        <v>749</v>
      </c>
      <c r="B16" s="110" t="s">
        <v>750</v>
      </c>
      <c r="C16" s="110" t="s">
        <v>22</v>
      </c>
      <c r="D16" s="110" t="s">
        <v>767</v>
      </c>
      <c r="E16" s="110" t="s">
        <v>493</v>
      </c>
      <c r="F16" s="110" t="s">
        <v>326</v>
      </c>
      <c r="G16" s="110" t="s">
        <v>327</v>
      </c>
      <c r="H16" s="110" t="s">
        <v>752</v>
      </c>
      <c r="I16" s="405" t="s">
        <v>44</v>
      </c>
      <c r="J16" s="405"/>
      <c r="K16" s="405"/>
      <c r="L16" s="405"/>
      <c r="M16" s="405"/>
    </row>
    <row r="17" spans="1:13" ht="15" customHeight="1">
      <c r="A17" s="111" t="s">
        <v>768</v>
      </c>
      <c r="B17" s="112" t="s">
        <v>769</v>
      </c>
      <c r="C17" s="113" t="s">
        <v>23</v>
      </c>
      <c r="D17" s="111">
        <v>50</v>
      </c>
      <c r="E17" s="111">
        <v>34</v>
      </c>
      <c r="F17" s="114">
        <f t="shared" ref="F17:F22" si="3">IF(C17="Hombre",(495/(1.10938-0.0008267*D17+0.0000016*D17^2-0.0002574*E17)-450)/100,(495/(1.0994921-0.0009929*D17+0.0000023*D17^2-0.0001392*E17)-450)/100)</f>
        <v>0.1553472447021676</v>
      </c>
      <c r="G17" s="115">
        <v>0.15534700000000001</v>
      </c>
      <c r="H17" s="116">
        <f t="shared" ref="H17:H22" si="4">F17-G17</f>
        <v>2.4470216758443186E-7</v>
      </c>
      <c r="I17" s="402" t="str">
        <f t="shared" ref="I17:I22" si="5">IF(ABS(H17)&lt;=M36_TOL_FRAC,"APROBADO","FALLIDO")</f>
        <v>APROBADO</v>
      </c>
      <c r="J17" s="402"/>
      <c r="K17" s="402"/>
      <c r="L17" s="402"/>
      <c r="M17" s="402"/>
    </row>
    <row r="18" spans="1:13" ht="15" customHeight="1">
      <c r="A18" s="111" t="s">
        <v>770</v>
      </c>
      <c r="B18" s="112" t="s">
        <v>771</v>
      </c>
      <c r="C18" s="113" t="s">
        <v>757</v>
      </c>
      <c r="D18" s="111">
        <v>60</v>
      </c>
      <c r="E18" s="111">
        <v>30</v>
      </c>
      <c r="F18" s="114">
        <f t="shared" si="3"/>
        <v>0.24127894419093196</v>
      </c>
      <c r="G18" s="115">
        <v>0.24127899999999999</v>
      </c>
      <c r="H18" s="116">
        <f t="shared" si="4"/>
        <v>-5.5809068033596532E-8</v>
      </c>
      <c r="I18" s="402" t="str">
        <f t="shared" si="5"/>
        <v>APROBADO</v>
      </c>
      <c r="J18" s="402"/>
      <c r="K18" s="402"/>
      <c r="L18" s="402"/>
      <c r="M18" s="402"/>
    </row>
    <row r="19" spans="1:13" ht="15" customHeight="1">
      <c r="A19" s="111" t="s">
        <v>772</v>
      </c>
      <c r="B19" s="112" t="s">
        <v>773</v>
      </c>
      <c r="C19" s="113" t="s">
        <v>23</v>
      </c>
      <c r="D19" s="111">
        <v>35</v>
      </c>
      <c r="E19" s="111">
        <v>25</v>
      </c>
      <c r="F19" s="114">
        <f t="shared" si="3"/>
        <v>0.10049787610348063</v>
      </c>
      <c r="G19" s="115">
        <v>0.100498</v>
      </c>
      <c r="H19" s="116">
        <f t="shared" si="4"/>
        <v>-1.2389651937727564E-7</v>
      </c>
      <c r="I19" s="402" t="str">
        <f t="shared" si="5"/>
        <v>APROBADO</v>
      </c>
      <c r="J19" s="402"/>
      <c r="K19" s="402"/>
      <c r="L19" s="402"/>
      <c r="M19" s="402"/>
    </row>
    <row r="20" spans="1:13" ht="15" customHeight="1">
      <c r="A20" s="111" t="s">
        <v>774</v>
      </c>
      <c r="B20" s="112" t="s">
        <v>775</v>
      </c>
      <c r="C20" s="113" t="s">
        <v>757</v>
      </c>
      <c r="D20" s="111">
        <v>80</v>
      </c>
      <c r="E20" s="111">
        <v>45</v>
      </c>
      <c r="F20" s="114">
        <f t="shared" si="3"/>
        <v>0.31275888632175963</v>
      </c>
      <c r="G20" s="115">
        <v>0.31275900000000001</v>
      </c>
      <c r="H20" s="116">
        <f t="shared" si="4"/>
        <v>-1.1367824037655794E-7</v>
      </c>
      <c r="I20" s="402" t="str">
        <f t="shared" si="5"/>
        <v>APROBADO</v>
      </c>
      <c r="J20" s="402"/>
      <c r="K20" s="402"/>
      <c r="L20" s="402"/>
      <c r="M20" s="402"/>
    </row>
    <row r="21" spans="1:13" ht="15" customHeight="1">
      <c r="A21" s="111" t="s">
        <v>776</v>
      </c>
      <c r="B21" s="112" t="s">
        <v>777</v>
      </c>
      <c r="C21" s="113" t="s">
        <v>23</v>
      </c>
      <c r="D21" s="111">
        <v>90</v>
      </c>
      <c r="E21" s="111">
        <v>55</v>
      </c>
      <c r="F21" s="114">
        <f t="shared" si="3"/>
        <v>0.28825281974888184</v>
      </c>
      <c r="G21" s="115">
        <v>0.28825299999999998</v>
      </c>
      <c r="H21" s="116">
        <f t="shared" si="4"/>
        <v>-1.8025111814257144E-7</v>
      </c>
      <c r="I21" s="402" t="str">
        <f t="shared" si="5"/>
        <v>APROBADO</v>
      </c>
      <c r="J21" s="402"/>
      <c r="K21" s="402"/>
      <c r="L21" s="402"/>
      <c r="M21" s="402"/>
    </row>
    <row r="22" spans="1:13" ht="15" customHeight="1">
      <c r="A22" s="111" t="s">
        <v>778</v>
      </c>
      <c r="B22" s="112" t="s">
        <v>779</v>
      </c>
      <c r="C22" s="113" t="s">
        <v>757</v>
      </c>
      <c r="D22" s="111">
        <v>45</v>
      </c>
      <c r="E22" s="111">
        <v>22</v>
      </c>
      <c r="F22" s="114">
        <f t="shared" si="3"/>
        <v>0.18569538606674826</v>
      </c>
      <c r="G22" s="115">
        <v>0.185695</v>
      </c>
      <c r="H22" s="116">
        <f t="shared" si="4"/>
        <v>3.8606674826469067E-7</v>
      </c>
      <c r="I22" s="402" t="str">
        <f t="shared" si="5"/>
        <v>APROBADO</v>
      </c>
      <c r="J22" s="402"/>
      <c r="K22" s="402"/>
      <c r="L22" s="402"/>
      <c r="M22" s="402"/>
    </row>
    <row r="23" spans="1:13">
      <c r="A23" s="22"/>
      <c r="B23" s="22"/>
      <c r="C23" s="22"/>
      <c r="D23" s="22"/>
      <c r="E23" s="22"/>
      <c r="F23" s="22"/>
      <c r="G23" s="2"/>
      <c r="H23" s="22"/>
      <c r="I23" s="2"/>
      <c r="J23" s="22"/>
      <c r="K23" s="22"/>
      <c r="L23" s="2"/>
      <c r="M23" s="22"/>
    </row>
    <row r="24" spans="1:13" ht="15" customHeight="1">
      <c r="A24" s="404" t="s">
        <v>780</v>
      </c>
      <c r="B24" s="404"/>
      <c r="C24" s="404"/>
      <c r="D24" s="404"/>
      <c r="E24" s="404"/>
      <c r="F24" s="404"/>
      <c r="G24" s="404"/>
      <c r="H24" s="404"/>
      <c r="I24" s="404"/>
      <c r="J24" s="404"/>
      <c r="K24" s="404"/>
      <c r="L24" s="404"/>
      <c r="M24" s="404"/>
    </row>
    <row r="25" spans="1:13" ht="15" customHeight="1">
      <c r="A25" s="110" t="s">
        <v>749</v>
      </c>
      <c r="B25" s="110" t="s">
        <v>750</v>
      </c>
      <c r="C25" s="110" t="s">
        <v>781</v>
      </c>
      <c r="D25" s="110" t="s">
        <v>782</v>
      </c>
      <c r="E25" s="110" t="s">
        <v>783</v>
      </c>
      <c r="F25" s="110" t="s">
        <v>784</v>
      </c>
      <c r="G25" s="110" t="s">
        <v>326</v>
      </c>
      <c r="H25" s="110" t="s">
        <v>327</v>
      </c>
      <c r="I25" s="110" t="s">
        <v>752</v>
      </c>
      <c r="J25" s="406" t="s">
        <v>44</v>
      </c>
      <c r="K25" s="406"/>
      <c r="L25" s="406"/>
      <c r="M25" s="406"/>
    </row>
    <row r="26" spans="1:13" ht="15" customHeight="1">
      <c r="A26" s="111" t="s">
        <v>785</v>
      </c>
      <c r="B26" s="112" t="s">
        <v>786</v>
      </c>
      <c r="C26" s="113" t="s">
        <v>787</v>
      </c>
      <c r="D26" s="117">
        <v>1.1422000000000001</v>
      </c>
      <c r="E26" s="117">
        <v>5.4399999999999997E-2</v>
      </c>
      <c r="F26" s="111">
        <v>51</v>
      </c>
      <c r="G26" s="114">
        <f>(495/(D26-E26*LOG10(F26))-450)/100</f>
        <v>0.21739388192191711</v>
      </c>
      <c r="H26" s="115">
        <v>0.217394</v>
      </c>
      <c r="I26" s="116">
        <f t="shared" ref="I26:I31" si="6">G26-H26</f>
        <v>-1.1807808289465704E-7</v>
      </c>
      <c r="J26" s="403" t="str">
        <f t="shared" ref="J26:J31" si="7">IF(ABS(I26)&lt;=M36_TOL_FRAC,"APROBADO","FALLIDO")</f>
        <v>APROBADO</v>
      </c>
      <c r="K26" s="403"/>
      <c r="L26" s="403"/>
      <c r="M26" s="403"/>
    </row>
    <row r="27" spans="1:13" ht="15" customHeight="1">
      <c r="A27" s="111" t="s">
        <v>788</v>
      </c>
      <c r="B27" s="112" t="s">
        <v>789</v>
      </c>
      <c r="C27" s="113" t="s">
        <v>787</v>
      </c>
      <c r="D27" s="117">
        <v>1.1598999999999999</v>
      </c>
      <c r="E27" s="117">
        <v>7.17E-2</v>
      </c>
      <c r="F27" s="111">
        <v>60</v>
      </c>
      <c r="G27" s="114">
        <f>(495/(D27-E27*LOG10(F27))-450)/100</f>
        <v>0.29462279114830325</v>
      </c>
      <c r="H27" s="115">
        <v>0.29462300000000002</v>
      </c>
      <c r="I27" s="116">
        <f t="shared" si="6"/>
        <v>-2.0885169677020698E-7</v>
      </c>
      <c r="J27" s="403" t="str">
        <f t="shared" si="7"/>
        <v>APROBADO</v>
      </c>
      <c r="K27" s="403"/>
      <c r="L27" s="403"/>
      <c r="M27" s="403"/>
    </row>
    <row r="28" spans="1:13" ht="15" customHeight="1">
      <c r="A28" s="111" t="s">
        <v>790</v>
      </c>
      <c r="B28" s="112" t="s">
        <v>791</v>
      </c>
      <c r="C28" s="113" t="s">
        <v>787</v>
      </c>
      <c r="D28" s="117">
        <v>1.1619999999999999</v>
      </c>
      <c r="E28" s="117">
        <v>7.0000000000000007E-2</v>
      </c>
      <c r="F28" s="111">
        <v>45</v>
      </c>
      <c r="G28" s="114">
        <f>(495/(D28-E28*LOG10(F28))-450)/100</f>
        <v>0.23106918656987888</v>
      </c>
      <c r="H28" s="115">
        <v>0.231069</v>
      </c>
      <c r="I28" s="116">
        <f t="shared" si="6"/>
        <v>1.8656987887943899E-7</v>
      </c>
      <c r="J28" s="403" t="str">
        <f t="shared" si="7"/>
        <v>APROBADO</v>
      </c>
      <c r="K28" s="403"/>
      <c r="L28" s="403"/>
      <c r="M28" s="403"/>
    </row>
    <row r="29" spans="1:13" ht="15" customHeight="1">
      <c r="A29" s="111" t="s">
        <v>792</v>
      </c>
      <c r="B29" s="112" t="s">
        <v>652</v>
      </c>
      <c r="C29" s="113" t="s">
        <v>793</v>
      </c>
      <c r="D29" s="117">
        <v>0.153</v>
      </c>
      <c r="E29" s="117">
        <v>5.7830000000000004</v>
      </c>
      <c r="F29" s="111">
        <v>66</v>
      </c>
      <c r="G29" s="114">
        <f>(D29*F29+E29)/100</f>
        <v>0.15881000000000001</v>
      </c>
      <c r="H29" s="115">
        <v>0.15881000000000001</v>
      </c>
      <c r="I29" s="116">
        <f t="shared" si="6"/>
        <v>0</v>
      </c>
      <c r="J29" s="403" t="str">
        <f t="shared" si="7"/>
        <v>APROBADO</v>
      </c>
      <c r="K29" s="403"/>
      <c r="L29" s="403"/>
      <c r="M29" s="403"/>
    </row>
    <row r="30" spans="1:13" ht="15" customHeight="1">
      <c r="A30" s="111" t="s">
        <v>794</v>
      </c>
      <c r="B30" s="112" t="s">
        <v>652</v>
      </c>
      <c r="C30" s="113" t="s">
        <v>793</v>
      </c>
      <c r="D30" s="117">
        <v>0.153</v>
      </c>
      <c r="E30" s="117">
        <v>5.7830000000000004</v>
      </c>
      <c r="F30" s="111">
        <v>40</v>
      </c>
      <c r="G30" s="114">
        <f>(D30*F30+E30)/100</f>
        <v>0.11903000000000001</v>
      </c>
      <c r="H30" s="115">
        <v>0.11903</v>
      </c>
      <c r="I30" s="116">
        <f t="shared" si="6"/>
        <v>0</v>
      </c>
      <c r="J30" s="403" t="str">
        <f t="shared" si="7"/>
        <v>APROBADO</v>
      </c>
      <c r="K30" s="403"/>
      <c r="L30" s="403"/>
      <c r="M30" s="403"/>
    </row>
    <row r="31" spans="1:13" ht="15" customHeight="1">
      <c r="A31" s="111" t="s">
        <v>795</v>
      </c>
      <c r="B31" s="112" t="s">
        <v>652</v>
      </c>
      <c r="C31" s="113" t="s">
        <v>793</v>
      </c>
      <c r="D31" s="117">
        <v>0.153</v>
      </c>
      <c r="E31" s="117">
        <v>5.7830000000000004</v>
      </c>
      <c r="F31" s="111">
        <v>100</v>
      </c>
      <c r="G31" s="114">
        <f>(D31*F31+E31)/100</f>
        <v>0.21082999999999999</v>
      </c>
      <c r="H31" s="115">
        <v>0.21082999999999999</v>
      </c>
      <c r="I31" s="116">
        <f t="shared" si="6"/>
        <v>0</v>
      </c>
      <c r="J31" s="403" t="str">
        <f t="shared" si="7"/>
        <v>APROBADO</v>
      </c>
      <c r="K31" s="403"/>
      <c r="L31" s="403"/>
      <c r="M31" s="403"/>
    </row>
    <row r="32" spans="1:13">
      <c r="A32" s="22"/>
      <c r="B32" s="22"/>
      <c r="C32" s="22"/>
      <c r="D32" s="22"/>
      <c r="E32" s="22"/>
      <c r="F32" s="22"/>
      <c r="G32" s="2"/>
      <c r="H32" s="22"/>
      <c r="I32" s="2"/>
      <c r="J32" s="22"/>
      <c r="K32" s="22"/>
      <c r="L32" s="2"/>
      <c r="M32" s="22"/>
    </row>
    <row r="33" spans="1:13" ht="15" customHeight="1">
      <c r="A33" s="404" t="s">
        <v>796</v>
      </c>
      <c r="B33" s="404"/>
      <c r="C33" s="404"/>
      <c r="D33" s="404"/>
      <c r="E33" s="404"/>
      <c r="F33" s="404"/>
      <c r="G33" s="404"/>
      <c r="H33" s="404"/>
      <c r="I33" s="404"/>
      <c r="J33" s="404"/>
      <c r="K33" s="404"/>
      <c r="L33" s="404"/>
      <c r="M33" s="404"/>
    </row>
    <row r="34" spans="1:13" ht="21.75" customHeight="1">
      <c r="A34" s="110" t="s">
        <v>749</v>
      </c>
      <c r="B34" s="110" t="s">
        <v>750</v>
      </c>
      <c r="C34" s="110" t="s">
        <v>797</v>
      </c>
      <c r="D34" s="110" t="s">
        <v>798</v>
      </c>
      <c r="E34" s="110" t="s">
        <v>186</v>
      </c>
      <c r="F34" s="110" t="s">
        <v>799</v>
      </c>
      <c r="G34" s="110" t="s">
        <v>800</v>
      </c>
      <c r="H34" s="110" t="s">
        <v>801</v>
      </c>
      <c r="I34" s="110" t="s">
        <v>802</v>
      </c>
      <c r="J34" s="110" t="s">
        <v>803</v>
      </c>
      <c r="K34" s="406" t="s">
        <v>804</v>
      </c>
      <c r="L34" s="406"/>
      <c r="M34" s="406"/>
    </row>
    <row r="35" spans="1:13" ht="15" customHeight="1">
      <c r="A35" s="111" t="s">
        <v>805</v>
      </c>
      <c r="B35" s="112" t="s">
        <v>806</v>
      </c>
      <c r="C35" s="111">
        <v>12</v>
      </c>
      <c r="D35" s="111">
        <v>8</v>
      </c>
      <c r="E35" s="118">
        <v>14.375</v>
      </c>
      <c r="F35" s="119">
        <f>SQRT(C35/(2*D35))</f>
        <v>0.8660254037844386</v>
      </c>
      <c r="G35" s="117">
        <v>0.86602500000000004</v>
      </c>
      <c r="H35" s="120" t="str">
        <f>IF(ABS(F35-G35)&lt;=M36_TOL_MM,"APROBADO","FALLIDO")</f>
        <v>APROBADO</v>
      </c>
      <c r="I35" s="114">
        <f>F35/E35</f>
        <v>6.0245245480656601E-2</v>
      </c>
      <c r="J35" s="115">
        <v>6.0245E-2</v>
      </c>
      <c r="K35" s="403" t="str">
        <f>IF(ABS(I35-J35)&lt;=M36_TOL_FRAC,"APROBADO","FALLIDO")</f>
        <v>APROBADO</v>
      </c>
      <c r="L35" s="403"/>
      <c r="M35" s="403"/>
    </row>
    <row r="36" spans="1:13" ht="15" customHeight="1">
      <c r="A36" s="111" t="s">
        <v>807</v>
      </c>
      <c r="B36" s="112" t="s">
        <v>808</v>
      </c>
      <c r="C36" s="111">
        <v>0</v>
      </c>
      <c r="D36" s="111">
        <v>6</v>
      </c>
      <c r="E36" s="118">
        <v>15</v>
      </c>
      <c r="F36" s="119">
        <f>SQRT(C36/(2*D36))</f>
        <v>0</v>
      </c>
      <c r="G36" s="117">
        <v>0</v>
      </c>
      <c r="H36" s="120" t="str">
        <f>IF(ABS(F36-G36)&lt;=M36_TOL_MM,"APROBADO","FALLIDO")</f>
        <v>APROBADO</v>
      </c>
      <c r="I36" s="114">
        <f>F36/E36</f>
        <v>0</v>
      </c>
      <c r="J36" s="115">
        <v>0</v>
      </c>
      <c r="K36" s="403" t="str">
        <f>IF(ABS(I36-J36)&lt;=M36_TOL_FRAC,"APROBADO","FALLIDO")</f>
        <v>APROBADO</v>
      </c>
      <c r="L36" s="403"/>
      <c r="M36" s="403"/>
    </row>
    <row r="37" spans="1:13" ht="15" customHeight="1">
      <c r="A37" s="111" t="s">
        <v>809</v>
      </c>
      <c r="B37" s="112" t="s">
        <v>810</v>
      </c>
      <c r="C37" s="111">
        <v>50</v>
      </c>
      <c r="D37" s="111">
        <v>8</v>
      </c>
      <c r="E37" s="118">
        <v>16</v>
      </c>
      <c r="F37" s="119">
        <f>SQRT(C37/(2*D37))</f>
        <v>1.7677669529663689</v>
      </c>
      <c r="G37" s="117">
        <v>1.7677670000000001</v>
      </c>
      <c r="H37" s="120" t="str">
        <f>IF(ABS(F37-G37)&lt;=M36_TOL_MM,"APROBADO","FALLIDO")</f>
        <v>APROBADO</v>
      </c>
      <c r="I37" s="114">
        <f>F37/E37</f>
        <v>0.11048543456039805</v>
      </c>
      <c r="J37" s="115">
        <v>0.110485</v>
      </c>
      <c r="K37" s="403" t="str">
        <f>IF(ABS(I37-J37)&lt;=M36_TOL_FRAC,"APROBADO","FALLIDO")</f>
        <v>APROBADO</v>
      </c>
      <c r="L37" s="403"/>
      <c r="M37" s="403"/>
    </row>
    <row r="38" spans="1:13">
      <c r="A38" s="22"/>
      <c r="B38" s="22"/>
      <c r="C38" s="22"/>
      <c r="D38" s="22"/>
      <c r="E38" s="22"/>
      <c r="F38" s="22"/>
      <c r="G38" s="2"/>
      <c r="H38" s="22"/>
      <c r="I38" s="2"/>
      <c r="J38" s="22"/>
      <c r="K38" s="22"/>
      <c r="L38" s="2"/>
      <c r="M38" s="22"/>
    </row>
    <row r="39" spans="1:13" ht="15" customHeight="1">
      <c r="A39" s="404" t="s">
        <v>811</v>
      </c>
      <c r="B39" s="404"/>
      <c r="C39" s="404"/>
      <c r="D39" s="404"/>
      <c r="E39" s="404"/>
      <c r="F39" s="404"/>
      <c r="G39" s="404"/>
      <c r="H39" s="404"/>
      <c r="I39" s="404"/>
      <c r="J39" s="404"/>
      <c r="K39" s="404"/>
      <c r="L39" s="404"/>
      <c r="M39" s="404"/>
    </row>
    <row r="40" spans="1:13" ht="15" customHeight="1">
      <c r="A40" s="110" t="s">
        <v>749</v>
      </c>
      <c r="B40" s="110" t="s">
        <v>812</v>
      </c>
      <c r="C40" s="110" t="s">
        <v>66</v>
      </c>
      <c r="D40" s="110" t="s">
        <v>813</v>
      </c>
      <c r="E40" s="110" t="s">
        <v>814</v>
      </c>
      <c r="F40" s="110" t="s">
        <v>815</v>
      </c>
      <c r="G40" s="110" t="s">
        <v>816</v>
      </c>
      <c r="H40" s="110" t="s">
        <v>817</v>
      </c>
      <c r="I40" s="110" t="s">
        <v>818</v>
      </c>
      <c r="J40" s="110" t="s">
        <v>819</v>
      </c>
      <c r="K40" s="406"/>
      <c r="L40" s="406"/>
      <c r="M40" s="406"/>
    </row>
    <row r="41" spans="1:13" ht="15" customHeight="1">
      <c r="A41" s="111" t="s">
        <v>820</v>
      </c>
      <c r="B41" s="121">
        <v>0.16261999999999999</v>
      </c>
      <c r="C41" s="111">
        <v>78.5</v>
      </c>
      <c r="D41" s="122">
        <v>1.76</v>
      </c>
      <c r="E41" s="123">
        <f>B41*C41</f>
        <v>12.765669999999998</v>
      </c>
      <c r="F41" s="122">
        <v>12.765700000000001</v>
      </c>
      <c r="G41" s="120" t="str">
        <f>IF(ABS(E41-F41)&lt;=M36_TOL_KG,"APROBADO","FALLIDO")</f>
        <v>APROBADO</v>
      </c>
      <c r="H41" s="123">
        <f>(C41-B41*C41)/D41^2</f>
        <v>21.221051782024794</v>
      </c>
      <c r="I41" s="122">
        <v>21.2211</v>
      </c>
      <c r="J41" s="120" t="str">
        <f>IF(ABS(H41-I41)&lt;=M36_TOL_KG,"APROBADO","FALLIDO")</f>
        <v>APROBADO</v>
      </c>
      <c r="K41" s="403"/>
      <c r="L41" s="403"/>
      <c r="M41" s="403"/>
    </row>
    <row r="42" spans="1:13" ht="15" customHeight="1">
      <c r="A42" s="111" t="s">
        <v>821</v>
      </c>
      <c r="B42" s="121">
        <v>0.3</v>
      </c>
      <c r="C42" s="111">
        <v>60</v>
      </c>
      <c r="D42" s="122">
        <v>1.6</v>
      </c>
      <c r="E42" s="123">
        <f>B42*C42</f>
        <v>18</v>
      </c>
      <c r="F42" s="122">
        <v>18</v>
      </c>
      <c r="G42" s="120" t="str">
        <f>IF(ABS(E42-F42)&lt;=M36_TOL_KG,"APROBADO","FALLIDO")</f>
        <v>APROBADO</v>
      </c>
      <c r="H42" s="123">
        <f>(C42-B42*C42)/D42^2</f>
        <v>16.406249999999996</v>
      </c>
      <c r="I42" s="122">
        <v>16.406199999999998</v>
      </c>
      <c r="J42" s="120" t="str">
        <f>IF(ABS(H42-I42)&lt;=M36_TOL_KG,"APROBADO","FALLIDO")</f>
        <v>APROBADO</v>
      </c>
      <c r="K42" s="403"/>
      <c r="L42" s="403"/>
      <c r="M42" s="403"/>
    </row>
    <row r="43" spans="1:13" ht="15" customHeight="1">
      <c r="A43" s="111" t="s">
        <v>822</v>
      </c>
      <c r="B43" s="121">
        <v>0.12</v>
      </c>
      <c r="C43" s="111">
        <v>90</v>
      </c>
      <c r="D43" s="122">
        <v>1.85</v>
      </c>
      <c r="E43" s="123">
        <f>B43*C43</f>
        <v>10.799999999999999</v>
      </c>
      <c r="F43" s="122">
        <v>10.8</v>
      </c>
      <c r="G43" s="120" t="str">
        <f>IF(ABS(E43-F43)&lt;=M36_TOL_KG,"APROBADO","FALLIDO")</f>
        <v>APROBADO</v>
      </c>
      <c r="H43" s="123">
        <f>(C43-B43*C43)/D43^2</f>
        <v>23.140978816654492</v>
      </c>
      <c r="I43" s="122">
        <v>23.140999999999998</v>
      </c>
      <c r="J43" s="120" t="str">
        <f>IF(ABS(H43-I43)&lt;=M36_TOL_KG,"APROBADO","FALLIDO")</f>
        <v>APROBADO</v>
      </c>
      <c r="K43" s="403"/>
      <c r="L43" s="403"/>
      <c r="M43" s="403"/>
    </row>
    <row r="44" spans="1:13">
      <c r="A44" s="22"/>
      <c r="B44" s="22"/>
      <c r="C44" s="22"/>
      <c r="D44" s="22"/>
      <c r="E44" s="22"/>
      <c r="F44" s="22"/>
      <c r="G44" s="2"/>
      <c r="H44" s="22"/>
      <c r="I44" s="2"/>
      <c r="J44" s="22"/>
      <c r="K44" s="22"/>
      <c r="L44" s="2"/>
      <c r="M44" s="22"/>
    </row>
    <row r="45" spans="1:13" ht="15" customHeight="1">
      <c r="A45" s="404" t="s">
        <v>823</v>
      </c>
      <c r="B45" s="404"/>
      <c r="C45" s="404"/>
      <c r="D45" s="404"/>
      <c r="E45" s="404"/>
      <c r="F45" s="404"/>
      <c r="G45" s="404"/>
      <c r="H45" s="404"/>
      <c r="I45" s="404"/>
      <c r="J45" s="404"/>
      <c r="K45" s="404"/>
      <c r="L45" s="404"/>
      <c r="M45" s="404"/>
    </row>
    <row r="46" spans="1:13" ht="32.25" customHeight="1">
      <c r="A46" s="124" t="s">
        <v>749</v>
      </c>
      <c r="B46" s="124" t="s">
        <v>824</v>
      </c>
      <c r="C46" s="124" t="s">
        <v>825</v>
      </c>
      <c r="D46" s="124" t="s">
        <v>826</v>
      </c>
      <c r="E46" s="124" t="s">
        <v>827</v>
      </c>
      <c r="F46" s="408" t="s">
        <v>44</v>
      </c>
      <c r="G46" s="408"/>
      <c r="H46" s="408"/>
      <c r="I46" s="408"/>
      <c r="J46" s="408"/>
      <c r="K46" s="408"/>
      <c r="L46" s="408"/>
      <c r="M46" s="408"/>
    </row>
    <row r="47" spans="1:13" ht="30.75" customHeight="1">
      <c r="A47" s="125" t="s">
        <v>828</v>
      </c>
      <c r="B47" s="126" t="s">
        <v>829</v>
      </c>
      <c r="C47" s="127" t="s">
        <v>830</v>
      </c>
      <c r="D47" s="128" t="s">
        <v>831</v>
      </c>
      <c r="E47" s="129" t="str">
        <f>IF(NOT(ISNUMBER(15)),"ERROR: edad no numérica",IF(AND(15&gt;=18,15&lt;=120),"OK","ERROR: edad fuera del alcance adulto"))</f>
        <v>ERROR: edad fuera del alcance adulto</v>
      </c>
      <c r="F47" s="407" t="str">
        <f t="shared" ref="F47:F56" si="8">IF(E47=D47,"APROBADO","FALLIDO")</f>
        <v>APROBADO</v>
      </c>
      <c r="G47" s="407"/>
      <c r="H47" s="407"/>
      <c r="I47" s="407"/>
      <c r="J47" s="407"/>
      <c r="K47" s="407"/>
      <c r="L47" s="407"/>
      <c r="M47" s="407"/>
    </row>
    <row r="48" spans="1:13" ht="27" customHeight="1">
      <c r="A48" s="125" t="s">
        <v>832</v>
      </c>
      <c r="B48" s="126" t="s">
        <v>833</v>
      </c>
      <c r="C48" s="127" t="s">
        <v>834</v>
      </c>
      <c r="D48" s="128" t="s">
        <v>835</v>
      </c>
      <c r="E48" s="129" t="str">
        <f>IF(NOT(ISNUMBER("quince")),"ERROR: edad no numérica",IF(AND("quince"&gt;=18,"quince"&lt;=120),"OK","ERROR: edad fuera del alcance adulto"))</f>
        <v>ERROR: edad no numérica</v>
      </c>
      <c r="F48" s="407" t="str">
        <f t="shared" si="8"/>
        <v>APROBADO</v>
      </c>
      <c r="G48" s="407"/>
      <c r="H48" s="407"/>
      <c r="I48" s="407"/>
      <c r="J48" s="407"/>
      <c r="K48" s="407"/>
      <c r="L48" s="407"/>
      <c r="M48" s="407"/>
    </row>
    <row r="49" spans="1:13" ht="15" customHeight="1">
      <c r="A49" s="125" t="s">
        <v>836</v>
      </c>
      <c r="B49" s="126" t="s">
        <v>837</v>
      </c>
      <c r="C49" s="127" t="s">
        <v>838</v>
      </c>
      <c r="D49" s="128" t="s">
        <v>839</v>
      </c>
      <c r="E49" s="129" t="str">
        <f>IF(NOT(ISNUMBER(-5)),"ERROR: peso no numérico",IF(AND(-5&gt;=25,-5&lt;=350),"OK","ERROR: peso fuera de rango"))</f>
        <v>ERROR: peso fuera de rango</v>
      </c>
      <c r="F49" s="407" t="str">
        <f t="shared" si="8"/>
        <v>APROBADO</v>
      </c>
      <c r="G49" s="407"/>
      <c r="H49" s="407"/>
      <c r="I49" s="407"/>
      <c r="J49" s="407"/>
      <c r="K49" s="407"/>
      <c r="L49" s="407"/>
      <c r="M49" s="407"/>
    </row>
    <row r="50" spans="1:13" ht="15" customHeight="1">
      <c r="A50" s="125" t="s">
        <v>840</v>
      </c>
      <c r="B50" s="126" t="s">
        <v>841</v>
      </c>
      <c r="C50" s="127" t="s">
        <v>842</v>
      </c>
      <c r="D50" s="128" t="s">
        <v>843</v>
      </c>
      <c r="E50" s="129" t="str">
        <f>IF(NOT(ISNUMBER(400)),"ERROR: estatura no numérico",IF(AND(400&gt;=120,400&lt;=230),"OK","ERROR: estatura fuera de rango"))</f>
        <v>ERROR: estatura fuera de rango</v>
      </c>
      <c r="F50" s="407" t="str">
        <f t="shared" si="8"/>
        <v>APROBADO</v>
      </c>
      <c r="G50" s="407"/>
      <c r="H50" s="407"/>
      <c r="I50" s="407"/>
      <c r="J50" s="407"/>
      <c r="K50" s="407"/>
      <c r="L50" s="407"/>
      <c r="M50" s="407"/>
    </row>
    <row r="51" spans="1:13" ht="15" customHeight="1">
      <c r="A51" s="125" t="s">
        <v>844</v>
      </c>
      <c r="B51" s="126" t="s">
        <v>845</v>
      </c>
      <c r="C51" s="127" t="s">
        <v>846</v>
      </c>
      <c r="D51" s="128" t="s">
        <v>847</v>
      </c>
      <c r="E51" s="129" t="str">
        <f>IF(AND(ISNUMBER(0),0&gt;=1,0&lt;=80),"OK","ERROR: pliegue fuera de rango")</f>
        <v>ERROR: pliegue fuera de rango</v>
      </c>
      <c r="F51" s="407" t="str">
        <f t="shared" si="8"/>
        <v>APROBADO</v>
      </c>
      <c r="G51" s="407"/>
      <c r="H51" s="407"/>
      <c r="I51" s="407"/>
      <c r="J51" s="407"/>
      <c r="K51" s="407"/>
      <c r="L51" s="407"/>
      <c r="M51" s="407"/>
    </row>
    <row r="52" spans="1:13" ht="29.25" customHeight="1">
      <c r="A52" s="125" t="s">
        <v>848</v>
      </c>
      <c r="B52" s="126" t="s">
        <v>849</v>
      </c>
      <c r="C52" s="127" t="s">
        <v>850</v>
      </c>
      <c r="D52" s="128" t="s">
        <v>847</v>
      </c>
      <c r="E52" s="129" t="str">
        <f>IF(AND(ISNUMBER(95),95&gt;=1,95&lt;=80),"OK","ERROR: pliegue fuera de rango")</f>
        <v>ERROR: pliegue fuera de rango</v>
      </c>
      <c r="F52" s="407" t="str">
        <f t="shared" si="8"/>
        <v>APROBADO</v>
      </c>
      <c r="G52" s="407"/>
      <c r="H52" s="407"/>
      <c r="I52" s="407"/>
      <c r="J52" s="407"/>
      <c r="K52" s="407"/>
      <c r="L52" s="407"/>
      <c r="M52" s="407"/>
    </row>
    <row r="53" spans="1:13" ht="30" customHeight="1">
      <c r="A53" s="125" t="s">
        <v>851</v>
      </c>
      <c r="B53" s="126" t="s">
        <v>852</v>
      </c>
      <c r="C53" s="127" t="s">
        <v>853</v>
      </c>
      <c r="D53" s="128" t="s">
        <v>854</v>
      </c>
      <c r="E53" s="129" t="str">
        <f>IF(AND(ISNUMBER(0.9),0.9&gt;=0.03,0.9&lt;=0.75),"OK","ERROR: % de grasa fuera del rango plausible")</f>
        <v>ERROR: % de grasa fuera del rango plausible</v>
      </c>
      <c r="F53" s="407" t="str">
        <f t="shared" si="8"/>
        <v>APROBADO</v>
      </c>
      <c r="G53" s="407"/>
      <c r="H53" s="407"/>
      <c r="I53" s="407"/>
      <c r="J53" s="407"/>
      <c r="K53" s="407"/>
      <c r="L53" s="407"/>
      <c r="M53" s="407"/>
    </row>
    <row r="54" spans="1:13" ht="15" customHeight="1">
      <c r="A54" s="125" t="s">
        <v>855</v>
      </c>
      <c r="B54" s="126" t="s">
        <v>856</v>
      </c>
      <c r="C54" s="127" t="s">
        <v>857</v>
      </c>
      <c r="D54" s="128" t="s">
        <v>858</v>
      </c>
      <c r="E54" s="129" t="str">
        <f>IF(0.04&lt;=0.05,"OK (≤5%)",IF(0.04&lt;=0.075,"Aceptable (5–7,5%)","Revisar técnica (&gt;7,5%)"))</f>
        <v>OK (≤5%)</v>
      </c>
      <c r="F54" s="407" t="str">
        <f t="shared" si="8"/>
        <v>APROBADO</v>
      </c>
      <c r="G54" s="407"/>
      <c r="H54" s="407"/>
      <c r="I54" s="407"/>
      <c r="J54" s="407"/>
      <c r="K54" s="407"/>
      <c r="L54" s="407"/>
      <c r="M54" s="407"/>
    </row>
    <row r="55" spans="1:13" ht="15" customHeight="1">
      <c r="A55" s="125" t="s">
        <v>859</v>
      </c>
      <c r="B55" s="126" t="s">
        <v>860</v>
      </c>
      <c r="C55" s="127" t="s">
        <v>861</v>
      </c>
      <c r="D55" s="128" t="s">
        <v>862</v>
      </c>
      <c r="E55" s="129" t="str">
        <f>IF(0.06&lt;=0.05,"OK (≤5%)",IF(0.06&lt;=0.075,"Aceptable (5–7,5%)","Revisar técnica (&gt;7,5%)"))</f>
        <v>Aceptable (5–7,5%)</v>
      </c>
      <c r="F55" s="407" t="str">
        <f t="shared" si="8"/>
        <v>APROBADO</v>
      </c>
      <c r="G55" s="407"/>
      <c r="H55" s="407"/>
      <c r="I55" s="407"/>
      <c r="J55" s="407"/>
      <c r="K55" s="407"/>
      <c r="L55" s="407"/>
      <c r="M55" s="407"/>
    </row>
    <row r="56" spans="1:13" ht="15" customHeight="1">
      <c r="A56" s="125" t="s">
        <v>863</v>
      </c>
      <c r="B56" s="126" t="s">
        <v>864</v>
      </c>
      <c r="C56" s="127" t="s">
        <v>865</v>
      </c>
      <c r="D56" s="128" t="s">
        <v>866</v>
      </c>
      <c r="E56" s="129" t="str">
        <f>IF(0.09&lt;=0.05,"OK (≤5%)",IF(0.09&lt;=0.075,"Aceptable (5–7,5%)","Revisar técnica (&gt;7,5%)"))</f>
        <v>Revisar técnica (&gt;7,5%)</v>
      </c>
      <c r="F56" s="407" t="str">
        <f t="shared" si="8"/>
        <v>APROBADO</v>
      </c>
      <c r="G56" s="407"/>
      <c r="H56" s="407"/>
      <c r="I56" s="407"/>
      <c r="J56" s="407"/>
      <c r="K56" s="407"/>
      <c r="L56" s="407"/>
      <c r="M56" s="407"/>
    </row>
    <row r="57" spans="1:13">
      <c r="A57" s="22"/>
      <c r="B57" s="22"/>
      <c r="C57" s="22"/>
      <c r="D57" s="22"/>
      <c r="E57" s="22"/>
      <c r="F57" s="22"/>
      <c r="G57" s="2"/>
      <c r="H57" s="22"/>
      <c r="I57" s="2"/>
      <c r="J57" s="22"/>
      <c r="K57" s="22"/>
      <c r="L57" s="2"/>
      <c r="M57" s="22"/>
    </row>
    <row r="58" spans="1:13" ht="15" customHeight="1">
      <c r="A58" s="404" t="s">
        <v>867</v>
      </c>
      <c r="B58" s="404"/>
      <c r="C58" s="404"/>
      <c r="D58" s="404"/>
      <c r="E58" s="404"/>
      <c r="F58" s="404"/>
      <c r="G58" s="404"/>
      <c r="H58" s="404"/>
      <c r="I58" s="404"/>
      <c r="J58" s="404"/>
      <c r="K58" s="404"/>
      <c r="L58" s="404"/>
      <c r="M58" s="404"/>
    </row>
    <row r="59" spans="1:13" ht="15" customHeight="1">
      <c r="A59" s="110" t="s">
        <v>749</v>
      </c>
      <c r="B59" s="110" t="s">
        <v>868</v>
      </c>
      <c r="C59" s="110" t="s">
        <v>869</v>
      </c>
      <c r="D59" s="110" t="s">
        <v>327</v>
      </c>
      <c r="E59" s="405" t="s">
        <v>44</v>
      </c>
      <c r="F59" s="405"/>
      <c r="G59" s="405"/>
      <c r="H59" s="405"/>
      <c r="I59" s="405"/>
      <c r="J59" s="406"/>
      <c r="K59" s="406"/>
      <c r="L59" s="406"/>
      <c r="M59" s="406"/>
    </row>
    <row r="60" spans="1:13" ht="15" customHeight="1">
      <c r="A60" s="111" t="s">
        <v>870</v>
      </c>
      <c r="B60" s="112" t="s">
        <v>871</v>
      </c>
      <c r="C60" s="130">
        <f>SUMPRODUCT(--ISERROR(M36_CALCULOS!B7:B55))</f>
        <v>0</v>
      </c>
      <c r="D60" s="111">
        <v>0</v>
      </c>
      <c r="E60" s="402" t="str">
        <f>IF(C60=D60,"APROBADO","FALLIDO")</f>
        <v>APROBADO</v>
      </c>
      <c r="F60" s="402"/>
      <c r="G60" s="402"/>
      <c r="H60" s="402"/>
      <c r="I60" s="402"/>
      <c r="J60" s="403"/>
      <c r="K60" s="403"/>
      <c r="L60" s="403"/>
      <c r="M60" s="403"/>
    </row>
    <row r="61" spans="1:13" ht="15" customHeight="1">
      <c r="A61" s="111" t="s">
        <v>872</v>
      </c>
      <c r="B61" s="112" t="s">
        <v>873</v>
      </c>
      <c r="C61" s="130">
        <f>SUMPRODUCT(--ISERROR(M36_PLIEGUES!E7:F14))</f>
        <v>0</v>
      </c>
      <c r="D61" s="111">
        <v>0</v>
      </c>
      <c r="E61" s="402" t="str">
        <f>IF(C61=D61,"APROBADO","FALLIDO")</f>
        <v>APROBADO</v>
      </c>
      <c r="F61" s="402"/>
      <c r="G61" s="402"/>
      <c r="H61" s="402"/>
      <c r="I61" s="402"/>
      <c r="J61" s="403"/>
      <c r="K61" s="403"/>
      <c r="L61" s="403"/>
      <c r="M61" s="403"/>
    </row>
    <row r="62" spans="1:13" ht="15" customHeight="1">
      <c r="A62" s="111" t="s">
        <v>874</v>
      </c>
      <c r="B62" s="112" t="s">
        <v>875</v>
      </c>
      <c r="C62" s="130">
        <f>SUMPRODUCT(--ISERROR(M36_RESULTADOS!B6:F60))</f>
        <v>0</v>
      </c>
      <c r="D62" s="111">
        <v>0</v>
      </c>
      <c r="E62" s="402" t="str">
        <f>IF(C62=D62,"APROBADO","FALLIDO")</f>
        <v>APROBADO</v>
      </c>
      <c r="F62" s="402"/>
      <c r="G62" s="402"/>
      <c r="H62" s="402"/>
      <c r="I62" s="402"/>
      <c r="J62" s="403"/>
      <c r="K62" s="403"/>
      <c r="L62" s="403"/>
      <c r="M62" s="403"/>
    </row>
    <row r="63" spans="1:13">
      <c r="A63" s="22"/>
      <c r="B63" s="22"/>
      <c r="C63" s="22"/>
      <c r="D63" s="22"/>
      <c r="E63" s="22"/>
      <c r="F63" s="22"/>
      <c r="G63" s="2"/>
      <c r="H63" s="22"/>
      <c r="I63" s="2"/>
      <c r="J63" s="22"/>
      <c r="K63" s="22"/>
      <c r="L63" s="2"/>
      <c r="M63" s="22"/>
    </row>
    <row r="64" spans="1:13" ht="15" customHeight="1">
      <c r="A64" s="404" t="s">
        <v>876</v>
      </c>
      <c r="B64" s="404"/>
      <c r="C64" s="404"/>
      <c r="D64" s="404"/>
      <c r="E64" s="404"/>
      <c r="F64" s="404"/>
      <c r="G64" s="404"/>
      <c r="H64" s="404"/>
      <c r="I64" s="404"/>
      <c r="J64" s="404"/>
      <c r="K64" s="404"/>
      <c r="L64" s="404"/>
      <c r="M64" s="404"/>
    </row>
    <row r="65" spans="1:13" ht="21.75" customHeight="1">
      <c r="A65" s="110" t="s">
        <v>749</v>
      </c>
      <c r="B65" s="110" t="s">
        <v>877</v>
      </c>
      <c r="C65" s="110" t="s">
        <v>878</v>
      </c>
      <c r="D65" s="110" t="s">
        <v>879</v>
      </c>
      <c r="E65" s="110" t="s">
        <v>752</v>
      </c>
      <c r="F65" s="405" t="s">
        <v>44</v>
      </c>
      <c r="G65" s="405"/>
      <c r="H65" s="405"/>
      <c r="I65" s="405"/>
      <c r="J65" s="405"/>
      <c r="K65" s="405"/>
      <c r="L65" s="405"/>
      <c r="M65" s="405"/>
    </row>
    <row r="66" spans="1:13" ht="15" customHeight="1">
      <c r="A66" s="111" t="s">
        <v>880</v>
      </c>
      <c r="B66" s="112" t="s">
        <v>881</v>
      </c>
      <c r="C66" s="114">
        <f>M36_c_GrJP7</f>
        <v>0.13989154914336893</v>
      </c>
      <c r="D66" s="114">
        <f>(495/(1.112-0.00043499*(M36_p_Pect+M36_p_Axil+M36_p_Tri+M36_p_Sub+M36_p_Abd+M36_p_Supra+M36_p_Muslo)+0.00000055*(M36_p_Pect+M36_p_Axil+M36_p_Tri+M36_p_Sub+M36_p_Abd+M36_p_Supra+M36_p_Muslo)^2-0.00028826*M36_in_Edad)-450)/100</f>
        <v>0.13989154914336893</v>
      </c>
      <c r="E66" s="131">
        <f>C66-D66</f>
        <v>0</v>
      </c>
      <c r="F66" s="402" t="str">
        <f>IF(ABS(E66)&lt;=M36_TOL_FRAC,"APROBADO","FALLIDO")</f>
        <v>APROBADO</v>
      </c>
      <c r="G66" s="402"/>
      <c r="H66" s="402"/>
      <c r="I66" s="402"/>
      <c r="J66" s="402"/>
      <c r="K66" s="402"/>
      <c r="L66" s="402"/>
      <c r="M66" s="402"/>
    </row>
    <row r="67" spans="1:13" ht="15" customHeight="1">
      <c r="A67" s="111" t="s">
        <v>882</v>
      </c>
      <c r="B67" s="112" t="s">
        <v>883</v>
      </c>
      <c r="C67" s="114">
        <f>M36_c_GrFaulk</f>
        <v>0.15269000000000002</v>
      </c>
      <c r="D67" s="114">
        <f>(0.153*(M36_p_Tri+M36_p_Sub+M36_p_Supra+M36_p_Abd)+5.783)/100</f>
        <v>0.15269000000000002</v>
      </c>
      <c r="E67" s="131">
        <f>C67-D67</f>
        <v>0</v>
      </c>
      <c r="F67" s="402" t="str">
        <f>IF(ABS(E67)&lt;=M36_TOL_FRAC,"APROBADO","FALLIDO")</f>
        <v>APROBADO</v>
      </c>
      <c r="G67" s="402"/>
      <c r="H67" s="402"/>
      <c r="I67" s="402"/>
      <c r="J67" s="402"/>
      <c r="K67" s="402"/>
      <c r="L67" s="402"/>
      <c r="M67" s="402"/>
    </row>
    <row r="68" spans="1:13" ht="15" customHeight="1">
      <c r="A68" s="111" t="s">
        <v>884</v>
      </c>
      <c r="B68" s="112" t="s">
        <v>631</v>
      </c>
      <c r="C68" s="114">
        <f>M36_a_TEMrel</f>
        <v>6.0245245480656601E-2</v>
      </c>
      <c r="D68" s="114">
        <f>M36_a_TEMabs/M36_a_MediaG</f>
        <v>6.0245245480656601E-2</v>
      </c>
      <c r="E68" s="131">
        <f>C68-D68</f>
        <v>0</v>
      </c>
      <c r="F68" s="402" t="str">
        <f>IF(ABS(E68)&lt;=M36_TOL_FRAC,"APROBADO","FALLIDO")</f>
        <v>APROBADO</v>
      </c>
      <c r="G68" s="402"/>
      <c r="H68" s="402"/>
      <c r="I68" s="402"/>
      <c r="J68" s="402"/>
      <c r="K68" s="402"/>
      <c r="L68" s="402"/>
      <c r="M68" s="402"/>
    </row>
    <row r="69" spans="1:13" ht="15" customHeight="1">
      <c r="A69" s="111" t="s">
        <v>885</v>
      </c>
      <c r="B69" s="112" t="s">
        <v>886</v>
      </c>
      <c r="C69" s="123">
        <f>M36_c_MG</f>
        <v>10.98148660775446</v>
      </c>
      <c r="D69" s="123">
        <f>M36_c_GrRep*M36_in_Peso</f>
        <v>10.98148660775446</v>
      </c>
      <c r="E69" s="131">
        <f>C69-D69</f>
        <v>0</v>
      </c>
      <c r="F69" s="402" t="str">
        <f>IF(ABS(E69)&lt;=M36_TOL_KG,"APROBADO","FALLIDO")</f>
        <v>APROBADO</v>
      </c>
      <c r="G69" s="402"/>
      <c r="H69" s="402"/>
      <c r="I69" s="402"/>
      <c r="J69" s="402"/>
      <c r="K69" s="402"/>
      <c r="L69" s="402"/>
      <c r="M69" s="402"/>
    </row>
    <row r="70" spans="1:13">
      <c r="A70" s="22"/>
      <c r="B70" s="22"/>
      <c r="C70" s="22"/>
      <c r="D70" s="22"/>
      <c r="E70" s="22"/>
      <c r="F70" s="22"/>
      <c r="G70" s="2"/>
      <c r="H70" s="22"/>
      <c r="I70" s="2"/>
      <c r="J70" s="22"/>
      <c r="K70" s="22"/>
      <c r="L70" s="2"/>
      <c r="M70" s="22"/>
    </row>
    <row r="71" spans="1:13">
      <c r="A71" s="22"/>
      <c r="B71" s="22"/>
      <c r="C71" s="22"/>
      <c r="D71" s="22"/>
      <c r="E71" s="22"/>
      <c r="F71" s="22"/>
      <c r="G71" s="2"/>
      <c r="H71" s="22"/>
      <c r="I71" s="2"/>
      <c r="J71" s="22"/>
      <c r="K71" s="22"/>
      <c r="L71" s="2"/>
      <c r="M71" s="22"/>
    </row>
    <row r="72" spans="1:13" ht="15" customHeight="1">
      <c r="A72" s="390" t="s">
        <v>887</v>
      </c>
      <c r="B72" s="390"/>
      <c r="C72" s="390"/>
      <c r="D72" s="390"/>
      <c r="E72" s="390"/>
      <c r="F72" s="390"/>
      <c r="G72" s="390"/>
      <c r="H72" s="390"/>
      <c r="I72" s="390"/>
      <c r="J72" s="390"/>
      <c r="K72" s="390"/>
      <c r="L72" s="390"/>
      <c r="M72" s="390"/>
    </row>
    <row r="73" spans="1:13" ht="15" customHeight="1">
      <c r="A73" s="370" t="s">
        <v>888</v>
      </c>
      <c r="B73" s="370"/>
      <c r="C73" s="132">
        <v>47</v>
      </c>
      <c r="D73" s="22"/>
      <c r="E73" s="22"/>
      <c r="F73" s="22"/>
      <c r="G73" s="2"/>
      <c r="H73" s="22"/>
      <c r="I73" s="2"/>
      <c r="J73" s="22"/>
      <c r="K73" s="22"/>
      <c r="L73" s="2"/>
      <c r="M73" s="22"/>
    </row>
    <row r="74" spans="1:13" ht="15" customHeight="1">
      <c r="A74" s="370" t="s">
        <v>889</v>
      </c>
      <c r="B74" s="370"/>
      <c r="C74" s="132">
        <f>IF(I8="APROBADO",1,0)+IF(I9="APROBADO",1,0)+IF(I10="APROBADO",1,0)+IF(I11="APROBADO",1,0)+IF(I12="APROBADO",1,0)+IF(I13="APROBADO",1,0)+IF(I17="APROBADO",1,0)+IF(I18="APROBADO",1,0)+IF(I19="APROBADO",1,0)+IF(I20="APROBADO",1,0)+IF(I21="APROBADO",1,0)+IF(I22="APROBADO",1,0)+IF(J26="APROBADO",1,0)+IF(J27="APROBADO",1,0)+IF(J28="APROBADO",1,0)+IF(J29="APROBADO",1,0)+IF(J30="APROBADO",1,0)+IF(J31="APROBADO",1,0)+IF(H35="APROBADO",1,0)+IF(K35="APROBADO",1,0)+IF(H36="APROBADO",1,0)+IF(K36="APROBADO",1,0)+IF(H37="APROBADO",1,0)+IF(K37="APROBADO",1,0)+IF(G41="APROBADO",1,0)+IF(J41="APROBADO",1,0)+IF(G42="APROBADO",1,0)+IF(J42="APROBADO",1,0)+IF(G43="APROBADO",1,0)+IF(J43="APROBADO",1,0)+IF(F47="APROBADO",1,0)+IF(F48="APROBADO",1,0)+IF(F49="APROBADO",1,0)+IF(F50="APROBADO",1,0)+IF(F51="APROBADO",1,0)+IF(F52="APROBADO",1,0)+IF(F53="APROBADO",1,0)+IF(F54="APROBADO",1,0)+IF(F55="APROBADO",1,0)+IF(F56="APROBADO",1,0)+IF(E60="APROBADO",1,0)+IF(E61="APROBADO",1,0)+IF(E62="APROBADO",1,0)+IF(F66="APROBADO",1,0)+IF(F67="APROBADO",1,0)+IF(F68="APROBADO",1,0)+IF(F69="APROBADO",1,0)</f>
        <v>47</v>
      </c>
      <c r="D74" s="22"/>
      <c r="E74" s="22"/>
      <c r="F74" s="22"/>
      <c r="G74" s="2"/>
      <c r="H74" s="22"/>
      <c r="I74" s="2"/>
      <c r="J74" s="22"/>
      <c r="K74" s="22"/>
      <c r="L74" s="2"/>
      <c r="M74" s="22"/>
    </row>
    <row r="75" spans="1:13" ht="15" customHeight="1">
      <c r="A75" s="370" t="s">
        <v>890</v>
      </c>
      <c r="B75" s="370"/>
      <c r="C75" s="132">
        <f>47-C74</f>
        <v>0</v>
      </c>
      <c r="D75" s="22"/>
      <c r="E75" s="22"/>
      <c r="F75" s="22"/>
      <c r="G75" s="2"/>
      <c r="H75" s="22"/>
      <c r="I75" s="2"/>
      <c r="J75" s="22"/>
      <c r="K75" s="22"/>
      <c r="L75" s="2"/>
      <c r="M75" s="22"/>
    </row>
    <row r="76" spans="1:13" ht="15" customHeight="1">
      <c r="A76" s="133" t="s">
        <v>891</v>
      </c>
      <c r="B76" s="401" t="str">
        <f>IF(C74=47,"TODAS LAS PRUEBAS APROBADAS","HAY PRUEBAS FALLIDAS — REVISAR")</f>
        <v>TODAS LAS PRUEBAS APROBADAS</v>
      </c>
      <c r="C76" s="401"/>
      <c r="D76" s="401"/>
      <c r="E76" s="401"/>
      <c r="F76" s="401"/>
      <c r="G76" s="2"/>
      <c r="H76" s="22"/>
      <c r="I76" s="2"/>
      <c r="J76" s="22"/>
      <c r="K76" s="22"/>
      <c r="L76" s="2"/>
      <c r="M76" s="22"/>
    </row>
  </sheetData>
  <sheetProtection algorithmName="SHA-512" hashValue="QEdAe8LqezRsJ8zemETY/3BCdMG2jyj9yfAJXXb5keSq+FKH7+b9O1WJpONBTPliqSchG3rYZotZq9iCSmq/WQ==" saltValue="5wtIEKSE1TM5FR8nG13EWw==" spinCount="100000" sheet="1" objects="1" scenarios="1"/>
  <mergeCells count="69">
    <mergeCell ref="A2:M2"/>
    <mergeCell ref="A3:M3"/>
    <mergeCell ref="A4:D4"/>
    <mergeCell ref="A6:M6"/>
    <mergeCell ref="I7:M7"/>
    <mergeCell ref="I8:M8"/>
    <mergeCell ref="I9:M9"/>
    <mergeCell ref="I10:M10"/>
    <mergeCell ref="I11:M11"/>
    <mergeCell ref="I12:M12"/>
    <mergeCell ref="I13:M13"/>
    <mergeCell ref="A15:M15"/>
    <mergeCell ref="I16:M16"/>
    <mergeCell ref="I17:M17"/>
    <mergeCell ref="I18:M18"/>
    <mergeCell ref="I19:M19"/>
    <mergeCell ref="I20:M20"/>
    <mergeCell ref="I21:M21"/>
    <mergeCell ref="I22:M22"/>
    <mergeCell ref="A24:M24"/>
    <mergeCell ref="J25:M25"/>
    <mergeCell ref="J26:M26"/>
    <mergeCell ref="J27:M27"/>
    <mergeCell ref="J28:M28"/>
    <mergeCell ref="J29:M29"/>
    <mergeCell ref="J30:M30"/>
    <mergeCell ref="J31:M31"/>
    <mergeCell ref="A33:M33"/>
    <mergeCell ref="K34:M34"/>
    <mergeCell ref="K35:M35"/>
    <mergeCell ref="K36:M36"/>
    <mergeCell ref="K37:M37"/>
    <mergeCell ref="A39:M39"/>
    <mergeCell ref="K40:M40"/>
    <mergeCell ref="K41:M41"/>
    <mergeCell ref="K42:M42"/>
    <mergeCell ref="K43:M43"/>
    <mergeCell ref="A45:M45"/>
    <mergeCell ref="F46:M46"/>
    <mergeCell ref="F47:M47"/>
    <mergeCell ref="F48:M48"/>
    <mergeCell ref="F49:M49"/>
    <mergeCell ref="F50:M50"/>
    <mergeCell ref="F51:M51"/>
    <mergeCell ref="F52:M52"/>
    <mergeCell ref="F53:M53"/>
    <mergeCell ref="F54:M54"/>
    <mergeCell ref="F55:M55"/>
    <mergeCell ref="F56:M56"/>
    <mergeCell ref="A58:M58"/>
    <mergeCell ref="E59:I59"/>
    <mergeCell ref="J59:M59"/>
    <mergeCell ref="E60:I60"/>
    <mergeCell ref="J60:M60"/>
    <mergeCell ref="E61:I61"/>
    <mergeCell ref="J61:M61"/>
    <mergeCell ref="E62:I62"/>
    <mergeCell ref="J62:M62"/>
    <mergeCell ref="A64:M64"/>
    <mergeCell ref="F65:M65"/>
    <mergeCell ref="F66:M66"/>
    <mergeCell ref="A74:B74"/>
    <mergeCell ref="A75:B75"/>
    <mergeCell ref="B76:F76"/>
    <mergeCell ref="F67:M67"/>
    <mergeCell ref="F68:M68"/>
    <mergeCell ref="F69:M69"/>
    <mergeCell ref="A72:M72"/>
    <mergeCell ref="A73:B73"/>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E96"/>
  <sheetViews>
    <sheetView showGridLines="0" zoomScaleNormal="100" workbookViewId="0">
      <pane ySplit="95" topLeftCell="A96" activePane="bottomLeft" state="frozen"/>
      <selection pane="bottomLeft"/>
    </sheetView>
  </sheetViews>
  <sheetFormatPr baseColWidth="10" defaultColWidth="8.7109375" defaultRowHeight="15"/>
  <cols>
    <col min="1" max="1" width="48" style="1" customWidth="1"/>
    <col min="2" max="2" width="18" style="1" customWidth="1"/>
    <col min="3" max="3" width="14" style="1" customWidth="1"/>
    <col min="5" max="5" width="40" style="1" customWidth="1"/>
  </cols>
  <sheetData>
    <row r="1" spans="1:5" ht="25.5" customHeight="1">
      <c r="A1" s="57" t="s">
        <v>447</v>
      </c>
      <c r="B1" s="58"/>
      <c r="C1" s="58"/>
      <c r="D1" s="58"/>
      <c r="E1" s="58"/>
    </row>
    <row r="2" spans="1:5" ht="20.25" customHeight="1">
      <c r="A2" s="365" t="s">
        <v>892</v>
      </c>
      <c r="B2" s="365"/>
      <c r="C2" s="365"/>
      <c r="D2" s="365"/>
      <c r="E2" s="365"/>
    </row>
    <row r="3" spans="1:5" ht="23.25" customHeight="1">
      <c r="A3" s="380" t="str">
        <f>HYPERLINK("#M36_INICIO!A1","◀ INICIO")</f>
        <v>◀ INICIO</v>
      </c>
      <c r="B3" s="380"/>
      <c r="C3" s="380"/>
      <c r="D3" s="380"/>
      <c r="E3" s="22"/>
    </row>
    <row r="4" spans="1:5" ht="42" customHeight="1">
      <c r="A4" s="367" t="s">
        <v>893</v>
      </c>
      <c r="B4" s="367"/>
      <c r="C4" s="367"/>
      <c r="D4" s="367"/>
      <c r="E4" s="367"/>
    </row>
    <row r="5" spans="1:5">
      <c r="A5" s="22"/>
      <c r="B5" s="22"/>
      <c r="C5" s="22"/>
      <c r="D5" s="2"/>
      <c r="E5" s="22"/>
    </row>
    <row r="6" spans="1:5" ht="15" customHeight="1">
      <c r="A6" s="404" t="s">
        <v>894</v>
      </c>
      <c r="B6" s="404"/>
      <c r="C6" s="404"/>
      <c r="D6" s="404"/>
      <c r="E6" s="404"/>
    </row>
    <row r="7" spans="1:5" ht="15" customHeight="1">
      <c r="A7" s="134" t="s">
        <v>895</v>
      </c>
      <c r="B7" s="134" t="s">
        <v>16</v>
      </c>
      <c r="C7" s="134" t="s">
        <v>43</v>
      </c>
      <c r="D7" s="134" t="s">
        <v>896</v>
      </c>
      <c r="E7" s="134" t="s">
        <v>897</v>
      </c>
    </row>
    <row r="8" spans="1:5" ht="15" customHeight="1">
      <c r="A8" s="72" t="s">
        <v>898</v>
      </c>
      <c r="B8" s="66" t="s">
        <v>899</v>
      </c>
      <c r="C8" s="71" t="s">
        <v>151</v>
      </c>
      <c r="D8" s="135" t="s">
        <v>151</v>
      </c>
      <c r="E8" s="75" t="s">
        <v>900</v>
      </c>
    </row>
    <row r="9" spans="1:5" ht="15" customHeight="1">
      <c r="A9" s="72" t="s">
        <v>901</v>
      </c>
      <c r="B9" s="66" t="s">
        <v>902</v>
      </c>
      <c r="C9" s="71" t="s">
        <v>151</v>
      </c>
      <c r="D9" s="135" t="s">
        <v>151</v>
      </c>
      <c r="E9" s="75" t="s">
        <v>903</v>
      </c>
    </row>
    <row r="10" spans="1:5" ht="15" customHeight="1">
      <c r="A10" s="72" t="s">
        <v>904</v>
      </c>
      <c r="B10" s="68">
        <v>18</v>
      </c>
      <c r="C10" s="71" t="s">
        <v>494</v>
      </c>
      <c r="D10" s="135" t="s">
        <v>905</v>
      </c>
      <c r="E10" s="75" t="s">
        <v>906</v>
      </c>
    </row>
    <row r="11" spans="1:5" ht="15" customHeight="1">
      <c r="A11" s="72" t="s">
        <v>907</v>
      </c>
      <c r="B11" s="68">
        <v>120</v>
      </c>
      <c r="C11" s="71" t="s">
        <v>494</v>
      </c>
      <c r="D11" s="135" t="s">
        <v>905</v>
      </c>
      <c r="E11" s="75" t="s">
        <v>908</v>
      </c>
    </row>
    <row r="12" spans="1:5" ht="15" customHeight="1">
      <c r="A12" s="72" t="s">
        <v>909</v>
      </c>
      <c r="B12" s="68">
        <v>25</v>
      </c>
      <c r="C12" s="71" t="s">
        <v>497</v>
      </c>
      <c r="D12" s="135" t="s">
        <v>905</v>
      </c>
      <c r="E12" s="75"/>
    </row>
    <row r="13" spans="1:5" ht="15" customHeight="1">
      <c r="A13" s="72" t="s">
        <v>910</v>
      </c>
      <c r="B13" s="68">
        <v>350</v>
      </c>
      <c r="C13" s="71" t="s">
        <v>497</v>
      </c>
      <c r="D13" s="135" t="s">
        <v>905</v>
      </c>
      <c r="E13" s="75"/>
    </row>
    <row r="14" spans="1:5" ht="15" customHeight="1">
      <c r="A14" s="72" t="s">
        <v>911</v>
      </c>
      <c r="B14" s="68">
        <v>120</v>
      </c>
      <c r="C14" s="71" t="s">
        <v>56</v>
      </c>
      <c r="D14" s="135" t="s">
        <v>905</v>
      </c>
      <c r="E14" s="75"/>
    </row>
    <row r="15" spans="1:5" ht="15" customHeight="1">
      <c r="A15" s="72" t="s">
        <v>912</v>
      </c>
      <c r="B15" s="68">
        <v>230</v>
      </c>
      <c r="C15" s="71" t="s">
        <v>56</v>
      </c>
      <c r="D15" s="135" t="s">
        <v>905</v>
      </c>
      <c r="E15" s="75"/>
    </row>
    <row r="16" spans="1:5" ht="15" customHeight="1">
      <c r="A16" s="72" t="s">
        <v>913</v>
      </c>
      <c r="B16" s="68">
        <v>1</v>
      </c>
      <c r="C16" s="71" t="s">
        <v>47</v>
      </c>
      <c r="D16" s="135" t="s">
        <v>905</v>
      </c>
      <c r="E16" s="75" t="s">
        <v>914</v>
      </c>
    </row>
    <row r="17" spans="1:5" ht="15" customHeight="1">
      <c r="A17" s="72" t="s">
        <v>915</v>
      </c>
      <c r="B17" s="68">
        <v>80</v>
      </c>
      <c r="C17" s="71" t="s">
        <v>47</v>
      </c>
      <c r="D17" s="135" t="s">
        <v>905</v>
      </c>
      <c r="E17" s="75" t="s">
        <v>914</v>
      </c>
    </row>
    <row r="18" spans="1:5" ht="15" customHeight="1">
      <c r="A18" s="72" t="s">
        <v>916</v>
      </c>
      <c r="B18" s="140">
        <v>0.03</v>
      </c>
      <c r="C18" s="71" t="s">
        <v>375</v>
      </c>
      <c r="D18" s="135" t="s">
        <v>905</v>
      </c>
      <c r="E18" s="75" t="s">
        <v>917</v>
      </c>
    </row>
    <row r="19" spans="1:5" ht="15" customHeight="1">
      <c r="A19" s="72" t="s">
        <v>918</v>
      </c>
      <c r="B19" s="140">
        <v>0.75</v>
      </c>
      <c r="C19" s="71" t="s">
        <v>375</v>
      </c>
      <c r="D19" s="135" t="s">
        <v>905</v>
      </c>
      <c r="E19" s="75"/>
    </row>
    <row r="20" spans="1:5" ht="21.75" customHeight="1">
      <c r="A20" s="72" t="s">
        <v>919</v>
      </c>
      <c r="B20" s="141">
        <v>0.08</v>
      </c>
      <c r="C20" s="71" t="s">
        <v>596</v>
      </c>
      <c r="D20" s="135" t="s">
        <v>920</v>
      </c>
      <c r="E20" s="75" t="s">
        <v>921</v>
      </c>
    </row>
    <row r="21" spans="1:5" ht="15" customHeight="1">
      <c r="A21" s="72" t="s">
        <v>922</v>
      </c>
      <c r="B21" s="140">
        <v>0.05</v>
      </c>
      <c r="C21" s="71" t="s">
        <v>375</v>
      </c>
      <c r="D21" s="135" t="s">
        <v>920</v>
      </c>
      <c r="E21" s="75" t="s">
        <v>923</v>
      </c>
    </row>
    <row r="22" spans="1:5" ht="15" customHeight="1">
      <c r="A22" s="72" t="s">
        <v>924</v>
      </c>
      <c r="B22" s="141">
        <v>7.4999999999999997E-2</v>
      </c>
      <c r="C22" s="71" t="s">
        <v>375</v>
      </c>
      <c r="D22" s="135" t="s">
        <v>920</v>
      </c>
      <c r="E22" s="75" t="s">
        <v>925</v>
      </c>
    </row>
    <row r="23" spans="1:5" ht="15" customHeight="1">
      <c r="A23" s="72" t="s">
        <v>926</v>
      </c>
      <c r="B23" s="142">
        <v>5.0000000000000001E-4</v>
      </c>
      <c r="C23" s="71" t="s">
        <v>151</v>
      </c>
      <c r="D23" s="135" t="s">
        <v>920</v>
      </c>
      <c r="E23" s="75" t="s">
        <v>927</v>
      </c>
    </row>
    <row r="24" spans="1:5" ht="15" customHeight="1">
      <c r="A24" s="72" t="s">
        <v>928</v>
      </c>
      <c r="B24" s="143">
        <v>0.05</v>
      </c>
      <c r="C24" s="71" t="s">
        <v>497</v>
      </c>
      <c r="D24" s="135" t="s">
        <v>920</v>
      </c>
      <c r="E24" s="75" t="s">
        <v>929</v>
      </c>
    </row>
    <row r="25" spans="1:5" ht="15" customHeight="1">
      <c r="A25" s="72" t="s">
        <v>930</v>
      </c>
      <c r="B25" s="143">
        <v>0.05</v>
      </c>
      <c r="C25" s="71" t="s">
        <v>47</v>
      </c>
      <c r="D25" s="135" t="s">
        <v>920</v>
      </c>
      <c r="E25" s="75" t="s">
        <v>931</v>
      </c>
    </row>
    <row r="26" spans="1:5" ht="15" customHeight="1">
      <c r="A26" s="72" t="s">
        <v>932</v>
      </c>
      <c r="B26" s="68">
        <v>495</v>
      </c>
      <c r="C26" s="71" t="s">
        <v>151</v>
      </c>
      <c r="D26" s="135" t="s">
        <v>933</v>
      </c>
      <c r="E26" s="75" t="s">
        <v>715</v>
      </c>
    </row>
    <row r="27" spans="1:5" ht="15" customHeight="1">
      <c r="A27" s="72" t="s">
        <v>934</v>
      </c>
      <c r="B27" s="68">
        <v>450</v>
      </c>
      <c r="C27" s="71" t="s">
        <v>151</v>
      </c>
      <c r="D27" s="135" t="s">
        <v>933</v>
      </c>
      <c r="E27" s="75"/>
    </row>
    <row r="28" spans="1:5" ht="15" customHeight="1">
      <c r="A28" s="72" t="s">
        <v>935</v>
      </c>
      <c r="B28" s="68">
        <v>457</v>
      </c>
      <c r="C28" s="71" t="s">
        <v>151</v>
      </c>
      <c r="D28" s="135" t="s">
        <v>933</v>
      </c>
      <c r="E28" s="75" t="s">
        <v>724</v>
      </c>
    </row>
    <row r="29" spans="1:5" ht="15" customHeight="1">
      <c r="A29" s="72" t="s">
        <v>936</v>
      </c>
      <c r="B29" s="68">
        <v>414</v>
      </c>
      <c r="C29" s="71" t="s">
        <v>151</v>
      </c>
      <c r="D29" s="135" t="s">
        <v>933</v>
      </c>
      <c r="E29" s="75"/>
    </row>
    <row r="30" spans="1:5" ht="15" customHeight="1">
      <c r="A30" s="72" t="s">
        <v>937</v>
      </c>
      <c r="B30" s="144">
        <v>0.153</v>
      </c>
      <c r="C30" s="71" t="s">
        <v>151</v>
      </c>
      <c r="D30" s="135" t="s">
        <v>933</v>
      </c>
      <c r="E30" s="75" t="s">
        <v>938</v>
      </c>
    </row>
    <row r="31" spans="1:5" ht="15" customHeight="1">
      <c r="A31" s="72" t="s">
        <v>939</v>
      </c>
      <c r="B31" s="144">
        <v>5.7830000000000004</v>
      </c>
      <c r="C31" s="71" t="s">
        <v>151</v>
      </c>
      <c r="D31" s="135" t="s">
        <v>933</v>
      </c>
      <c r="E31" s="75"/>
    </row>
    <row r="32" spans="1:5" ht="15" customHeight="1">
      <c r="A32" s="72" t="s">
        <v>940</v>
      </c>
      <c r="B32" s="145">
        <v>1.1120000000000001</v>
      </c>
      <c r="C32" s="71" t="s">
        <v>151</v>
      </c>
      <c r="D32" s="135" t="s">
        <v>933</v>
      </c>
      <c r="E32" s="75" t="s">
        <v>941</v>
      </c>
    </row>
    <row r="33" spans="1:5" ht="15" customHeight="1">
      <c r="A33" s="72" t="s">
        <v>942</v>
      </c>
      <c r="B33" s="146">
        <v>4.3499000000000001E-4</v>
      </c>
      <c r="C33" s="71" t="s">
        <v>151</v>
      </c>
      <c r="D33" s="135" t="s">
        <v>933</v>
      </c>
      <c r="E33" s="75"/>
    </row>
    <row r="34" spans="1:5" ht="15" customHeight="1">
      <c r="A34" s="72" t="s">
        <v>943</v>
      </c>
      <c r="B34" s="146">
        <v>5.5000000000000003E-7</v>
      </c>
      <c r="C34" s="71" t="s">
        <v>151</v>
      </c>
      <c r="D34" s="135" t="s">
        <v>933</v>
      </c>
      <c r="E34" s="75"/>
    </row>
    <row r="35" spans="1:5" ht="15" customHeight="1">
      <c r="A35" s="72" t="s">
        <v>944</v>
      </c>
      <c r="B35" s="146">
        <v>2.8825999999999998E-4</v>
      </c>
      <c r="C35" s="71" t="s">
        <v>151</v>
      </c>
      <c r="D35" s="135" t="s">
        <v>933</v>
      </c>
      <c r="E35" s="75"/>
    </row>
    <row r="36" spans="1:5" ht="15" customHeight="1">
      <c r="A36" s="72" t="s">
        <v>945</v>
      </c>
      <c r="B36" s="145">
        <v>1.097</v>
      </c>
      <c r="C36" s="71" t="s">
        <v>151</v>
      </c>
      <c r="D36" s="135" t="s">
        <v>933</v>
      </c>
      <c r="E36" s="75"/>
    </row>
    <row r="37" spans="1:5" ht="15" customHeight="1">
      <c r="A37" s="72" t="s">
        <v>946</v>
      </c>
      <c r="B37" s="146">
        <v>4.6970999999999997E-4</v>
      </c>
      <c r="C37" s="71" t="s">
        <v>151</v>
      </c>
      <c r="D37" s="135" t="s">
        <v>933</v>
      </c>
      <c r="E37" s="75"/>
    </row>
    <row r="38" spans="1:5" ht="15" customHeight="1">
      <c r="A38" s="72" t="s">
        <v>947</v>
      </c>
      <c r="B38" s="146">
        <v>5.6000000000000004E-7</v>
      </c>
      <c r="C38" s="71" t="s">
        <v>151</v>
      </c>
      <c r="D38" s="135" t="s">
        <v>933</v>
      </c>
      <c r="E38" s="75"/>
    </row>
    <row r="39" spans="1:5" ht="15" customHeight="1">
      <c r="A39" s="72" t="s">
        <v>948</v>
      </c>
      <c r="B39" s="146">
        <v>1.2828000000000001E-4</v>
      </c>
      <c r="C39" s="71" t="s">
        <v>151</v>
      </c>
      <c r="D39" s="135" t="s">
        <v>933</v>
      </c>
      <c r="E39" s="75"/>
    </row>
    <row r="40" spans="1:5" ht="15" customHeight="1">
      <c r="A40" s="72" t="s">
        <v>949</v>
      </c>
      <c r="B40" s="145">
        <v>1.10938</v>
      </c>
      <c r="C40" s="71" t="s">
        <v>151</v>
      </c>
      <c r="D40" s="135" t="s">
        <v>933</v>
      </c>
      <c r="E40" s="75" t="s">
        <v>950</v>
      </c>
    </row>
    <row r="41" spans="1:5" ht="15" customHeight="1">
      <c r="A41" s="72" t="s">
        <v>951</v>
      </c>
      <c r="B41" s="147">
        <v>8.2669999999999998E-4</v>
      </c>
      <c r="C41" s="71" t="s">
        <v>151</v>
      </c>
      <c r="D41" s="135" t="s">
        <v>933</v>
      </c>
      <c r="E41" s="75"/>
    </row>
    <row r="42" spans="1:5" ht="15" customHeight="1">
      <c r="A42" s="72" t="s">
        <v>952</v>
      </c>
      <c r="B42" s="147">
        <v>1.5999999999999999E-6</v>
      </c>
      <c r="C42" s="71" t="s">
        <v>151</v>
      </c>
      <c r="D42" s="135" t="s">
        <v>933</v>
      </c>
      <c r="E42" s="75"/>
    </row>
    <row r="43" spans="1:5" ht="15" customHeight="1">
      <c r="A43" s="72" t="s">
        <v>953</v>
      </c>
      <c r="B43" s="147">
        <v>2.5740000000000002E-4</v>
      </c>
      <c r="C43" s="71" t="s">
        <v>151</v>
      </c>
      <c r="D43" s="135" t="s">
        <v>933</v>
      </c>
      <c r="E43" s="75"/>
    </row>
    <row r="44" spans="1:5" ht="15" customHeight="1">
      <c r="A44" s="72" t="s">
        <v>954</v>
      </c>
      <c r="B44" s="147">
        <v>1.0994921</v>
      </c>
      <c r="C44" s="71" t="s">
        <v>151</v>
      </c>
      <c r="D44" s="135" t="s">
        <v>933</v>
      </c>
      <c r="E44" s="75" t="s">
        <v>955</v>
      </c>
    </row>
    <row r="45" spans="1:5" ht="15" customHeight="1">
      <c r="A45" s="72" t="s">
        <v>956</v>
      </c>
      <c r="B45" s="147">
        <v>9.928999999999999E-4</v>
      </c>
      <c r="C45" s="71" t="s">
        <v>151</v>
      </c>
      <c r="D45" s="135" t="s">
        <v>933</v>
      </c>
      <c r="E45" s="75"/>
    </row>
    <row r="46" spans="1:5" ht="15" customHeight="1">
      <c r="A46" s="72" t="s">
        <v>957</v>
      </c>
      <c r="B46" s="147">
        <v>2.3E-6</v>
      </c>
      <c r="C46" s="71" t="s">
        <v>151</v>
      </c>
      <c r="D46" s="135" t="s">
        <v>933</v>
      </c>
      <c r="E46" s="75"/>
    </row>
    <row r="47" spans="1:5" ht="15" customHeight="1">
      <c r="A47" s="72" t="s">
        <v>958</v>
      </c>
      <c r="B47" s="147">
        <v>1.392E-4</v>
      </c>
      <c r="C47" s="71" t="s">
        <v>151</v>
      </c>
      <c r="D47" s="135" t="s">
        <v>933</v>
      </c>
      <c r="E47" s="75"/>
    </row>
    <row r="48" spans="1:5">
      <c r="A48" s="22"/>
      <c r="B48" s="22"/>
      <c r="C48" s="22"/>
      <c r="D48" s="2"/>
      <c r="E48" s="22"/>
    </row>
    <row r="49" spans="1:5" ht="15" customHeight="1">
      <c r="A49" s="404" t="s">
        <v>959</v>
      </c>
      <c r="B49" s="404"/>
      <c r="C49" s="404"/>
      <c r="D49" s="404"/>
      <c r="E49" s="22"/>
    </row>
    <row r="50" spans="1:5" ht="15" customHeight="1">
      <c r="A50" s="136" t="s">
        <v>16</v>
      </c>
      <c r="B50" s="136" t="s">
        <v>960</v>
      </c>
      <c r="C50" s="22"/>
      <c r="D50" s="2"/>
      <c r="E50" s="22"/>
    </row>
    <row r="51" spans="1:5" ht="15" customHeight="1">
      <c r="A51" s="105" t="s">
        <v>23</v>
      </c>
      <c r="B51" s="137" t="s">
        <v>961</v>
      </c>
      <c r="C51" s="22"/>
      <c r="D51" s="2"/>
      <c r="E51" s="22"/>
    </row>
    <row r="52" spans="1:5" ht="15" customHeight="1">
      <c r="A52" s="105" t="s">
        <v>757</v>
      </c>
      <c r="B52" s="137" t="s">
        <v>962</v>
      </c>
      <c r="C52" s="22"/>
      <c r="D52" s="2"/>
      <c r="E52" s="22"/>
    </row>
    <row r="53" spans="1:5">
      <c r="A53" s="22"/>
      <c r="B53" s="22"/>
      <c r="C53" s="22"/>
      <c r="D53" s="2"/>
      <c r="E53" s="22"/>
    </row>
    <row r="54" spans="1:5" ht="15" customHeight="1">
      <c r="A54" s="404" t="s">
        <v>963</v>
      </c>
      <c r="B54" s="404"/>
      <c r="C54" s="404"/>
      <c r="D54" s="404"/>
      <c r="E54" s="22"/>
    </row>
    <row r="55" spans="1:5" ht="15" customHeight="1">
      <c r="A55" s="136" t="s">
        <v>964</v>
      </c>
      <c r="B55" s="136" t="s">
        <v>965</v>
      </c>
      <c r="C55" s="22"/>
      <c r="D55" s="2"/>
      <c r="E55" s="22"/>
    </row>
    <row r="56" spans="1:5" ht="15" customHeight="1">
      <c r="A56" s="105" t="s">
        <v>504</v>
      </c>
      <c r="B56" s="137" t="s">
        <v>966</v>
      </c>
      <c r="C56" s="22"/>
      <c r="D56" s="2"/>
      <c r="E56" s="22"/>
    </row>
    <row r="57" spans="1:5" ht="15" customHeight="1">
      <c r="A57" s="105" t="s">
        <v>638</v>
      </c>
      <c r="B57" s="137" t="s">
        <v>967</v>
      </c>
      <c r="C57" s="22"/>
      <c r="D57" s="2"/>
      <c r="E57" s="22"/>
    </row>
    <row r="58" spans="1:5" ht="15" customHeight="1">
      <c r="A58" s="105" t="s">
        <v>639</v>
      </c>
      <c r="B58" s="137" t="s">
        <v>968</v>
      </c>
      <c r="C58" s="22"/>
      <c r="D58" s="2"/>
      <c r="E58" s="22"/>
    </row>
    <row r="59" spans="1:5" ht="15" customHeight="1">
      <c r="A59" s="105" t="s">
        <v>641</v>
      </c>
      <c r="B59" s="137" t="s">
        <v>969</v>
      </c>
      <c r="C59" s="22"/>
      <c r="D59" s="2"/>
      <c r="E59" s="22"/>
    </row>
    <row r="60" spans="1:5">
      <c r="A60" s="22"/>
      <c r="B60" s="22"/>
      <c r="C60" s="22"/>
      <c r="D60" s="2"/>
      <c r="E60" s="22"/>
    </row>
    <row r="61" spans="1:5" ht="15" customHeight="1">
      <c r="A61" s="399" t="s">
        <v>970</v>
      </c>
      <c r="B61" s="399"/>
      <c r="C61" s="399"/>
      <c r="D61" s="399"/>
      <c r="E61" s="22"/>
    </row>
    <row r="62" spans="1:5" ht="15" customHeight="1">
      <c r="A62" s="62" t="s">
        <v>971</v>
      </c>
      <c r="B62" s="410" t="s">
        <v>972</v>
      </c>
      <c r="C62" s="410"/>
      <c r="D62" s="410"/>
      <c r="E62" s="22"/>
    </row>
    <row r="63" spans="1:5" ht="15" customHeight="1">
      <c r="A63" s="72" t="s">
        <v>508</v>
      </c>
      <c r="B63" s="411" t="s">
        <v>715</v>
      </c>
      <c r="C63" s="411"/>
      <c r="D63" s="411"/>
      <c r="E63" s="22"/>
    </row>
    <row r="64" spans="1:5" ht="15" customHeight="1">
      <c r="A64" s="72" t="s">
        <v>973</v>
      </c>
      <c r="B64" s="411" t="s">
        <v>724</v>
      </c>
      <c r="C64" s="411"/>
      <c r="D64" s="411"/>
      <c r="E64" s="22"/>
    </row>
    <row r="65" spans="1:5">
      <c r="A65" s="22"/>
      <c r="B65" s="22"/>
      <c r="C65" s="22"/>
      <c r="D65" s="2"/>
      <c r="E65" s="22"/>
    </row>
    <row r="66" spans="1:5" ht="15" customHeight="1">
      <c r="A66" s="76" t="s">
        <v>974</v>
      </c>
      <c r="B66" s="22"/>
      <c r="C66" s="22"/>
      <c r="D66" s="2"/>
      <c r="E66" s="22"/>
    </row>
    <row r="67" spans="1:5" ht="15" customHeight="1">
      <c r="A67" s="105" t="s">
        <v>175</v>
      </c>
      <c r="B67" s="22"/>
      <c r="C67" s="22"/>
      <c r="D67" s="2"/>
      <c r="E67" s="22"/>
    </row>
    <row r="68" spans="1:5" ht="15" customHeight="1">
      <c r="A68" s="105" t="s">
        <v>201</v>
      </c>
      <c r="B68" s="22"/>
      <c r="C68" s="22"/>
      <c r="D68" s="2"/>
      <c r="E68" s="22"/>
    </row>
    <row r="69" spans="1:5">
      <c r="A69" s="22"/>
      <c r="B69" s="22"/>
      <c r="C69" s="22"/>
      <c r="D69" s="2"/>
      <c r="E69" s="22"/>
    </row>
    <row r="70" spans="1:5" ht="15" customHeight="1">
      <c r="A70" s="404" t="s">
        <v>975</v>
      </c>
      <c r="B70" s="404"/>
      <c r="C70" s="404"/>
      <c r="D70" s="404"/>
      <c r="E70" s="404"/>
    </row>
    <row r="71" spans="1:5" ht="15" customHeight="1">
      <c r="A71" s="136" t="s">
        <v>22</v>
      </c>
      <c r="B71" s="136" t="s">
        <v>976</v>
      </c>
      <c r="C71" s="136" t="s">
        <v>977</v>
      </c>
      <c r="D71" s="136" t="s">
        <v>978</v>
      </c>
      <c r="E71" s="136" t="s">
        <v>554</v>
      </c>
    </row>
    <row r="72" spans="1:5" ht="15" customHeight="1">
      <c r="A72" s="105" t="s">
        <v>23</v>
      </c>
      <c r="B72" s="111">
        <v>17</v>
      </c>
      <c r="C72" s="111">
        <v>20</v>
      </c>
      <c r="D72" s="148">
        <v>1.1619999999999999</v>
      </c>
      <c r="E72" s="148">
        <v>6.3E-2</v>
      </c>
    </row>
    <row r="73" spans="1:5" ht="15" customHeight="1">
      <c r="A73" s="105" t="s">
        <v>23</v>
      </c>
      <c r="B73" s="111">
        <v>20</v>
      </c>
      <c r="C73" s="111">
        <v>30</v>
      </c>
      <c r="D73" s="148">
        <v>1.1631</v>
      </c>
      <c r="E73" s="148">
        <v>6.3200000000000006E-2</v>
      </c>
    </row>
    <row r="74" spans="1:5" ht="15" customHeight="1">
      <c r="A74" s="105" t="s">
        <v>23</v>
      </c>
      <c r="B74" s="111">
        <v>30</v>
      </c>
      <c r="C74" s="111">
        <v>40</v>
      </c>
      <c r="D74" s="148">
        <v>1.1422000000000001</v>
      </c>
      <c r="E74" s="148">
        <v>5.4399999999999997E-2</v>
      </c>
    </row>
    <row r="75" spans="1:5" ht="15" customHeight="1">
      <c r="A75" s="105" t="s">
        <v>23</v>
      </c>
      <c r="B75" s="111">
        <v>40</v>
      </c>
      <c r="C75" s="111">
        <v>50</v>
      </c>
      <c r="D75" s="148">
        <v>1.1619999999999999</v>
      </c>
      <c r="E75" s="148">
        <v>7.0000000000000007E-2</v>
      </c>
    </row>
    <row r="76" spans="1:5" ht="15" customHeight="1">
      <c r="A76" s="105" t="s">
        <v>23</v>
      </c>
      <c r="B76" s="111">
        <v>50</v>
      </c>
      <c r="C76" s="111">
        <v>200</v>
      </c>
      <c r="D76" s="148">
        <v>1.1715</v>
      </c>
      <c r="E76" s="148">
        <v>7.7899999999999997E-2</v>
      </c>
    </row>
    <row r="77" spans="1:5" ht="15" customHeight="1">
      <c r="A77" s="105" t="s">
        <v>757</v>
      </c>
      <c r="B77" s="111">
        <v>16</v>
      </c>
      <c r="C77" s="111">
        <v>20</v>
      </c>
      <c r="D77" s="148">
        <v>1.1549</v>
      </c>
      <c r="E77" s="148">
        <v>6.7799999999999999E-2</v>
      </c>
    </row>
    <row r="78" spans="1:5" ht="15" customHeight="1">
      <c r="A78" s="105" t="s">
        <v>757</v>
      </c>
      <c r="B78" s="111">
        <v>20</v>
      </c>
      <c r="C78" s="111">
        <v>30</v>
      </c>
      <c r="D78" s="148">
        <v>1.1598999999999999</v>
      </c>
      <c r="E78" s="148">
        <v>7.17E-2</v>
      </c>
    </row>
    <row r="79" spans="1:5" ht="15" customHeight="1">
      <c r="A79" s="105" t="s">
        <v>757</v>
      </c>
      <c r="B79" s="111">
        <v>30</v>
      </c>
      <c r="C79" s="111">
        <v>40</v>
      </c>
      <c r="D79" s="148">
        <v>1.1423000000000001</v>
      </c>
      <c r="E79" s="148">
        <v>6.3200000000000006E-2</v>
      </c>
    </row>
    <row r="80" spans="1:5" ht="15" customHeight="1">
      <c r="A80" s="105" t="s">
        <v>757</v>
      </c>
      <c r="B80" s="111">
        <v>40</v>
      </c>
      <c r="C80" s="111">
        <v>50</v>
      </c>
      <c r="D80" s="148">
        <v>1.1333</v>
      </c>
      <c r="E80" s="148">
        <v>6.1199999999999997E-2</v>
      </c>
    </row>
    <row r="81" spans="1:5" ht="15" customHeight="1">
      <c r="A81" s="105" t="s">
        <v>757</v>
      </c>
      <c r="B81" s="111">
        <v>50</v>
      </c>
      <c r="C81" s="111">
        <v>200</v>
      </c>
      <c r="D81" s="148">
        <v>1.1338999999999999</v>
      </c>
      <c r="E81" s="148">
        <v>6.4500000000000002E-2</v>
      </c>
    </row>
    <row r="82" spans="1:5">
      <c r="A82" s="22"/>
      <c r="B82" s="22"/>
      <c r="C82" s="22"/>
      <c r="D82" s="2"/>
      <c r="E82" s="22"/>
    </row>
    <row r="83" spans="1:5" ht="15" customHeight="1">
      <c r="A83" s="404" t="s">
        <v>979</v>
      </c>
      <c r="B83" s="404"/>
      <c r="C83" s="404"/>
      <c r="D83" s="404"/>
      <c r="E83" s="22"/>
    </row>
    <row r="84" spans="1:5" ht="15" customHeight="1">
      <c r="A84" s="136" t="s">
        <v>22</v>
      </c>
      <c r="B84" s="136" t="s">
        <v>980</v>
      </c>
      <c r="C84" s="136" t="s">
        <v>981</v>
      </c>
      <c r="D84" s="136" t="s">
        <v>960</v>
      </c>
      <c r="E84" s="22"/>
    </row>
    <row r="85" spans="1:5" ht="15" customHeight="1">
      <c r="A85" s="105" t="s">
        <v>23</v>
      </c>
      <c r="B85" s="105" t="s">
        <v>917</v>
      </c>
      <c r="C85" s="138">
        <v>0.02</v>
      </c>
      <c r="D85" s="139" t="s">
        <v>982</v>
      </c>
      <c r="E85" s="22"/>
    </row>
    <row r="86" spans="1:5" ht="15" customHeight="1">
      <c r="A86" s="105" t="s">
        <v>23</v>
      </c>
      <c r="B86" s="105" t="s">
        <v>983</v>
      </c>
      <c r="C86" s="138">
        <v>0.06</v>
      </c>
      <c r="D86" s="139" t="s">
        <v>984</v>
      </c>
      <c r="E86" s="22"/>
    </row>
    <row r="87" spans="1:5" ht="15" customHeight="1">
      <c r="A87" s="105" t="s">
        <v>23</v>
      </c>
      <c r="B87" s="105" t="s">
        <v>985</v>
      </c>
      <c r="C87" s="138">
        <v>0.14000000000000001</v>
      </c>
      <c r="D87" s="139" t="s">
        <v>986</v>
      </c>
      <c r="E87" s="22"/>
    </row>
    <row r="88" spans="1:5" ht="15" customHeight="1">
      <c r="A88" s="105" t="s">
        <v>23</v>
      </c>
      <c r="B88" s="105" t="s">
        <v>987</v>
      </c>
      <c r="C88" s="138">
        <v>0.18</v>
      </c>
      <c r="D88" s="139" t="s">
        <v>988</v>
      </c>
      <c r="E88" s="22"/>
    </row>
    <row r="89" spans="1:5" ht="15" customHeight="1">
      <c r="A89" s="105" t="s">
        <v>23</v>
      </c>
      <c r="B89" s="105" t="s">
        <v>989</v>
      </c>
      <c r="C89" s="138">
        <v>0.25</v>
      </c>
      <c r="D89" s="139" t="s">
        <v>990</v>
      </c>
      <c r="E89" s="22"/>
    </row>
    <row r="90" spans="1:5" ht="15" customHeight="1">
      <c r="A90" s="105" t="s">
        <v>757</v>
      </c>
      <c r="B90" s="105" t="s">
        <v>917</v>
      </c>
      <c r="C90" s="138">
        <v>0.1</v>
      </c>
      <c r="D90" s="139" t="s">
        <v>991</v>
      </c>
      <c r="E90" s="22"/>
    </row>
    <row r="91" spans="1:5" ht="15" customHeight="1">
      <c r="A91" s="105" t="s">
        <v>757</v>
      </c>
      <c r="B91" s="105" t="s">
        <v>983</v>
      </c>
      <c r="C91" s="138">
        <v>0.14000000000000001</v>
      </c>
      <c r="D91" s="139" t="s">
        <v>992</v>
      </c>
      <c r="E91" s="22"/>
    </row>
    <row r="92" spans="1:5" ht="15" customHeight="1">
      <c r="A92" s="105" t="s">
        <v>757</v>
      </c>
      <c r="B92" s="105" t="s">
        <v>985</v>
      </c>
      <c r="C92" s="138">
        <v>0.21</v>
      </c>
      <c r="D92" s="139" t="s">
        <v>993</v>
      </c>
      <c r="E92" s="22"/>
    </row>
    <row r="93" spans="1:5" ht="15" customHeight="1">
      <c r="A93" s="105" t="s">
        <v>757</v>
      </c>
      <c r="B93" s="105" t="s">
        <v>987</v>
      </c>
      <c r="C93" s="138">
        <v>0.25</v>
      </c>
      <c r="D93" s="139" t="s">
        <v>994</v>
      </c>
      <c r="E93" s="22"/>
    </row>
    <row r="94" spans="1:5" ht="15" customHeight="1">
      <c r="A94" s="105" t="s">
        <v>757</v>
      </c>
      <c r="B94" s="105" t="s">
        <v>989</v>
      </c>
      <c r="C94" s="138">
        <v>0.32</v>
      </c>
      <c r="D94" s="139" t="s">
        <v>995</v>
      </c>
      <c r="E94" s="22"/>
    </row>
    <row r="95" spans="1:5">
      <c r="A95" s="22"/>
      <c r="B95" s="22"/>
      <c r="C95" s="22"/>
      <c r="D95" s="2"/>
      <c r="E95" s="22"/>
    </row>
    <row r="96" spans="1:5" ht="30" customHeight="1">
      <c r="A96" s="409" t="s">
        <v>996</v>
      </c>
      <c r="B96" s="409"/>
      <c r="C96" s="409"/>
      <c r="D96" s="409"/>
      <c r="E96" s="409"/>
    </row>
  </sheetData>
  <sheetProtection algorithmName="SHA-512" hashValue="BYgFS6Cmg18GGVW9bT6yo2OAmIeBmhEkgpEsZn8lugVJxzjVLj69jIDtiYRGu19NWloOgnZIHmLSpvwpI3DB/w==" saltValue="E3+mr9ekaQTIK8ZhzX+XCw==" spinCount="100000" sheet="1" objects="1" scenarios="1"/>
  <mergeCells count="13">
    <mergeCell ref="A2:E2"/>
    <mergeCell ref="A3:D3"/>
    <mergeCell ref="A4:E4"/>
    <mergeCell ref="A6:E6"/>
    <mergeCell ref="A49:D49"/>
    <mergeCell ref="A70:E70"/>
    <mergeCell ref="A83:D83"/>
    <mergeCell ref="A96:E96"/>
    <mergeCell ref="A54:D54"/>
    <mergeCell ref="A61:D61"/>
    <mergeCell ref="B62:D62"/>
    <mergeCell ref="B63:D63"/>
    <mergeCell ref="B64:D64"/>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A1:E7"/>
  <sheetViews>
    <sheetView showGridLines="0" zoomScaleNormal="100" workbookViewId="0"/>
  </sheetViews>
  <sheetFormatPr baseColWidth="10" defaultColWidth="8.7109375" defaultRowHeight="15"/>
  <cols>
    <col min="1" max="1" width="12" style="1" customWidth="1"/>
    <col min="2" max="2" width="14" style="1" customWidth="1"/>
    <col min="3" max="3" width="56" style="1" customWidth="1"/>
    <col min="4" max="4" width="40" style="1" customWidth="1"/>
    <col min="5" max="5" width="20" style="1" customWidth="1"/>
  </cols>
  <sheetData>
    <row r="1" spans="1:5" ht="25.5" customHeight="1">
      <c r="A1" s="57" t="s">
        <v>447</v>
      </c>
      <c r="B1" s="58"/>
      <c r="C1" s="58"/>
      <c r="D1" s="58"/>
      <c r="E1" s="58"/>
    </row>
    <row r="2" spans="1:5" ht="22.5" customHeight="1">
      <c r="A2" s="365" t="s">
        <v>426</v>
      </c>
      <c r="B2" s="365"/>
      <c r="C2" s="365"/>
      <c r="D2" s="365"/>
      <c r="E2" s="365"/>
    </row>
    <row r="3" spans="1:5" ht="20.25" customHeight="1">
      <c r="A3" s="380" t="str">
        <f>HYPERLINK("#M36_INICIO!A1","◀ INICIO")</f>
        <v>◀ INICIO</v>
      </c>
      <c r="B3" s="380"/>
      <c r="C3" s="380"/>
      <c r="D3" s="380"/>
      <c r="E3" s="22"/>
    </row>
    <row r="4" spans="1:5">
      <c r="A4" s="22"/>
      <c r="B4" s="22"/>
      <c r="C4" s="22"/>
      <c r="D4" s="22"/>
      <c r="E4" s="22"/>
    </row>
    <row r="5" spans="1:5" ht="15" customHeight="1">
      <c r="A5" s="136" t="s">
        <v>1</v>
      </c>
      <c r="B5" s="136" t="s">
        <v>19</v>
      </c>
      <c r="C5" s="136" t="s">
        <v>427</v>
      </c>
      <c r="D5" s="136" t="s">
        <v>997</v>
      </c>
      <c r="E5" s="136" t="s">
        <v>124</v>
      </c>
    </row>
    <row r="6" spans="1:5" ht="54" customHeight="1">
      <c r="A6" s="111" t="s">
        <v>116</v>
      </c>
      <c r="B6" s="111" t="s">
        <v>454</v>
      </c>
      <c r="C6" s="107" t="s">
        <v>998</v>
      </c>
      <c r="D6" s="107" t="s">
        <v>999</v>
      </c>
      <c r="E6" s="112" t="s">
        <v>1000</v>
      </c>
    </row>
    <row r="7" spans="1:5" ht="54" customHeight="1">
      <c r="A7" s="111" t="s">
        <v>116</v>
      </c>
      <c r="B7" s="111" t="s">
        <v>454</v>
      </c>
      <c r="C7" s="107" t="s">
        <v>1001</v>
      </c>
      <c r="D7" s="107" t="s">
        <v>1002</v>
      </c>
      <c r="E7" s="112" t="s">
        <v>1000</v>
      </c>
    </row>
  </sheetData>
  <sheetProtection algorithmName="SHA-512" hashValue="kmK8jlKKgF7boksDLgoxeSe+5winPCPCgDJOCnvFM22xA2ce5AJpO04Im4bac47awjxyZ6G74MtZq3UkA4+u+Q==" saltValue="2EWmyDwNyB69OdEOyHFUCQ==" spinCount="100000" sheet="1" objects="1" scenarios="1"/>
  <mergeCells count="2">
    <mergeCell ref="A2:E2"/>
    <mergeCell ref="A3:D3"/>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A1:M31"/>
  <sheetViews>
    <sheetView showGridLines="0" zoomScaleNormal="100" workbookViewId="0">
      <selection sqref="A1:M1"/>
    </sheetView>
  </sheetViews>
  <sheetFormatPr baseColWidth="10" defaultColWidth="8.7109375" defaultRowHeight="15"/>
  <cols>
    <col min="1" max="1" width="23.5703125" style="1" customWidth="1"/>
    <col min="2" max="2" width="14" style="1" customWidth="1"/>
    <col min="3" max="3" width="12.7109375" style="1" customWidth="1"/>
    <col min="4" max="4" width="14.85546875" style="1" customWidth="1"/>
    <col min="5" max="5" width="13.42578125" style="1" customWidth="1"/>
    <col min="6" max="6" width="13.28515625" style="1" customWidth="1"/>
    <col min="8" max="8" width="12" style="1" customWidth="1"/>
    <col min="9" max="9" width="11.42578125" style="1" customWidth="1"/>
    <col min="10" max="10" width="13.7109375" style="1" customWidth="1"/>
    <col min="12" max="12" width="12" style="1" customWidth="1"/>
  </cols>
  <sheetData>
    <row r="1" spans="1:13" ht="25.5" customHeight="1">
      <c r="A1" s="362" t="s">
        <v>1003</v>
      </c>
      <c r="B1" s="362"/>
      <c r="C1" s="362"/>
      <c r="D1" s="362"/>
      <c r="E1" s="362"/>
      <c r="F1" s="362"/>
      <c r="G1" s="362"/>
      <c r="H1" s="362"/>
      <c r="I1" s="362"/>
      <c r="J1" s="362"/>
      <c r="K1" s="362"/>
      <c r="L1" s="362"/>
      <c r="M1" s="362"/>
    </row>
    <row r="2" spans="1:13" ht="15" customHeight="1">
      <c r="A2" s="363" t="s">
        <v>1004</v>
      </c>
      <c r="B2" s="363"/>
      <c r="C2" s="363"/>
      <c r="D2" s="363"/>
      <c r="E2" s="363"/>
      <c r="F2" s="363"/>
      <c r="G2" s="363"/>
      <c r="H2" s="363"/>
      <c r="I2" s="363"/>
      <c r="J2" s="363"/>
      <c r="K2" s="363"/>
      <c r="L2" s="363"/>
      <c r="M2" s="363"/>
    </row>
    <row r="3" spans="1:13" ht="15" customHeight="1">
      <c r="A3" s="363"/>
      <c r="B3" s="363"/>
      <c r="C3" s="363"/>
      <c r="D3" s="363"/>
      <c r="E3" s="363"/>
      <c r="F3" s="363"/>
      <c r="G3" s="363"/>
      <c r="H3" s="363"/>
      <c r="I3" s="363"/>
      <c r="J3" s="363"/>
      <c r="K3" s="363"/>
      <c r="L3" s="363"/>
      <c r="M3" s="363"/>
    </row>
    <row r="4" spans="1:13" ht="27.75" customHeight="1">
      <c r="A4" s="364" t="s">
        <v>105</v>
      </c>
      <c r="B4" s="364"/>
      <c r="C4" s="364"/>
      <c r="D4" s="364"/>
      <c r="E4" s="364"/>
      <c r="F4" s="364"/>
      <c r="G4" s="364"/>
      <c r="H4" s="364"/>
      <c r="I4" s="364"/>
      <c r="J4" s="364"/>
      <c r="K4" s="364"/>
      <c r="L4" s="364"/>
      <c r="M4" s="364"/>
    </row>
    <row r="5" spans="1:13" ht="27.75" customHeight="1">
      <c r="A5" s="55" t="str">
        <f>HYPERLINK("#M12_DATOS!A1","▶  DATOS")</f>
        <v>▶  DATOS</v>
      </c>
      <c r="B5" s="321" t="str">
        <f>HYPERLINK("#M12_CALCULOS!A1","▶  CALCULOS")</f>
        <v>▶  CALCULOS</v>
      </c>
      <c r="C5" s="321"/>
      <c r="D5" s="321" t="str">
        <f>HYPERLINK("#M12_RESULTADOS!A1","▶  RESULTADOS")</f>
        <v>▶  RESULTADOS</v>
      </c>
      <c r="E5" s="321"/>
      <c r="F5" s="321" t="str">
        <f>HYPERLINK("#M12_FUENTES!A1","▶  FUENTES")</f>
        <v>▶  FUENTES</v>
      </c>
      <c r="G5" s="321"/>
      <c r="H5" s="321" t="str">
        <f>HYPERLINK("#M12_PRUEBAS!A1","▶  PRUEBAS")</f>
        <v>▶  PRUEBAS</v>
      </c>
      <c r="I5" s="321"/>
      <c r="J5" s="321" t="str">
        <f>HYPERLINK("#M12_CONFIG!A1","▶  CONFIG")</f>
        <v>▶  CONFIG</v>
      </c>
      <c r="K5" s="321"/>
      <c r="L5" s="321" t="str">
        <f>HYPERLINK("#M12_CHANGELOG!A1","▶  CHANGELOG")</f>
        <v>▶  CHANGELOG</v>
      </c>
      <c r="M5" s="321"/>
    </row>
    <row r="6" spans="1:13" ht="29.25" customHeight="1">
      <c r="A6" s="56" t="s">
        <v>449</v>
      </c>
      <c r="B6" s="361" t="s">
        <v>451</v>
      </c>
      <c r="C6" s="361"/>
      <c r="D6" s="361" t="s">
        <v>452</v>
      </c>
      <c r="E6" s="361"/>
      <c r="F6" s="361" t="s">
        <v>453</v>
      </c>
      <c r="G6" s="361"/>
      <c r="H6" s="361" t="s">
        <v>112</v>
      </c>
      <c r="I6" s="361"/>
      <c r="J6" s="320" t="s">
        <v>113</v>
      </c>
      <c r="K6" s="320"/>
      <c r="L6" s="320" t="s">
        <v>114</v>
      </c>
      <c r="M6" s="320"/>
    </row>
    <row r="7" spans="1:13" ht="15" customHeight="1">
      <c r="A7" s="356" t="s">
        <v>115</v>
      </c>
      <c r="B7" s="356"/>
      <c r="C7" s="357" t="s">
        <v>82</v>
      </c>
      <c r="D7" s="357"/>
      <c r="E7" s="357"/>
      <c r="F7" s="357"/>
      <c r="G7" s="357"/>
      <c r="H7" s="357"/>
      <c r="I7" s="357"/>
      <c r="J7" s="22"/>
      <c r="K7" s="2"/>
      <c r="L7" s="22"/>
      <c r="M7" s="2"/>
    </row>
    <row r="8" spans="1:13" ht="15" customHeight="1">
      <c r="A8" s="356" t="s">
        <v>1</v>
      </c>
      <c r="B8" s="356"/>
      <c r="C8" s="357" t="s">
        <v>116</v>
      </c>
      <c r="D8" s="357"/>
      <c r="E8" s="357"/>
      <c r="F8" s="357"/>
      <c r="G8" s="357"/>
      <c r="H8" s="357"/>
      <c r="I8" s="357"/>
      <c r="J8" s="22"/>
      <c r="K8" s="2"/>
      <c r="L8" s="22"/>
      <c r="M8" s="2"/>
    </row>
    <row r="9" spans="1:13" ht="15" customHeight="1">
      <c r="A9" s="356" t="s">
        <v>19</v>
      </c>
      <c r="B9" s="356"/>
      <c r="C9" s="357" t="s">
        <v>454</v>
      </c>
      <c r="D9" s="357"/>
      <c r="E9" s="357"/>
      <c r="F9" s="357"/>
      <c r="G9" s="357"/>
      <c r="H9" s="357"/>
      <c r="I9" s="357"/>
      <c r="J9" s="22"/>
      <c r="K9" s="2"/>
      <c r="L9" s="22"/>
      <c r="M9" s="2"/>
    </row>
    <row r="10" spans="1:13" ht="15" customHeight="1">
      <c r="A10" s="356" t="s">
        <v>1005</v>
      </c>
      <c r="B10" s="356"/>
      <c r="C10" s="357" t="s">
        <v>1006</v>
      </c>
      <c r="D10" s="357"/>
      <c r="E10" s="357"/>
      <c r="F10" s="357"/>
      <c r="G10" s="357"/>
      <c r="H10" s="357"/>
      <c r="I10" s="357"/>
      <c r="J10" s="22"/>
      <c r="K10" s="2"/>
      <c r="L10" s="22"/>
      <c r="M10" s="2"/>
    </row>
    <row r="11" spans="1:13" ht="15" customHeight="1">
      <c r="A11" s="356" t="s">
        <v>122</v>
      </c>
      <c r="B11" s="356"/>
      <c r="C11" s="357" t="s">
        <v>455</v>
      </c>
      <c r="D11" s="357"/>
      <c r="E11" s="357"/>
      <c r="F11" s="357"/>
      <c r="G11" s="357"/>
      <c r="H11" s="357"/>
      <c r="I11" s="357"/>
      <c r="J11" s="22"/>
      <c r="K11" s="2"/>
      <c r="L11" s="22"/>
      <c r="M11" s="2"/>
    </row>
    <row r="12" spans="1:13" ht="15" customHeight="1">
      <c r="A12" s="356" t="s">
        <v>124</v>
      </c>
      <c r="B12" s="356"/>
      <c r="C12" s="357" t="s">
        <v>125</v>
      </c>
      <c r="D12" s="357"/>
      <c r="E12" s="357"/>
      <c r="F12" s="357"/>
      <c r="G12" s="357"/>
      <c r="H12" s="357"/>
      <c r="I12" s="357"/>
      <c r="J12" s="22"/>
      <c r="K12" s="2"/>
      <c r="L12" s="22"/>
      <c r="M12" s="2"/>
    </row>
    <row r="13" spans="1:13" ht="15" customHeight="1">
      <c r="A13" s="416" t="s">
        <v>131</v>
      </c>
      <c r="B13" s="416"/>
      <c r="C13" s="416"/>
      <c r="D13" s="416"/>
      <c r="E13" s="416"/>
      <c r="F13" s="416"/>
      <c r="G13" s="416"/>
      <c r="H13" s="416"/>
      <c r="I13" s="416"/>
      <c r="J13" s="22"/>
      <c r="K13" s="2"/>
      <c r="L13" s="22"/>
      <c r="M13" s="2"/>
    </row>
    <row r="14" spans="1:13" ht="23.25" customHeight="1">
      <c r="A14" s="413" t="s">
        <v>456</v>
      </c>
      <c r="B14" s="413"/>
      <c r="C14" s="413"/>
      <c r="D14" s="413"/>
      <c r="E14" s="413"/>
      <c r="F14" s="413"/>
      <c r="G14" s="413"/>
      <c r="H14" s="413"/>
      <c r="I14" s="413"/>
      <c r="J14" s="22"/>
      <c r="K14" s="2"/>
      <c r="L14" s="22"/>
      <c r="M14" s="2"/>
    </row>
    <row r="15" spans="1:13" ht="18" customHeight="1">
      <c r="A15" s="414" t="s">
        <v>457</v>
      </c>
      <c r="B15" s="414"/>
      <c r="C15" s="414"/>
      <c r="D15" s="414"/>
      <c r="E15" s="414"/>
      <c r="F15" s="414"/>
      <c r="G15" s="414"/>
      <c r="H15" s="414"/>
      <c r="I15" s="414"/>
      <c r="J15" s="149"/>
      <c r="K15" s="2"/>
      <c r="L15" s="22"/>
      <c r="M15" s="2"/>
    </row>
    <row r="16" spans="1:13" ht="21.75" customHeight="1">
      <c r="A16" s="413" t="s">
        <v>1007</v>
      </c>
      <c r="B16" s="413"/>
      <c r="C16" s="413"/>
      <c r="D16" s="413"/>
      <c r="E16" s="413"/>
      <c r="F16" s="413"/>
      <c r="G16" s="413"/>
      <c r="H16" s="413"/>
      <c r="I16" s="413"/>
      <c r="J16" s="22"/>
      <c r="K16" s="2"/>
      <c r="L16" s="22"/>
      <c r="M16" s="2"/>
    </row>
    <row r="17" spans="1:13" ht="21" customHeight="1">
      <c r="A17" s="413" t="s">
        <v>1008</v>
      </c>
      <c r="B17" s="413"/>
      <c r="C17" s="413"/>
      <c r="D17" s="413"/>
      <c r="E17" s="413"/>
      <c r="F17" s="413"/>
      <c r="G17" s="413"/>
      <c r="H17" s="413"/>
      <c r="I17" s="413"/>
      <c r="J17" s="22"/>
      <c r="K17" s="2"/>
      <c r="L17" s="22"/>
      <c r="M17" s="2"/>
    </row>
    <row r="18" spans="1:13" ht="19.5" customHeight="1">
      <c r="A18" s="413" t="s">
        <v>1009</v>
      </c>
      <c r="B18" s="413"/>
      <c r="C18" s="413"/>
      <c r="D18" s="413"/>
      <c r="E18" s="413"/>
      <c r="F18" s="413"/>
      <c r="G18" s="413"/>
      <c r="H18" s="413"/>
      <c r="I18" s="413"/>
      <c r="J18" s="22"/>
      <c r="K18" s="2"/>
      <c r="L18" s="22"/>
      <c r="M18" s="2"/>
    </row>
    <row r="19" spans="1:13" ht="21" customHeight="1">
      <c r="A19" s="414" t="s">
        <v>1010</v>
      </c>
      <c r="B19" s="414"/>
      <c r="C19" s="414"/>
      <c r="D19" s="414"/>
      <c r="E19" s="414"/>
      <c r="F19" s="414"/>
      <c r="G19" s="414"/>
      <c r="H19" s="414"/>
      <c r="I19" s="414"/>
      <c r="J19" s="149"/>
      <c r="K19" s="2"/>
      <c r="L19" s="22"/>
      <c r="M19" s="2"/>
    </row>
    <row r="20" spans="1:13" ht="15" customHeight="1">
      <c r="A20" s="415" t="s">
        <v>463</v>
      </c>
      <c r="B20" s="415"/>
      <c r="C20" s="415"/>
      <c r="D20" s="415"/>
      <c r="E20" s="415"/>
      <c r="F20" s="415"/>
      <c r="G20" s="415"/>
      <c r="H20" s="415"/>
      <c r="I20" s="415"/>
      <c r="J20" s="22"/>
      <c r="K20" s="2"/>
      <c r="L20" s="22"/>
      <c r="M20" s="2"/>
    </row>
    <row r="21" spans="1:13" ht="53.25" customHeight="1">
      <c r="A21" s="356" t="s">
        <v>464</v>
      </c>
      <c r="B21" s="356"/>
      <c r="C21" s="357" t="s">
        <v>1011</v>
      </c>
      <c r="D21" s="357"/>
      <c r="E21" s="357"/>
      <c r="F21" s="357"/>
      <c r="G21" s="357"/>
      <c r="H21" s="357"/>
      <c r="I21" s="357"/>
      <c r="J21" s="22"/>
      <c r="K21" s="2"/>
      <c r="L21" s="22"/>
      <c r="M21" s="2"/>
    </row>
    <row r="22" spans="1:13" ht="26.25" customHeight="1">
      <c r="A22" s="356" t="s">
        <v>466</v>
      </c>
      <c r="B22" s="356"/>
      <c r="C22" s="357" t="s">
        <v>1012</v>
      </c>
      <c r="D22" s="357"/>
      <c r="E22" s="357"/>
      <c r="F22" s="357"/>
      <c r="G22" s="357"/>
      <c r="H22" s="357"/>
      <c r="I22" s="357"/>
      <c r="J22" s="22"/>
      <c r="K22" s="2"/>
      <c r="L22" s="22"/>
      <c r="M22" s="2"/>
    </row>
    <row r="23" spans="1:13" ht="27.75" customHeight="1">
      <c r="A23" s="356" t="s">
        <v>468</v>
      </c>
      <c r="B23" s="356"/>
      <c r="C23" s="357" t="s">
        <v>1013</v>
      </c>
      <c r="D23" s="357"/>
      <c r="E23" s="357"/>
      <c r="F23" s="357"/>
      <c r="G23" s="357"/>
      <c r="H23" s="357"/>
      <c r="I23" s="357"/>
      <c r="J23" s="22"/>
      <c r="K23" s="2"/>
      <c r="L23" s="22"/>
      <c r="M23" s="2"/>
    </row>
    <row r="24" spans="1:13" ht="21.75" customHeight="1">
      <c r="A24" s="356" t="s">
        <v>469</v>
      </c>
      <c r="B24" s="356"/>
      <c r="C24" s="357" t="s">
        <v>455</v>
      </c>
      <c r="D24" s="357"/>
      <c r="E24" s="357"/>
      <c r="F24" s="357"/>
      <c r="G24" s="357"/>
      <c r="H24" s="357"/>
      <c r="I24" s="357"/>
      <c r="J24" s="22"/>
      <c r="K24" s="2"/>
      <c r="L24" s="22"/>
      <c r="M24" s="2"/>
    </row>
    <row r="25" spans="1:13" ht="21" customHeight="1">
      <c r="A25" s="356" t="s">
        <v>8</v>
      </c>
      <c r="B25" s="356"/>
      <c r="C25" s="357" t="s">
        <v>470</v>
      </c>
      <c r="D25" s="357"/>
      <c r="E25" s="357"/>
      <c r="F25" s="357"/>
      <c r="G25" s="357"/>
      <c r="H25" s="357"/>
      <c r="I25" s="357"/>
      <c r="J25" s="22"/>
      <c r="K25" s="2"/>
      <c r="L25" s="22"/>
      <c r="M25" s="2"/>
    </row>
    <row r="26" spans="1:13" ht="15" customHeight="1">
      <c r="A26" s="412" t="s">
        <v>471</v>
      </c>
      <c r="B26" s="412"/>
      <c r="C26" s="412"/>
      <c r="D26" s="412"/>
      <c r="E26" s="412"/>
      <c r="F26" s="412"/>
      <c r="G26" s="412"/>
      <c r="H26" s="412"/>
      <c r="I26" s="412"/>
      <c r="J26" s="22"/>
      <c r="K26" s="2"/>
      <c r="L26" s="22"/>
      <c r="M26" s="2"/>
    </row>
    <row r="27" spans="1:13" ht="19.5" customHeight="1">
      <c r="A27" s="354" t="s">
        <v>1014</v>
      </c>
      <c r="B27" s="354"/>
      <c r="C27" s="354"/>
      <c r="D27" s="354"/>
      <c r="E27" s="354"/>
      <c r="F27" s="354"/>
      <c r="G27" s="354"/>
      <c r="H27" s="354"/>
      <c r="I27" s="354"/>
      <c r="J27" s="22"/>
      <c r="K27" s="2"/>
      <c r="L27" s="22"/>
      <c r="M27" s="2"/>
    </row>
    <row r="28" spans="1:13" ht="23.25" customHeight="1">
      <c r="A28" s="354" t="s">
        <v>1015</v>
      </c>
      <c r="B28" s="354"/>
      <c r="C28" s="354"/>
      <c r="D28" s="354"/>
      <c r="E28" s="354"/>
      <c r="F28" s="354"/>
      <c r="G28" s="354"/>
      <c r="H28" s="354"/>
      <c r="I28" s="354"/>
      <c r="J28" s="22"/>
      <c r="K28" s="2"/>
      <c r="L28" s="22"/>
      <c r="M28" s="2"/>
    </row>
    <row r="29" spans="1:13" ht="26.25" customHeight="1">
      <c r="A29" s="354" t="s">
        <v>1016</v>
      </c>
      <c r="B29" s="354"/>
      <c r="C29" s="354"/>
      <c r="D29" s="354"/>
      <c r="E29" s="354"/>
      <c r="F29" s="354"/>
      <c r="G29" s="354"/>
      <c r="H29" s="354"/>
      <c r="I29" s="354"/>
      <c r="J29" s="22"/>
      <c r="K29" s="2"/>
      <c r="L29" s="22"/>
      <c r="M29" s="2"/>
    </row>
    <row r="30" spans="1:13" ht="26.25" customHeight="1">
      <c r="A30" s="354" t="s">
        <v>476</v>
      </c>
      <c r="B30" s="354"/>
      <c r="C30" s="354"/>
      <c r="D30" s="354"/>
      <c r="E30" s="354"/>
      <c r="F30" s="354"/>
      <c r="G30" s="354"/>
      <c r="H30" s="354"/>
      <c r="I30" s="354"/>
      <c r="J30" s="22"/>
      <c r="K30" s="2"/>
      <c r="L30" s="22"/>
      <c r="M30" s="2"/>
    </row>
    <row r="31" spans="1:13" ht="20.25" customHeight="1">
      <c r="A31" s="355" t="s">
        <v>1017</v>
      </c>
      <c r="B31" s="355"/>
      <c r="C31" s="355"/>
      <c r="D31" s="355"/>
      <c r="E31" s="355"/>
      <c r="F31" s="355"/>
      <c r="G31" s="355"/>
      <c r="H31" s="355"/>
      <c r="I31" s="355"/>
      <c r="J31" s="22"/>
      <c r="K31" s="2"/>
      <c r="L31" s="22"/>
      <c r="M31" s="2"/>
    </row>
  </sheetData>
  <sheetProtection algorithmName="SHA-512" hashValue="0suFLn0mZLGmp5nyn8vQJPDUnpzSs7rhN3OhJ2XbedeZpAgq6p0nq0FIlkbtgbd+vhW/8yha9vIx05cef2IQFg==" saltValue="XTt87sg9DrSlCyGpiziZcg==" spinCount="100000" sheet="1" objects="1" scenarios="1"/>
  <mergeCells count="51">
    <mergeCell ref="A1:M1"/>
    <mergeCell ref="A2:M3"/>
    <mergeCell ref="A4:M4"/>
    <mergeCell ref="B5:C5"/>
    <mergeCell ref="D5:E5"/>
    <mergeCell ref="F5:G5"/>
    <mergeCell ref="H5:I5"/>
    <mergeCell ref="J5:K5"/>
    <mergeCell ref="L5:M5"/>
    <mergeCell ref="L6:M6"/>
    <mergeCell ref="A7:B7"/>
    <mergeCell ref="C7:I7"/>
    <mergeCell ref="A8:B8"/>
    <mergeCell ref="C8:I8"/>
    <mergeCell ref="B6:C6"/>
    <mergeCell ref="D6:E6"/>
    <mergeCell ref="F6:G6"/>
    <mergeCell ref="H6:I6"/>
    <mergeCell ref="J6:K6"/>
    <mergeCell ref="A9:B9"/>
    <mergeCell ref="C9:I9"/>
    <mergeCell ref="A10:B10"/>
    <mergeCell ref="C10:I10"/>
    <mergeCell ref="A11:B11"/>
    <mergeCell ref="C11:I11"/>
    <mergeCell ref="A12:B12"/>
    <mergeCell ref="C12:I12"/>
    <mergeCell ref="A13:I13"/>
    <mergeCell ref="A14:I14"/>
    <mergeCell ref="A15:I15"/>
    <mergeCell ref="A16:I16"/>
    <mergeCell ref="A17:I17"/>
    <mergeCell ref="A18:I18"/>
    <mergeCell ref="A19:I19"/>
    <mergeCell ref="A20:I20"/>
    <mergeCell ref="A21:B21"/>
    <mergeCell ref="C21:I21"/>
    <mergeCell ref="A22:B22"/>
    <mergeCell ref="C22:I22"/>
    <mergeCell ref="A23:B23"/>
    <mergeCell ref="C23:I23"/>
    <mergeCell ref="A24:B24"/>
    <mergeCell ref="C24:I24"/>
    <mergeCell ref="A25:B25"/>
    <mergeCell ref="C25:I25"/>
    <mergeCell ref="A26:I26"/>
    <mergeCell ref="A27:I27"/>
    <mergeCell ref="A28:I28"/>
    <mergeCell ref="A29:I29"/>
    <mergeCell ref="A30:I30"/>
    <mergeCell ref="A31:I31"/>
  </mergeCell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A1:E25"/>
  <sheetViews>
    <sheetView showGridLines="0" zoomScaleNormal="100" workbookViewId="0">
      <pane ySplit="6" topLeftCell="A7" activePane="bottomLeft" state="frozen"/>
      <selection pane="bottomLeft" sqref="A1:E1"/>
    </sheetView>
  </sheetViews>
  <sheetFormatPr baseColWidth="10" defaultColWidth="8.7109375" defaultRowHeight="15"/>
  <cols>
    <col min="1" max="1" width="40" style="1" customWidth="1"/>
    <col min="2" max="2" width="30" style="1" customWidth="1"/>
    <col min="3" max="3" width="12" style="1" customWidth="1"/>
    <col min="4" max="4" width="28" style="1" customWidth="1"/>
    <col min="5" max="5" width="52" style="1" customWidth="1"/>
  </cols>
  <sheetData>
    <row r="1" spans="1:5" ht="25.5" customHeight="1">
      <c r="A1" s="419" t="s">
        <v>1003</v>
      </c>
      <c r="B1" s="419"/>
      <c r="C1" s="419"/>
      <c r="D1" s="419"/>
      <c r="E1" s="419"/>
    </row>
    <row r="2" spans="1:5" ht="24.75" customHeight="1">
      <c r="A2" s="420" t="s">
        <v>1018</v>
      </c>
      <c r="B2" s="420"/>
      <c r="C2" s="420"/>
      <c r="D2" s="420"/>
      <c r="E2" s="420"/>
    </row>
    <row r="3" spans="1:5" ht="15" customHeight="1">
      <c r="A3" s="59" t="str">
        <f>HYPERLINK("#M12_INICIO!A1","◀ INICIO")</f>
        <v>◀ INICIO</v>
      </c>
      <c r="B3" s="366" t="str">
        <f>HYPERLINK("#M12_CALCULOS!A1","▶  CALCULOS")</f>
        <v>▶  CALCULOS</v>
      </c>
      <c r="C3" s="366"/>
      <c r="D3" s="366" t="str">
        <f>HYPERLINK("#M12_RESULTADOS!A1","▶ RESULTADOS")</f>
        <v>▶ RESULTADOS</v>
      </c>
      <c r="E3" s="366"/>
    </row>
    <row r="4" spans="1:5" ht="19.5" customHeight="1">
      <c r="A4" s="421" t="s">
        <v>479</v>
      </c>
      <c r="B4" s="421"/>
      <c r="C4" s="421"/>
      <c r="D4" s="421"/>
      <c r="E4" s="421"/>
    </row>
    <row r="5" spans="1:5" ht="15" customHeight="1">
      <c r="A5" s="417" t="s">
        <v>1019</v>
      </c>
      <c r="B5" s="417"/>
      <c r="C5" s="417"/>
      <c r="D5" s="417"/>
      <c r="E5" s="417"/>
    </row>
    <row r="6" spans="1:5" ht="15" customHeight="1">
      <c r="A6" s="62" t="s">
        <v>15</v>
      </c>
      <c r="B6" s="62" t="s">
        <v>16</v>
      </c>
      <c r="C6" s="62" t="s">
        <v>43</v>
      </c>
      <c r="D6" s="62" t="s">
        <v>481</v>
      </c>
      <c r="E6" s="62" t="s">
        <v>482</v>
      </c>
    </row>
    <row r="7" spans="1:5" ht="15" customHeight="1">
      <c r="A7" s="150" t="s">
        <v>483</v>
      </c>
      <c r="B7" s="66" t="str">
        <f>DATOS!$B$7</f>
        <v>NMX-2026-0028</v>
      </c>
      <c r="C7" s="151" t="s">
        <v>151</v>
      </c>
      <c r="D7" s="152" t="s">
        <v>484</v>
      </c>
      <c r="E7" s="153" t="s">
        <v>1020</v>
      </c>
    </row>
    <row r="8" spans="1:5" ht="15" customHeight="1">
      <c r="A8" s="150" t="s">
        <v>19</v>
      </c>
      <c r="B8" s="67">
        <f>DATOS!$B$8</f>
        <v>46236</v>
      </c>
      <c r="C8" s="151" t="s">
        <v>486</v>
      </c>
      <c r="D8" s="152" t="s">
        <v>19</v>
      </c>
      <c r="E8" s="153" t="s">
        <v>487</v>
      </c>
    </row>
    <row r="9" spans="1:5" ht="15" customHeight="1">
      <c r="A9" s="150" t="s">
        <v>488</v>
      </c>
      <c r="B9" s="66" t="str">
        <f>DATOS!$B$9</f>
        <v>PER-0007</v>
      </c>
      <c r="C9" s="151" t="s">
        <v>151</v>
      </c>
      <c r="D9" s="152" t="s">
        <v>484</v>
      </c>
      <c r="E9" s="153" t="s">
        <v>1021</v>
      </c>
    </row>
    <row r="10" spans="1:5" ht="15" customHeight="1">
      <c r="A10" s="150" t="s">
        <v>490</v>
      </c>
      <c r="B10" s="66" t="str">
        <f>DATOS!$B$10</f>
        <v>Hombre</v>
      </c>
      <c r="C10" s="151" t="s">
        <v>151</v>
      </c>
      <c r="D10" s="152" t="s">
        <v>491</v>
      </c>
      <c r="E10" s="153" t="s">
        <v>1022</v>
      </c>
    </row>
    <row r="11" spans="1:5" ht="15" customHeight="1">
      <c r="A11" s="150" t="s">
        <v>493</v>
      </c>
      <c r="B11" s="68">
        <f>DATOS!$B$11</f>
        <v>34</v>
      </c>
      <c r="C11" s="151" t="s">
        <v>494</v>
      </c>
      <c r="D11" s="152" t="s">
        <v>495</v>
      </c>
      <c r="E11" s="153" t="s">
        <v>496</v>
      </c>
    </row>
    <row r="12" spans="1:5" ht="15" customHeight="1">
      <c r="A12" s="150" t="s">
        <v>66</v>
      </c>
      <c r="B12" s="69">
        <f>DATOS!$B$12</f>
        <v>78.5</v>
      </c>
      <c r="C12" s="151" t="s">
        <v>497</v>
      </c>
      <c r="D12" s="152" t="s">
        <v>498</v>
      </c>
      <c r="E12" s="153" t="s">
        <v>1023</v>
      </c>
    </row>
    <row r="13" spans="1:5" ht="15" customHeight="1">
      <c r="A13" s="150" t="s">
        <v>500</v>
      </c>
      <c r="B13" s="69">
        <f>DATOS!$B$13</f>
        <v>176</v>
      </c>
      <c r="C13" s="151" t="s">
        <v>56</v>
      </c>
      <c r="D13" s="152" t="s">
        <v>501</v>
      </c>
      <c r="E13" s="153" t="s">
        <v>1024</v>
      </c>
    </row>
    <row r="14" spans="1:5" ht="15" customHeight="1">
      <c r="A14" s="150" t="s">
        <v>1025</v>
      </c>
      <c r="B14" s="66" t="s">
        <v>1026</v>
      </c>
      <c r="C14" s="151" t="s">
        <v>151</v>
      </c>
      <c r="D14" s="152" t="s">
        <v>505</v>
      </c>
      <c r="E14" s="153" t="s">
        <v>1027</v>
      </c>
    </row>
    <row r="15" spans="1:5" ht="15" customHeight="1">
      <c r="A15" s="150" t="s">
        <v>507</v>
      </c>
      <c r="B15" s="66" t="s">
        <v>508</v>
      </c>
      <c r="C15" s="151" t="s">
        <v>151</v>
      </c>
      <c r="D15" s="152" t="s">
        <v>509</v>
      </c>
      <c r="E15" s="153" t="s">
        <v>1028</v>
      </c>
    </row>
    <row r="16" spans="1:5" ht="15" customHeight="1">
      <c r="A16" s="150" t="s">
        <v>1029</v>
      </c>
      <c r="B16" s="69">
        <f>MED_Bic</f>
        <v>5</v>
      </c>
      <c r="C16" s="151" t="s">
        <v>47</v>
      </c>
      <c r="D16" s="152" t="s">
        <v>1030</v>
      </c>
      <c r="E16" s="153" t="s">
        <v>1031</v>
      </c>
    </row>
    <row r="17" spans="1:5" ht="15" customHeight="1">
      <c r="A17" s="150" t="s">
        <v>1032</v>
      </c>
      <c r="B17" s="69">
        <f>MED_Tri</f>
        <v>12</v>
      </c>
      <c r="C17" s="151" t="s">
        <v>47</v>
      </c>
      <c r="D17" s="152" t="s">
        <v>1030</v>
      </c>
      <c r="E17" s="153" t="s">
        <v>1033</v>
      </c>
    </row>
    <row r="18" spans="1:5" ht="15" customHeight="1">
      <c r="A18" s="150" t="s">
        <v>1034</v>
      </c>
      <c r="B18" s="69">
        <f>MED_Sub</f>
        <v>14</v>
      </c>
      <c r="C18" s="151" t="s">
        <v>47</v>
      </c>
      <c r="D18" s="152" t="s">
        <v>1030</v>
      </c>
      <c r="E18" s="153" t="s">
        <v>1035</v>
      </c>
    </row>
    <row r="19" spans="1:5" ht="15" customHeight="1">
      <c r="A19" s="150" t="s">
        <v>1036</v>
      </c>
      <c r="B19" s="69">
        <f>MED_Supra</f>
        <v>16</v>
      </c>
      <c r="C19" s="151" t="s">
        <v>47</v>
      </c>
      <c r="D19" s="152" t="s">
        <v>1030</v>
      </c>
      <c r="E19" s="153" t="s">
        <v>1037</v>
      </c>
    </row>
    <row r="20" spans="1:5" ht="15" customHeight="1">
      <c r="A20" s="150" t="s">
        <v>1038</v>
      </c>
      <c r="B20" s="69">
        <f>MED_Cuello</f>
        <v>38</v>
      </c>
      <c r="C20" s="151" t="s">
        <v>56</v>
      </c>
      <c r="D20" s="152" t="s">
        <v>1039</v>
      </c>
      <c r="E20" s="153" t="s">
        <v>1040</v>
      </c>
    </row>
    <row r="21" spans="1:5" ht="21" customHeight="1">
      <c r="A21" s="150" t="s">
        <v>1041</v>
      </c>
      <c r="B21" s="69">
        <f>MED_Cintura</f>
        <v>85</v>
      </c>
      <c r="C21" s="151" t="s">
        <v>56</v>
      </c>
      <c r="D21" s="152" t="s">
        <v>1042</v>
      </c>
      <c r="E21" s="153" t="s">
        <v>1043</v>
      </c>
    </row>
    <row r="22" spans="1:5" ht="21.75" customHeight="1">
      <c r="A22" s="150" t="s">
        <v>1044</v>
      </c>
      <c r="B22" s="69">
        <f>MED_Cadera</f>
        <v>98</v>
      </c>
      <c r="C22" s="151" t="s">
        <v>56</v>
      </c>
      <c r="D22" s="152" t="s">
        <v>1045</v>
      </c>
      <c r="E22" s="153" t="s">
        <v>1046</v>
      </c>
    </row>
    <row r="23" spans="1:5" ht="15" customHeight="1">
      <c r="A23" s="150" t="s">
        <v>33</v>
      </c>
      <c r="B23" s="66">
        <f>DATOS!$B$17</f>
        <v>0</v>
      </c>
      <c r="C23" s="151" t="s">
        <v>151</v>
      </c>
      <c r="D23" s="152" t="s">
        <v>484</v>
      </c>
      <c r="E23" s="153" t="s">
        <v>1047</v>
      </c>
    </row>
    <row r="24" spans="1:5">
      <c r="A24" s="22"/>
      <c r="B24" s="22"/>
      <c r="C24" s="22"/>
      <c r="D24" s="22"/>
      <c r="E24" s="22"/>
    </row>
    <row r="25" spans="1:5" ht="15" customHeight="1">
      <c r="A25" s="418" t="s">
        <v>1048</v>
      </c>
      <c r="B25" s="418"/>
      <c r="C25" s="418"/>
      <c r="D25" s="418"/>
      <c r="E25" s="418"/>
    </row>
  </sheetData>
  <sheetProtection algorithmName="SHA-512" hashValue="hwEvsT3MK7Z8grnQtfM+4ukdoJXAhB0xcTpP2mjysSUZhT+MgCWgYPUtdGZZZUYvvPHUU0GBES+hDcBTfeWstQ==" saltValue="vtSYOEvoH8WE6tQb0gcH6Q==" spinCount="100000" sheet="1" objects="1" scenarios="1"/>
  <mergeCells count="7">
    <mergeCell ref="A5:E5"/>
    <mergeCell ref="A25:E25"/>
    <mergeCell ref="A1:E1"/>
    <mergeCell ref="A2:E2"/>
    <mergeCell ref="B3:C3"/>
    <mergeCell ref="D3:E3"/>
    <mergeCell ref="A4:E4"/>
  </mergeCells>
  <dataValidations count="10">
    <dataValidation type="list" allowBlank="1" sqref="B10" xr:uid="{00000000-0002-0000-1A00-000000000000}">
      <formula1>M12_SEXOS</formula1>
      <formula2>0</formula2>
    </dataValidation>
    <dataValidation type="decimal" allowBlank="1" sqref="B11" xr:uid="{00000000-0002-0000-1A00-000001000000}">
      <formula1>M12_EDAD_MIN</formula1>
      <formula2>edad_max</formula2>
    </dataValidation>
    <dataValidation type="decimal" allowBlank="1" sqref="B12" xr:uid="{00000000-0002-0000-1A00-000002000000}">
      <formula1>M12_PESO_MIN</formula1>
      <formula2>peso_max</formula2>
    </dataValidation>
    <dataValidation type="decimal" allowBlank="1" sqref="B13" xr:uid="{00000000-0002-0000-1A00-000003000000}">
      <formula1>M12_EST_MIN</formula1>
      <formula2>est_max</formula2>
    </dataValidation>
    <dataValidation type="list" allowBlank="1" sqref="B14" xr:uid="{00000000-0002-0000-1A00-000004000000}">
      <formula1>M12_LISTA_MET</formula1>
      <formula2>0</formula2>
    </dataValidation>
    <dataValidation type="list" allowBlank="1" sqref="B15" xr:uid="{00000000-0002-0000-1A00-000005000000}">
      <formula1>M12_LISTA_DEN</formula1>
      <formula2>0</formula2>
    </dataValidation>
    <dataValidation type="decimal" allowBlank="1" sqref="B16:B19" xr:uid="{00000000-0002-0000-1A00-000006000000}">
      <formula1>M12_PLI_MIN</formula1>
      <formula2>pli_max</formula2>
    </dataValidation>
    <dataValidation type="decimal" allowBlank="1" sqref="B20" xr:uid="{00000000-0002-0000-1A00-000007000000}">
      <formula1>M12_CUE_MIN</formula1>
      <formula2>cue_max</formula2>
    </dataValidation>
    <dataValidation type="decimal" allowBlank="1" sqref="B21" xr:uid="{00000000-0002-0000-1A00-000008000000}">
      <formula1>M12_CIN_MIN</formula1>
      <formula2>cin_max</formula2>
    </dataValidation>
    <dataValidation type="decimal" allowBlank="1" sqref="B22" xr:uid="{00000000-0002-0000-1A00-000009000000}">
      <formula1>M12_CAD_MIN</formula1>
      <formula2>cad_max</formula2>
    </dataValidation>
  </dataValidation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dimension ref="A1:D58"/>
  <sheetViews>
    <sheetView showGridLines="0" zoomScaleNormal="100" workbookViewId="0">
      <pane ySplit="5" topLeftCell="A6" activePane="bottomLeft" state="frozen"/>
      <selection pane="bottomLeft"/>
    </sheetView>
  </sheetViews>
  <sheetFormatPr baseColWidth="10" defaultColWidth="8.7109375" defaultRowHeight="15"/>
  <cols>
    <col min="1" max="1" width="48" style="1" customWidth="1"/>
    <col min="2" max="2" width="32.42578125" style="1" customWidth="1"/>
    <col min="3" max="3" width="14" style="1" customWidth="1"/>
    <col min="4" max="4" width="46" style="1" customWidth="1"/>
  </cols>
  <sheetData>
    <row r="1" spans="1:4" ht="25.5" customHeight="1">
      <c r="A1" s="154" t="s">
        <v>1003</v>
      </c>
      <c r="B1" s="155"/>
      <c r="C1" s="155"/>
      <c r="D1" s="155"/>
    </row>
    <row r="2" spans="1:4" ht="15" customHeight="1">
      <c r="A2" s="422" t="s">
        <v>1049</v>
      </c>
      <c r="B2" s="422"/>
      <c r="C2" s="422"/>
      <c r="D2" s="422"/>
    </row>
    <row r="3" spans="1:4" ht="15" customHeight="1">
      <c r="A3" s="156" t="s">
        <v>1050</v>
      </c>
      <c r="B3" s="157"/>
      <c r="C3" s="156" t="s">
        <v>1051</v>
      </c>
      <c r="D3" s="157"/>
    </row>
    <row r="4" spans="1:4" ht="27.75" customHeight="1">
      <c r="A4" s="421" t="s">
        <v>1052</v>
      </c>
      <c r="B4" s="421"/>
      <c r="C4" s="421"/>
      <c r="D4" s="421"/>
    </row>
    <row r="5" spans="1:4" ht="15" customHeight="1">
      <c r="A5" s="157"/>
      <c r="B5" s="157"/>
      <c r="C5" s="157"/>
      <c r="D5" s="157"/>
    </row>
    <row r="6" spans="1:4" ht="15" customHeight="1">
      <c r="A6" s="158" t="s">
        <v>1053</v>
      </c>
      <c r="B6" s="159"/>
      <c r="C6" s="159"/>
      <c r="D6" s="159"/>
    </row>
    <row r="7" spans="1:4" ht="15" customHeight="1">
      <c r="A7" s="160" t="s">
        <v>551</v>
      </c>
      <c r="B7" s="160" t="s">
        <v>16</v>
      </c>
      <c r="C7" s="160" t="s">
        <v>43</v>
      </c>
      <c r="D7" s="160" t="s">
        <v>552</v>
      </c>
    </row>
    <row r="8" spans="1:4" ht="15" customHeight="1">
      <c r="A8" s="161" t="s">
        <v>553</v>
      </c>
      <c r="B8" s="162">
        <f>IF(ISNUMBER(M12_in_Est),M12_in_Est/100,"ND: estatura")</f>
        <v>1.76</v>
      </c>
      <c r="C8" s="151" t="s">
        <v>554</v>
      </c>
      <c r="D8" s="152" t="s">
        <v>555</v>
      </c>
    </row>
    <row r="9" spans="1:4" ht="15" customHeight="1">
      <c r="A9" s="161" t="s">
        <v>67</v>
      </c>
      <c r="B9" s="163">
        <f>IF(AND(ISNUMBER(M12_in_Peso),ISNUMBER(M12_in_Est),M12_in_Est&gt;0),M12_in_Peso/(M12_in_Est/100)^2,"ND: faltan peso o estatura")</f>
        <v>25.342200413223143</v>
      </c>
      <c r="C9" s="151" t="s">
        <v>556</v>
      </c>
      <c r="D9" s="152" t="s">
        <v>557</v>
      </c>
    </row>
    <row r="10" spans="1:4" ht="15" customHeight="1">
      <c r="A10" s="161" t="s">
        <v>1054</v>
      </c>
      <c r="B10" s="164">
        <f>IF(AND(ISNUMBER(M12_in_PliBi),ISNUMBER(M12_in_PliTri),ISNUMBER(M12_in_PliSub),ISNUMBER(M12_in_PliSupra),M12_in_PliBi&gt;0,M12_in_PliTri&gt;0,M12_in_PliSub&gt;0,M12_in_PliSupra&gt;0),M12_in_PliBi+M12_in_PliTri+M12_in_PliSub+M12_in_PliSupra,"ND: faltan pliegues")</f>
        <v>47</v>
      </c>
      <c r="C10" s="151" t="s">
        <v>47</v>
      </c>
      <c r="D10" s="152" t="s">
        <v>563</v>
      </c>
    </row>
    <row r="11" spans="1:4" ht="15" customHeight="1">
      <c r="A11" s="158" t="s">
        <v>566</v>
      </c>
      <c r="B11" s="159"/>
      <c r="C11" s="159"/>
      <c r="D11" s="165"/>
    </row>
    <row r="12" spans="1:4" ht="15" customHeight="1">
      <c r="A12" s="160" t="s">
        <v>551</v>
      </c>
      <c r="B12" s="160" t="s">
        <v>16</v>
      </c>
      <c r="C12" s="160" t="s">
        <v>43</v>
      </c>
      <c r="D12" s="160" t="s">
        <v>552</v>
      </c>
    </row>
    <row r="13" spans="1:4" ht="15" customHeight="1">
      <c r="A13" s="161" t="s">
        <v>567</v>
      </c>
      <c r="B13" s="166" t="str">
        <f>IF(AND(COUNTIF(M12_SEXOS,M12_in_Sexo)&gt;0,ISNUMBER(M12_in_Edad),M12_in_Edad&gt;=M12_EDAD_MIN,M12_in_Edad&lt;=M12_EDAD_MAX,ISNUMBER(M12_in_Peso),M12_in_Peso&gt;=M12_PESO_MIN,M12_in_Peso&lt;=M12_PESO_MAX,ISNUMBER(M12_in_Est),M12_in_Est&gt;=M12_EST_MIN,M12_in_Est&lt;=M12_EST_MAX),"SÍ","NO")</f>
        <v>SÍ</v>
      </c>
      <c r="C13" s="151" t="s">
        <v>151</v>
      </c>
      <c r="D13" s="152" t="s">
        <v>568</v>
      </c>
    </row>
    <row r="14" spans="1:4" ht="15" customHeight="1">
      <c r="A14" s="158" t="s">
        <v>1055</v>
      </c>
      <c r="B14" s="159"/>
      <c r="C14" s="159"/>
      <c r="D14" s="165"/>
    </row>
    <row r="15" spans="1:4" ht="15" customHeight="1">
      <c r="A15" s="160" t="s">
        <v>551</v>
      </c>
      <c r="B15" s="160" t="s">
        <v>16</v>
      </c>
      <c r="C15" s="160" t="s">
        <v>43</v>
      </c>
      <c r="D15" s="160" t="s">
        <v>552</v>
      </c>
    </row>
    <row r="16" spans="1:4" ht="15" customHeight="1">
      <c r="A16" s="161" t="s">
        <v>577</v>
      </c>
      <c r="B16" s="167">
        <f>IF(AND(M12_c_Gate="SÍ",ISNUMBER(M12_c_SumPli)),SUMPRODUCT((M12_CONFIG!$A$80:$A$89=M12_in_Sexo)*(M12_CONFIG!$B$80:$B$89&lt;=M12_in_Edad)*(M12_CONFIG!$C$80:$C$89&gt;M12_in_Edad)*M12_CONFIG!$D$80:$D$89),"ND")</f>
        <v>1.1422000000000001</v>
      </c>
      <c r="C16" s="151" t="s">
        <v>151</v>
      </c>
      <c r="D16" s="152" t="s">
        <v>1056</v>
      </c>
    </row>
    <row r="17" spans="1:4" ht="15" customHeight="1">
      <c r="A17" s="161" t="s">
        <v>579</v>
      </c>
      <c r="B17" s="167">
        <f>IF(AND(M12_c_Gate="SÍ",ISNUMBER(M12_c_SumPli)),SUMPRODUCT((M12_CONFIG!$A$80:$A$89=M12_in_Sexo)*(M12_CONFIG!$B$80:$B$89&lt;=M12_in_Edad)*(M12_CONFIG!$C$80:$C$89&gt;M12_in_Edad)*M12_CONFIG!$E$80:$E$89),"ND")</f>
        <v>5.4399999999999997E-2</v>
      </c>
      <c r="C17" s="151" t="s">
        <v>151</v>
      </c>
      <c r="D17" s="152" t="s">
        <v>1057</v>
      </c>
    </row>
    <row r="18" spans="1:4" ht="15" customHeight="1">
      <c r="A18" s="161" t="s">
        <v>1058</v>
      </c>
      <c r="B18" s="168">
        <f>IF(AND(ISNUMBER(M12_c_DWc),ISNUMBER(M12_c_DWm),ISNUMBER(M12_c_SumPli)),M12_c_DWc-M12_c_DWm*LOG10(M12_c_SumPli),"ND")</f>
        <v>1.051237876528297</v>
      </c>
      <c r="C18" s="151" t="s">
        <v>571</v>
      </c>
      <c r="D18" s="152" t="s">
        <v>582</v>
      </c>
    </row>
    <row r="19" spans="1:4" ht="15" customHeight="1">
      <c r="A19" s="161" t="s">
        <v>1059</v>
      </c>
      <c r="B19" s="169">
        <f>IF(ISNUMBER(M12_c_Dens),IF(M12_in_Conv="Brožek (1963)",(M12_BRO_A/M12_c_Dens-M12_BRO_B)/100,(M12_SIRI_A/M12_c_Dens-M12_SIRI_B)/100),"ND")</f>
        <v>0.20873444585856021</v>
      </c>
      <c r="C19" s="151" t="s">
        <v>375</v>
      </c>
      <c r="D19" s="152" t="s">
        <v>1060</v>
      </c>
    </row>
    <row r="20" spans="1:4" ht="15" customHeight="1">
      <c r="A20" s="161" t="s">
        <v>1061</v>
      </c>
      <c r="B20" s="169">
        <f>IF(AND(M12_c_Gate="SÍ",ISNUMBER(M12_in_Cuello),ISNUMBER(M12_in_Cintura),IF(M12_in_Sexo="Mujer",ISNUMBER(M12_in_Cadera),TRUE())),IF(M12_in_Sexo="Hombre",IF((M12_in_Cintura-M12_in_Cuello)&gt;0,(M12_SIRI_A/(M12_NAVY_H0-M12_NAVY_H1*LOG10(M12_in_Cintura-M12_in_Cuello)+M12_NAVY_H2*LOG10(M12_in_Est))-M12_SIRI_B)/100,"ND: cintura≤cuello"),IF((M12_in_Cintura+M12_in_Cadera-M12_in_Cuello)&gt;0,(M12_SIRI_A/(M12_NAVY_M0-M12_NAVY_M1*LOG10(M12_in_Cintura+M12_in_Cadera-M12_in_Cuello)+M12_NAVY_M2*LOG10(M12_in_Est))-M12_SIRI_B)/100,"ND")),"ND: faltan circunferencias")</f>
        <v>0.16769619570906627</v>
      </c>
      <c r="C20" s="151" t="s">
        <v>375</v>
      </c>
      <c r="D20" s="152" t="s">
        <v>1062</v>
      </c>
    </row>
    <row r="21" spans="1:4" ht="15" customHeight="1">
      <c r="A21" s="161" t="s">
        <v>1063</v>
      </c>
      <c r="B21" s="169">
        <f>IF(AND(M12_c_Gate="SÍ",ISNUMBER(M12_c_IMC)),(M12_DEU_IMC*M12_c_IMC+M12_DEU_EDAD*M12_in_Edad-M12_DEU_SEXO*IF(M12_in_Sexo="Hombre",1,0)-M12_DEU_CONST)/100,"ND")</f>
        <v>0.2203064049586777</v>
      </c>
      <c r="C21" s="151" t="s">
        <v>375</v>
      </c>
      <c r="D21" s="152" t="s">
        <v>1064</v>
      </c>
    </row>
    <row r="22" spans="1:4" ht="15" customHeight="1">
      <c r="A22" s="158" t="s">
        <v>1065</v>
      </c>
      <c r="B22" s="159"/>
      <c r="C22" s="159"/>
      <c r="D22" s="165"/>
    </row>
    <row r="23" spans="1:4" ht="15" customHeight="1">
      <c r="A23" s="160" t="s">
        <v>551</v>
      </c>
      <c r="B23" s="160" t="s">
        <v>16</v>
      </c>
      <c r="C23" s="160" t="s">
        <v>43</v>
      </c>
      <c r="D23" s="160" t="s">
        <v>552</v>
      </c>
    </row>
    <row r="24" spans="1:4" ht="15" customHeight="1">
      <c r="A24" s="161" t="s">
        <v>587</v>
      </c>
      <c r="B24" s="170">
        <f>CHOOSE(MATCH(M12_in_Metodo,M12_LISTA_MET,0),M12_c_GrPli,M12_c_GrNavy,M12_c_GrDeu)</f>
        <v>0.20873444585856021</v>
      </c>
      <c r="C24" s="151" t="s">
        <v>375</v>
      </c>
      <c r="D24" s="152" t="s">
        <v>1066</v>
      </c>
    </row>
    <row r="25" spans="1:4" ht="15" customHeight="1">
      <c r="A25" s="161" t="s">
        <v>1067</v>
      </c>
      <c r="B25" s="171">
        <f>COUNT(M12_c_GrPli,M12_c_GrNavy,M12_c_GrDeu)</f>
        <v>3</v>
      </c>
      <c r="C25" s="151" t="s">
        <v>151</v>
      </c>
      <c r="D25" s="152" t="s">
        <v>1068</v>
      </c>
    </row>
    <row r="26" spans="1:4" ht="15" customHeight="1">
      <c r="A26" s="161" t="s">
        <v>1069</v>
      </c>
      <c r="B26" s="169">
        <f>IF(M12_c_n&gt;0,AVERAGE(M12_c_GrPli,M12_c_GrNavy,M12_c_GrDeu),"ND")</f>
        <v>0.19891234884210141</v>
      </c>
      <c r="C26" s="151" t="s">
        <v>375</v>
      </c>
      <c r="D26" s="152" t="s">
        <v>592</v>
      </c>
    </row>
    <row r="27" spans="1:4" ht="15" customHeight="1">
      <c r="A27" s="161" t="s">
        <v>593</v>
      </c>
      <c r="B27" s="169">
        <f>IF(M12_c_n&gt;0,MIN(M12_c_GrPli,M12_c_GrNavy,M12_c_GrDeu),"ND")</f>
        <v>0.16769619570906627</v>
      </c>
      <c r="C27" s="151" t="s">
        <v>375</v>
      </c>
      <c r="D27" s="152"/>
    </row>
    <row r="28" spans="1:4" ht="15" customHeight="1">
      <c r="A28" s="161" t="s">
        <v>594</v>
      </c>
      <c r="B28" s="169">
        <f>IF(M12_c_n&gt;0,MAX(M12_c_GrPli,M12_c_GrNavy,M12_c_GrDeu),"ND")</f>
        <v>0.2203064049586777</v>
      </c>
      <c r="C28" s="151" t="s">
        <v>375</v>
      </c>
      <c r="D28" s="152"/>
    </row>
    <row r="29" spans="1:4" ht="15" customHeight="1">
      <c r="A29" s="161" t="s">
        <v>595</v>
      </c>
      <c r="B29" s="169">
        <f>IF(AND(ISNUMBER(M12_c_min),ISNUMBER(M12_c_max)),M12_c_max-M12_c_min,"ND")</f>
        <v>5.2610209249611434E-2</v>
      </c>
      <c r="C29" s="151" t="s">
        <v>375</v>
      </c>
      <c r="D29" s="152"/>
    </row>
    <row r="30" spans="1:4" ht="15" customHeight="1">
      <c r="A30" s="161" t="s">
        <v>598</v>
      </c>
      <c r="B30" s="169">
        <f>IF(AND(ISNUMBER(M12_c_rango),ISNUMBER(M12_c_prom),M12_c_prom&gt;0),M12_c_rango/M12_c_prom,"ND")</f>
        <v>0.26448940729855813</v>
      </c>
      <c r="C30" s="151" t="s">
        <v>151</v>
      </c>
      <c r="D30" s="152" t="s">
        <v>1070</v>
      </c>
    </row>
    <row r="31" spans="1:4" ht="27.75" customHeight="1">
      <c r="A31" s="161" t="s">
        <v>600</v>
      </c>
      <c r="B31" s="172" t="str">
        <f>IF(ISNUMBER(M12_c_ampl),IF(M12_c_ampl&lt;=M12_DISP_MAX,"OK: los métodos disponibles concuerdan dentro del umbral.","ATENCIÓN: los métodos discrepan más que el umbral configurado."),"ND")</f>
        <v>ATENCIÓN: los métodos discrepan más que el umbral configurado.</v>
      </c>
      <c r="C31" s="151" t="s">
        <v>151</v>
      </c>
      <c r="D31" s="152" t="s">
        <v>1071</v>
      </c>
    </row>
    <row r="32" spans="1:4" ht="15" customHeight="1">
      <c r="A32" s="158" t="s">
        <v>1072</v>
      </c>
      <c r="B32" s="159"/>
      <c r="C32" s="159"/>
      <c r="D32" s="165"/>
    </row>
    <row r="33" spans="1:4" ht="15" customHeight="1">
      <c r="A33" s="78" t="s">
        <v>551</v>
      </c>
      <c r="B33" s="78" t="s">
        <v>16</v>
      </c>
      <c r="C33" s="78" t="s">
        <v>43</v>
      </c>
      <c r="D33" s="160" t="s">
        <v>552</v>
      </c>
    </row>
    <row r="34" spans="1:4" ht="15" customHeight="1">
      <c r="A34" s="72" t="s">
        <v>603</v>
      </c>
      <c r="B34" s="73">
        <f>IF(AND(ISNUMBER(M12_c_GrRep),ISNUMBER(M12_in_Peso)),M12_c_GrRep*M12_in_Peso,"ND")</f>
        <v>16.385653999896977</v>
      </c>
      <c r="C34" s="71" t="s">
        <v>497</v>
      </c>
      <c r="D34" s="152" t="s">
        <v>604</v>
      </c>
    </row>
    <row r="35" spans="1:4" ht="15" customHeight="1">
      <c r="A35" s="72" t="s">
        <v>605</v>
      </c>
      <c r="B35" s="73">
        <f>IF(AND(ISNUMBER(M12_c_MG),ISNUMBER(M12_in_Peso)),M12_in_Peso-M12_c_MG,"ND")</f>
        <v>62.114346000103026</v>
      </c>
      <c r="C35" s="71" t="s">
        <v>497</v>
      </c>
      <c r="D35" s="152" t="s">
        <v>606</v>
      </c>
    </row>
    <row r="36" spans="1:4" ht="15" customHeight="1">
      <c r="A36" s="72" t="s">
        <v>607</v>
      </c>
      <c r="B36" s="73">
        <f>IF(AND(ISNUMBER(M12_c_MG),ISNUMBER(M12_c_TallaM),M12_c_TallaM&gt;0),M12_c_MG/M12_c_TallaM^2,"ND")</f>
        <v>5.2897901600907078</v>
      </c>
      <c r="C36" s="71" t="s">
        <v>556</v>
      </c>
      <c r="D36" s="152" t="s">
        <v>608</v>
      </c>
    </row>
    <row r="37" spans="1:4" ht="15" customHeight="1">
      <c r="A37" s="72" t="s">
        <v>609</v>
      </c>
      <c r="B37" s="73">
        <f>IF(AND(ISNUMBER(M12_c_MLG),ISNUMBER(M12_c_TallaM),M12_c_TallaM&gt;0),M12_c_MLG/M12_c_TallaM^2,"ND")</f>
        <v>20.052410253132432</v>
      </c>
      <c r="C37" s="71" t="s">
        <v>556</v>
      </c>
      <c r="D37" s="152" t="s">
        <v>610</v>
      </c>
    </row>
    <row r="38" spans="1:4" ht="15" customHeight="1">
      <c r="A38" s="158" t="s">
        <v>1073</v>
      </c>
      <c r="B38" s="159"/>
      <c r="C38" s="159"/>
      <c r="D38" s="165"/>
    </row>
    <row r="39" spans="1:4" ht="15" customHeight="1">
      <c r="A39" s="78" t="s">
        <v>551</v>
      </c>
      <c r="B39" s="78" t="s">
        <v>16</v>
      </c>
      <c r="C39" s="78" t="s">
        <v>43</v>
      </c>
      <c r="D39" s="160" t="s">
        <v>552</v>
      </c>
    </row>
    <row r="40" spans="1:4" ht="15" customHeight="1">
      <c r="A40" s="72" t="s">
        <v>1074</v>
      </c>
      <c r="B40" s="79">
        <f>IF(AND(ISNUMBER(M12_in_Cintura),ISNUMBER(M12_in_Cadera),M12_in_Cadera&gt;0),M12_in_Cintura/M12_in_Cadera,"ND")</f>
        <v>0.86734693877551017</v>
      </c>
      <c r="C40" s="71" t="s">
        <v>151</v>
      </c>
      <c r="D40" s="152" t="s">
        <v>1075</v>
      </c>
    </row>
    <row r="41" spans="1:4" ht="15" customHeight="1">
      <c r="A41" s="72" t="s">
        <v>1076</v>
      </c>
      <c r="B41" s="79">
        <f>IF(AND(ISNUMBER(M12_in_Cintura),ISNUMBER(M12_in_Est),M12_in_Est&gt;0),M12_in_Cintura/M12_in_Est,"ND")</f>
        <v>0.48295454545454547</v>
      </c>
      <c r="C41" s="71" t="s">
        <v>151</v>
      </c>
      <c r="D41" s="152" t="s">
        <v>1077</v>
      </c>
    </row>
    <row r="42" spans="1:4" ht="15" customHeight="1">
      <c r="A42" s="72" t="s">
        <v>1078</v>
      </c>
      <c r="B42" s="173" t="str">
        <f>IF(ISNUMBER(M12_in_Cintura),IF(M12_in_Cintura&gt;=IF(M12_in_Sexo="Hombre",M12_CINT_H,M12_CINT_M),"Riesgo aumentado","Sin riesgo aumentado"),"ND")</f>
        <v>Sin riesgo aumentado</v>
      </c>
      <c r="C42" s="71" t="s">
        <v>151</v>
      </c>
      <c r="D42" s="152" t="s">
        <v>1079</v>
      </c>
    </row>
    <row r="43" spans="1:4" ht="15" customHeight="1">
      <c r="A43" s="72" t="s">
        <v>1080</v>
      </c>
      <c r="B43" s="173" t="str">
        <f>IF(ISNUMBER(M12_c_ICC),IF(M12_c_ICC&gt;=IF(M12_in_Sexo="Hombre",M12_ICC_H,M12_ICC_M),"Riesgo aumentado","Sin riesgo aumentado"),"ND")</f>
        <v>Sin riesgo aumentado</v>
      </c>
      <c r="C43" s="71" t="s">
        <v>151</v>
      </c>
      <c r="D43" s="152" t="s">
        <v>1081</v>
      </c>
    </row>
    <row r="44" spans="1:4" ht="15" customHeight="1">
      <c r="A44" s="72" t="s">
        <v>1082</v>
      </c>
      <c r="B44" s="173" t="str">
        <f>IF(ISNUMBER(M12_c_ICE),IF(M12_c_ICE&gt;=M12_ICE_R,"Riesgo aumentado","Sin riesgo aumentado"),"ND")</f>
        <v>Sin riesgo aumentado</v>
      </c>
      <c r="C44" s="71" t="s">
        <v>151</v>
      </c>
      <c r="D44" s="152" t="s">
        <v>1083</v>
      </c>
    </row>
    <row r="45" spans="1:4" ht="15" customHeight="1">
      <c r="A45" s="158" t="s">
        <v>1084</v>
      </c>
      <c r="B45" s="159"/>
      <c r="C45" s="159"/>
      <c r="D45" s="165"/>
    </row>
    <row r="46" spans="1:4" ht="15" customHeight="1">
      <c r="A46" s="78" t="s">
        <v>551</v>
      </c>
      <c r="B46" s="78" t="s">
        <v>16</v>
      </c>
      <c r="C46" s="78" t="s">
        <v>43</v>
      </c>
      <c r="D46" s="160" t="s">
        <v>552</v>
      </c>
    </row>
    <row r="47" spans="1:4" ht="15" customHeight="1">
      <c r="A47" s="72" t="s">
        <v>1085</v>
      </c>
      <c r="B47" s="173" t="str">
        <f>IF(ISNUMBER(M12_c_IMC),IF(AND(ISNUMBER(M12_in_Edad),M12_in_Edad&gt;=M12_EDAD_AM),IF(M12_c_IMC&lt;M12_AM_C1,"Bajo peso (MINSAL AM)",IF(M12_c_IMC&lt;M12_AM_C2,"Normal (MINSAL AM)",IF(M12_c_IMC&lt;M12_AM_C3,"Sobrepeso (MINSAL AM)","Obesidad (MINSAL AM)"))),IF(M12_c_IMC&lt;M12_IMC_C1,"Bajo peso (OMS)",IF(M12_c_IMC&lt;M12_IMC_C2,"Normal (OMS)",IF(M12_c_IMC&lt;M12_IMC_C3,"Sobrepeso (OMS)",IF(M12_c_IMC&lt;M12_IMC_C4,"Obesidad I (OMS)",IF(M12_c_IMC&lt;M12_IMC_C5,"Obesidad II (OMS)","Obesidad III (OMS)")))))),"ND")</f>
        <v>Sobrepeso (OMS)</v>
      </c>
      <c r="C47" s="71" t="s">
        <v>151</v>
      </c>
      <c r="D47" s="152" t="s">
        <v>1086</v>
      </c>
    </row>
    <row r="48" spans="1:4" ht="15" customHeight="1">
      <c r="A48" s="72" t="s">
        <v>1087</v>
      </c>
      <c r="B48" s="173" t="str">
        <f>IF(ISNUMBER(M12_c_GrRep),INDEX(M12_CONFIG!$B$95:$B$104,IF(M12_in_Sexo="Hombre",0,5)+MAX(1,SUMPRODUCT((M12_CONFIG!$A$95:$A$104=M12_in_Sexo)*(M12_CONFIG!$C$95:$C$104&lt;=M12_c_GrRep)))),"ND")</f>
        <v>Aceptable</v>
      </c>
      <c r="C48" s="71" t="s">
        <v>151</v>
      </c>
      <c r="D48" s="152" t="s">
        <v>613</v>
      </c>
    </row>
    <row r="49" spans="1:4" ht="15" customHeight="1">
      <c r="A49" s="158" t="s">
        <v>1088</v>
      </c>
      <c r="B49" s="159"/>
      <c r="C49" s="159"/>
      <c r="D49" s="159"/>
    </row>
    <row r="50" spans="1:4" ht="15" customHeight="1">
      <c r="A50" s="78" t="s">
        <v>551</v>
      </c>
      <c r="B50" s="78" t="s">
        <v>16</v>
      </c>
      <c r="C50" s="78" t="s">
        <v>43</v>
      </c>
      <c r="D50" s="78" t="s">
        <v>552</v>
      </c>
    </row>
    <row r="51" spans="1:4" ht="15" customHeight="1">
      <c r="A51" s="72" t="s">
        <v>615</v>
      </c>
      <c r="B51" s="382" t="str">
        <f>IF(M12_c_Gate="NO","Corrija los datos imposibles (sexo, edad, peso o estatura) antes de interpretar.","—")</f>
        <v>—</v>
      </c>
      <c r="C51" s="382"/>
      <c r="D51" s="382"/>
    </row>
    <row r="52" spans="1:4" ht="15" customHeight="1">
      <c r="A52" s="72" t="s">
        <v>1089</v>
      </c>
      <c r="B52" s="382" t="str">
        <f>IF(ISNUMBER(M12_c_GrRep),"—","El método elegido no tiene datos suficientes; elija otro o complete los campos.")</f>
        <v>—</v>
      </c>
      <c r="C52" s="382"/>
      <c r="D52" s="382"/>
    </row>
    <row r="53" spans="1:4" ht="15" customHeight="1">
      <c r="A53" s="72" t="s">
        <v>1090</v>
      </c>
      <c r="B53" s="382" t="str">
        <f>IF(AND(ISNUMBER(M12_c_ampl),M12_c_ampl&gt;M12_DISP_MAX),"Los tres métodos discrepan más que el umbral: interprete con cautela y prefiera medición de referencia.","—")</f>
        <v>Los tres métodos discrepan más que el umbral: interprete con cautela y prefiera medición de referencia.</v>
      </c>
      <c r="C53" s="382"/>
      <c r="D53" s="382"/>
    </row>
    <row r="54" spans="1:4" ht="15" customHeight="1">
      <c r="A54" s="72" t="s">
        <v>620</v>
      </c>
      <c r="B54" s="382" t="str">
        <f>IF(OR(AND(ISNUMBER(M12_in_PliBi),M12_in_PliBi&gt;M12_PLI_MAX),AND(ISNUMBER(M12_in_PliTri),M12_in_PliTri&gt;M12_PLI_MAX),AND(ISNUMBER(M12_in_PliSub),M12_in_PliSub&gt;M12_PLI_MAX),AND(ISNUMBER(M12_in_PliSupra),M12_in_PliSupra&gt;M12_PLI_MAX)),"Algún pliegue supera el máximo del catálogo: verifique la medición.","—")</f>
        <v>—</v>
      </c>
      <c r="C54" s="382"/>
      <c r="D54" s="382"/>
    </row>
    <row r="55" spans="1:4" ht="15" customHeight="1">
      <c r="A55" s="72" t="s">
        <v>619</v>
      </c>
      <c r="B55" s="382" t="str">
        <f>IF(AND(ISNUMBER(M12_c_GrRep),OR(M12_c_GrRep&lt;M12_GRASA_MIN,M12_c_GrRep&gt;M12_GRASA_MAX)),"El % de grasa reportado está fuera del rango fisiológico plausible.","—")</f>
        <v>—</v>
      </c>
      <c r="C55" s="382"/>
      <c r="D55" s="382"/>
    </row>
    <row r="56" spans="1:4" ht="15" customHeight="1">
      <c r="A56" s="72" t="s">
        <v>1091</v>
      </c>
      <c r="B56" s="382" t="str">
        <f>IF(ISNUMBER(M12_c_GrNavy),"—","El método de circunferencias no se pudo calcular por datos faltantes.")</f>
        <v>—</v>
      </c>
      <c r="C56" s="382"/>
      <c r="D56" s="382"/>
    </row>
    <row r="57" spans="1:4" ht="15" customHeight="1">
      <c r="A57" s="72" t="s">
        <v>1092</v>
      </c>
      <c r="B57" s="382" t="str">
        <f>IF(AND(ISNUMBER(M12_c_GrRep),M12_c_GrRep&lt;IF(M12_in_Sexo="Hombre",0.05,0.13)),"El % de grasa está por debajo del nivel de grasa esencial de referencia.","—")</f>
        <v>—</v>
      </c>
      <c r="C57" s="382"/>
      <c r="D57" s="382"/>
    </row>
    <row r="58" spans="1:4" ht="23.25" customHeight="1">
      <c r="A58" s="72" t="s">
        <v>621</v>
      </c>
      <c r="B58" s="382" t="str">
        <f>"Exactitud matemática ≠ validación clínica. Son estimaciones poblacionales, no mediciones de referencia (DEXA, pesaje hidrostático)."</f>
        <v>Exactitud matemática ≠ validación clínica. Son estimaciones poblacionales, no mediciones de referencia (DEXA, pesaje hidrostático).</v>
      </c>
      <c r="C58" s="382"/>
      <c r="D58" s="382"/>
    </row>
  </sheetData>
  <sheetProtection algorithmName="SHA-512" hashValue="u/B9jHGDsoqo2JknomHXfLqcanV1tu08YuJa4/VVasplnLQJi2VYTpGpS2RHZRL6djF0vH0WGEGUaSVgszhzNQ==" saltValue="/Gcc8Y9fJq1nuy8D/3z09Q==" spinCount="100000" sheet="1" objects="1" scenarios="1"/>
  <mergeCells count="10">
    <mergeCell ref="A2:D2"/>
    <mergeCell ref="A4:D4"/>
    <mergeCell ref="B51:D51"/>
    <mergeCell ref="B52:D52"/>
    <mergeCell ref="B53:D53"/>
    <mergeCell ref="B54:D54"/>
    <mergeCell ref="B55:D55"/>
    <mergeCell ref="B56:D56"/>
    <mergeCell ref="B57:D57"/>
    <mergeCell ref="B58:D58"/>
  </mergeCell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dimension ref="A1:F63"/>
  <sheetViews>
    <sheetView showGridLines="0" zoomScaleNormal="100" workbookViewId="0"/>
  </sheetViews>
  <sheetFormatPr baseColWidth="10" defaultColWidth="8.7109375" defaultRowHeight="15"/>
  <cols>
    <col min="1" max="1" width="36" style="1" customWidth="1"/>
    <col min="2" max="2" width="22" style="1" customWidth="1"/>
    <col min="3" max="3" width="18" style="1" customWidth="1"/>
    <col min="4" max="4" width="20" style="1" customWidth="1"/>
    <col min="5" max="5" width="18" style="1" customWidth="1"/>
  </cols>
  <sheetData>
    <row r="1" spans="1:6" ht="25.5" customHeight="1">
      <c r="A1" s="57" t="s">
        <v>1003</v>
      </c>
      <c r="B1" s="58"/>
      <c r="C1" s="58"/>
      <c r="D1" s="58"/>
      <c r="E1" s="58"/>
      <c r="F1" s="58"/>
    </row>
    <row r="2" spans="1:6" ht="15" customHeight="1">
      <c r="A2" s="427" t="s">
        <v>1093</v>
      </c>
      <c r="B2" s="427"/>
      <c r="C2" s="427"/>
      <c r="D2" s="427"/>
      <c r="E2" s="427"/>
      <c r="F2" s="427"/>
    </row>
    <row r="3" spans="1:6" ht="15" customHeight="1">
      <c r="A3" s="59" t="str">
        <f>HYPERLINK("#M12_DATOS!A1","◀ DATOS")</f>
        <v>◀ DATOS</v>
      </c>
      <c r="B3" s="381" t="str">
        <f>HYPERLINK("#M12_CALCULOS!A1","◀  CALCULOS")</f>
        <v>◀  CALCULOS</v>
      </c>
      <c r="C3" s="381"/>
      <c r="D3" s="381"/>
      <c r="E3" s="381" t="str">
        <f>HYPERLINK("#M12_FUENTES!A1","▶  FUENTES")</f>
        <v>▶  FUENTES</v>
      </c>
      <c r="F3" s="381"/>
    </row>
    <row r="4" spans="1:6" ht="15" customHeight="1">
      <c r="A4" s="428" t="s">
        <v>623</v>
      </c>
      <c r="B4" s="428"/>
      <c r="C4" s="428"/>
      <c r="D4" s="428"/>
      <c r="E4" s="428"/>
      <c r="F4" s="428"/>
    </row>
    <row r="5" spans="1:6" ht="5.25" customHeight="1">
      <c r="A5" s="428"/>
      <c r="B5" s="428"/>
      <c r="C5" s="428"/>
      <c r="D5" s="428"/>
      <c r="E5" s="428"/>
      <c r="F5" s="428"/>
    </row>
    <row r="6" spans="1:6" ht="15" customHeight="1">
      <c r="A6" s="63" t="s">
        <v>624</v>
      </c>
      <c r="B6" s="396" t="str">
        <f>M12_in_ID</f>
        <v>NMX-2026-0028</v>
      </c>
      <c r="C6" s="396"/>
      <c r="D6" s="396"/>
      <c r="E6" s="396"/>
      <c r="F6" s="396"/>
    </row>
    <row r="7" spans="1:6" ht="15" customHeight="1">
      <c r="A7" s="63" t="s">
        <v>19</v>
      </c>
      <c r="B7" s="397">
        <f>M12_in_Fecha</f>
        <v>46236</v>
      </c>
      <c r="C7" s="397"/>
      <c r="D7" s="397"/>
      <c r="E7" s="397"/>
      <c r="F7" s="397"/>
    </row>
    <row r="8" spans="1:6" ht="15" customHeight="1">
      <c r="A8" s="63" t="s">
        <v>625</v>
      </c>
      <c r="B8" s="396" t="str">
        <f>M12_in_Pac</f>
        <v>PER-0007</v>
      </c>
      <c r="C8" s="396"/>
      <c r="D8" s="396"/>
      <c r="E8" s="396"/>
      <c r="F8" s="396"/>
    </row>
    <row r="9" spans="1:6" ht="15" customHeight="1">
      <c r="A9" s="63" t="s">
        <v>626</v>
      </c>
      <c r="B9" s="396" t="str">
        <f>M12_in_Sexo&amp;" · "&amp;IF(ISNUMBER(M12_in_Edad),M12_in_Edad&amp;" años","(edad no válida)")</f>
        <v>Hombre · 34 años</v>
      </c>
      <c r="C9" s="396"/>
      <c r="D9" s="396"/>
      <c r="E9" s="396"/>
      <c r="F9" s="396"/>
    </row>
    <row r="10" spans="1:6" ht="15" customHeight="1">
      <c r="A10" s="63" t="s">
        <v>627</v>
      </c>
      <c r="B10" s="396" t="str">
        <f>IF(ISNUMBER(M12_in_Peso),ROUND(M12_in_Peso,1)&amp;" kg","(?)")&amp;" · "&amp;IF(ISNUMBER(M12_in_Est),ROUND(M12_in_Est,1)&amp;" cm","(?)")</f>
        <v>78,5 kg · 176 cm</v>
      </c>
      <c r="C10" s="396"/>
      <c r="D10" s="396"/>
      <c r="E10" s="396"/>
      <c r="F10" s="396"/>
    </row>
    <row r="11" spans="1:6" ht="15" customHeight="1">
      <c r="A11" s="63" t="s">
        <v>1094</v>
      </c>
      <c r="B11" s="396" t="str">
        <f>M12_in_Metodo</f>
        <v>1 · Pliegues (Durnin–Womersley 1974)</v>
      </c>
      <c r="C11" s="396"/>
      <c r="D11" s="396"/>
      <c r="E11" s="396"/>
      <c r="F11" s="396"/>
    </row>
    <row r="12" spans="1:6" ht="15" customHeight="1">
      <c r="A12" s="63" t="s">
        <v>629</v>
      </c>
      <c r="B12" s="396" t="str">
        <f>IF(M12_c_Gate="SÍ","HABILITADO","BLOQUEADO — corrija los datos imposibles")</f>
        <v>HABILITADO</v>
      </c>
      <c r="C12" s="396"/>
      <c r="D12" s="396"/>
      <c r="E12" s="396"/>
      <c r="F12" s="396"/>
    </row>
    <row r="13" spans="1:6" ht="15" customHeight="1">
      <c r="A13" s="63" t="s">
        <v>33</v>
      </c>
      <c r="B13" s="396">
        <f>IF(M12_in_Obs="","—",M12_in_Obs)</f>
        <v>0</v>
      </c>
      <c r="C13" s="396"/>
      <c r="D13" s="396"/>
      <c r="E13" s="396"/>
      <c r="F13" s="396"/>
    </row>
    <row r="14" spans="1:6" ht="15" customHeight="1">
      <c r="A14" s="426" t="s">
        <v>1095</v>
      </c>
      <c r="B14" s="426"/>
      <c r="C14" s="426"/>
      <c r="D14" s="426"/>
      <c r="E14" s="426"/>
      <c r="F14" s="426"/>
    </row>
    <row r="15" spans="1:6" ht="15" customHeight="1">
      <c r="A15" s="426"/>
      <c r="B15" s="426"/>
      <c r="C15" s="426"/>
      <c r="D15" s="426"/>
      <c r="E15" s="426"/>
      <c r="F15" s="426"/>
    </row>
    <row r="16" spans="1:6" ht="15" customHeight="1">
      <c r="A16" s="62" t="s">
        <v>781</v>
      </c>
      <c r="B16" s="62" t="s">
        <v>634</v>
      </c>
      <c r="C16" s="62" t="s">
        <v>635</v>
      </c>
      <c r="D16" s="62" t="s">
        <v>636</v>
      </c>
      <c r="E16" s="62"/>
      <c r="F16" s="62"/>
    </row>
    <row r="17" spans="1:6" ht="15" customHeight="1">
      <c r="A17" s="63" t="s">
        <v>1096</v>
      </c>
      <c r="B17" s="100">
        <f>M12_c_GrPli</f>
        <v>0.20873444585856021</v>
      </c>
      <c r="C17" s="125" t="str">
        <f>IF(ISNUMBER(M12_c_GrPli),"Sí","No")</f>
        <v>Sí</v>
      </c>
      <c r="D17" s="411" t="s">
        <v>1097</v>
      </c>
      <c r="E17" s="411"/>
      <c r="F17" s="411"/>
    </row>
    <row r="18" spans="1:6" ht="15" customHeight="1">
      <c r="A18" s="63" t="s">
        <v>1098</v>
      </c>
      <c r="B18" s="100">
        <f>M12_c_GrNavy</f>
        <v>0.16769619570906627</v>
      </c>
      <c r="C18" s="125" t="str">
        <f>IF(ISNUMBER(M12_c_GrNavy),"Sí","No")</f>
        <v>Sí</v>
      </c>
      <c r="D18" s="411" t="s">
        <v>1099</v>
      </c>
      <c r="E18" s="411"/>
      <c r="F18" s="411"/>
    </row>
    <row r="19" spans="1:6" ht="15" customHeight="1">
      <c r="A19" s="63" t="s">
        <v>1100</v>
      </c>
      <c r="B19" s="100">
        <f>M12_c_GrDeu</f>
        <v>0.2203064049586777</v>
      </c>
      <c r="C19" s="125" t="str">
        <f>IF(ISNUMBER(M12_c_GrDeu),"Sí","No")</f>
        <v>Sí</v>
      </c>
      <c r="D19" s="411" t="s">
        <v>1101</v>
      </c>
      <c r="E19" s="411"/>
      <c r="F19" s="411"/>
    </row>
    <row r="20" spans="1:6" ht="15" customHeight="1">
      <c r="A20" s="63" t="s">
        <v>1102</v>
      </c>
      <c r="B20" s="174">
        <f>M12_c_GrRep</f>
        <v>0.20873444585856021</v>
      </c>
      <c r="C20" s="411" t="str">
        <f>M12_in_Metodo</f>
        <v>1 · Pliegues (Durnin–Womersley 1974)</v>
      </c>
      <c r="D20" s="411"/>
      <c r="E20" s="411"/>
      <c r="F20" s="411"/>
    </row>
    <row r="21" spans="1:6" ht="15" customHeight="1">
      <c r="A21" s="426" t="s">
        <v>1103</v>
      </c>
      <c r="B21" s="426"/>
      <c r="C21" s="426"/>
      <c r="D21" s="426"/>
      <c r="E21" s="426"/>
      <c r="F21" s="426"/>
    </row>
    <row r="22" spans="1:6" ht="15" customHeight="1">
      <c r="A22" s="426"/>
      <c r="B22" s="426"/>
      <c r="C22" s="426"/>
      <c r="D22" s="426"/>
      <c r="E22" s="426"/>
      <c r="F22" s="426"/>
    </row>
    <row r="23" spans="1:6" ht="15" customHeight="1">
      <c r="A23" s="63" t="s">
        <v>591</v>
      </c>
      <c r="B23" s="100">
        <f>M12_c_prom</f>
        <v>0.19891234884210141</v>
      </c>
      <c r="C23" s="370"/>
      <c r="D23" s="370"/>
      <c r="E23" s="370"/>
      <c r="F23" s="370"/>
    </row>
    <row r="24" spans="1:6" ht="15" customHeight="1">
      <c r="A24" s="63" t="s">
        <v>595</v>
      </c>
      <c r="B24" s="100">
        <f>M12_c_rango</f>
        <v>5.2610209249611434E-2</v>
      </c>
      <c r="C24" s="370"/>
      <c r="D24" s="370"/>
      <c r="E24" s="370"/>
      <c r="F24" s="370"/>
    </row>
    <row r="25" spans="1:6" ht="15" customHeight="1">
      <c r="A25" s="63" t="s">
        <v>598</v>
      </c>
      <c r="B25" s="100">
        <f>M12_c_ampl</f>
        <v>0.26448940729855813</v>
      </c>
      <c r="C25" s="370"/>
      <c r="D25" s="370"/>
      <c r="E25" s="370"/>
      <c r="F25" s="370"/>
    </row>
    <row r="26" spans="1:6" ht="15" customHeight="1">
      <c r="A26" s="393" t="str">
        <f>M12_c_estado</f>
        <v>ATENCIÓN: los métodos discrepan más que el umbral configurado.</v>
      </c>
      <c r="B26" s="393"/>
      <c r="C26" s="393"/>
      <c r="D26" s="393"/>
      <c r="E26" s="393"/>
      <c r="F26" s="393"/>
    </row>
    <row r="27" spans="1:6" ht="15" customHeight="1">
      <c r="A27" s="426" t="s">
        <v>1104</v>
      </c>
      <c r="B27" s="426"/>
      <c r="C27" s="426"/>
      <c r="D27" s="426"/>
      <c r="E27" s="426"/>
      <c r="F27" s="426"/>
    </row>
    <row r="28" spans="1:6" ht="15" customHeight="1">
      <c r="A28" s="426"/>
      <c r="B28" s="426"/>
      <c r="C28" s="426"/>
      <c r="D28" s="426"/>
      <c r="E28" s="426"/>
      <c r="F28" s="426"/>
    </row>
    <row r="29" spans="1:6" ht="15" customHeight="1">
      <c r="A29" s="63" t="s">
        <v>646</v>
      </c>
      <c r="B29" s="100">
        <f>M12_c_GrRep</f>
        <v>0.20873444585856021</v>
      </c>
      <c r="C29" s="425"/>
      <c r="D29" s="425"/>
      <c r="E29" s="425"/>
      <c r="F29" s="425"/>
    </row>
    <row r="30" spans="1:6" ht="15" customHeight="1">
      <c r="A30" s="63" t="s">
        <v>603</v>
      </c>
      <c r="B30" s="73">
        <f>M12_c_MG</f>
        <v>16.385653999896977</v>
      </c>
      <c r="C30" s="425" t="s">
        <v>497</v>
      </c>
      <c r="D30" s="425"/>
      <c r="E30" s="425"/>
      <c r="F30" s="425"/>
    </row>
    <row r="31" spans="1:6" ht="15" customHeight="1">
      <c r="A31" s="63" t="s">
        <v>605</v>
      </c>
      <c r="B31" s="73">
        <f>M12_c_MLG</f>
        <v>62.114346000103026</v>
      </c>
      <c r="C31" s="425" t="s">
        <v>497</v>
      </c>
      <c r="D31" s="425"/>
      <c r="E31" s="425"/>
      <c r="F31" s="425"/>
    </row>
    <row r="32" spans="1:6" ht="15" customHeight="1">
      <c r="A32" s="63" t="s">
        <v>607</v>
      </c>
      <c r="B32" s="73">
        <f>M12_c_IMG</f>
        <v>5.2897901600907078</v>
      </c>
      <c r="C32" s="425" t="s">
        <v>556</v>
      </c>
      <c r="D32" s="425"/>
      <c r="E32" s="425"/>
      <c r="F32" s="425"/>
    </row>
    <row r="33" spans="1:6" ht="15" customHeight="1">
      <c r="A33" s="63" t="s">
        <v>609</v>
      </c>
      <c r="B33" s="73">
        <f>M12_c_IMLG</f>
        <v>20.052410253132432</v>
      </c>
      <c r="C33" s="425" t="s">
        <v>556</v>
      </c>
      <c r="D33" s="425"/>
      <c r="E33" s="425"/>
      <c r="F33" s="425"/>
    </row>
    <row r="34" spans="1:6" ht="15" customHeight="1">
      <c r="A34" s="63" t="s">
        <v>67</v>
      </c>
      <c r="B34" s="73">
        <f>M12_c_IMC</f>
        <v>25.342200413223143</v>
      </c>
      <c r="C34" s="425" t="s">
        <v>556</v>
      </c>
      <c r="D34" s="425"/>
      <c r="E34" s="425"/>
      <c r="F34" s="425"/>
    </row>
    <row r="35" spans="1:6" ht="15" customHeight="1">
      <c r="A35" s="63" t="s">
        <v>1085</v>
      </c>
      <c r="B35" s="173" t="str">
        <f>M12_c_ClaseIMC</f>
        <v>Sobrepeso (OMS)</v>
      </c>
      <c r="C35" s="425"/>
      <c r="D35" s="425"/>
      <c r="E35" s="425"/>
      <c r="F35" s="425"/>
    </row>
    <row r="36" spans="1:6" ht="15" customHeight="1">
      <c r="A36" s="63" t="s">
        <v>647</v>
      </c>
      <c r="B36" s="173" t="str">
        <f>M12_c_ClaseGrasa</f>
        <v>Aceptable</v>
      </c>
      <c r="C36" s="425"/>
      <c r="D36" s="425"/>
      <c r="E36" s="425"/>
      <c r="F36" s="425"/>
    </row>
    <row r="37" spans="1:6" ht="15" customHeight="1">
      <c r="A37" s="426" t="s">
        <v>1105</v>
      </c>
      <c r="B37" s="426"/>
      <c r="C37" s="426"/>
      <c r="D37" s="426"/>
      <c r="E37" s="426"/>
      <c r="F37" s="426"/>
    </row>
    <row r="38" spans="1:6" ht="15" customHeight="1">
      <c r="A38" s="426"/>
      <c r="B38" s="426"/>
      <c r="C38" s="426"/>
      <c r="D38" s="426"/>
      <c r="E38" s="426"/>
      <c r="F38" s="426"/>
    </row>
    <row r="39" spans="1:6" ht="15" customHeight="1">
      <c r="A39" s="62" t="s">
        <v>79</v>
      </c>
      <c r="B39" s="62" t="s">
        <v>16</v>
      </c>
      <c r="C39" s="62" t="s">
        <v>1106</v>
      </c>
      <c r="D39" s="62" t="s">
        <v>1107</v>
      </c>
      <c r="E39" s="62"/>
      <c r="F39" s="62"/>
    </row>
    <row r="40" spans="1:6" ht="15" customHeight="1">
      <c r="A40" s="63" t="s">
        <v>1041</v>
      </c>
      <c r="B40" s="74">
        <f>IF(ISNUMBER(M12_in_Cintura),M12_in_Cintura,"ND")</f>
        <v>85</v>
      </c>
      <c r="C40" s="424" t="str">
        <f>M12_c_RiesgoCint</f>
        <v>Sin riesgo aumentado</v>
      </c>
      <c r="D40" s="424"/>
      <c r="E40" s="425" t="str">
        <f>IF(M12_in_Sexo="Hombre","≥102 cm (H)","≥88 cm (M)")</f>
        <v>≥102 cm (H)</v>
      </c>
      <c r="F40" s="425"/>
    </row>
    <row r="41" spans="1:6" ht="15" customHeight="1">
      <c r="A41" s="63" t="s">
        <v>1074</v>
      </c>
      <c r="B41" s="79">
        <f>M12_c_ICC</f>
        <v>0.86734693877551017</v>
      </c>
      <c r="C41" s="424" t="str">
        <f>M12_c_RiesgoICC</f>
        <v>Sin riesgo aumentado</v>
      </c>
      <c r="D41" s="424"/>
      <c r="E41" s="425" t="str">
        <f>IF(M12_in_Sexo="Hombre","≥0,90 (H)","≥0,85 (M)")</f>
        <v>≥0,90 (H)</v>
      </c>
      <c r="F41" s="425"/>
    </row>
    <row r="42" spans="1:6" ht="15" customHeight="1">
      <c r="A42" s="63" t="s">
        <v>1076</v>
      </c>
      <c r="B42" s="79">
        <f>M12_c_ICE</f>
        <v>0.48295454545454547</v>
      </c>
      <c r="C42" s="424" t="str">
        <f>M12_c_RiesgoICE</f>
        <v>Sin riesgo aumentado</v>
      </c>
      <c r="D42" s="424"/>
      <c r="E42" s="425" t="s">
        <v>1108</v>
      </c>
      <c r="F42" s="425"/>
    </row>
    <row r="43" spans="1:6" ht="15" customHeight="1">
      <c r="A43" s="426" t="s">
        <v>648</v>
      </c>
      <c r="B43" s="426"/>
      <c r="C43" s="426"/>
      <c r="D43" s="426"/>
      <c r="E43" s="426"/>
      <c r="F43" s="426"/>
    </row>
    <row r="44" spans="1:6" ht="15" customHeight="1">
      <c r="A44" s="426"/>
      <c r="B44" s="426"/>
      <c r="C44" s="426"/>
      <c r="D44" s="426"/>
      <c r="E44" s="426"/>
      <c r="F44" s="426"/>
    </row>
    <row r="45" spans="1:6" ht="15" customHeight="1">
      <c r="A45" s="78" t="s">
        <v>781</v>
      </c>
      <c r="B45" s="78" t="s">
        <v>634</v>
      </c>
      <c r="C45" s="157"/>
      <c r="D45" s="157"/>
      <c r="E45" s="157"/>
      <c r="F45" s="157"/>
    </row>
    <row r="46" spans="1:6" ht="15" customHeight="1">
      <c r="A46" s="63" t="s">
        <v>1109</v>
      </c>
      <c r="B46" s="103">
        <f>IF(ISNUMBER(M12_c_GrPli),M12_c_GrPli,0)</f>
        <v>0.20873444585856021</v>
      </c>
      <c r="C46" s="157"/>
      <c r="D46" s="157"/>
      <c r="E46" s="157"/>
      <c r="F46" s="157"/>
    </row>
    <row r="47" spans="1:6" ht="15" customHeight="1">
      <c r="A47" s="63" t="s">
        <v>1110</v>
      </c>
      <c r="B47" s="103">
        <f>IF(ISNUMBER(M12_c_GrNavy),M12_c_GrNavy,0)</f>
        <v>0.16769619570906627</v>
      </c>
      <c r="C47" s="157"/>
      <c r="D47" s="157"/>
      <c r="E47" s="157"/>
      <c r="F47" s="157"/>
    </row>
    <row r="48" spans="1:6" ht="15" customHeight="1">
      <c r="A48" s="63" t="s">
        <v>1111</v>
      </c>
      <c r="B48" s="103">
        <f>IF(ISNUMBER(M12_c_GrDeu),M12_c_GrDeu,0)</f>
        <v>0.2203064049586777</v>
      </c>
      <c r="C48" s="157"/>
      <c r="D48" s="157"/>
      <c r="E48" s="157"/>
      <c r="F48" s="157"/>
    </row>
    <row r="49" spans="1:6" ht="15" customHeight="1">
      <c r="A49" s="175"/>
      <c r="B49" s="157"/>
      <c r="C49" s="157"/>
      <c r="D49" s="157"/>
      <c r="E49" s="157"/>
      <c r="F49" s="157"/>
    </row>
    <row r="50" spans="1:6" ht="15" customHeight="1">
      <c r="A50" s="78" t="s">
        <v>653</v>
      </c>
      <c r="B50" s="78" t="s">
        <v>497</v>
      </c>
      <c r="C50" s="157"/>
      <c r="D50" s="157"/>
      <c r="E50" s="157"/>
      <c r="F50" s="157"/>
    </row>
    <row r="51" spans="1:6" ht="15" customHeight="1">
      <c r="A51" s="63" t="s">
        <v>654</v>
      </c>
      <c r="B51" s="104">
        <f>IF(ISNUMBER(M12_c_MG),M12_c_MG,0)</f>
        <v>16.385653999896977</v>
      </c>
      <c r="C51" s="157"/>
      <c r="D51" s="157"/>
      <c r="E51" s="157"/>
      <c r="F51" s="157"/>
    </row>
    <row r="52" spans="1:6" ht="15" customHeight="1">
      <c r="A52" s="63" t="s">
        <v>655</v>
      </c>
      <c r="B52" s="104">
        <f>IF(ISNUMBER(M12_c_MLG),M12_c_MLG,0)</f>
        <v>62.114346000103026</v>
      </c>
      <c r="C52" s="157"/>
      <c r="D52" s="157"/>
      <c r="E52" s="157"/>
      <c r="F52" s="157"/>
    </row>
    <row r="53" spans="1:6" ht="15" customHeight="1">
      <c r="A53" s="426" t="s">
        <v>656</v>
      </c>
      <c r="B53" s="426"/>
      <c r="C53" s="426"/>
      <c r="D53" s="426"/>
      <c r="E53" s="426"/>
      <c r="F53" s="426"/>
    </row>
    <row r="54" spans="1:6" ht="15" customHeight="1">
      <c r="A54" s="426"/>
      <c r="B54" s="426"/>
      <c r="C54" s="426"/>
      <c r="D54" s="426"/>
      <c r="E54" s="426"/>
      <c r="F54" s="426"/>
    </row>
    <row r="55" spans="1:6" ht="15" customHeight="1">
      <c r="A55" s="63" t="s">
        <v>615</v>
      </c>
      <c r="B55" s="382" t="str">
        <f>M12_CALCULOS!B51</f>
        <v>—</v>
      </c>
      <c r="C55" s="382"/>
      <c r="D55" s="382"/>
      <c r="E55" s="382"/>
      <c r="F55" s="382"/>
    </row>
    <row r="56" spans="1:6" ht="15" customHeight="1">
      <c r="A56" s="63" t="s">
        <v>1089</v>
      </c>
      <c r="B56" s="382" t="str">
        <f>M12_CALCULOS!B52</f>
        <v>—</v>
      </c>
      <c r="C56" s="382"/>
      <c r="D56" s="382"/>
      <c r="E56" s="382"/>
      <c r="F56" s="382"/>
    </row>
    <row r="57" spans="1:6" ht="15" customHeight="1">
      <c r="A57" s="63" t="s">
        <v>1090</v>
      </c>
      <c r="B57" s="382" t="str">
        <f>M12_CALCULOS!B53</f>
        <v>Los tres métodos discrepan más que el umbral: interprete con cautela y prefiera medición de referencia.</v>
      </c>
      <c r="C57" s="382"/>
      <c r="D57" s="382"/>
      <c r="E57" s="382"/>
      <c r="F57" s="382"/>
    </row>
    <row r="58" spans="1:6" ht="15" customHeight="1">
      <c r="A58" s="63" t="s">
        <v>658</v>
      </c>
      <c r="B58" s="382" t="str">
        <f>M12_CALCULOS!B54</f>
        <v>—</v>
      </c>
      <c r="C58" s="382"/>
      <c r="D58" s="382"/>
      <c r="E58" s="382"/>
      <c r="F58" s="382"/>
    </row>
    <row r="59" spans="1:6" ht="15" customHeight="1">
      <c r="A59" s="63" t="s">
        <v>657</v>
      </c>
      <c r="B59" s="382" t="str">
        <f>M12_CALCULOS!B55</f>
        <v>—</v>
      </c>
      <c r="C59" s="382"/>
      <c r="D59" s="382"/>
      <c r="E59" s="382"/>
      <c r="F59" s="382"/>
    </row>
    <row r="60" spans="1:6" ht="15" customHeight="1">
      <c r="A60" s="63" t="s">
        <v>1112</v>
      </c>
      <c r="B60" s="382" t="str">
        <f>M12_CALCULOS!B56</f>
        <v>—</v>
      </c>
      <c r="C60" s="382"/>
      <c r="D60" s="382"/>
      <c r="E60" s="382"/>
      <c r="F60" s="382"/>
    </row>
    <row r="61" spans="1:6" ht="15" customHeight="1">
      <c r="A61" s="63" t="s">
        <v>1092</v>
      </c>
      <c r="B61" s="382" t="str">
        <f>M12_CALCULOS!B57</f>
        <v>—</v>
      </c>
      <c r="C61" s="382"/>
      <c r="D61" s="382"/>
      <c r="E61" s="382"/>
      <c r="F61" s="382"/>
    </row>
    <row r="62" spans="1:6" ht="45.75" customHeight="1">
      <c r="A62" s="423" t="s">
        <v>1113</v>
      </c>
      <c r="B62" s="423"/>
      <c r="C62" s="423"/>
      <c r="D62" s="423"/>
      <c r="E62" s="423"/>
      <c r="F62" s="423"/>
    </row>
    <row r="63" spans="1:6" ht="22.5" customHeight="1">
      <c r="A63" s="22"/>
      <c r="B63" s="22"/>
      <c r="C63" s="22"/>
      <c r="D63" s="22"/>
      <c r="E63" s="22"/>
      <c r="F63" s="2"/>
    </row>
  </sheetData>
  <sheetProtection algorithmName="SHA-512" hashValue="iOt1DZVXinm3bGQ/cR8azqj+QEh/I3Pw69SBiacLtorUDKpfNJYfUV3+NEmaSYul/wLRykXJ0PfXO+hx7zUyjw==" saltValue="n9qnrtDG/EV+88tEuveMJQ==" spinCount="100000" sheet="1" objects="1" scenarios="1"/>
  <mergeCells count="48">
    <mergeCell ref="A2:F2"/>
    <mergeCell ref="B3:D3"/>
    <mergeCell ref="E3:F3"/>
    <mergeCell ref="A4:F5"/>
    <mergeCell ref="B6:F6"/>
    <mergeCell ref="B7:F7"/>
    <mergeCell ref="B8:F8"/>
    <mergeCell ref="B9:F9"/>
    <mergeCell ref="B10:F10"/>
    <mergeCell ref="B11:F11"/>
    <mergeCell ref="B12:F12"/>
    <mergeCell ref="B13:F13"/>
    <mergeCell ref="A14:F15"/>
    <mergeCell ref="D17:F17"/>
    <mergeCell ref="D18:F18"/>
    <mergeCell ref="D19:F19"/>
    <mergeCell ref="C20:F20"/>
    <mergeCell ref="A21:F22"/>
    <mergeCell ref="C23:F23"/>
    <mergeCell ref="C24:F24"/>
    <mergeCell ref="C25:F25"/>
    <mergeCell ref="A26:F26"/>
    <mergeCell ref="A27:F28"/>
    <mergeCell ref="C29:F29"/>
    <mergeCell ref="C30:F30"/>
    <mergeCell ref="C31:F31"/>
    <mergeCell ref="C32:F32"/>
    <mergeCell ref="C33:F33"/>
    <mergeCell ref="C34:F34"/>
    <mergeCell ref="C35:F35"/>
    <mergeCell ref="C36:F36"/>
    <mergeCell ref="A37:F38"/>
    <mergeCell ref="C40:D40"/>
    <mergeCell ref="E40:F40"/>
    <mergeCell ref="C41:D41"/>
    <mergeCell ref="E41:F41"/>
    <mergeCell ref="C42:D42"/>
    <mergeCell ref="E42:F42"/>
    <mergeCell ref="A43:F44"/>
    <mergeCell ref="A53:F54"/>
    <mergeCell ref="B55:F55"/>
    <mergeCell ref="B61:F61"/>
    <mergeCell ref="A62:F62"/>
    <mergeCell ref="B56:F56"/>
    <mergeCell ref="B57:F57"/>
    <mergeCell ref="B58:F58"/>
    <mergeCell ref="B59:F59"/>
    <mergeCell ref="B60:F60"/>
  </mergeCell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dimension ref="A1:K16"/>
  <sheetViews>
    <sheetView showGridLines="0" zoomScaleNormal="100" workbookViewId="0">
      <pane ySplit="26" topLeftCell="A27" activePane="bottomLeft" state="frozen"/>
      <selection pane="bottomLeft"/>
    </sheetView>
  </sheetViews>
  <sheetFormatPr baseColWidth="10" defaultColWidth="8.7109375" defaultRowHeight="15"/>
  <cols>
    <col min="1" max="1" width="24" style="1" customWidth="1"/>
    <col min="2" max="2" width="30" style="1" customWidth="1"/>
    <col min="3" max="3" width="8" style="1" customWidth="1"/>
    <col min="4" max="4" width="32" style="1" customWidth="1"/>
    <col min="5" max="5" width="34" style="1" customWidth="1"/>
    <col min="6" max="6" width="14" style="1" customWidth="1"/>
    <col min="7" max="7" width="36" style="1" customWidth="1"/>
    <col min="8" max="8" width="24" style="1" customWidth="1"/>
    <col min="9" max="9" width="12" style="1" customWidth="1"/>
    <col min="10" max="10" width="30" style="1" customWidth="1"/>
    <col min="11" max="11" width="8" style="1" customWidth="1"/>
  </cols>
  <sheetData>
    <row r="1" spans="1:11" ht="25.5" customHeight="1">
      <c r="A1" s="57" t="s">
        <v>1003</v>
      </c>
      <c r="B1" s="58"/>
      <c r="C1" s="58"/>
      <c r="D1" s="58"/>
      <c r="E1" s="58"/>
      <c r="F1" s="58"/>
      <c r="G1" s="58"/>
      <c r="H1" s="58"/>
      <c r="I1" s="58"/>
      <c r="J1" s="58"/>
      <c r="K1" s="58"/>
    </row>
    <row r="2" spans="1:11" ht="27" customHeight="1">
      <c r="A2" s="429" t="s">
        <v>1114</v>
      </c>
      <c r="B2" s="429"/>
      <c r="C2" s="429"/>
      <c r="D2" s="429"/>
      <c r="E2" s="429"/>
      <c r="F2" s="429"/>
      <c r="G2" s="429"/>
      <c r="H2" s="429"/>
      <c r="I2" s="429"/>
      <c r="J2" s="429"/>
      <c r="K2" s="429"/>
    </row>
    <row r="3" spans="1:11" ht="51.75" customHeight="1">
      <c r="A3" s="367" t="s">
        <v>1115</v>
      </c>
      <c r="B3" s="367"/>
      <c r="C3" s="367"/>
      <c r="D3" s="367"/>
      <c r="E3" s="367"/>
      <c r="F3" s="367"/>
      <c r="G3" s="367"/>
      <c r="H3" s="367"/>
      <c r="I3" s="367"/>
      <c r="J3" s="367"/>
      <c r="K3" s="367"/>
    </row>
    <row r="4" spans="1:11" ht="15" customHeight="1">
      <c r="A4" s="59" t="str">
        <f>HYPERLINK("#M12_INICIO!A1","◀ INICIO")</f>
        <v>◀ INICIO</v>
      </c>
      <c r="B4" s="59" t="str">
        <f>HYPERLINK("#M12_DATOS!A1","◀ DATOS")</f>
        <v>◀ DATOS</v>
      </c>
      <c r="C4" s="381" t="str">
        <f>HYPERLINK("#M12_CALCULOS!A1","◀  CALCULOS")</f>
        <v>◀  CALCULOS</v>
      </c>
      <c r="D4" s="381"/>
      <c r="E4" s="381"/>
      <c r="F4" s="22"/>
      <c r="G4" s="22"/>
      <c r="H4" s="22"/>
      <c r="I4" s="22"/>
      <c r="J4" s="22"/>
      <c r="K4" s="22"/>
    </row>
    <row r="5" spans="1:11" ht="15" customHeight="1">
      <c r="A5" s="106" t="s">
        <v>662</v>
      </c>
      <c r="B5" s="106" t="s">
        <v>663</v>
      </c>
      <c r="C5" s="106" t="s">
        <v>664</v>
      </c>
      <c r="D5" s="106" t="s">
        <v>665</v>
      </c>
      <c r="E5" s="106" t="s">
        <v>666</v>
      </c>
      <c r="F5" s="106" t="s">
        <v>667</v>
      </c>
      <c r="G5" s="106" t="s">
        <v>668</v>
      </c>
      <c r="H5" s="106" t="s">
        <v>669</v>
      </c>
      <c r="I5" s="106" t="s">
        <v>670</v>
      </c>
      <c r="J5" s="106" t="s">
        <v>671</v>
      </c>
      <c r="K5" s="106" t="s">
        <v>672</v>
      </c>
    </row>
    <row r="6" spans="1:11" ht="55.5" customHeight="1">
      <c r="A6" s="107" t="s">
        <v>1116</v>
      </c>
      <c r="B6" s="107" t="s">
        <v>1117</v>
      </c>
      <c r="C6" s="107" t="s">
        <v>696</v>
      </c>
      <c r="D6" s="107" t="s">
        <v>1118</v>
      </c>
      <c r="E6" s="107" t="s">
        <v>1119</v>
      </c>
      <c r="F6" s="107" t="s">
        <v>1120</v>
      </c>
      <c r="G6" s="107" t="s">
        <v>1121</v>
      </c>
      <c r="H6" s="107" t="s">
        <v>701</v>
      </c>
      <c r="I6" s="107" t="s">
        <v>681</v>
      </c>
      <c r="J6" s="107" t="s">
        <v>1122</v>
      </c>
      <c r="K6" s="108" t="s">
        <v>333</v>
      </c>
    </row>
    <row r="7" spans="1:11" ht="55.5" customHeight="1">
      <c r="A7" s="107" t="s">
        <v>711</v>
      </c>
      <c r="B7" s="107" t="s">
        <v>1123</v>
      </c>
      <c r="C7" s="107" t="s">
        <v>713</v>
      </c>
      <c r="D7" s="107" t="s">
        <v>1124</v>
      </c>
      <c r="E7" s="107" t="s">
        <v>715</v>
      </c>
      <c r="F7" s="107" t="s">
        <v>1125</v>
      </c>
      <c r="G7" s="107" t="s">
        <v>1126</v>
      </c>
      <c r="H7" s="107" t="s">
        <v>718</v>
      </c>
      <c r="I7" s="107" t="s">
        <v>681</v>
      </c>
      <c r="J7" s="107" t="s">
        <v>719</v>
      </c>
      <c r="K7" s="108" t="s">
        <v>333</v>
      </c>
    </row>
    <row r="8" spans="1:11" ht="55.5" customHeight="1">
      <c r="A8" s="107" t="s">
        <v>720</v>
      </c>
      <c r="B8" s="107" t="s">
        <v>721</v>
      </c>
      <c r="C8" s="107" t="s">
        <v>722</v>
      </c>
      <c r="D8" s="107" t="s">
        <v>1127</v>
      </c>
      <c r="E8" s="107" t="s">
        <v>724</v>
      </c>
      <c r="F8" s="107" t="s">
        <v>1125</v>
      </c>
      <c r="G8" s="107" t="s">
        <v>1128</v>
      </c>
      <c r="H8" s="107" t="s">
        <v>726</v>
      </c>
      <c r="I8" s="107" t="s">
        <v>681</v>
      </c>
      <c r="J8" s="107" t="s">
        <v>727</v>
      </c>
      <c r="K8" s="108" t="s">
        <v>333</v>
      </c>
    </row>
    <row r="9" spans="1:11" ht="55.5" customHeight="1">
      <c r="A9" s="107" t="s">
        <v>1129</v>
      </c>
      <c r="B9" s="107" t="s">
        <v>1130</v>
      </c>
      <c r="C9" s="107" t="s">
        <v>1131</v>
      </c>
      <c r="D9" s="107" t="s">
        <v>1132</v>
      </c>
      <c r="E9" s="107" t="s">
        <v>1133</v>
      </c>
      <c r="F9" s="107" t="s">
        <v>1134</v>
      </c>
      <c r="G9" s="107" t="s">
        <v>1135</v>
      </c>
      <c r="H9" s="107" t="s">
        <v>1136</v>
      </c>
      <c r="I9" s="107" t="s">
        <v>681</v>
      </c>
      <c r="J9" s="107" t="s">
        <v>1137</v>
      </c>
      <c r="K9" s="108" t="s">
        <v>333</v>
      </c>
    </row>
    <row r="10" spans="1:11" ht="55.5" customHeight="1">
      <c r="A10" s="107" t="s">
        <v>1138</v>
      </c>
      <c r="B10" s="107" t="s">
        <v>1139</v>
      </c>
      <c r="C10" s="107" t="s">
        <v>1140</v>
      </c>
      <c r="D10" s="107" t="s">
        <v>1141</v>
      </c>
      <c r="E10" s="107" t="s">
        <v>1142</v>
      </c>
      <c r="F10" s="107" t="s">
        <v>1143</v>
      </c>
      <c r="G10" s="107" t="s">
        <v>1144</v>
      </c>
      <c r="H10" s="107" t="s">
        <v>1145</v>
      </c>
      <c r="I10" s="107" t="s">
        <v>681</v>
      </c>
      <c r="J10" s="107" t="s">
        <v>1146</v>
      </c>
      <c r="K10" s="108" t="s">
        <v>328</v>
      </c>
    </row>
    <row r="11" spans="1:11" ht="55.5" customHeight="1">
      <c r="A11" s="107" t="s">
        <v>1147</v>
      </c>
      <c r="B11" s="107" t="s">
        <v>1148</v>
      </c>
      <c r="C11" s="107" t="s">
        <v>1149</v>
      </c>
      <c r="D11" s="107" t="s">
        <v>1150</v>
      </c>
      <c r="E11" s="107" t="s">
        <v>1151</v>
      </c>
      <c r="F11" s="107" t="s">
        <v>497</v>
      </c>
      <c r="G11" s="107" t="s">
        <v>1152</v>
      </c>
      <c r="H11" s="107" t="s">
        <v>1153</v>
      </c>
      <c r="I11" s="107" t="s">
        <v>681</v>
      </c>
      <c r="J11" s="107" t="s">
        <v>1154</v>
      </c>
      <c r="K11" s="108" t="s">
        <v>333</v>
      </c>
    </row>
    <row r="12" spans="1:11" ht="55.5" customHeight="1">
      <c r="A12" s="107" t="s">
        <v>1155</v>
      </c>
      <c r="B12" s="107" t="s">
        <v>1156</v>
      </c>
      <c r="C12" s="107" t="s">
        <v>1157</v>
      </c>
      <c r="D12" s="107" t="s">
        <v>1158</v>
      </c>
      <c r="E12" s="107" t="s">
        <v>1159</v>
      </c>
      <c r="F12" s="107" t="s">
        <v>556</v>
      </c>
      <c r="G12" s="107" t="s">
        <v>1160</v>
      </c>
      <c r="H12" s="107" t="s">
        <v>1161</v>
      </c>
      <c r="I12" s="107" t="s">
        <v>681</v>
      </c>
      <c r="J12" s="107" t="s">
        <v>1162</v>
      </c>
      <c r="K12" s="108" t="s">
        <v>328</v>
      </c>
    </row>
    <row r="13" spans="1:11" ht="55.5" customHeight="1">
      <c r="A13" s="107" t="s">
        <v>1163</v>
      </c>
      <c r="B13" s="107" t="s">
        <v>1164</v>
      </c>
      <c r="C13" s="107" t="s">
        <v>1157</v>
      </c>
      <c r="D13" s="107" t="s">
        <v>1165</v>
      </c>
      <c r="E13" s="107" t="s">
        <v>1166</v>
      </c>
      <c r="F13" s="107" t="s">
        <v>1167</v>
      </c>
      <c r="G13" s="107" t="s">
        <v>1168</v>
      </c>
      <c r="H13" s="107" t="s">
        <v>1169</v>
      </c>
      <c r="I13" s="107" t="s">
        <v>681</v>
      </c>
      <c r="J13" s="107" t="s">
        <v>1170</v>
      </c>
      <c r="K13" s="108" t="s">
        <v>328</v>
      </c>
    </row>
    <row r="14" spans="1:11" ht="55.5" customHeight="1">
      <c r="A14" s="107" t="s">
        <v>737</v>
      </c>
      <c r="B14" s="107" t="s">
        <v>738</v>
      </c>
      <c r="C14" s="107" t="s">
        <v>739</v>
      </c>
      <c r="D14" s="107" t="s">
        <v>740</v>
      </c>
      <c r="E14" s="107" t="s">
        <v>1171</v>
      </c>
      <c r="F14" s="107" t="s">
        <v>375</v>
      </c>
      <c r="G14" s="107" t="s">
        <v>1172</v>
      </c>
      <c r="H14" s="107" t="s">
        <v>743</v>
      </c>
      <c r="I14" s="107" t="s">
        <v>681</v>
      </c>
      <c r="J14" s="107" t="s">
        <v>1173</v>
      </c>
      <c r="K14" s="108" t="s">
        <v>336</v>
      </c>
    </row>
    <row r="15" spans="1:11">
      <c r="A15" s="22"/>
      <c r="B15" s="22"/>
      <c r="C15" s="22"/>
      <c r="D15" s="22"/>
      <c r="E15" s="22"/>
      <c r="F15" s="22"/>
      <c r="G15" s="22"/>
      <c r="H15" s="22"/>
      <c r="I15" s="22"/>
      <c r="J15" s="22"/>
      <c r="K15" s="22"/>
    </row>
    <row r="16" spans="1:11" ht="33.75" customHeight="1">
      <c r="A16" s="367" t="s">
        <v>1174</v>
      </c>
      <c r="B16" s="367"/>
      <c r="C16" s="367"/>
      <c r="D16" s="367"/>
      <c r="E16" s="367"/>
      <c r="F16" s="367"/>
      <c r="G16" s="367"/>
      <c r="H16" s="367"/>
      <c r="I16" s="367"/>
      <c r="J16" s="367"/>
      <c r="K16" s="367"/>
    </row>
  </sheetData>
  <sheetProtection algorithmName="SHA-512" hashValue="DcBnjol+UIIGkLPsGervix0LSFpCTpsKJbfjUFSPvHqQzMZr+3j7cN3WwVH5PciZGy4vG5DCBsR2/BVJlXQXqQ==" saltValue="dJ2Bdmsy1O9F2RRuaTKckQ==" spinCount="100000" sheet="1" objects="1" scenarios="1"/>
  <mergeCells count="4">
    <mergeCell ref="A2:K2"/>
    <mergeCell ref="A3:K3"/>
    <mergeCell ref="C4:E4"/>
    <mergeCell ref="A16:K16"/>
  </mergeCell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dimension ref="A1:M79"/>
  <sheetViews>
    <sheetView showGridLines="0" zoomScaleNormal="100" workbookViewId="0">
      <pane ySplit="23" topLeftCell="A24" activePane="bottomLeft" state="frozen"/>
      <selection pane="bottomLeft"/>
    </sheetView>
  </sheetViews>
  <sheetFormatPr baseColWidth="10" defaultColWidth="8.7109375" defaultRowHeight="15"/>
  <cols>
    <col min="1" max="1" width="6" style="1" customWidth="1"/>
    <col min="2" max="2" width="40" style="1" customWidth="1"/>
    <col min="3" max="3" width="9" style="1" customWidth="1"/>
    <col min="8" max="8" width="12" style="1" customWidth="1"/>
    <col min="10" max="10" width="10" style="1" customWidth="1"/>
    <col min="11" max="11" width="11" style="1" customWidth="1"/>
  </cols>
  <sheetData>
    <row r="1" spans="1:13" ht="25.5" customHeight="1">
      <c r="A1" s="57" t="s">
        <v>1003</v>
      </c>
      <c r="B1" s="109"/>
      <c r="C1" s="109"/>
      <c r="D1" s="109"/>
      <c r="E1" s="109"/>
      <c r="F1" s="109"/>
      <c r="G1" s="109"/>
      <c r="H1" s="109"/>
      <c r="I1" s="109"/>
      <c r="J1" s="109"/>
      <c r="K1" s="109"/>
      <c r="L1" s="109"/>
      <c r="M1" s="109"/>
    </row>
    <row r="2" spans="1:13" ht="23.25" customHeight="1">
      <c r="A2" s="427" t="s">
        <v>746</v>
      </c>
      <c r="B2" s="427"/>
      <c r="C2" s="427"/>
      <c r="D2" s="427"/>
      <c r="E2" s="427"/>
      <c r="F2" s="427"/>
      <c r="G2" s="427"/>
      <c r="H2" s="427"/>
      <c r="I2" s="427"/>
      <c r="J2" s="427"/>
      <c r="K2" s="427"/>
      <c r="L2" s="427"/>
      <c r="M2" s="176"/>
    </row>
    <row r="3" spans="1:13" ht="33.75" customHeight="1">
      <c r="A3" s="367" t="s">
        <v>747</v>
      </c>
      <c r="B3" s="367"/>
      <c r="C3" s="367"/>
      <c r="D3" s="367"/>
      <c r="E3" s="367"/>
      <c r="F3" s="367"/>
      <c r="G3" s="367"/>
      <c r="H3" s="367"/>
      <c r="I3" s="367"/>
      <c r="J3" s="367"/>
      <c r="K3" s="367"/>
      <c r="L3" s="367"/>
      <c r="M3" s="367"/>
    </row>
    <row r="4" spans="1:13" ht="20.25" customHeight="1">
      <c r="A4" s="380" t="str">
        <f>HYPERLINK("#M12_INICIO!A1","◀ INICIO")</f>
        <v>◀ INICIO</v>
      </c>
      <c r="B4" s="380"/>
      <c r="C4" s="380"/>
      <c r="D4" s="380"/>
      <c r="E4" s="2"/>
      <c r="F4" s="2"/>
      <c r="G4" s="2"/>
      <c r="H4" s="22"/>
      <c r="I4" s="2"/>
      <c r="J4" s="22"/>
      <c r="K4" s="22"/>
      <c r="L4" s="2"/>
      <c r="M4" s="2"/>
    </row>
    <row r="5" spans="1:13">
      <c r="A5" s="22"/>
      <c r="B5" s="22"/>
      <c r="C5" s="22"/>
      <c r="D5" s="2"/>
      <c r="E5" s="2"/>
      <c r="F5" s="2"/>
      <c r="G5" s="2"/>
      <c r="H5" s="22"/>
      <c r="I5" s="2"/>
      <c r="J5" s="22"/>
      <c r="K5" s="22"/>
      <c r="L5" s="2"/>
      <c r="M5" s="2"/>
    </row>
    <row r="6" spans="1:13" ht="27" customHeight="1">
      <c r="A6" s="431" t="s">
        <v>1175</v>
      </c>
      <c r="B6" s="431"/>
      <c r="C6" s="431"/>
      <c r="D6" s="431"/>
      <c r="E6" s="431"/>
      <c r="F6" s="431"/>
      <c r="G6" s="431"/>
      <c r="H6" s="431"/>
      <c r="I6" s="431"/>
      <c r="J6" s="431"/>
      <c r="K6" s="431"/>
      <c r="L6" s="431"/>
      <c r="M6" s="431"/>
    </row>
    <row r="7" spans="1:13" ht="15" customHeight="1">
      <c r="A7" s="110" t="s">
        <v>749</v>
      </c>
      <c r="B7" s="110" t="s">
        <v>750</v>
      </c>
      <c r="C7" s="110" t="s">
        <v>22</v>
      </c>
      <c r="D7" s="110" t="s">
        <v>493</v>
      </c>
      <c r="E7" s="110" t="s">
        <v>978</v>
      </c>
      <c r="F7" s="110" t="s">
        <v>554</v>
      </c>
      <c r="G7" s="110" t="s">
        <v>784</v>
      </c>
      <c r="H7" s="110" t="s">
        <v>1176</v>
      </c>
      <c r="I7" s="110" t="s">
        <v>326</v>
      </c>
      <c r="J7" s="110" t="s">
        <v>327</v>
      </c>
      <c r="K7" s="110" t="s">
        <v>752</v>
      </c>
      <c r="L7" s="110" t="s">
        <v>44</v>
      </c>
      <c r="M7" s="110"/>
    </row>
    <row r="8" spans="1:13" ht="15" customHeight="1">
      <c r="A8" s="111" t="s">
        <v>753</v>
      </c>
      <c r="B8" s="112" t="s">
        <v>1177</v>
      </c>
      <c r="C8" s="113" t="s">
        <v>23</v>
      </c>
      <c r="D8" s="111">
        <v>34</v>
      </c>
      <c r="E8" s="117">
        <v>1.1422000000000001</v>
      </c>
      <c r="F8" s="117">
        <v>5.4399999999999997E-2</v>
      </c>
      <c r="G8" s="111">
        <v>46</v>
      </c>
      <c r="H8" s="113" t="s">
        <v>1178</v>
      </c>
      <c r="I8" s="114">
        <f t="shared" ref="I8:I13" si="0">IF(H8="Brožek",(457/(E8-F8*LOG10(G8))-414)/100,(495/(E8-F8*LOG10(G8))-450)/100)</f>
        <v>0.20645966095671042</v>
      </c>
      <c r="J8" s="115">
        <v>0.20646</v>
      </c>
      <c r="K8" s="116">
        <f t="shared" ref="K8:K13" si="1">I8-J8</f>
        <v>-3.390432895822304E-7</v>
      </c>
      <c r="L8" s="120" t="str">
        <f t="shared" ref="L8:L13" si="2">IF(ABS(K8)&lt;=M12_TOL_FRAC,"APROBADO","FALLIDO")</f>
        <v>APROBADO</v>
      </c>
      <c r="M8" s="105"/>
    </row>
    <row r="9" spans="1:13" ht="15" customHeight="1">
      <c r="A9" s="111" t="s">
        <v>755</v>
      </c>
      <c r="B9" s="112" t="s">
        <v>1179</v>
      </c>
      <c r="C9" s="113" t="s">
        <v>757</v>
      </c>
      <c r="D9" s="111">
        <v>25</v>
      </c>
      <c r="E9" s="117">
        <v>1.1598999999999999</v>
      </c>
      <c r="F9" s="117">
        <v>7.17E-2</v>
      </c>
      <c r="G9" s="111">
        <v>60</v>
      </c>
      <c r="H9" s="113" t="s">
        <v>1178</v>
      </c>
      <c r="I9" s="114">
        <f t="shared" si="0"/>
        <v>0.29462279114830325</v>
      </c>
      <c r="J9" s="115">
        <v>0.29462300000000002</v>
      </c>
      <c r="K9" s="116">
        <f t="shared" si="1"/>
        <v>-2.0885169677020698E-7</v>
      </c>
      <c r="L9" s="120" t="str">
        <f t="shared" si="2"/>
        <v>APROBADO</v>
      </c>
      <c r="M9" s="105"/>
    </row>
    <row r="10" spans="1:13" ht="15" customHeight="1">
      <c r="A10" s="111" t="s">
        <v>758</v>
      </c>
      <c r="B10" s="112" t="s">
        <v>1180</v>
      </c>
      <c r="C10" s="113" t="s">
        <v>23</v>
      </c>
      <c r="D10" s="111">
        <v>22</v>
      </c>
      <c r="E10" s="117">
        <v>1.1631</v>
      </c>
      <c r="F10" s="117">
        <v>6.3200000000000006E-2</v>
      </c>
      <c r="G10" s="111">
        <v>40</v>
      </c>
      <c r="H10" s="113" t="s">
        <v>1178</v>
      </c>
      <c r="I10" s="114">
        <f t="shared" si="0"/>
        <v>0.16167621838008756</v>
      </c>
      <c r="J10" s="115">
        <v>0.16167599999999999</v>
      </c>
      <c r="K10" s="116">
        <f t="shared" si="1"/>
        <v>2.1838008756880356E-7</v>
      </c>
      <c r="L10" s="120" t="str">
        <f t="shared" si="2"/>
        <v>APROBADO</v>
      </c>
      <c r="M10" s="105"/>
    </row>
    <row r="11" spans="1:13" ht="15" customHeight="1">
      <c r="A11" s="111" t="s">
        <v>760</v>
      </c>
      <c r="B11" s="112" t="s">
        <v>1181</v>
      </c>
      <c r="C11" s="113" t="s">
        <v>757</v>
      </c>
      <c r="D11" s="111">
        <v>55</v>
      </c>
      <c r="E11" s="117">
        <v>1.1338999999999999</v>
      </c>
      <c r="F11" s="117">
        <v>6.4500000000000002E-2</v>
      </c>
      <c r="G11" s="111">
        <v>70</v>
      </c>
      <c r="H11" s="113" t="s">
        <v>1178</v>
      </c>
      <c r="I11" s="114">
        <f t="shared" si="0"/>
        <v>0.37737021959878631</v>
      </c>
      <c r="J11" s="115">
        <v>0.37736999999999998</v>
      </c>
      <c r="K11" s="116">
        <f t="shared" si="1"/>
        <v>2.195987863218285E-7</v>
      </c>
      <c r="L11" s="120" t="str">
        <f t="shared" si="2"/>
        <v>APROBADO</v>
      </c>
      <c r="M11" s="105"/>
    </row>
    <row r="12" spans="1:13" ht="15" customHeight="1">
      <c r="A12" s="111" t="s">
        <v>762</v>
      </c>
      <c r="B12" s="112" t="s">
        <v>1182</v>
      </c>
      <c r="C12" s="113" t="s">
        <v>23</v>
      </c>
      <c r="D12" s="111">
        <v>45</v>
      </c>
      <c r="E12" s="117">
        <v>1.1619999999999999</v>
      </c>
      <c r="F12" s="117">
        <v>7.0000000000000007E-2</v>
      </c>
      <c r="G12" s="111">
        <v>55</v>
      </c>
      <c r="H12" s="113" t="s">
        <v>1183</v>
      </c>
      <c r="I12" s="114">
        <f t="shared" si="0"/>
        <v>0.25349311975180683</v>
      </c>
      <c r="J12" s="115">
        <v>0.25349300000000002</v>
      </c>
      <c r="K12" s="116">
        <f t="shared" si="1"/>
        <v>1.1975180680412478E-7</v>
      </c>
      <c r="L12" s="120" t="str">
        <f t="shared" si="2"/>
        <v>APROBADO</v>
      </c>
      <c r="M12" s="105"/>
    </row>
    <row r="13" spans="1:13" ht="15" customHeight="1">
      <c r="A13" s="111" t="s">
        <v>764</v>
      </c>
      <c r="B13" s="112" t="s">
        <v>1184</v>
      </c>
      <c r="C13" s="113" t="s">
        <v>757</v>
      </c>
      <c r="D13" s="111">
        <v>34</v>
      </c>
      <c r="E13" s="117">
        <v>1.1423000000000001</v>
      </c>
      <c r="F13" s="117">
        <v>6.3200000000000006E-2</v>
      </c>
      <c r="G13" s="111">
        <v>50</v>
      </c>
      <c r="H13" s="113" t="s">
        <v>1183</v>
      </c>
      <c r="I13" s="114">
        <f t="shared" si="0"/>
        <v>0.27577851273797249</v>
      </c>
      <c r="J13" s="115">
        <v>0.275779</v>
      </c>
      <c r="K13" s="116">
        <f t="shared" si="1"/>
        <v>-4.8726202750426495E-7</v>
      </c>
      <c r="L13" s="120" t="str">
        <f t="shared" si="2"/>
        <v>APROBADO</v>
      </c>
      <c r="M13" s="105"/>
    </row>
    <row r="14" spans="1:13">
      <c r="A14" s="22"/>
      <c r="B14" s="22"/>
      <c r="C14" s="22"/>
      <c r="D14" s="2"/>
      <c r="E14" s="2"/>
      <c r="F14" s="2"/>
      <c r="G14" s="2"/>
      <c r="H14" s="22"/>
      <c r="I14" s="2"/>
      <c r="J14" s="22"/>
      <c r="K14" s="22"/>
      <c r="L14" s="2"/>
      <c r="M14" s="2"/>
    </row>
    <row r="15" spans="1:13" ht="24.75" customHeight="1">
      <c r="A15" s="431" t="s">
        <v>1185</v>
      </c>
      <c r="B15" s="431"/>
      <c r="C15" s="431"/>
      <c r="D15" s="431"/>
      <c r="E15" s="431"/>
      <c r="F15" s="431"/>
      <c r="G15" s="431"/>
      <c r="H15" s="431"/>
      <c r="I15" s="431"/>
      <c r="J15" s="431"/>
      <c r="K15" s="431"/>
      <c r="L15" s="431"/>
      <c r="M15" s="431"/>
    </row>
    <row r="16" spans="1:13" ht="15" customHeight="1">
      <c r="A16" s="110" t="s">
        <v>749</v>
      </c>
      <c r="B16" s="110" t="s">
        <v>750</v>
      </c>
      <c r="C16" s="110" t="s">
        <v>22</v>
      </c>
      <c r="D16" s="110" t="s">
        <v>55</v>
      </c>
      <c r="E16" s="110" t="s">
        <v>57</v>
      </c>
      <c r="F16" s="110" t="s">
        <v>58</v>
      </c>
      <c r="G16" s="110" t="s">
        <v>500</v>
      </c>
      <c r="H16" s="110" t="s">
        <v>326</v>
      </c>
      <c r="I16" s="110" t="s">
        <v>327</v>
      </c>
      <c r="J16" s="110" t="s">
        <v>752</v>
      </c>
      <c r="K16" s="110" t="s">
        <v>44</v>
      </c>
      <c r="L16" s="110"/>
      <c r="M16" s="110"/>
    </row>
    <row r="17" spans="1:13" ht="15" customHeight="1">
      <c r="A17" s="111" t="s">
        <v>768</v>
      </c>
      <c r="B17" s="112" t="s">
        <v>1186</v>
      </c>
      <c r="C17" s="113" t="s">
        <v>23</v>
      </c>
      <c r="D17" s="111">
        <v>38</v>
      </c>
      <c r="E17" s="111">
        <v>88</v>
      </c>
      <c r="F17" s="111">
        <v>100</v>
      </c>
      <c r="G17" s="111">
        <v>176</v>
      </c>
      <c r="H17" s="114">
        <f t="shared" ref="H17:H22" si="3">IF(C17="Hombre",(495/(1.0324-0.19077*LOG10(E17-D17)+0.15456*LOG10(G17))-450)/100,(495/(1.29579-0.35004*LOG10(E17+F17-D17)+0.221*LOG10(G17))-450)/100)</f>
        <v>0.19036960805576597</v>
      </c>
      <c r="I17" s="115">
        <v>0.19037000000000001</v>
      </c>
      <c r="J17" s="116">
        <f t="shared" ref="J17:J22" si="4">H17-I17</f>
        <v>-3.9194423404054213E-7</v>
      </c>
      <c r="K17" s="120" t="str">
        <f t="shared" ref="K17:K22" si="5">IF(ABS(J17)&lt;=M12_TOL_FRAC,"APROBADO","FALLIDO")</f>
        <v>APROBADO</v>
      </c>
      <c r="L17" s="105"/>
      <c r="M17" s="105"/>
    </row>
    <row r="18" spans="1:13" ht="15" customHeight="1">
      <c r="A18" s="111" t="s">
        <v>770</v>
      </c>
      <c r="B18" s="112" t="s">
        <v>1187</v>
      </c>
      <c r="C18" s="113" t="s">
        <v>23</v>
      </c>
      <c r="D18" s="111">
        <v>40</v>
      </c>
      <c r="E18" s="111">
        <v>82</v>
      </c>
      <c r="F18" s="111">
        <v>96</v>
      </c>
      <c r="G18" s="111">
        <v>180</v>
      </c>
      <c r="H18" s="114">
        <f t="shared" si="3"/>
        <v>0.12052146662088944</v>
      </c>
      <c r="I18" s="115">
        <v>0.120521</v>
      </c>
      <c r="J18" s="116">
        <f t="shared" si="4"/>
        <v>4.6662088944160462E-7</v>
      </c>
      <c r="K18" s="120" t="str">
        <f t="shared" si="5"/>
        <v>APROBADO</v>
      </c>
      <c r="L18" s="105"/>
      <c r="M18" s="105"/>
    </row>
    <row r="19" spans="1:13" ht="15" customHeight="1">
      <c r="A19" s="111" t="s">
        <v>772</v>
      </c>
      <c r="B19" s="112" t="s">
        <v>1188</v>
      </c>
      <c r="C19" s="113" t="s">
        <v>23</v>
      </c>
      <c r="D19" s="111">
        <v>44</v>
      </c>
      <c r="E19" s="111">
        <v>112</v>
      </c>
      <c r="F19" s="111">
        <v>110</v>
      </c>
      <c r="G19" s="111">
        <v>170</v>
      </c>
      <c r="H19" s="114">
        <f t="shared" si="3"/>
        <v>0.31728167388078476</v>
      </c>
      <c r="I19" s="115">
        <v>0.31728200000000001</v>
      </c>
      <c r="J19" s="116">
        <f t="shared" si="4"/>
        <v>-3.2611921524372534E-7</v>
      </c>
      <c r="K19" s="120" t="str">
        <f t="shared" si="5"/>
        <v>APROBADO</v>
      </c>
      <c r="L19" s="105"/>
      <c r="M19" s="105"/>
    </row>
    <row r="20" spans="1:13" ht="15" customHeight="1">
      <c r="A20" s="111" t="s">
        <v>774</v>
      </c>
      <c r="B20" s="112" t="s">
        <v>1189</v>
      </c>
      <c r="C20" s="113" t="s">
        <v>757</v>
      </c>
      <c r="D20" s="111">
        <v>32</v>
      </c>
      <c r="E20" s="111">
        <v>74</v>
      </c>
      <c r="F20" s="111">
        <v>100</v>
      </c>
      <c r="G20" s="111">
        <v>164</v>
      </c>
      <c r="H20" s="114">
        <f t="shared" si="3"/>
        <v>0.29705325635390412</v>
      </c>
      <c r="I20" s="115">
        <v>0.29705300000000001</v>
      </c>
      <c r="J20" s="116">
        <f t="shared" si="4"/>
        <v>2.5635390410450043E-7</v>
      </c>
      <c r="K20" s="120" t="str">
        <f t="shared" si="5"/>
        <v>APROBADO</v>
      </c>
      <c r="L20" s="105"/>
      <c r="M20" s="105"/>
    </row>
    <row r="21" spans="1:13" ht="15" customHeight="1">
      <c r="A21" s="111" t="s">
        <v>776</v>
      </c>
      <c r="B21" s="112" t="s">
        <v>1190</v>
      </c>
      <c r="C21" s="113" t="s">
        <v>757</v>
      </c>
      <c r="D21" s="111">
        <v>30</v>
      </c>
      <c r="E21" s="111">
        <v>68</v>
      </c>
      <c r="F21" s="111">
        <v>92</v>
      </c>
      <c r="G21" s="111">
        <v>170</v>
      </c>
      <c r="H21" s="114">
        <f t="shared" si="3"/>
        <v>0.21988448359025994</v>
      </c>
      <c r="I21" s="115">
        <v>0.219884</v>
      </c>
      <c r="J21" s="116">
        <f t="shared" si="4"/>
        <v>4.8359025994759719E-7</v>
      </c>
      <c r="K21" s="120" t="str">
        <f t="shared" si="5"/>
        <v>APROBADO</v>
      </c>
      <c r="L21" s="105"/>
      <c r="M21" s="105"/>
    </row>
    <row r="22" spans="1:13" ht="15" customHeight="1">
      <c r="A22" s="111" t="s">
        <v>778</v>
      </c>
      <c r="B22" s="112" t="s">
        <v>1191</v>
      </c>
      <c r="C22" s="113" t="s">
        <v>757</v>
      </c>
      <c r="D22" s="111">
        <v>36</v>
      </c>
      <c r="E22" s="111">
        <v>96</v>
      </c>
      <c r="F22" s="111">
        <v>118</v>
      </c>
      <c r="G22" s="111">
        <v>160</v>
      </c>
      <c r="H22" s="114">
        <f t="shared" si="3"/>
        <v>0.47405703401384813</v>
      </c>
      <c r="I22" s="115">
        <v>0.47405700000000001</v>
      </c>
      <c r="J22" s="116">
        <f t="shared" si="4"/>
        <v>3.4013848126956958E-8</v>
      </c>
      <c r="K22" s="120" t="str">
        <f t="shared" si="5"/>
        <v>APROBADO</v>
      </c>
      <c r="L22" s="105"/>
      <c r="M22" s="105"/>
    </row>
    <row r="23" spans="1:13">
      <c r="A23" s="22"/>
      <c r="B23" s="22"/>
      <c r="C23" s="22"/>
      <c r="D23" s="2"/>
      <c r="E23" s="2"/>
      <c r="F23" s="2"/>
      <c r="G23" s="2"/>
      <c r="H23" s="22"/>
      <c r="I23" s="2"/>
      <c r="J23" s="22"/>
      <c r="K23" s="22"/>
      <c r="L23" s="2"/>
      <c r="M23" s="2"/>
    </row>
    <row r="24" spans="1:13" ht="25.5" customHeight="1">
      <c r="A24" s="431" t="s">
        <v>1192</v>
      </c>
      <c r="B24" s="431"/>
      <c r="C24" s="431"/>
      <c r="D24" s="431"/>
      <c r="E24" s="431"/>
      <c r="F24" s="431"/>
      <c r="G24" s="431"/>
      <c r="H24" s="431"/>
      <c r="I24" s="431"/>
      <c r="J24" s="431"/>
      <c r="K24" s="431"/>
      <c r="L24" s="431"/>
      <c r="M24" s="431"/>
    </row>
    <row r="25" spans="1:13" ht="15" customHeight="1">
      <c r="A25" s="110" t="s">
        <v>749</v>
      </c>
      <c r="B25" s="110" t="s">
        <v>750</v>
      </c>
      <c r="C25" s="110" t="s">
        <v>22</v>
      </c>
      <c r="D25" s="110" t="s">
        <v>67</v>
      </c>
      <c r="E25" s="110" t="s">
        <v>493</v>
      </c>
      <c r="F25" s="110" t="s">
        <v>326</v>
      </c>
      <c r="G25" s="110" t="s">
        <v>327</v>
      </c>
      <c r="H25" s="110" t="s">
        <v>752</v>
      </c>
      <c r="I25" s="110" t="s">
        <v>44</v>
      </c>
      <c r="J25" s="110"/>
      <c r="K25" s="110"/>
      <c r="L25" s="110"/>
      <c r="M25" s="110"/>
    </row>
    <row r="26" spans="1:13" ht="15" customHeight="1">
      <c r="A26" s="111" t="s">
        <v>785</v>
      </c>
      <c r="B26" s="112" t="s">
        <v>1193</v>
      </c>
      <c r="C26" s="113" t="s">
        <v>23</v>
      </c>
      <c r="D26" s="117">
        <v>25.342199999999998</v>
      </c>
      <c r="E26" s="111">
        <v>34</v>
      </c>
      <c r="F26" s="114">
        <f t="shared" ref="F26:F31" si="6">(1.2*D26+0.23*E26-10.8*IF(C26="Hombre",1,0)-5.4)/100</f>
        <v>0.2203063999999999</v>
      </c>
      <c r="G26" s="115">
        <v>0.220306</v>
      </c>
      <c r="H26" s="116">
        <f t="shared" ref="H26:H31" si="7">F26-G26</f>
        <v>3.9999999990047996E-7</v>
      </c>
      <c r="I26" s="120" t="str">
        <f t="shared" ref="I26:I31" si="8">IF(ABS(H26)&lt;=M12_TOL_FRAC,"APROBADO","FALLIDO")</f>
        <v>APROBADO</v>
      </c>
      <c r="J26" s="105"/>
      <c r="K26" s="105"/>
      <c r="L26" s="105"/>
      <c r="M26" s="105"/>
    </row>
    <row r="27" spans="1:13" ht="15" customHeight="1">
      <c r="A27" s="111" t="s">
        <v>788</v>
      </c>
      <c r="B27" s="112" t="s">
        <v>1194</v>
      </c>
      <c r="C27" s="113" t="s">
        <v>757</v>
      </c>
      <c r="D27" s="117">
        <v>23</v>
      </c>
      <c r="E27" s="111">
        <v>45</v>
      </c>
      <c r="F27" s="114">
        <f t="shared" si="6"/>
        <v>0.32549999999999996</v>
      </c>
      <c r="G27" s="115">
        <v>0.32550000000000001</v>
      </c>
      <c r="H27" s="116">
        <f t="shared" si="7"/>
        <v>0</v>
      </c>
      <c r="I27" s="120" t="str">
        <f t="shared" si="8"/>
        <v>APROBADO</v>
      </c>
      <c r="J27" s="105"/>
      <c r="K27" s="105"/>
      <c r="L27" s="105"/>
      <c r="M27" s="105"/>
    </row>
    <row r="28" spans="1:13" ht="15" customHeight="1">
      <c r="A28" s="111" t="s">
        <v>790</v>
      </c>
      <c r="B28" s="112" t="s">
        <v>1188</v>
      </c>
      <c r="C28" s="113" t="s">
        <v>23</v>
      </c>
      <c r="D28" s="117">
        <v>33</v>
      </c>
      <c r="E28" s="111">
        <v>55</v>
      </c>
      <c r="F28" s="114">
        <f t="shared" si="6"/>
        <v>0.36050000000000004</v>
      </c>
      <c r="G28" s="115">
        <v>0.36049999999999999</v>
      </c>
      <c r="H28" s="116">
        <f t="shared" si="7"/>
        <v>0</v>
      </c>
      <c r="I28" s="120" t="str">
        <f t="shared" si="8"/>
        <v>APROBADO</v>
      </c>
      <c r="J28" s="105"/>
      <c r="K28" s="105"/>
      <c r="L28" s="105"/>
      <c r="M28" s="105"/>
    </row>
    <row r="29" spans="1:13" ht="15" customHeight="1">
      <c r="A29" s="111" t="s">
        <v>792</v>
      </c>
      <c r="B29" s="112" t="s">
        <v>1191</v>
      </c>
      <c r="C29" s="113" t="s">
        <v>757</v>
      </c>
      <c r="D29" s="117">
        <v>31</v>
      </c>
      <c r="E29" s="111">
        <v>60</v>
      </c>
      <c r="F29" s="114">
        <f t="shared" si="6"/>
        <v>0.45600000000000002</v>
      </c>
      <c r="G29" s="115">
        <v>0.45600000000000002</v>
      </c>
      <c r="H29" s="116">
        <f t="shared" si="7"/>
        <v>0</v>
      </c>
      <c r="I29" s="120" t="str">
        <f t="shared" si="8"/>
        <v>APROBADO</v>
      </c>
      <c r="J29" s="105"/>
      <c r="K29" s="105"/>
      <c r="L29" s="105"/>
      <c r="M29" s="105"/>
    </row>
    <row r="30" spans="1:13" ht="15" customHeight="1">
      <c r="A30" s="111" t="s">
        <v>794</v>
      </c>
      <c r="B30" s="112" t="s">
        <v>1195</v>
      </c>
      <c r="C30" s="113" t="s">
        <v>23</v>
      </c>
      <c r="D30" s="117">
        <v>22</v>
      </c>
      <c r="E30" s="111">
        <v>20</v>
      </c>
      <c r="F30" s="114">
        <f t="shared" si="6"/>
        <v>0.14799999999999999</v>
      </c>
      <c r="G30" s="115">
        <v>0.14799999999999999</v>
      </c>
      <c r="H30" s="116">
        <f t="shared" si="7"/>
        <v>0</v>
      </c>
      <c r="I30" s="120" t="str">
        <f t="shared" si="8"/>
        <v>APROBADO</v>
      </c>
      <c r="J30" s="105"/>
      <c r="K30" s="105"/>
      <c r="L30" s="105"/>
      <c r="M30" s="105"/>
    </row>
    <row r="31" spans="1:13" ht="15" customHeight="1">
      <c r="A31" s="111" t="s">
        <v>795</v>
      </c>
      <c r="B31" s="112" t="s">
        <v>1196</v>
      </c>
      <c r="C31" s="113" t="s">
        <v>757</v>
      </c>
      <c r="D31" s="117">
        <v>27.5</v>
      </c>
      <c r="E31" s="111">
        <v>70</v>
      </c>
      <c r="F31" s="114">
        <f t="shared" si="6"/>
        <v>0.43700000000000006</v>
      </c>
      <c r="G31" s="115">
        <v>0.437</v>
      </c>
      <c r="H31" s="116">
        <f t="shared" si="7"/>
        <v>0</v>
      </c>
      <c r="I31" s="120" t="str">
        <f t="shared" si="8"/>
        <v>APROBADO</v>
      </c>
      <c r="J31" s="105"/>
      <c r="K31" s="105"/>
      <c r="L31" s="105"/>
      <c r="M31" s="105"/>
    </row>
    <row r="32" spans="1:13">
      <c r="A32" s="22"/>
      <c r="B32" s="22"/>
      <c r="C32" s="22"/>
      <c r="D32" s="2"/>
      <c r="E32" s="2"/>
      <c r="F32" s="2"/>
      <c r="G32" s="2"/>
      <c r="H32" s="22"/>
      <c r="I32" s="2"/>
      <c r="J32" s="22"/>
      <c r="K32" s="22"/>
      <c r="L32" s="2"/>
      <c r="M32" s="2"/>
    </row>
    <row r="33" spans="1:13" ht="22.5" customHeight="1">
      <c r="A33" s="431" t="s">
        <v>1197</v>
      </c>
      <c r="B33" s="431"/>
      <c r="C33" s="431"/>
      <c r="D33" s="431"/>
      <c r="E33" s="431"/>
      <c r="F33" s="431"/>
      <c r="G33" s="431"/>
      <c r="H33" s="431"/>
      <c r="I33" s="431"/>
      <c r="J33" s="431"/>
      <c r="K33" s="431"/>
      <c r="L33" s="431"/>
      <c r="M33" s="431"/>
    </row>
    <row r="34" spans="1:13" ht="15" customHeight="1">
      <c r="A34" s="110" t="s">
        <v>749</v>
      </c>
      <c r="B34" s="110" t="s">
        <v>812</v>
      </c>
      <c r="C34" s="110" t="s">
        <v>66</v>
      </c>
      <c r="D34" s="110" t="s">
        <v>813</v>
      </c>
      <c r="E34" s="110" t="s">
        <v>814</v>
      </c>
      <c r="F34" s="110" t="s">
        <v>815</v>
      </c>
      <c r="G34" s="110" t="s">
        <v>816</v>
      </c>
      <c r="H34" s="110" t="s">
        <v>817</v>
      </c>
      <c r="I34" s="110" t="s">
        <v>818</v>
      </c>
      <c r="J34" s="110" t="s">
        <v>819</v>
      </c>
      <c r="K34" s="110"/>
      <c r="L34" s="110"/>
      <c r="M34" s="110"/>
    </row>
    <row r="35" spans="1:13" ht="15" customHeight="1">
      <c r="A35" s="111" t="s">
        <v>805</v>
      </c>
      <c r="B35" s="177">
        <v>0.20646</v>
      </c>
      <c r="C35" s="111">
        <v>78.5</v>
      </c>
      <c r="D35" s="122">
        <v>1.76</v>
      </c>
      <c r="E35" s="123">
        <f>B35*C35</f>
        <v>16.20711</v>
      </c>
      <c r="F35" s="122">
        <v>16.207100000000001</v>
      </c>
      <c r="G35" s="120" t="str">
        <f>IF(ABS(E35-F35)&lt;=M12_TOL_KG,"APROBADO","FALLIDO")</f>
        <v>APROBADO</v>
      </c>
      <c r="H35" s="123">
        <f>(C35-B35*C35)/D35^2</f>
        <v>20.110049715909092</v>
      </c>
      <c r="I35" s="122">
        <v>20.11</v>
      </c>
      <c r="J35" s="120" t="str">
        <f>IF(ABS(H35-I35)&lt;=M12_TOL_KG,"APROBADO","FALLIDO")</f>
        <v>APROBADO</v>
      </c>
      <c r="K35" s="105"/>
      <c r="L35" s="105"/>
      <c r="M35" s="105"/>
    </row>
    <row r="36" spans="1:13" ht="15" customHeight="1">
      <c r="A36" s="111" t="s">
        <v>807</v>
      </c>
      <c r="B36" s="177">
        <v>0.3</v>
      </c>
      <c r="C36" s="111">
        <v>60</v>
      </c>
      <c r="D36" s="122">
        <v>1.6</v>
      </c>
      <c r="E36" s="123">
        <f>B36*C36</f>
        <v>18</v>
      </c>
      <c r="F36" s="122">
        <v>18</v>
      </c>
      <c r="G36" s="120" t="str">
        <f>IF(ABS(E36-F36)&lt;=M12_TOL_KG,"APROBADO","FALLIDO")</f>
        <v>APROBADO</v>
      </c>
      <c r="H36" s="123">
        <f>(C36-B36*C36)/D36^2</f>
        <v>16.406249999999996</v>
      </c>
      <c r="I36" s="122">
        <v>16.406199999999998</v>
      </c>
      <c r="J36" s="120" t="str">
        <f>IF(ABS(H36-I36)&lt;=M12_TOL_KG,"APROBADO","FALLIDO")</f>
        <v>APROBADO</v>
      </c>
      <c r="K36" s="105"/>
      <c r="L36" s="105"/>
      <c r="M36" s="105"/>
    </row>
    <row r="37" spans="1:13" ht="15" customHeight="1">
      <c r="A37" s="111" t="s">
        <v>809</v>
      </c>
      <c r="B37" s="177">
        <v>0.12</v>
      </c>
      <c r="C37" s="111">
        <v>90</v>
      </c>
      <c r="D37" s="122">
        <v>1.85</v>
      </c>
      <c r="E37" s="123">
        <f>B37*C37</f>
        <v>10.799999999999999</v>
      </c>
      <c r="F37" s="122">
        <v>10.8</v>
      </c>
      <c r="G37" s="120" t="str">
        <f>IF(ABS(E37-F37)&lt;=M12_TOL_KG,"APROBADO","FALLIDO")</f>
        <v>APROBADO</v>
      </c>
      <c r="H37" s="123">
        <f>(C37-B37*C37)/D37^2</f>
        <v>23.140978816654492</v>
      </c>
      <c r="I37" s="122">
        <v>23.140999999999998</v>
      </c>
      <c r="J37" s="120" t="str">
        <f>IF(ABS(H37-I37)&lt;=M12_TOL_KG,"APROBADO","FALLIDO")</f>
        <v>APROBADO</v>
      </c>
      <c r="K37" s="105"/>
      <c r="L37" s="105"/>
      <c r="M37" s="105"/>
    </row>
    <row r="38" spans="1:13" ht="15" customHeight="1">
      <c r="A38" s="111" t="s">
        <v>1198</v>
      </c>
      <c r="B38" s="177">
        <v>0.25</v>
      </c>
      <c r="C38" s="111">
        <v>72</v>
      </c>
      <c r="D38" s="122">
        <v>1.7</v>
      </c>
      <c r="E38" s="123">
        <f>B38*C38</f>
        <v>18</v>
      </c>
      <c r="F38" s="122">
        <v>18</v>
      </c>
      <c r="G38" s="120" t="str">
        <f>IF(ABS(E38-F38)&lt;=M12_TOL_KG,"APROBADO","FALLIDO")</f>
        <v>APROBADO</v>
      </c>
      <c r="H38" s="123">
        <f>(C38-B38*C38)/D38^2</f>
        <v>18.68512110726644</v>
      </c>
      <c r="I38" s="122">
        <v>18.685099999999998</v>
      </c>
      <c r="J38" s="120" t="str">
        <f>IF(ABS(H38-I38)&lt;=M12_TOL_KG,"APROBADO","FALLIDO")</f>
        <v>APROBADO</v>
      </c>
      <c r="K38" s="105"/>
      <c r="L38" s="105"/>
      <c r="M38" s="105"/>
    </row>
    <row r="39" spans="1:13">
      <c r="A39" s="22"/>
      <c r="B39" s="22"/>
      <c r="C39" s="22"/>
      <c r="D39" s="2"/>
      <c r="E39" s="2"/>
      <c r="F39" s="2"/>
      <c r="G39" s="2"/>
      <c r="H39" s="22"/>
      <c r="I39" s="2"/>
      <c r="J39" s="22"/>
      <c r="K39" s="22"/>
      <c r="L39" s="2"/>
      <c r="M39" s="2"/>
    </row>
    <row r="40" spans="1:13" ht="25.5" customHeight="1">
      <c r="A40" s="431" t="s">
        <v>1199</v>
      </c>
      <c r="B40" s="431"/>
      <c r="C40" s="431"/>
      <c r="D40" s="431"/>
      <c r="E40" s="431"/>
      <c r="F40" s="431"/>
      <c r="G40" s="431"/>
      <c r="H40" s="431"/>
      <c r="I40" s="431"/>
      <c r="J40" s="431"/>
      <c r="K40" s="431"/>
      <c r="L40" s="431"/>
      <c r="M40" s="431"/>
    </row>
    <row r="41" spans="1:13" ht="32.25" customHeight="1">
      <c r="A41" s="110" t="s">
        <v>749</v>
      </c>
      <c r="B41" s="110" t="s">
        <v>824</v>
      </c>
      <c r="C41" s="110" t="s">
        <v>825</v>
      </c>
      <c r="D41" s="110" t="s">
        <v>826</v>
      </c>
      <c r="E41" s="110" t="s">
        <v>827</v>
      </c>
      <c r="F41" s="110" t="s">
        <v>44</v>
      </c>
      <c r="G41" s="110"/>
      <c r="H41" s="110"/>
      <c r="I41" s="110"/>
      <c r="J41" s="110"/>
      <c r="K41" s="110"/>
      <c r="L41" s="110"/>
      <c r="M41" s="110"/>
    </row>
    <row r="42" spans="1:13" ht="15" customHeight="1">
      <c r="A42" s="111" t="s">
        <v>820</v>
      </c>
      <c r="B42" s="112" t="s">
        <v>1200</v>
      </c>
      <c r="C42" s="113" t="s">
        <v>1201</v>
      </c>
      <c r="D42" s="112" t="s">
        <v>1202</v>
      </c>
      <c r="E42" s="178" t="str">
        <f>IF(88/100&gt;=0.9,"Riesgo aumentado","Sin riesgo aumentado")</f>
        <v>Sin riesgo aumentado</v>
      </c>
      <c r="F42" s="120" t="str">
        <f t="shared" ref="F42:F48" si="9">IF(E42=D42,"APROBADO","FALLIDO")</f>
        <v>APROBADO</v>
      </c>
      <c r="G42" s="105"/>
      <c r="H42" s="105"/>
      <c r="I42" s="105"/>
      <c r="J42" s="105"/>
      <c r="K42" s="105"/>
      <c r="L42" s="105"/>
      <c r="M42" s="105"/>
    </row>
    <row r="43" spans="1:13" ht="15" customHeight="1">
      <c r="A43" s="111" t="s">
        <v>821</v>
      </c>
      <c r="B43" s="112" t="s">
        <v>1203</v>
      </c>
      <c r="C43" s="113" t="s">
        <v>1204</v>
      </c>
      <c r="D43" s="112" t="s">
        <v>1205</v>
      </c>
      <c r="E43" s="178" t="str">
        <f>IF(105&gt;=102,"Riesgo aumentado","Sin riesgo aumentado")</f>
        <v>Riesgo aumentado</v>
      </c>
      <c r="F43" s="120" t="str">
        <f t="shared" si="9"/>
        <v>APROBADO</v>
      </c>
      <c r="G43" s="105"/>
      <c r="H43" s="105"/>
      <c r="I43" s="105"/>
      <c r="J43" s="105"/>
      <c r="K43" s="105"/>
      <c r="L43" s="105"/>
      <c r="M43" s="105"/>
    </row>
    <row r="44" spans="1:13" ht="15" customHeight="1">
      <c r="A44" s="111" t="s">
        <v>822</v>
      </c>
      <c r="B44" s="112" t="s">
        <v>1206</v>
      </c>
      <c r="C44" s="113" t="s">
        <v>1207</v>
      </c>
      <c r="D44" s="112" t="s">
        <v>1205</v>
      </c>
      <c r="E44" s="178" t="str">
        <f>IF(88/176&gt;=0.5,"Riesgo aumentado","Sin riesgo aumentado")</f>
        <v>Riesgo aumentado</v>
      </c>
      <c r="F44" s="120" t="str">
        <f t="shared" si="9"/>
        <v>APROBADO</v>
      </c>
      <c r="G44" s="105"/>
      <c r="H44" s="105"/>
      <c r="I44" s="105"/>
      <c r="J44" s="105"/>
      <c r="K44" s="105"/>
      <c r="L44" s="105"/>
      <c r="M44" s="105"/>
    </row>
    <row r="45" spans="1:13" ht="15" customHeight="1">
      <c r="A45" s="111" t="s">
        <v>1208</v>
      </c>
      <c r="B45" s="112" t="s">
        <v>1209</v>
      </c>
      <c r="C45" s="113" t="s">
        <v>1210</v>
      </c>
      <c r="D45" s="112" t="s">
        <v>1211</v>
      </c>
      <c r="E45" s="178" t="str">
        <f>IF(25.3422&lt;18.5,"Bajo peso (OMS)",IF(25.3422&lt;25,"Normal (OMS)",IF(25.3422&lt;30,"Sobrepeso (OMS)","Obesidad (OMS)")))</f>
        <v>Sobrepeso (OMS)</v>
      </c>
      <c r="F45" s="120" t="str">
        <f t="shared" si="9"/>
        <v>APROBADO</v>
      </c>
      <c r="G45" s="105"/>
      <c r="H45" s="105"/>
      <c r="I45" s="105"/>
      <c r="J45" s="105"/>
      <c r="K45" s="105"/>
      <c r="L45" s="105"/>
      <c r="M45" s="105"/>
    </row>
    <row r="46" spans="1:13" ht="15" customHeight="1">
      <c r="A46" s="111" t="s">
        <v>1212</v>
      </c>
      <c r="B46" s="112" t="s">
        <v>1213</v>
      </c>
      <c r="C46" s="113" t="s">
        <v>1214</v>
      </c>
      <c r="D46" s="112" t="s">
        <v>1215</v>
      </c>
      <c r="E46" s="178" t="str">
        <f>IF(24&lt;18.5,"Bajo peso (OMS)",IF(24&lt;25,"Normal (OMS)",IF(24&lt;30,"Sobrepeso (OMS)","Obesidad (OMS)")))</f>
        <v>Normal (OMS)</v>
      </c>
      <c r="F46" s="120" t="str">
        <f t="shared" si="9"/>
        <v>APROBADO</v>
      </c>
      <c r="G46" s="105"/>
      <c r="H46" s="105"/>
      <c r="I46" s="105"/>
      <c r="J46" s="105"/>
      <c r="K46" s="105"/>
      <c r="L46" s="105"/>
      <c r="M46" s="105"/>
    </row>
    <row r="47" spans="1:13" ht="15" customHeight="1">
      <c r="A47" s="111" t="s">
        <v>1216</v>
      </c>
      <c r="B47" s="112" t="s">
        <v>1217</v>
      </c>
      <c r="C47" s="113" t="s">
        <v>1214</v>
      </c>
      <c r="D47" s="112" t="s">
        <v>1218</v>
      </c>
      <c r="E47" s="178" t="str">
        <f>IF(24&lt;23,"Bajo peso (MINSAL AM)",IF(24&lt;28,"Normal (MINSAL AM)",IF(24&lt;32,"Sobrepeso (MINSAL AM)","Obesidad (MINSAL AM)")))</f>
        <v>Normal (MINSAL AM)</v>
      </c>
      <c r="F47" s="120" t="str">
        <f t="shared" si="9"/>
        <v>APROBADO</v>
      </c>
      <c r="G47" s="105"/>
      <c r="H47" s="105"/>
      <c r="I47" s="105"/>
      <c r="J47" s="105"/>
      <c r="K47" s="105"/>
      <c r="L47" s="105"/>
      <c r="M47" s="105"/>
    </row>
    <row r="48" spans="1:13" ht="15" customHeight="1">
      <c r="A48" s="111" t="s">
        <v>1219</v>
      </c>
      <c r="B48" s="112" t="s">
        <v>1220</v>
      </c>
      <c r="C48" s="113" t="s">
        <v>1221</v>
      </c>
      <c r="D48" s="112" t="s">
        <v>1222</v>
      </c>
      <c r="E48" s="178" t="str">
        <f>IF(33&lt;23,"Bajo peso (MINSAL AM)",IF(33&lt;28,"Normal (MINSAL AM)",IF(33&lt;32,"Sobrepeso (MINSAL AM)","Obesidad (MINSAL AM)")))</f>
        <v>Obesidad (MINSAL AM)</v>
      </c>
      <c r="F48" s="120" t="str">
        <f t="shared" si="9"/>
        <v>APROBADO</v>
      </c>
      <c r="G48" s="105"/>
      <c r="H48" s="105"/>
      <c r="I48" s="105"/>
      <c r="J48" s="105"/>
      <c r="K48" s="105"/>
      <c r="L48" s="105"/>
      <c r="M48" s="105"/>
    </row>
    <row r="49" spans="1:13">
      <c r="A49" s="22"/>
      <c r="B49" s="22"/>
      <c r="C49" s="22"/>
      <c r="D49" s="2"/>
      <c r="E49" s="2"/>
      <c r="F49" s="2"/>
      <c r="G49" s="2"/>
      <c r="H49" s="22"/>
      <c r="I49" s="2"/>
      <c r="J49" s="22"/>
      <c r="K49" s="22"/>
      <c r="L49" s="2"/>
      <c r="M49" s="2"/>
    </row>
    <row r="50" spans="1:13" ht="28.5" customHeight="1">
      <c r="A50" s="431" t="s">
        <v>823</v>
      </c>
      <c r="B50" s="431"/>
      <c r="C50" s="431"/>
      <c r="D50" s="431"/>
      <c r="E50" s="431"/>
      <c r="F50" s="431"/>
      <c r="G50" s="431"/>
      <c r="H50" s="431"/>
      <c r="I50" s="431"/>
      <c r="J50" s="431"/>
      <c r="K50" s="431"/>
      <c r="L50" s="431"/>
      <c r="M50" s="431"/>
    </row>
    <row r="51" spans="1:13" ht="32.25" customHeight="1">
      <c r="A51" s="110" t="s">
        <v>749</v>
      </c>
      <c r="B51" s="110" t="s">
        <v>824</v>
      </c>
      <c r="C51" s="110" t="s">
        <v>825</v>
      </c>
      <c r="D51" s="110" t="s">
        <v>826</v>
      </c>
      <c r="E51" s="110" t="s">
        <v>827</v>
      </c>
      <c r="F51" s="110" t="s">
        <v>44</v>
      </c>
      <c r="G51" s="110"/>
      <c r="H51" s="110"/>
      <c r="I51" s="110"/>
      <c r="J51" s="110"/>
      <c r="K51" s="110"/>
      <c r="L51" s="110"/>
      <c r="M51" s="110"/>
    </row>
    <row r="52" spans="1:13" ht="15" customHeight="1">
      <c r="A52" s="111" t="s">
        <v>828</v>
      </c>
      <c r="B52" s="112" t="s">
        <v>829</v>
      </c>
      <c r="C52" s="113" t="s">
        <v>830</v>
      </c>
      <c r="D52" s="112" t="s">
        <v>831</v>
      </c>
      <c r="E52" s="178" t="str">
        <f>IF(NOT(ISNUMBER(15)),"ERROR: edad no numérica",IF(AND(15&gt;=18,15&lt;=120),"OK","ERROR: edad fuera del alcance adulto"))</f>
        <v>ERROR: edad fuera del alcance adulto</v>
      </c>
      <c r="F52" s="120" t="str">
        <f t="shared" ref="F52:F59" si="10">IF(E52=D52,"APROBADO","FALLIDO")</f>
        <v>APROBADO</v>
      </c>
      <c r="G52" s="105"/>
      <c r="H52" s="105"/>
      <c r="I52" s="105"/>
      <c r="J52" s="105"/>
      <c r="K52" s="105"/>
      <c r="L52" s="105"/>
      <c r="M52" s="105"/>
    </row>
    <row r="53" spans="1:13" ht="15" customHeight="1">
      <c r="A53" s="111" t="s">
        <v>832</v>
      </c>
      <c r="B53" s="112" t="s">
        <v>833</v>
      </c>
      <c r="C53" s="113" t="s">
        <v>834</v>
      </c>
      <c r="D53" s="112" t="s">
        <v>835</v>
      </c>
      <c r="E53" s="178" t="str">
        <f>IF(NOT(ISNUMBER("quince")),"ERROR: edad no numérica",IF(AND("quince"&gt;=18,"quince"&lt;=120),"OK","ERROR: edad fuera del alcance adulto"))</f>
        <v>ERROR: edad no numérica</v>
      </c>
      <c r="F53" s="120" t="str">
        <f t="shared" si="10"/>
        <v>APROBADO</v>
      </c>
      <c r="G53" s="105"/>
      <c r="H53" s="105"/>
      <c r="I53" s="105"/>
      <c r="J53" s="105"/>
      <c r="K53" s="105"/>
      <c r="L53" s="105"/>
      <c r="M53" s="105"/>
    </row>
    <row r="54" spans="1:13" ht="15" customHeight="1">
      <c r="A54" s="111" t="s">
        <v>836</v>
      </c>
      <c r="B54" s="112" t="s">
        <v>837</v>
      </c>
      <c r="C54" s="113" t="s">
        <v>838</v>
      </c>
      <c r="D54" s="112" t="s">
        <v>839</v>
      </c>
      <c r="E54" s="178" t="str">
        <f>IF(NOT(ISNUMBER(-5)),"ERROR: peso no numérico",IF(AND(-5&gt;=25,-5&lt;=350),"OK","ERROR: peso fuera de rango"))</f>
        <v>ERROR: peso fuera de rango</v>
      </c>
      <c r="F54" s="120" t="str">
        <f t="shared" si="10"/>
        <v>APROBADO</v>
      </c>
      <c r="G54" s="105"/>
      <c r="H54" s="105"/>
      <c r="I54" s="105"/>
      <c r="J54" s="105"/>
      <c r="K54" s="105"/>
      <c r="L54" s="105"/>
      <c r="M54" s="105"/>
    </row>
    <row r="55" spans="1:13" ht="15" customHeight="1">
      <c r="A55" s="111" t="s">
        <v>840</v>
      </c>
      <c r="B55" s="112" t="s">
        <v>841</v>
      </c>
      <c r="C55" s="113" t="s">
        <v>842</v>
      </c>
      <c r="D55" s="112" t="s">
        <v>843</v>
      </c>
      <c r="E55" s="178" t="str">
        <f>IF(NOT(ISNUMBER(400)),"ERROR: estatura no numérico",IF(AND(400&gt;=120,400&lt;=230),"OK","ERROR: estatura fuera de rango"))</f>
        <v>ERROR: estatura fuera de rango</v>
      </c>
      <c r="F55" s="120" t="str">
        <f t="shared" si="10"/>
        <v>APROBADO</v>
      </c>
      <c r="G55" s="105"/>
      <c r="H55" s="105"/>
      <c r="I55" s="105"/>
      <c r="J55" s="105"/>
      <c r="K55" s="105"/>
      <c r="L55" s="105"/>
      <c r="M55" s="105"/>
    </row>
    <row r="56" spans="1:13" ht="15" customHeight="1">
      <c r="A56" s="111" t="s">
        <v>844</v>
      </c>
      <c r="B56" s="112" t="s">
        <v>845</v>
      </c>
      <c r="C56" s="113" t="s">
        <v>846</v>
      </c>
      <c r="D56" s="112" t="s">
        <v>847</v>
      </c>
      <c r="E56" s="178" t="str">
        <f>IF(AND(ISNUMBER(0),0&gt;=1,0&lt;=80),"OK","ERROR: pliegue fuera de rango")</f>
        <v>ERROR: pliegue fuera de rango</v>
      </c>
      <c r="F56" s="120" t="str">
        <f t="shared" si="10"/>
        <v>APROBADO</v>
      </c>
      <c r="G56" s="105"/>
      <c r="H56" s="105"/>
      <c r="I56" s="105"/>
      <c r="J56" s="105"/>
      <c r="K56" s="105"/>
      <c r="L56" s="105"/>
      <c r="M56" s="105"/>
    </row>
    <row r="57" spans="1:13" ht="15" customHeight="1">
      <c r="A57" s="111" t="s">
        <v>848</v>
      </c>
      <c r="B57" s="112" t="s">
        <v>1223</v>
      </c>
      <c r="C57" s="113" t="s">
        <v>1224</v>
      </c>
      <c r="D57" s="112" t="s">
        <v>1225</v>
      </c>
      <c r="E57" s="178" t="str">
        <f>IF((38-40)&gt;0,"OK","ND: cintura≤cuello")</f>
        <v>ND: cintura≤cuello</v>
      </c>
      <c r="F57" s="120" t="str">
        <f t="shared" si="10"/>
        <v>APROBADO</v>
      </c>
      <c r="G57" s="105"/>
      <c r="H57" s="105"/>
      <c r="I57" s="105"/>
      <c r="J57" s="105"/>
      <c r="K57" s="105"/>
      <c r="L57" s="105"/>
      <c r="M57" s="105"/>
    </row>
    <row r="58" spans="1:13" ht="15" customHeight="1">
      <c r="A58" s="111" t="s">
        <v>851</v>
      </c>
      <c r="B58" s="112" t="s">
        <v>852</v>
      </c>
      <c r="C58" s="113" t="s">
        <v>853</v>
      </c>
      <c r="D58" s="112" t="s">
        <v>854</v>
      </c>
      <c r="E58" s="178" t="str">
        <f>IF(AND(ISNUMBER(0.9),0.9&gt;=0.03,0.9&lt;=0.75),"OK","ERROR: % de grasa fuera del rango plausible")</f>
        <v>ERROR: % de grasa fuera del rango plausible</v>
      </c>
      <c r="F58" s="120" t="str">
        <f t="shared" si="10"/>
        <v>APROBADO</v>
      </c>
      <c r="G58" s="105"/>
      <c r="H58" s="105"/>
      <c r="I58" s="105"/>
      <c r="J58" s="105"/>
      <c r="K58" s="105"/>
      <c r="L58" s="105"/>
      <c r="M58" s="105"/>
    </row>
    <row r="59" spans="1:13" ht="15" customHeight="1">
      <c r="A59" s="111" t="s">
        <v>855</v>
      </c>
      <c r="B59" s="112" t="s">
        <v>1226</v>
      </c>
      <c r="C59" s="113" t="s">
        <v>1227</v>
      </c>
      <c r="D59" s="112" t="s">
        <v>854</v>
      </c>
      <c r="E59" s="178" t="str">
        <f>IF(AND(ISNUMBER(-0.1),-0.1&gt;=0.03,-0.1&lt;=0.75),"OK","ERROR: % de grasa fuera del rango plausible")</f>
        <v>ERROR: % de grasa fuera del rango plausible</v>
      </c>
      <c r="F59" s="120" t="str">
        <f t="shared" si="10"/>
        <v>APROBADO</v>
      </c>
      <c r="G59" s="105"/>
      <c r="H59" s="105"/>
      <c r="I59" s="105"/>
      <c r="J59" s="105"/>
      <c r="K59" s="105"/>
      <c r="L59" s="105"/>
      <c r="M59" s="105"/>
    </row>
    <row r="60" spans="1:13">
      <c r="A60" s="22"/>
      <c r="B60" s="22"/>
      <c r="C60" s="22"/>
      <c r="D60" s="2"/>
      <c r="E60" s="2"/>
      <c r="F60" s="2"/>
      <c r="G60" s="2"/>
      <c r="H60" s="22"/>
      <c r="I60" s="2"/>
      <c r="J60" s="22"/>
      <c r="K60" s="22"/>
      <c r="L60" s="2"/>
      <c r="M60" s="2"/>
    </row>
    <row r="61" spans="1:13" ht="15" customHeight="1">
      <c r="A61" s="136" t="s">
        <v>867</v>
      </c>
      <c r="B61" s="179"/>
      <c r="C61" s="179"/>
      <c r="D61" s="179"/>
      <c r="E61" s="179"/>
      <c r="F61" s="179"/>
      <c r="G61" s="179"/>
      <c r="H61" s="179"/>
      <c r="I61" s="179"/>
      <c r="J61" s="179"/>
      <c r="K61" s="179"/>
      <c r="L61" s="179"/>
      <c r="M61" s="179"/>
    </row>
    <row r="62" spans="1:13" ht="15" customHeight="1">
      <c r="A62" s="110" t="s">
        <v>749</v>
      </c>
      <c r="B62" s="110" t="s">
        <v>868</v>
      </c>
      <c r="C62" s="110" t="s">
        <v>869</v>
      </c>
      <c r="D62" s="110" t="s">
        <v>327</v>
      </c>
      <c r="E62" s="110" t="s">
        <v>44</v>
      </c>
      <c r="F62" s="110"/>
      <c r="G62" s="110"/>
      <c r="H62" s="110"/>
      <c r="I62" s="110"/>
      <c r="J62" s="110"/>
      <c r="K62" s="110"/>
      <c r="L62" s="110"/>
      <c r="M62" s="110"/>
    </row>
    <row r="63" spans="1:13" ht="15" customHeight="1">
      <c r="A63" s="111" t="s">
        <v>870</v>
      </c>
      <c r="B63" s="112" t="s">
        <v>1228</v>
      </c>
      <c r="C63" s="130">
        <f>SUMPRODUCT(--ISERROR(M12_CALCULOS!B7:B58))</f>
        <v>0</v>
      </c>
      <c r="D63" s="111">
        <v>0</v>
      </c>
      <c r="E63" s="120" t="str">
        <f>IF(C63=D63,"APROBADO","FALLIDO")</f>
        <v>APROBADO</v>
      </c>
      <c r="F63" s="105"/>
      <c r="G63" s="105"/>
      <c r="H63" s="105"/>
      <c r="I63" s="105"/>
      <c r="J63" s="105"/>
      <c r="K63" s="105"/>
      <c r="L63" s="105"/>
      <c r="M63" s="105"/>
    </row>
    <row r="64" spans="1:13" ht="15" customHeight="1">
      <c r="A64" s="111" t="s">
        <v>872</v>
      </c>
      <c r="B64" s="112" t="s">
        <v>875</v>
      </c>
      <c r="C64" s="130">
        <f>SUMPRODUCT(--ISERROR(M12_RESULTADOS!B6:F60))</f>
        <v>0</v>
      </c>
      <c r="D64" s="111">
        <v>0</v>
      </c>
      <c r="E64" s="120" t="str">
        <f>IF(C64=D64,"APROBADO","FALLIDO")</f>
        <v>APROBADO</v>
      </c>
      <c r="F64" s="105"/>
      <c r="G64" s="105"/>
      <c r="H64" s="105"/>
      <c r="I64" s="105"/>
      <c r="J64" s="105"/>
      <c r="K64" s="105"/>
      <c r="L64" s="105"/>
      <c r="M64" s="105"/>
    </row>
    <row r="65" spans="1:13" ht="15" customHeight="1">
      <c r="A65" s="111" t="s">
        <v>874</v>
      </c>
      <c r="B65" s="112" t="s">
        <v>1229</v>
      </c>
      <c r="C65" s="130">
        <f>SUMPRODUCT(--ISERROR(M12_CONFIG!B8:B54))</f>
        <v>0</v>
      </c>
      <c r="D65" s="111">
        <v>0</v>
      </c>
      <c r="E65" s="120" t="str">
        <f>IF(C65=D65,"APROBADO","FALLIDO")</f>
        <v>APROBADO</v>
      </c>
      <c r="F65" s="105"/>
      <c r="G65" s="105"/>
      <c r="H65" s="105"/>
      <c r="I65" s="105"/>
      <c r="J65" s="105"/>
      <c r="K65" s="105"/>
      <c r="L65" s="105"/>
      <c r="M65" s="105"/>
    </row>
    <row r="66" spans="1:13">
      <c r="A66" s="22"/>
      <c r="B66" s="22"/>
      <c r="C66" s="22"/>
      <c r="D66" s="2"/>
      <c r="E66" s="2"/>
      <c r="F66" s="2"/>
      <c r="G66" s="2"/>
      <c r="H66" s="22"/>
      <c r="I66" s="2"/>
      <c r="J66" s="22"/>
      <c r="K66" s="22"/>
      <c r="L66" s="2"/>
      <c r="M66" s="2"/>
    </row>
    <row r="67" spans="1:13" ht="15" customHeight="1">
      <c r="A67" s="136" t="s">
        <v>1230</v>
      </c>
      <c r="B67" s="179"/>
      <c r="C67" s="179"/>
      <c r="D67" s="179"/>
      <c r="E67" s="179"/>
      <c r="F67" s="179"/>
      <c r="G67" s="179"/>
      <c r="H67" s="179"/>
      <c r="I67" s="179"/>
      <c r="J67" s="179"/>
      <c r="K67" s="179"/>
      <c r="L67" s="179"/>
      <c r="M67" s="179"/>
    </row>
    <row r="68" spans="1:13" ht="42.75" customHeight="1">
      <c r="A68" s="110" t="s">
        <v>749</v>
      </c>
      <c r="B68" s="110" t="s">
        <v>877</v>
      </c>
      <c r="C68" s="110" t="s">
        <v>878</v>
      </c>
      <c r="D68" s="110" t="s">
        <v>1231</v>
      </c>
      <c r="E68" s="110" t="s">
        <v>752</v>
      </c>
      <c r="F68" s="110" t="s">
        <v>44</v>
      </c>
      <c r="G68" s="110"/>
      <c r="H68" s="110"/>
      <c r="I68" s="110"/>
      <c r="J68" s="110"/>
      <c r="K68" s="110"/>
      <c r="L68" s="110"/>
      <c r="M68" s="110"/>
    </row>
    <row r="69" spans="1:13" ht="15" customHeight="1">
      <c r="A69" s="111" t="s">
        <v>880</v>
      </c>
      <c r="B69" s="112" t="s">
        <v>1232</v>
      </c>
      <c r="C69" s="114">
        <f>M12_c_GrPli</f>
        <v>0.20873444585856021</v>
      </c>
      <c r="D69" s="114">
        <f>(495/(1.1422-0.0544*LOG10(M12_in_PliBi+M12_in_PliTri+M12_in_PliSub+M12_in_PliSupra))-450)/100</f>
        <v>0.20873444585856021</v>
      </c>
      <c r="E69" s="131">
        <f>C69-D69</f>
        <v>0</v>
      </c>
      <c r="F69" s="120" t="str">
        <f>IF(ABS(E69)&lt;=M12_TOL_FRAC,"APROBADO","FALLIDO")</f>
        <v>APROBADO</v>
      </c>
      <c r="G69" s="105"/>
      <c r="H69" s="105"/>
      <c r="I69" s="105"/>
      <c r="J69" s="105"/>
      <c r="K69" s="105"/>
      <c r="L69" s="105"/>
      <c r="M69" s="105"/>
    </row>
    <row r="70" spans="1:13" ht="15" customHeight="1">
      <c r="A70" s="111" t="s">
        <v>882</v>
      </c>
      <c r="B70" s="112" t="s">
        <v>1233</v>
      </c>
      <c r="C70" s="114">
        <f>M12_c_GrNavy</f>
        <v>0.16769619570906627</v>
      </c>
      <c r="D70" s="114">
        <f>(495/(1.0324-0.19077*LOG10(M12_in_Cintura-M12_in_Cuello)+0.15456*LOG10(M12_in_Est))-450)/100</f>
        <v>0.16769619570906627</v>
      </c>
      <c r="E70" s="131">
        <f>C70-D70</f>
        <v>0</v>
      </c>
      <c r="F70" s="120" t="str">
        <f>IF(ABS(E70)&lt;=M12_TOL_FRAC,"APROBADO","FALLIDO")</f>
        <v>APROBADO</v>
      </c>
      <c r="G70" s="105"/>
      <c r="H70" s="105"/>
      <c r="I70" s="105"/>
      <c r="J70" s="105"/>
      <c r="K70" s="105"/>
      <c r="L70" s="105"/>
      <c r="M70" s="105"/>
    </row>
    <row r="71" spans="1:13" ht="15" customHeight="1">
      <c r="A71" s="111" t="s">
        <v>884</v>
      </c>
      <c r="B71" s="112" t="s">
        <v>1234</v>
      </c>
      <c r="C71" s="114">
        <f>M12_c_GrDeu</f>
        <v>0.2203064049586777</v>
      </c>
      <c r="D71" s="114">
        <f>(1.2*(M12_in_Peso/(M12_in_Est/100)^2)+0.23*M12_in_Edad-10.8*1-5.4)/100</f>
        <v>0.2203064049586777</v>
      </c>
      <c r="E71" s="131">
        <f>C71-D71</f>
        <v>0</v>
      </c>
      <c r="F71" s="120" t="str">
        <f>IF(ABS(E71)&lt;=M12_TOL_FRAC,"APROBADO","FALLIDO")</f>
        <v>APROBADO</v>
      </c>
      <c r="G71" s="105"/>
      <c r="H71" s="105"/>
      <c r="I71" s="105"/>
      <c r="J71" s="105"/>
      <c r="K71" s="105"/>
      <c r="L71" s="105"/>
      <c r="M71" s="105"/>
    </row>
    <row r="72" spans="1:13" ht="15" customHeight="1">
      <c r="A72" s="111" t="s">
        <v>885</v>
      </c>
      <c r="B72" s="112" t="s">
        <v>1235</v>
      </c>
      <c r="C72" s="123">
        <f>M12_c_MG</f>
        <v>16.385653999896977</v>
      </c>
      <c r="D72" s="123">
        <f>((495/(1.1422-0.0544*LOG10(M12_in_PliBi+M12_in_PliTri+M12_in_PliSub+M12_in_PliSupra))-450)/100)*M12_in_Peso</f>
        <v>16.385653999896977</v>
      </c>
      <c r="E72" s="131">
        <f>C72-D72</f>
        <v>0</v>
      </c>
      <c r="F72" s="120" t="str">
        <f>IF(ABS(E72)&lt;=M12_TOL_KG,"APROBADO","FALLIDO")</f>
        <v>APROBADO</v>
      </c>
      <c r="G72" s="105"/>
      <c r="H72" s="105"/>
      <c r="I72" s="105"/>
      <c r="J72" s="105"/>
      <c r="K72" s="105"/>
      <c r="L72" s="105"/>
      <c r="M72" s="105"/>
    </row>
    <row r="73" spans="1:13">
      <c r="A73" s="22"/>
      <c r="B73" s="22"/>
      <c r="C73" s="22"/>
      <c r="D73" s="2"/>
      <c r="E73" s="2"/>
      <c r="F73" s="2"/>
      <c r="G73" s="2"/>
      <c r="H73" s="22"/>
      <c r="I73" s="2"/>
      <c r="J73" s="22"/>
      <c r="K73" s="22"/>
      <c r="L73" s="2"/>
      <c r="M73" s="2"/>
    </row>
    <row r="74" spans="1:13">
      <c r="A74" s="22"/>
      <c r="B74" s="22"/>
      <c r="C74" s="22"/>
      <c r="D74" s="2"/>
      <c r="E74" s="2"/>
      <c r="F74" s="2"/>
      <c r="G74" s="2"/>
      <c r="H74" s="22"/>
      <c r="I74" s="2"/>
      <c r="J74" s="22"/>
      <c r="K74" s="22"/>
      <c r="L74" s="2"/>
      <c r="M74" s="2"/>
    </row>
    <row r="75" spans="1:13" ht="15" customHeight="1">
      <c r="A75" s="136" t="s">
        <v>887</v>
      </c>
      <c r="B75" s="179"/>
      <c r="C75" s="179"/>
      <c r="D75" s="179"/>
      <c r="E75" s="179"/>
      <c r="F75" s="179"/>
      <c r="G75" s="179"/>
      <c r="H75" s="179"/>
      <c r="I75" s="179"/>
      <c r="J75" s="179"/>
      <c r="K75" s="179"/>
      <c r="L75" s="179"/>
      <c r="M75" s="179"/>
    </row>
    <row r="76" spans="1:13" ht="15" customHeight="1">
      <c r="A76" s="105" t="s">
        <v>888</v>
      </c>
      <c r="B76" s="22"/>
      <c r="C76" s="180">
        <v>48</v>
      </c>
      <c r="D76" s="2"/>
      <c r="E76" s="2"/>
      <c r="F76" s="2"/>
      <c r="G76" s="2"/>
      <c r="H76" s="22"/>
      <c r="I76" s="2"/>
      <c r="J76" s="22"/>
      <c r="K76" s="22"/>
      <c r="L76" s="2"/>
      <c r="M76" s="2"/>
    </row>
    <row r="77" spans="1:13" ht="15" customHeight="1">
      <c r="A77" s="105" t="s">
        <v>889</v>
      </c>
      <c r="B77" s="22"/>
      <c r="C77" s="180">
        <f>IF(L8="APROBADO",1,0)+IF(L9="APROBADO",1,0)+IF(L10="APROBADO",1,0)+IF(L11="APROBADO",1,0)+IF(L12="APROBADO",1,0)+IF(L13="APROBADO",1,0)+IF(K17="APROBADO",1,0)+IF(K18="APROBADO",1,0)+IF(K19="APROBADO",1,0)+IF(K20="APROBADO",1,0)+IF(K21="APROBADO",1,0)+IF(K22="APROBADO",1,0)+IF(I26="APROBADO",1,0)+IF(I27="APROBADO",1,0)+IF(I28="APROBADO",1,0)+IF(I29="APROBADO",1,0)+IF(I30="APROBADO",1,0)+IF(I31="APROBADO",1,0)+IF(G35="APROBADO",1,0)+IF(J35="APROBADO",1,0)+IF(G36="APROBADO",1,0)+IF(J36="APROBADO",1,0)+IF(G37="APROBADO",1,0)+IF(J37="APROBADO",1,0)+IF(G38="APROBADO",1,0)+IF(J38="APROBADO",1,0)+IF(F42="APROBADO",1,0)+IF(F43="APROBADO",1,0)+IF(F44="APROBADO",1,0)+IF(F45="APROBADO",1,0)+IF(F46="APROBADO",1,0)+IF(F47="APROBADO",1,0)+IF(F48="APROBADO",1,0)+IF(F52="APROBADO",1,0)+IF(F53="APROBADO",1,0)+IF(F54="APROBADO",1,0)+IF(F55="APROBADO",1,0)+IF(F56="APROBADO",1,0)+IF(F57="APROBADO",1,0)+IF(F58="APROBADO",1,0)+IF(F59="APROBADO",1,0)+IF(E63="APROBADO",1,0)+IF(E64="APROBADO",1,0)+IF(E65="APROBADO",1,0)+IF(F69="APROBADO",1,0)+IF(F70="APROBADO",1,0)+IF(F71="APROBADO",1,0)+IF(F72="APROBADO",1,0)</f>
        <v>48</v>
      </c>
      <c r="D77" s="2"/>
      <c r="E77" s="2"/>
      <c r="F77" s="2"/>
      <c r="G77" s="2"/>
      <c r="H77" s="22"/>
      <c r="I77" s="2"/>
      <c r="J77" s="22"/>
      <c r="K77" s="22"/>
      <c r="L77" s="2"/>
      <c r="M77" s="2"/>
    </row>
    <row r="78" spans="1:13" ht="15" customHeight="1">
      <c r="A78" s="105" t="s">
        <v>890</v>
      </c>
      <c r="B78" s="22"/>
      <c r="C78" s="180">
        <f>48-C77</f>
        <v>0</v>
      </c>
      <c r="D78" s="2"/>
      <c r="E78" s="2"/>
      <c r="F78" s="2"/>
      <c r="G78" s="2"/>
      <c r="H78" s="22"/>
      <c r="I78" s="2"/>
      <c r="J78" s="22"/>
      <c r="K78" s="22"/>
      <c r="L78" s="2"/>
      <c r="M78" s="2"/>
    </row>
    <row r="79" spans="1:13" ht="15" customHeight="1">
      <c r="A79" s="181" t="s">
        <v>891</v>
      </c>
      <c r="B79" s="430" t="str">
        <f>IF(C77=48,"TODAS LAS PRUEBAS APROBADAS","HAY PRUEBAS FALLIDAS — REVISAR")</f>
        <v>TODAS LAS PRUEBAS APROBADAS</v>
      </c>
      <c r="C79" s="430"/>
      <c r="D79" s="430"/>
      <c r="E79" s="430"/>
      <c r="F79" s="430"/>
      <c r="G79" s="2"/>
      <c r="H79" s="22"/>
      <c r="I79" s="2"/>
      <c r="J79" s="22"/>
      <c r="K79" s="22"/>
      <c r="L79" s="2"/>
      <c r="M79" s="2"/>
    </row>
  </sheetData>
  <sheetProtection algorithmName="SHA-512" hashValue="L/dyl22jXNpZ3YXHH8/fNU4Xevx6/Isc23xN63Ck7j6rxkzqU/Yl5ZnFGIg9kyYLhXxf1pmlL/iqTpFtk7ptZw==" saltValue="ezqiEAQbeGCvaOS6H5qr3A==" spinCount="100000" sheet="1" objects="1" scenarios="1"/>
  <mergeCells count="11">
    <mergeCell ref="A2:F2"/>
    <mergeCell ref="G2:L2"/>
    <mergeCell ref="A3:M3"/>
    <mergeCell ref="A4:D4"/>
    <mergeCell ref="A6:M6"/>
    <mergeCell ref="B79:F79"/>
    <mergeCell ref="A15:M15"/>
    <mergeCell ref="A24:M24"/>
    <mergeCell ref="A33:M33"/>
    <mergeCell ref="A40:M40"/>
    <mergeCell ref="A50:M50"/>
  </mergeCell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2"/>
  <dimension ref="A1:E106"/>
  <sheetViews>
    <sheetView showGridLines="0" zoomScaleNormal="100" workbookViewId="0">
      <pane ySplit="43" topLeftCell="A44" activePane="bottomLeft" state="frozen"/>
      <selection pane="bottomLeft"/>
    </sheetView>
  </sheetViews>
  <sheetFormatPr baseColWidth="10" defaultColWidth="8.7109375" defaultRowHeight="15"/>
  <cols>
    <col min="1" max="1" width="46" style="1" customWidth="1"/>
    <col min="2" max="2" width="16" style="1" customWidth="1"/>
    <col min="4" max="4" width="14" style="1" customWidth="1"/>
    <col min="5" max="5" width="40" style="1" customWidth="1"/>
  </cols>
  <sheetData>
    <row r="1" spans="1:5" ht="25.5" customHeight="1">
      <c r="A1" s="57" t="s">
        <v>1003</v>
      </c>
      <c r="B1" s="58"/>
      <c r="C1" s="58"/>
      <c r="D1" s="58"/>
      <c r="E1" s="58"/>
    </row>
    <row r="2" spans="1:5" ht="24" customHeight="1">
      <c r="A2" s="429" t="s">
        <v>892</v>
      </c>
      <c r="B2" s="429"/>
      <c r="C2" s="429"/>
      <c r="D2" s="429"/>
      <c r="E2" s="429"/>
    </row>
    <row r="3" spans="1:5" ht="18" customHeight="1">
      <c r="A3" s="380" t="str">
        <f>HYPERLINK("#M12_INICIO!A1","◀ INICIO")</f>
        <v>◀ INICIO</v>
      </c>
      <c r="B3" s="380"/>
      <c r="C3" s="380"/>
      <c r="D3" s="380"/>
      <c r="E3" s="22"/>
    </row>
    <row r="4" spans="1:5" ht="42" customHeight="1">
      <c r="A4" s="367" t="s">
        <v>893</v>
      </c>
      <c r="B4" s="367"/>
      <c r="C4" s="367"/>
      <c r="D4" s="367"/>
      <c r="E4" s="367"/>
    </row>
    <row r="5" spans="1:5">
      <c r="A5" s="22"/>
      <c r="B5" s="22"/>
      <c r="C5" s="2"/>
      <c r="D5" s="22"/>
      <c r="E5" s="22"/>
    </row>
    <row r="6" spans="1:5" ht="15" customHeight="1">
      <c r="A6" s="76" t="s">
        <v>894</v>
      </c>
      <c r="B6" s="77"/>
      <c r="C6" s="77"/>
      <c r="D6" s="77"/>
      <c r="E6" s="77"/>
    </row>
    <row r="7" spans="1:5" ht="15" customHeight="1">
      <c r="A7" s="134" t="s">
        <v>895</v>
      </c>
      <c r="B7" s="134" t="s">
        <v>16</v>
      </c>
      <c r="C7" s="134" t="s">
        <v>43</v>
      </c>
      <c r="D7" s="134" t="s">
        <v>896</v>
      </c>
      <c r="E7" s="134" t="s">
        <v>897</v>
      </c>
    </row>
    <row r="8" spans="1:5" ht="15" customHeight="1">
      <c r="A8" s="72" t="s">
        <v>898</v>
      </c>
      <c r="B8" s="66" t="s">
        <v>899</v>
      </c>
      <c r="C8" s="71" t="s">
        <v>151</v>
      </c>
      <c r="D8" s="135" t="s">
        <v>151</v>
      </c>
      <c r="E8" s="75" t="s">
        <v>900</v>
      </c>
    </row>
    <row r="9" spans="1:5" ht="15" customHeight="1">
      <c r="A9" s="72" t="s">
        <v>901</v>
      </c>
      <c r="B9" s="66" t="s">
        <v>902</v>
      </c>
      <c r="C9" s="71" t="s">
        <v>151</v>
      </c>
      <c r="D9" s="135" t="s">
        <v>151</v>
      </c>
      <c r="E9" s="75" t="s">
        <v>903</v>
      </c>
    </row>
    <row r="10" spans="1:5" ht="15" customHeight="1">
      <c r="A10" s="72" t="s">
        <v>904</v>
      </c>
      <c r="B10" s="68">
        <v>18</v>
      </c>
      <c r="C10" s="71" t="s">
        <v>494</v>
      </c>
      <c r="D10" s="135" t="s">
        <v>905</v>
      </c>
      <c r="E10" s="75" t="s">
        <v>1236</v>
      </c>
    </row>
    <row r="11" spans="1:5" ht="15" customHeight="1">
      <c r="A11" s="72" t="s">
        <v>907</v>
      </c>
      <c r="B11" s="68">
        <v>120</v>
      </c>
      <c r="C11" s="71" t="s">
        <v>494</v>
      </c>
      <c r="D11" s="135" t="s">
        <v>905</v>
      </c>
      <c r="E11" s="75" t="s">
        <v>908</v>
      </c>
    </row>
    <row r="12" spans="1:5" ht="15" customHeight="1">
      <c r="A12" s="72" t="s">
        <v>909</v>
      </c>
      <c r="B12" s="68">
        <v>25</v>
      </c>
      <c r="C12" s="71" t="s">
        <v>497</v>
      </c>
      <c r="D12" s="135" t="s">
        <v>905</v>
      </c>
      <c r="E12" s="75" t="s">
        <v>1237</v>
      </c>
    </row>
    <row r="13" spans="1:5" ht="15" customHeight="1">
      <c r="A13" s="72" t="s">
        <v>910</v>
      </c>
      <c r="B13" s="68">
        <v>350</v>
      </c>
      <c r="C13" s="71" t="s">
        <v>497</v>
      </c>
      <c r="D13" s="135" t="s">
        <v>905</v>
      </c>
      <c r="E13" s="75" t="s">
        <v>908</v>
      </c>
    </row>
    <row r="14" spans="1:5" ht="15" customHeight="1">
      <c r="A14" s="72" t="s">
        <v>911</v>
      </c>
      <c r="B14" s="68">
        <v>120</v>
      </c>
      <c r="C14" s="71" t="s">
        <v>56</v>
      </c>
      <c r="D14" s="135" t="s">
        <v>905</v>
      </c>
      <c r="E14" s="75" t="s">
        <v>908</v>
      </c>
    </row>
    <row r="15" spans="1:5" ht="15" customHeight="1">
      <c r="A15" s="72" t="s">
        <v>912</v>
      </c>
      <c r="B15" s="68">
        <v>230</v>
      </c>
      <c r="C15" s="71" t="s">
        <v>56</v>
      </c>
      <c r="D15" s="135" t="s">
        <v>905</v>
      </c>
      <c r="E15" s="75" t="s">
        <v>908</v>
      </c>
    </row>
    <row r="16" spans="1:5" ht="15" customHeight="1">
      <c r="A16" s="72" t="s">
        <v>913</v>
      </c>
      <c r="B16" s="68">
        <v>1</v>
      </c>
      <c r="C16" s="71" t="s">
        <v>47</v>
      </c>
      <c r="D16" s="135" t="s">
        <v>905</v>
      </c>
      <c r="E16" s="75" t="s">
        <v>914</v>
      </c>
    </row>
    <row r="17" spans="1:5" ht="15" customHeight="1">
      <c r="A17" s="72" t="s">
        <v>915</v>
      </c>
      <c r="B17" s="68">
        <v>80</v>
      </c>
      <c r="C17" s="71" t="s">
        <v>47</v>
      </c>
      <c r="D17" s="135" t="s">
        <v>905</v>
      </c>
      <c r="E17" s="75" t="s">
        <v>914</v>
      </c>
    </row>
    <row r="18" spans="1:5" ht="15" customHeight="1">
      <c r="A18" s="72" t="s">
        <v>1238</v>
      </c>
      <c r="B18" s="68">
        <v>20</v>
      </c>
      <c r="C18" s="71" t="s">
        <v>56</v>
      </c>
      <c r="D18" s="135" t="s">
        <v>905</v>
      </c>
      <c r="E18" s="75" t="s">
        <v>1239</v>
      </c>
    </row>
    <row r="19" spans="1:5" ht="15" customHeight="1">
      <c r="A19" s="72" t="s">
        <v>1240</v>
      </c>
      <c r="B19" s="68">
        <v>70</v>
      </c>
      <c r="C19" s="71" t="s">
        <v>56</v>
      </c>
      <c r="D19" s="135" t="s">
        <v>905</v>
      </c>
      <c r="E19" s="75" t="s">
        <v>1239</v>
      </c>
    </row>
    <row r="20" spans="1:5" ht="15" customHeight="1">
      <c r="A20" s="72" t="s">
        <v>1241</v>
      </c>
      <c r="B20" s="68">
        <v>40</v>
      </c>
      <c r="C20" s="71" t="s">
        <v>56</v>
      </c>
      <c r="D20" s="135" t="s">
        <v>905</v>
      </c>
      <c r="E20" s="75" t="s">
        <v>1242</v>
      </c>
    </row>
    <row r="21" spans="1:5" ht="15" customHeight="1">
      <c r="A21" s="72" t="s">
        <v>1243</v>
      </c>
      <c r="B21" s="68">
        <v>200</v>
      </c>
      <c r="C21" s="71" t="s">
        <v>56</v>
      </c>
      <c r="D21" s="135" t="s">
        <v>905</v>
      </c>
      <c r="E21" s="75" t="s">
        <v>1242</v>
      </c>
    </row>
    <row r="22" spans="1:5" ht="15" customHeight="1">
      <c r="A22" s="72" t="s">
        <v>1244</v>
      </c>
      <c r="B22" s="68">
        <v>50</v>
      </c>
      <c r="C22" s="71" t="s">
        <v>56</v>
      </c>
      <c r="D22" s="135" t="s">
        <v>905</v>
      </c>
      <c r="E22" s="75" t="s">
        <v>1242</v>
      </c>
    </row>
    <row r="23" spans="1:5" ht="15" customHeight="1">
      <c r="A23" s="72" t="s">
        <v>1245</v>
      </c>
      <c r="B23" s="68">
        <v>200</v>
      </c>
      <c r="C23" s="71" t="s">
        <v>56</v>
      </c>
      <c r="D23" s="135" t="s">
        <v>905</v>
      </c>
      <c r="E23" s="75" t="s">
        <v>1242</v>
      </c>
    </row>
    <row r="24" spans="1:5" ht="15" customHeight="1">
      <c r="A24" s="72" t="s">
        <v>916</v>
      </c>
      <c r="B24" s="140">
        <v>0.03</v>
      </c>
      <c r="C24" s="71" t="s">
        <v>375</v>
      </c>
      <c r="D24" s="135" t="s">
        <v>905</v>
      </c>
      <c r="E24" s="75" t="s">
        <v>917</v>
      </c>
    </row>
    <row r="25" spans="1:5" ht="15" customHeight="1">
      <c r="A25" s="72" t="s">
        <v>918</v>
      </c>
      <c r="B25" s="140">
        <v>0.75</v>
      </c>
      <c r="C25" s="71" t="s">
        <v>375</v>
      </c>
      <c r="D25" s="135" t="s">
        <v>905</v>
      </c>
      <c r="E25" s="75" t="s">
        <v>908</v>
      </c>
    </row>
    <row r="26" spans="1:5" ht="15" customHeight="1">
      <c r="A26" s="72" t="s">
        <v>1246</v>
      </c>
      <c r="B26" s="140">
        <v>0.2</v>
      </c>
      <c r="C26" s="71" t="s">
        <v>375</v>
      </c>
      <c r="D26" s="135" t="s">
        <v>920</v>
      </c>
      <c r="E26" s="75" t="s">
        <v>1247</v>
      </c>
    </row>
    <row r="27" spans="1:5" ht="21.75" customHeight="1">
      <c r="A27" s="72" t="s">
        <v>926</v>
      </c>
      <c r="B27" s="142">
        <v>5.0000000000000001E-4</v>
      </c>
      <c r="C27" s="71" t="s">
        <v>151</v>
      </c>
      <c r="D27" s="135" t="s">
        <v>920</v>
      </c>
      <c r="E27" s="75" t="s">
        <v>1248</v>
      </c>
    </row>
    <row r="28" spans="1:5" ht="21.75" customHeight="1">
      <c r="A28" s="72" t="s">
        <v>928</v>
      </c>
      <c r="B28" s="143">
        <v>0.05</v>
      </c>
      <c r="C28" s="71" t="s">
        <v>497</v>
      </c>
      <c r="D28" s="135" t="s">
        <v>920</v>
      </c>
      <c r="E28" s="75" t="s">
        <v>1249</v>
      </c>
    </row>
    <row r="29" spans="1:5" ht="15" customHeight="1">
      <c r="A29" s="72" t="s">
        <v>932</v>
      </c>
      <c r="B29" s="68">
        <v>495</v>
      </c>
      <c r="C29" s="71" t="s">
        <v>151</v>
      </c>
      <c r="D29" s="135" t="s">
        <v>933</v>
      </c>
      <c r="E29" s="75" t="s">
        <v>715</v>
      </c>
    </row>
    <row r="30" spans="1:5" ht="15" customHeight="1">
      <c r="A30" s="72" t="s">
        <v>934</v>
      </c>
      <c r="B30" s="68">
        <v>450</v>
      </c>
      <c r="C30" s="71" t="s">
        <v>151</v>
      </c>
      <c r="D30" s="135" t="s">
        <v>933</v>
      </c>
      <c r="E30" s="75" t="s">
        <v>1250</v>
      </c>
    </row>
    <row r="31" spans="1:5" ht="15" customHeight="1">
      <c r="A31" s="72" t="s">
        <v>935</v>
      </c>
      <c r="B31" s="68">
        <v>457</v>
      </c>
      <c r="C31" s="71" t="s">
        <v>151</v>
      </c>
      <c r="D31" s="135" t="s">
        <v>933</v>
      </c>
      <c r="E31" s="75" t="s">
        <v>724</v>
      </c>
    </row>
    <row r="32" spans="1:5" ht="15" customHeight="1">
      <c r="A32" s="72" t="s">
        <v>936</v>
      </c>
      <c r="B32" s="68">
        <v>414</v>
      </c>
      <c r="C32" s="71" t="s">
        <v>151</v>
      </c>
      <c r="D32" s="135" t="s">
        <v>933</v>
      </c>
      <c r="E32" s="75" t="s">
        <v>1250</v>
      </c>
    </row>
    <row r="33" spans="1:5" ht="15" customHeight="1">
      <c r="A33" s="72" t="s">
        <v>1251</v>
      </c>
      <c r="B33" s="182">
        <v>1.0324</v>
      </c>
      <c r="C33" s="71" t="s">
        <v>151</v>
      </c>
      <c r="D33" s="135" t="s">
        <v>933</v>
      </c>
      <c r="E33" s="75" t="s">
        <v>1099</v>
      </c>
    </row>
    <row r="34" spans="1:5" ht="15" customHeight="1">
      <c r="A34" s="72" t="s">
        <v>1252</v>
      </c>
      <c r="B34" s="182">
        <v>0.19077</v>
      </c>
      <c r="C34" s="71" t="s">
        <v>151</v>
      </c>
      <c r="D34" s="135" t="s">
        <v>933</v>
      </c>
      <c r="E34" s="75" t="s">
        <v>1253</v>
      </c>
    </row>
    <row r="35" spans="1:5" ht="15" customHeight="1">
      <c r="A35" s="72" t="s">
        <v>1254</v>
      </c>
      <c r="B35" s="182">
        <v>0.15456</v>
      </c>
      <c r="C35" s="71" t="s">
        <v>151</v>
      </c>
      <c r="D35" s="135" t="s">
        <v>933</v>
      </c>
      <c r="E35" s="75" t="s">
        <v>1255</v>
      </c>
    </row>
    <row r="36" spans="1:5" ht="15" customHeight="1">
      <c r="A36" s="72" t="s">
        <v>1256</v>
      </c>
      <c r="B36" s="182">
        <v>1.29579</v>
      </c>
      <c r="C36" s="71" t="s">
        <v>151</v>
      </c>
      <c r="D36" s="135" t="s">
        <v>933</v>
      </c>
      <c r="E36" s="75" t="s">
        <v>1099</v>
      </c>
    </row>
    <row r="37" spans="1:5" ht="15" customHeight="1">
      <c r="A37" s="72" t="s">
        <v>1257</v>
      </c>
      <c r="B37" s="182">
        <v>0.35004000000000002</v>
      </c>
      <c r="C37" s="71" t="s">
        <v>151</v>
      </c>
      <c r="D37" s="135" t="s">
        <v>933</v>
      </c>
      <c r="E37" s="75" t="s">
        <v>1258</v>
      </c>
    </row>
    <row r="38" spans="1:5" ht="15" customHeight="1">
      <c r="A38" s="72" t="s">
        <v>1259</v>
      </c>
      <c r="B38" s="182">
        <v>0.221</v>
      </c>
      <c r="C38" s="71" t="s">
        <v>151</v>
      </c>
      <c r="D38" s="135" t="s">
        <v>933</v>
      </c>
      <c r="E38" s="75" t="s">
        <v>1255</v>
      </c>
    </row>
    <row r="39" spans="1:5" ht="15" customHeight="1">
      <c r="A39" s="72" t="s">
        <v>1260</v>
      </c>
      <c r="B39" s="143">
        <v>1.2</v>
      </c>
      <c r="C39" s="71" t="s">
        <v>151</v>
      </c>
      <c r="D39" s="135" t="s">
        <v>933</v>
      </c>
      <c r="E39" s="75" t="s">
        <v>1261</v>
      </c>
    </row>
    <row r="40" spans="1:5" ht="15" customHeight="1">
      <c r="A40" s="72" t="s">
        <v>1262</v>
      </c>
      <c r="B40" s="143">
        <v>0.23</v>
      </c>
      <c r="C40" s="71" t="s">
        <v>151</v>
      </c>
      <c r="D40" s="135" t="s">
        <v>933</v>
      </c>
      <c r="E40" s="75" t="s">
        <v>1263</v>
      </c>
    </row>
    <row r="41" spans="1:5" ht="15" customHeight="1">
      <c r="A41" s="72" t="s">
        <v>1264</v>
      </c>
      <c r="B41" s="143">
        <v>10.8</v>
      </c>
      <c r="C41" s="71" t="s">
        <v>151</v>
      </c>
      <c r="D41" s="135" t="s">
        <v>933</v>
      </c>
      <c r="E41" s="75" t="s">
        <v>1265</v>
      </c>
    </row>
    <row r="42" spans="1:5" ht="15" customHeight="1">
      <c r="A42" s="72" t="s">
        <v>1266</v>
      </c>
      <c r="B42" s="143">
        <v>5.4</v>
      </c>
      <c r="C42" s="71" t="s">
        <v>151</v>
      </c>
      <c r="D42" s="135" t="s">
        <v>933</v>
      </c>
      <c r="E42" s="75" t="s">
        <v>1267</v>
      </c>
    </row>
    <row r="43" spans="1:5" ht="15" customHeight="1">
      <c r="A43" s="72" t="s">
        <v>1268</v>
      </c>
      <c r="B43" s="69">
        <v>18.5</v>
      </c>
      <c r="C43" s="71" t="s">
        <v>556</v>
      </c>
      <c r="D43" s="135" t="s">
        <v>1269</v>
      </c>
      <c r="E43" s="75" t="s">
        <v>1270</v>
      </c>
    </row>
    <row r="44" spans="1:5" ht="15" customHeight="1">
      <c r="A44" s="72" t="s">
        <v>1271</v>
      </c>
      <c r="B44" s="69">
        <v>25</v>
      </c>
      <c r="C44" s="71" t="s">
        <v>556</v>
      </c>
      <c r="D44" s="135" t="s">
        <v>1269</v>
      </c>
      <c r="E44" s="75" t="s">
        <v>1272</v>
      </c>
    </row>
    <row r="45" spans="1:5" ht="15" customHeight="1">
      <c r="A45" s="72" t="s">
        <v>1273</v>
      </c>
      <c r="B45" s="69">
        <v>30</v>
      </c>
      <c r="C45" s="71" t="s">
        <v>556</v>
      </c>
      <c r="D45" s="135" t="s">
        <v>1269</v>
      </c>
      <c r="E45" s="75" t="s">
        <v>1272</v>
      </c>
    </row>
    <row r="46" spans="1:5" ht="15" customHeight="1">
      <c r="A46" s="72" t="s">
        <v>1274</v>
      </c>
      <c r="B46" s="69">
        <v>35</v>
      </c>
      <c r="C46" s="71" t="s">
        <v>556</v>
      </c>
      <c r="D46" s="135" t="s">
        <v>1269</v>
      </c>
      <c r="E46" s="75" t="s">
        <v>1272</v>
      </c>
    </row>
    <row r="47" spans="1:5" ht="15" customHeight="1">
      <c r="A47" s="72" t="s">
        <v>1275</v>
      </c>
      <c r="B47" s="69">
        <v>40</v>
      </c>
      <c r="C47" s="71" t="s">
        <v>556</v>
      </c>
      <c r="D47" s="135" t="s">
        <v>1269</v>
      </c>
      <c r="E47" s="75" t="s">
        <v>1272</v>
      </c>
    </row>
    <row r="48" spans="1:5" ht="15" customHeight="1">
      <c r="A48" s="72" t="s">
        <v>1276</v>
      </c>
      <c r="B48" s="68">
        <v>65</v>
      </c>
      <c r="C48" s="71" t="s">
        <v>494</v>
      </c>
      <c r="D48" s="135" t="s">
        <v>1269</v>
      </c>
      <c r="E48" s="75" t="s">
        <v>1277</v>
      </c>
    </row>
    <row r="49" spans="1:5" ht="15" customHeight="1">
      <c r="A49" s="72" t="s">
        <v>1278</v>
      </c>
      <c r="B49" s="69">
        <v>23</v>
      </c>
      <c r="C49" s="71" t="s">
        <v>556</v>
      </c>
      <c r="D49" s="135" t="s">
        <v>1269</v>
      </c>
      <c r="E49" s="75" t="s">
        <v>1279</v>
      </c>
    </row>
    <row r="50" spans="1:5" ht="15" customHeight="1">
      <c r="A50" s="72" t="s">
        <v>1280</v>
      </c>
      <c r="B50" s="69">
        <v>28</v>
      </c>
      <c r="C50" s="71" t="s">
        <v>556</v>
      </c>
      <c r="D50" s="135" t="s">
        <v>1269</v>
      </c>
      <c r="E50" s="75" t="s">
        <v>1281</v>
      </c>
    </row>
    <row r="51" spans="1:5" ht="15" customHeight="1">
      <c r="A51" s="72" t="s">
        <v>1282</v>
      </c>
      <c r="B51" s="69">
        <v>32</v>
      </c>
      <c r="C51" s="71" t="s">
        <v>556</v>
      </c>
      <c r="D51" s="135" t="s">
        <v>1269</v>
      </c>
      <c r="E51" s="75" t="s">
        <v>1281</v>
      </c>
    </row>
    <row r="52" spans="1:5" ht="15" customHeight="1">
      <c r="A52" s="72" t="s">
        <v>1283</v>
      </c>
      <c r="B52" s="68">
        <v>102</v>
      </c>
      <c r="C52" s="71" t="s">
        <v>56</v>
      </c>
      <c r="D52" s="135" t="s">
        <v>1269</v>
      </c>
      <c r="E52" s="75" t="s">
        <v>1284</v>
      </c>
    </row>
    <row r="53" spans="1:5" ht="15" customHeight="1">
      <c r="A53" s="72" t="s">
        <v>1285</v>
      </c>
      <c r="B53" s="68">
        <v>88</v>
      </c>
      <c r="C53" s="71" t="s">
        <v>56</v>
      </c>
      <c r="D53" s="135" t="s">
        <v>1269</v>
      </c>
      <c r="E53" s="75" t="s">
        <v>1284</v>
      </c>
    </row>
    <row r="54" spans="1:5" ht="15" customHeight="1">
      <c r="A54" s="72" t="s">
        <v>1286</v>
      </c>
      <c r="B54" s="143">
        <v>0.9</v>
      </c>
      <c r="C54" s="71" t="s">
        <v>151</v>
      </c>
      <c r="D54" s="135" t="s">
        <v>1269</v>
      </c>
      <c r="E54" s="75" t="s">
        <v>1287</v>
      </c>
    </row>
    <row r="55" spans="1:5" ht="15" customHeight="1">
      <c r="A55" s="72" t="s">
        <v>1288</v>
      </c>
      <c r="B55" s="143">
        <v>0.85</v>
      </c>
      <c r="C55" s="71" t="s">
        <v>151</v>
      </c>
      <c r="D55" s="135" t="s">
        <v>1269</v>
      </c>
      <c r="E55" s="75" t="s">
        <v>1287</v>
      </c>
    </row>
    <row r="56" spans="1:5" ht="15" customHeight="1">
      <c r="A56" s="72" t="s">
        <v>1289</v>
      </c>
      <c r="B56" s="143">
        <v>0.5</v>
      </c>
      <c r="C56" s="71" t="s">
        <v>151</v>
      </c>
      <c r="D56" s="135" t="s">
        <v>1269</v>
      </c>
      <c r="E56" s="75" t="s">
        <v>1083</v>
      </c>
    </row>
    <row r="57" spans="1:5">
      <c r="A57" s="22"/>
      <c r="B57" s="22"/>
      <c r="C57" s="2"/>
      <c r="D57" s="22"/>
      <c r="E57" s="22"/>
    </row>
    <row r="58" spans="1:5" ht="15" customHeight="1">
      <c r="A58" s="76" t="s">
        <v>959</v>
      </c>
      <c r="B58" s="77"/>
      <c r="C58" s="2"/>
      <c r="D58" s="22"/>
      <c r="E58" s="22"/>
    </row>
    <row r="59" spans="1:5" ht="15" customHeight="1">
      <c r="A59" s="136" t="s">
        <v>16</v>
      </c>
      <c r="B59" s="136" t="s">
        <v>960</v>
      </c>
      <c r="C59" s="2"/>
      <c r="D59" s="22"/>
      <c r="E59" s="22"/>
    </row>
    <row r="60" spans="1:5" ht="15" customHeight="1">
      <c r="A60" s="105" t="s">
        <v>23</v>
      </c>
      <c r="B60" s="137" t="s">
        <v>961</v>
      </c>
      <c r="C60" s="2"/>
      <c r="D60" s="22"/>
      <c r="E60" s="22"/>
    </row>
    <row r="61" spans="1:5" ht="15" customHeight="1">
      <c r="A61" s="105" t="s">
        <v>757</v>
      </c>
      <c r="B61" s="137" t="s">
        <v>962</v>
      </c>
      <c r="C61" s="2"/>
      <c r="D61" s="22"/>
      <c r="E61" s="22"/>
    </row>
    <row r="62" spans="1:5">
      <c r="A62" s="22"/>
      <c r="B62" s="22"/>
      <c r="C62" s="2"/>
      <c r="D62" s="22"/>
      <c r="E62" s="22"/>
    </row>
    <row r="63" spans="1:5" ht="15" customHeight="1">
      <c r="A63" s="76" t="s">
        <v>1290</v>
      </c>
      <c r="B63" s="77"/>
      <c r="C63" s="2"/>
      <c r="D63" s="22"/>
      <c r="E63" s="22"/>
    </row>
    <row r="64" spans="1:5" ht="15" customHeight="1">
      <c r="A64" s="136" t="s">
        <v>1291</v>
      </c>
      <c r="B64" s="136" t="s">
        <v>1292</v>
      </c>
      <c r="C64" s="2"/>
      <c r="D64" s="22"/>
      <c r="E64" s="22"/>
    </row>
    <row r="65" spans="1:5" ht="15" customHeight="1">
      <c r="A65" s="105" t="s">
        <v>1026</v>
      </c>
      <c r="B65" s="137" t="s">
        <v>1293</v>
      </c>
      <c r="C65" s="2"/>
      <c r="D65" s="22"/>
      <c r="E65" s="22"/>
    </row>
    <row r="66" spans="1:5" ht="15" customHeight="1">
      <c r="A66" s="105" t="s">
        <v>1294</v>
      </c>
      <c r="B66" s="137" t="s">
        <v>1295</v>
      </c>
      <c r="C66" s="2"/>
      <c r="D66" s="22"/>
      <c r="E66" s="22"/>
    </row>
    <row r="67" spans="1:5" ht="15" customHeight="1">
      <c r="A67" s="105" t="s">
        <v>1296</v>
      </c>
      <c r="B67" s="137" t="s">
        <v>1297</v>
      </c>
      <c r="C67" s="2"/>
      <c r="D67" s="22"/>
      <c r="E67" s="22"/>
    </row>
    <row r="68" spans="1:5">
      <c r="A68" s="22"/>
      <c r="B68" s="22"/>
      <c r="C68" s="2"/>
      <c r="D68" s="22"/>
      <c r="E68" s="22"/>
    </row>
    <row r="69" spans="1:5" ht="15" customHeight="1">
      <c r="A69" s="76" t="s">
        <v>1298</v>
      </c>
      <c r="B69" s="77"/>
      <c r="C69" s="2"/>
      <c r="D69" s="22"/>
      <c r="E69" s="22"/>
    </row>
    <row r="70" spans="1:5" ht="15" customHeight="1">
      <c r="A70" s="136" t="s">
        <v>971</v>
      </c>
      <c r="B70" s="136" t="s">
        <v>972</v>
      </c>
      <c r="C70" s="2"/>
      <c r="D70" s="22"/>
      <c r="E70" s="22"/>
    </row>
    <row r="71" spans="1:5" ht="15" customHeight="1">
      <c r="A71" s="105" t="s">
        <v>508</v>
      </c>
      <c r="B71" s="137" t="s">
        <v>715</v>
      </c>
      <c r="C71" s="2"/>
      <c r="D71" s="22"/>
      <c r="E71" s="22"/>
    </row>
    <row r="72" spans="1:5" ht="15" customHeight="1">
      <c r="A72" s="105" t="s">
        <v>973</v>
      </c>
      <c r="B72" s="137" t="s">
        <v>724</v>
      </c>
      <c r="C72" s="2"/>
      <c r="D72" s="22"/>
      <c r="E72" s="22"/>
    </row>
    <row r="73" spans="1:5">
      <c r="A73" s="22"/>
      <c r="B73" s="22"/>
      <c r="C73" s="2"/>
      <c r="D73" s="22"/>
      <c r="E73" s="22"/>
    </row>
    <row r="74" spans="1:5" ht="15" customHeight="1">
      <c r="A74" s="76" t="s">
        <v>974</v>
      </c>
      <c r="B74" s="22"/>
      <c r="C74" s="2"/>
      <c r="D74" s="22"/>
      <c r="E74" s="22"/>
    </row>
    <row r="75" spans="1:5" ht="15" customHeight="1">
      <c r="A75" s="105" t="s">
        <v>175</v>
      </c>
      <c r="B75" s="22"/>
      <c r="C75" s="2"/>
      <c r="D75" s="22"/>
      <c r="E75" s="22"/>
    </row>
    <row r="76" spans="1:5" ht="15" customHeight="1">
      <c r="A76" s="105" t="s">
        <v>201</v>
      </c>
      <c r="B76" s="22"/>
      <c r="C76" s="2"/>
      <c r="D76" s="22"/>
      <c r="E76" s="22"/>
    </row>
    <row r="77" spans="1:5">
      <c r="A77" s="22"/>
      <c r="B77" s="22"/>
      <c r="C77" s="2"/>
      <c r="D77" s="22"/>
      <c r="E77" s="22"/>
    </row>
    <row r="78" spans="1:5" ht="15" customHeight="1">
      <c r="A78" s="76" t="s">
        <v>1299</v>
      </c>
      <c r="B78" s="77"/>
      <c r="C78" s="77"/>
      <c r="D78" s="77"/>
      <c r="E78" s="77"/>
    </row>
    <row r="79" spans="1:5" ht="15" customHeight="1">
      <c r="A79" s="136" t="s">
        <v>22</v>
      </c>
      <c r="B79" s="136" t="s">
        <v>976</v>
      </c>
      <c r="C79" s="136" t="s">
        <v>977</v>
      </c>
      <c r="D79" s="136" t="s">
        <v>978</v>
      </c>
      <c r="E79" s="136" t="s">
        <v>554</v>
      </c>
    </row>
    <row r="80" spans="1:5" ht="15" customHeight="1">
      <c r="A80" s="105" t="s">
        <v>23</v>
      </c>
      <c r="B80" s="111">
        <v>17</v>
      </c>
      <c r="C80" s="111">
        <v>20</v>
      </c>
      <c r="D80" s="148">
        <v>1.1619999999999999</v>
      </c>
      <c r="E80" s="148">
        <v>6.3E-2</v>
      </c>
    </row>
    <row r="81" spans="1:5" ht="15" customHeight="1">
      <c r="A81" s="105" t="s">
        <v>23</v>
      </c>
      <c r="B81" s="111">
        <v>20</v>
      </c>
      <c r="C81" s="111">
        <v>30</v>
      </c>
      <c r="D81" s="148">
        <v>1.1631</v>
      </c>
      <c r="E81" s="148">
        <v>6.3200000000000006E-2</v>
      </c>
    </row>
    <row r="82" spans="1:5" ht="15" customHeight="1">
      <c r="A82" s="105" t="s">
        <v>23</v>
      </c>
      <c r="B82" s="111">
        <v>30</v>
      </c>
      <c r="C82" s="111">
        <v>40</v>
      </c>
      <c r="D82" s="148">
        <v>1.1422000000000001</v>
      </c>
      <c r="E82" s="148">
        <v>5.4399999999999997E-2</v>
      </c>
    </row>
    <row r="83" spans="1:5" ht="15" customHeight="1">
      <c r="A83" s="105" t="s">
        <v>23</v>
      </c>
      <c r="B83" s="111">
        <v>40</v>
      </c>
      <c r="C83" s="111">
        <v>50</v>
      </c>
      <c r="D83" s="148">
        <v>1.1619999999999999</v>
      </c>
      <c r="E83" s="148">
        <v>7.0000000000000007E-2</v>
      </c>
    </row>
    <row r="84" spans="1:5" ht="15" customHeight="1">
      <c r="A84" s="105" t="s">
        <v>23</v>
      </c>
      <c r="B84" s="111">
        <v>50</v>
      </c>
      <c r="C84" s="111">
        <v>200</v>
      </c>
      <c r="D84" s="148">
        <v>1.1715</v>
      </c>
      <c r="E84" s="148">
        <v>7.7899999999999997E-2</v>
      </c>
    </row>
    <row r="85" spans="1:5" ht="15" customHeight="1">
      <c r="A85" s="105" t="s">
        <v>757</v>
      </c>
      <c r="B85" s="111">
        <v>16</v>
      </c>
      <c r="C85" s="111">
        <v>20</v>
      </c>
      <c r="D85" s="148">
        <v>1.1549</v>
      </c>
      <c r="E85" s="148">
        <v>6.7799999999999999E-2</v>
      </c>
    </row>
    <row r="86" spans="1:5" ht="15" customHeight="1">
      <c r="A86" s="105" t="s">
        <v>757</v>
      </c>
      <c r="B86" s="111">
        <v>20</v>
      </c>
      <c r="C86" s="111">
        <v>30</v>
      </c>
      <c r="D86" s="148">
        <v>1.1598999999999999</v>
      </c>
      <c r="E86" s="148">
        <v>7.17E-2</v>
      </c>
    </row>
    <row r="87" spans="1:5" ht="15" customHeight="1">
      <c r="A87" s="105" t="s">
        <v>757</v>
      </c>
      <c r="B87" s="111">
        <v>30</v>
      </c>
      <c r="C87" s="111">
        <v>40</v>
      </c>
      <c r="D87" s="148">
        <v>1.1423000000000001</v>
      </c>
      <c r="E87" s="148">
        <v>6.3200000000000006E-2</v>
      </c>
    </row>
    <row r="88" spans="1:5" ht="15" customHeight="1">
      <c r="A88" s="105" t="s">
        <v>757</v>
      </c>
      <c r="B88" s="111">
        <v>40</v>
      </c>
      <c r="C88" s="111">
        <v>50</v>
      </c>
      <c r="D88" s="148">
        <v>1.1333</v>
      </c>
      <c r="E88" s="148">
        <v>6.1199999999999997E-2</v>
      </c>
    </row>
    <row r="89" spans="1:5" ht="15" customHeight="1">
      <c r="A89" s="105" t="s">
        <v>757</v>
      </c>
      <c r="B89" s="111">
        <v>50</v>
      </c>
      <c r="C89" s="111">
        <v>200</v>
      </c>
      <c r="D89" s="148">
        <v>1.1338999999999999</v>
      </c>
      <c r="E89" s="148">
        <v>6.4500000000000002E-2</v>
      </c>
    </row>
    <row r="90" spans="1:5">
      <c r="A90" s="22"/>
      <c r="B90" s="22"/>
      <c r="C90" s="2"/>
      <c r="D90" s="22"/>
      <c r="E90" s="22"/>
    </row>
    <row r="91" spans="1:5" ht="30" customHeight="1">
      <c r="A91" s="367" t="s">
        <v>1300</v>
      </c>
      <c r="B91" s="367"/>
      <c r="C91" s="367"/>
      <c r="D91" s="367"/>
      <c r="E91" s="367"/>
    </row>
    <row r="92" spans="1:5">
      <c r="A92" s="22"/>
      <c r="B92" s="22"/>
      <c r="C92" s="2"/>
      <c r="D92" s="22"/>
      <c r="E92" s="22"/>
    </row>
    <row r="93" spans="1:5" ht="15" customHeight="1">
      <c r="A93" s="76" t="s">
        <v>1301</v>
      </c>
      <c r="B93" s="77"/>
      <c r="C93" s="77"/>
      <c r="D93" s="77"/>
      <c r="E93" s="22"/>
    </row>
    <row r="94" spans="1:5" ht="15" customHeight="1">
      <c r="A94" s="136" t="s">
        <v>22</v>
      </c>
      <c r="B94" s="136" t="s">
        <v>980</v>
      </c>
      <c r="C94" s="136" t="s">
        <v>981</v>
      </c>
      <c r="D94" s="136" t="s">
        <v>960</v>
      </c>
      <c r="E94" s="22"/>
    </row>
    <row r="95" spans="1:5" ht="15" customHeight="1">
      <c r="A95" s="105" t="s">
        <v>23</v>
      </c>
      <c r="B95" s="105" t="s">
        <v>917</v>
      </c>
      <c r="C95" s="138">
        <v>0.02</v>
      </c>
      <c r="D95" s="139" t="s">
        <v>982</v>
      </c>
      <c r="E95" s="22"/>
    </row>
    <row r="96" spans="1:5" ht="15" customHeight="1">
      <c r="A96" s="105" t="s">
        <v>23</v>
      </c>
      <c r="B96" s="105" t="s">
        <v>983</v>
      </c>
      <c r="C96" s="138">
        <v>0.06</v>
      </c>
      <c r="D96" s="139" t="s">
        <v>984</v>
      </c>
      <c r="E96" s="22"/>
    </row>
    <row r="97" spans="1:5" ht="15" customHeight="1">
      <c r="A97" s="105" t="s">
        <v>23</v>
      </c>
      <c r="B97" s="105" t="s">
        <v>985</v>
      </c>
      <c r="C97" s="138">
        <v>0.14000000000000001</v>
      </c>
      <c r="D97" s="139" t="s">
        <v>986</v>
      </c>
      <c r="E97" s="22"/>
    </row>
    <row r="98" spans="1:5" ht="15" customHeight="1">
      <c r="A98" s="105" t="s">
        <v>23</v>
      </c>
      <c r="B98" s="105" t="s">
        <v>987</v>
      </c>
      <c r="C98" s="138">
        <v>0.18</v>
      </c>
      <c r="D98" s="139" t="s">
        <v>988</v>
      </c>
      <c r="E98" s="22"/>
    </row>
    <row r="99" spans="1:5" ht="15" customHeight="1">
      <c r="A99" s="105" t="s">
        <v>23</v>
      </c>
      <c r="B99" s="105" t="s">
        <v>989</v>
      </c>
      <c r="C99" s="138">
        <v>0.25</v>
      </c>
      <c r="D99" s="139" t="s">
        <v>990</v>
      </c>
      <c r="E99" s="22"/>
    </row>
    <row r="100" spans="1:5" ht="15" customHeight="1">
      <c r="A100" s="105" t="s">
        <v>757</v>
      </c>
      <c r="B100" s="105" t="s">
        <v>917</v>
      </c>
      <c r="C100" s="138">
        <v>0.1</v>
      </c>
      <c r="D100" s="139" t="s">
        <v>991</v>
      </c>
      <c r="E100" s="22"/>
    </row>
    <row r="101" spans="1:5" ht="15" customHeight="1">
      <c r="A101" s="105" t="s">
        <v>757</v>
      </c>
      <c r="B101" s="105" t="s">
        <v>983</v>
      </c>
      <c r="C101" s="138">
        <v>0.14000000000000001</v>
      </c>
      <c r="D101" s="139" t="s">
        <v>992</v>
      </c>
      <c r="E101" s="22"/>
    </row>
    <row r="102" spans="1:5" ht="15" customHeight="1">
      <c r="A102" s="105" t="s">
        <v>757</v>
      </c>
      <c r="B102" s="105" t="s">
        <v>985</v>
      </c>
      <c r="C102" s="138">
        <v>0.21</v>
      </c>
      <c r="D102" s="139" t="s">
        <v>993</v>
      </c>
      <c r="E102" s="22"/>
    </row>
    <row r="103" spans="1:5" ht="15" customHeight="1">
      <c r="A103" s="105" t="s">
        <v>757</v>
      </c>
      <c r="B103" s="105" t="s">
        <v>987</v>
      </c>
      <c r="C103" s="138">
        <v>0.25</v>
      </c>
      <c r="D103" s="139" t="s">
        <v>994</v>
      </c>
      <c r="E103" s="22"/>
    </row>
    <row r="104" spans="1:5" ht="15" customHeight="1">
      <c r="A104" s="105" t="s">
        <v>757</v>
      </c>
      <c r="B104" s="105" t="s">
        <v>989</v>
      </c>
      <c r="C104" s="138">
        <v>0.32</v>
      </c>
      <c r="D104" s="139" t="s">
        <v>995</v>
      </c>
      <c r="E104" s="22"/>
    </row>
    <row r="105" spans="1:5">
      <c r="A105" s="22"/>
      <c r="B105" s="22"/>
      <c r="C105" s="2"/>
      <c r="D105" s="22"/>
      <c r="E105" s="22"/>
    </row>
    <row r="106" spans="1:5" ht="30" customHeight="1">
      <c r="A106" s="409" t="s">
        <v>1302</v>
      </c>
      <c r="B106" s="409"/>
      <c r="C106" s="409"/>
      <c r="D106" s="409"/>
      <c r="E106" s="409"/>
    </row>
  </sheetData>
  <sheetProtection algorithmName="SHA-512" hashValue="g08b9eFwtpbHtnvCmqXnPLpLSBztzyHKbwQuIj0GyeiAvqq0vaG0p4MCN88tA2zJp7Y+uVBVKFtYZTLBRgwwfQ==" saltValue="L6DNr48okvlgEVPaN1serQ==" spinCount="100000" sheet="1" objects="1" scenarios="1"/>
  <mergeCells count="5">
    <mergeCell ref="A2:E2"/>
    <mergeCell ref="A3:D3"/>
    <mergeCell ref="A4:E4"/>
    <mergeCell ref="A91:E91"/>
    <mergeCell ref="A106:E106"/>
  </mergeCell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dimension ref="A1:E8"/>
  <sheetViews>
    <sheetView showGridLines="0" zoomScaleNormal="100" workbookViewId="0"/>
  </sheetViews>
  <sheetFormatPr baseColWidth="10" defaultColWidth="8.7109375" defaultRowHeight="15"/>
  <cols>
    <col min="1" max="1" width="12" style="1" customWidth="1"/>
    <col min="2" max="2" width="14" style="1" customWidth="1"/>
    <col min="3" max="3" width="56" style="1" customWidth="1"/>
    <col min="4" max="4" width="40" style="1" customWidth="1"/>
    <col min="5" max="5" width="20" style="1" customWidth="1"/>
  </cols>
  <sheetData>
    <row r="1" spans="1:5" ht="25.5" customHeight="1">
      <c r="A1" s="57" t="s">
        <v>1003</v>
      </c>
      <c r="B1" s="58"/>
      <c r="C1" s="58"/>
      <c r="D1" s="58"/>
      <c r="E1" s="58"/>
    </row>
    <row r="2" spans="1:5" ht="24" customHeight="1">
      <c r="A2" s="429" t="s">
        <v>426</v>
      </c>
      <c r="B2" s="429"/>
      <c r="C2" s="429"/>
      <c r="D2" s="429"/>
      <c r="E2" s="429"/>
    </row>
    <row r="3" spans="1:5" ht="18" customHeight="1">
      <c r="A3" s="380" t="str">
        <f>HYPERLINK("#M12_INICIO!A1","◀ INICIO")</f>
        <v>◀ INICIO</v>
      </c>
      <c r="B3" s="380"/>
      <c r="C3" s="380"/>
      <c r="D3" s="380"/>
      <c r="E3" s="22"/>
    </row>
    <row r="4" spans="1:5">
      <c r="A4" s="22"/>
      <c r="B4" s="22"/>
      <c r="C4" s="22"/>
      <c r="D4" s="22"/>
      <c r="E4" s="22"/>
    </row>
    <row r="5" spans="1:5" ht="15" customHeight="1">
      <c r="A5" s="136" t="s">
        <v>1</v>
      </c>
      <c r="B5" s="136" t="s">
        <v>19</v>
      </c>
      <c r="C5" s="136" t="s">
        <v>427</v>
      </c>
      <c r="D5" s="136" t="s">
        <v>997</v>
      </c>
      <c r="E5" s="136" t="s">
        <v>124</v>
      </c>
    </row>
    <row r="6" spans="1:5" ht="55.5" customHeight="1">
      <c r="A6" s="111" t="s">
        <v>116</v>
      </c>
      <c r="B6" s="111" t="s">
        <v>454</v>
      </c>
      <c r="C6" s="107" t="s">
        <v>1303</v>
      </c>
      <c r="D6" s="107" t="s">
        <v>1304</v>
      </c>
      <c r="E6" s="112" t="s">
        <v>1000</v>
      </c>
    </row>
    <row r="7" spans="1:5" ht="55.5" customHeight="1">
      <c r="A7" s="111" t="s">
        <v>116</v>
      </c>
      <c r="B7" s="111" t="s">
        <v>454</v>
      </c>
      <c r="C7" s="107" t="s">
        <v>1305</v>
      </c>
      <c r="D7" s="107" t="s">
        <v>1306</v>
      </c>
      <c r="E7" s="112" t="s">
        <v>1000</v>
      </c>
    </row>
    <row r="8" spans="1:5" ht="55.5" customHeight="1">
      <c r="A8" s="111" t="s">
        <v>116</v>
      </c>
      <c r="B8" s="111" t="s">
        <v>454</v>
      </c>
      <c r="C8" s="107" t="s">
        <v>1307</v>
      </c>
      <c r="D8" s="107" t="s">
        <v>1002</v>
      </c>
      <c r="E8" s="112" t="s">
        <v>1000</v>
      </c>
    </row>
  </sheetData>
  <sheetProtection algorithmName="SHA-512" hashValue="1NUPjEyyU0B8i7iHM83k/rPrnoUVWZR6RMdNAtNUhT9bNvxIycLMB20YXxV0P5GTwz37cCocBuFR0m/8WjEcmQ==" saltValue="OOlAZDem5odeDvqivyVz2Q==" spinCount="100000" sheet="1" objects="1" scenarios="1"/>
  <mergeCells count="2">
    <mergeCell ref="A2:E2"/>
    <mergeCell ref="A3:D3"/>
  </mergeCell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4"/>
  <dimension ref="A1:O31"/>
  <sheetViews>
    <sheetView showGridLines="0" zoomScaleNormal="100" workbookViewId="0">
      <selection sqref="A1:O1"/>
    </sheetView>
  </sheetViews>
  <sheetFormatPr baseColWidth="10" defaultColWidth="8.7109375" defaultRowHeight="15"/>
  <cols>
    <col min="1" max="1" width="23.28515625" style="1" customWidth="1"/>
    <col min="2" max="2" width="15" style="1" customWidth="1"/>
    <col min="12" max="12" width="11.42578125" style="1" customWidth="1"/>
    <col min="15" max="15" width="12.5703125" style="1" customWidth="1"/>
  </cols>
  <sheetData>
    <row r="1" spans="1:15" ht="25.5" customHeight="1">
      <c r="A1" s="362" t="s">
        <v>1308</v>
      </c>
      <c r="B1" s="362"/>
      <c r="C1" s="362"/>
      <c r="D1" s="362"/>
      <c r="E1" s="362"/>
      <c r="F1" s="362"/>
      <c r="G1" s="362"/>
      <c r="H1" s="362"/>
      <c r="I1" s="362"/>
      <c r="J1" s="362"/>
      <c r="K1" s="362"/>
      <c r="L1" s="362"/>
      <c r="M1" s="362"/>
      <c r="N1" s="362"/>
      <c r="O1" s="362"/>
    </row>
    <row r="2" spans="1:15" ht="15" customHeight="1">
      <c r="A2" s="436" t="s">
        <v>1309</v>
      </c>
      <c r="B2" s="436"/>
      <c r="C2" s="436"/>
      <c r="D2" s="436"/>
      <c r="E2" s="436"/>
      <c r="F2" s="436"/>
      <c r="G2" s="436"/>
      <c r="H2" s="436"/>
      <c r="I2" s="436"/>
      <c r="J2" s="436"/>
      <c r="K2" s="436"/>
      <c r="L2" s="436"/>
      <c r="M2" s="436"/>
      <c r="N2" s="436"/>
      <c r="O2" s="436"/>
    </row>
    <row r="3" spans="1:15" ht="15" customHeight="1">
      <c r="A3" s="363"/>
      <c r="B3" s="363"/>
      <c r="C3" s="363"/>
      <c r="D3" s="363"/>
      <c r="E3" s="363"/>
      <c r="F3" s="363"/>
      <c r="G3" s="363"/>
      <c r="H3" s="363"/>
      <c r="I3" s="363"/>
      <c r="J3" s="363"/>
      <c r="K3" s="363"/>
      <c r="L3" s="363"/>
      <c r="M3" s="363"/>
      <c r="N3" s="363"/>
      <c r="O3" s="363"/>
    </row>
    <row r="4" spans="1:15" ht="27.75" customHeight="1">
      <c r="A4" s="364" t="s">
        <v>105</v>
      </c>
      <c r="B4" s="364"/>
      <c r="C4" s="364"/>
      <c r="D4" s="364"/>
      <c r="E4" s="364"/>
      <c r="F4" s="364"/>
      <c r="G4" s="364"/>
      <c r="H4" s="364"/>
      <c r="I4" s="364"/>
      <c r="J4" s="364"/>
      <c r="K4" s="364"/>
      <c r="L4" s="364"/>
      <c r="M4" s="364"/>
      <c r="N4" s="364"/>
      <c r="O4" s="364"/>
    </row>
    <row r="5" spans="1:15" ht="27.75" customHeight="1">
      <c r="A5" s="183" t="str">
        <f>HYPERLINK("#M16_DATOS!A1","▶  DATOS")</f>
        <v>▶  DATOS</v>
      </c>
      <c r="B5" s="437" t="str">
        <f>HYPERLINK("#M16_MEDIDAS!A1","▶  MEDIDAS")</f>
        <v>▶  MEDIDAS</v>
      </c>
      <c r="C5" s="437"/>
      <c r="D5" s="437" t="str">
        <f>HYPERLINK("#M16_CALCULOS!A1","▶  CALCULOS")</f>
        <v>▶  CALCULOS</v>
      </c>
      <c r="E5" s="437"/>
      <c r="F5" s="437" t="str">
        <f>HYPERLINK("#M16_RESULTADOS!A1","▶  RESULTADOS")</f>
        <v>▶  RESULTADOS</v>
      </c>
      <c r="G5" s="437"/>
      <c r="H5" s="437" t="str">
        <f>HYPERLINK("#M16_FUENTES!A1","▶  FUENTES")</f>
        <v>▶  FUENTES</v>
      </c>
      <c r="I5" s="437"/>
      <c r="J5" s="437" t="str">
        <f>HYPERLINK("#M16_PRUEBAS!A1","▶  PRUEBAS")</f>
        <v>▶  PRUEBAS</v>
      </c>
      <c r="K5" s="437"/>
      <c r="L5" s="437" t="str">
        <f>HYPERLINK("#M16_CONFIG!A1","▶  CONFIG")</f>
        <v>▶  CONFIG</v>
      </c>
      <c r="M5" s="437"/>
      <c r="N5" s="437" t="str">
        <f>HYPERLINK("#M16_CHANGELOG!A1","▶  CHANGELOG")</f>
        <v>▶  CHANGELOG</v>
      </c>
      <c r="O5" s="437"/>
    </row>
    <row r="6" spans="1:15" ht="29.25" customHeight="1">
      <c r="A6" s="184" t="s">
        <v>449</v>
      </c>
      <c r="B6" s="435" t="s">
        <v>1310</v>
      </c>
      <c r="C6" s="435"/>
      <c r="D6" s="435" t="s">
        <v>451</v>
      </c>
      <c r="E6" s="435"/>
      <c r="F6" s="435" t="s">
        <v>452</v>
      </c>
      <c r="G6" s="435"/>
      <c r="H6" s="435" t="s">
        <v>453</v>
      </c>
      <c r="I6" s="435"/>
      <c r="J6" s="435" t="s">
        <v>112</v>
      </c>
      <c r="K6" s="435"/>
      <c r="L6" s="434" t="s">
        <v>113</v>
      </c>
      <c r="M6" s="434"/>
      <c r="N6" s="434" t="s">
        <v>114</v>
      </c>
      <c r="O6" s="434"/>
    </row>
    <row r="7" spans="1:15" ht="15" customHeight="1">
      <c r="A7" s="356" t="s">
        <v>115</v>
      </c>
      <c r="B7" s="356"/>
      <c r="C7" s="356"/>
      <c r="D7" s="357" t="s">
        <v>94</v>
      </c>
      <c r="E7" s="357"/>
      <c r="F7" s="357"/>
      <c r="G7" s="357"/>
      <c r="H7" s="357"/>
      <c r="I7" s="357"/>
      <c r="J7" s="357"/>
      <c r="K7" s="357"/>
      <c r="L7" s="357"/>
      <c r="M7" s="2"/>
      <c r="N7" s="2"/>
      <c r="O7" s="22"/>
    </row>
    <row r="8" spans="1:15" ht="15" customHeight="1">
      <c r="A8" s="356" t="s">
        <v>1</v>
      </c>
      <c r="B8" s="356"/>
      <c r="C8" s="356"/>
      <c r="D8" s="357" t="s">
        <v>116</v>
      </c>
      <c r="E8" s="357"/>
      <c r="F8" s="357"/>
      <c r="G8" s="357"/>
      <c r="H8" s="357"/>
      <c r="I8" s="357"/>
      <c r="J8" s="357"/>
      <c r="K8" s="357"/>
      <c r="L8" s="357"/>
      <c r="M8" s="2"/>
      <c r="N8" s="2"/>
      <c r="O8" s="22"/>
    </row>
    <row r="9" spans="1:15" ht="15" customHeight="1">
      <c r="A9" s="356" t="s">
        <v>19</v>
      </c>
      <c r="B9" s="356"/>
      <c r="C9" s="356"/>
      <c r="D9" s="357" t="s">
        <v>454</v>
      </c>
      <c r="E9" s="357"/>
      <c r="F9" s="357"/>
      <c r="G9" s="357"/>
      <c r="H9" s="357"/>
      <c r="I9" s="357"/>
      <c r="J9" s="357"/>
      <c r="K9" s="357"/>
      <c r="L9" s="357"/>
      <c r="M9" s="2"/>
      <c r="N9" s="2"/>
      <c r="O9" s="22"/>
    </row>
    <row r="10" spans="1:15" ht="15" customHeight="1">
      <c r="A10" s="356" t="s">
        <v>781</v>
      </c>
      <c r="B10" s="356"/>
      <c r="C10" s="356"/>
      <c r="D10" s="357" t="s">
        <v>1311</v>
      </c>
      <c r="E10" s="357"/>
      <c r="F10" s="357"/>
      <c r="G10" s="357"/>
      <c r="H10" s="357"/>
      <c r="I10" s="357"/>
      <c r="J10" s="357"/>
      <c r="K10" s="357"/>
      <c r="L10" s="357"/>
      <c r="M10" s="2"/>
      <c r="N10" s="2"/>
      <c r="O10" s="22"/>
    </row>
    <row r="11" spans="1:15" ht="15" customHeight="1">
      <c r="A11" s="356" t="s">
        <v>122</v>
      </c>
      <c r="B11" s="356"/>
      <c r="C11" s="356"/>
      <c r="D11" s="357" t="s">
        <v>455</v>
      </c>
      <c r="E11" s="357"/>
      <c r="F11" s="357"/>
      <c r="G11" s="357"/>
      <c r="H11" s="357"/>
      <c r="I11" s="357"/>
      <c r="J11" s="357"/>
      <c r="K11" s="357"/>
      <c r="L11" s="357"/>
      <c r="M11" s="2"/>
      <c r="N11" s="2"/>
      <c r="O11" s="22"/>
    </row>
    <row r="12" spans="1:15" ht="15" customHeight="1">
      <c r="A12" s="356" t="s">
        <v>124</v>
      </c>
      <c r="B12" s="356"/>
      <c r="C12" s="356"/>
      <c r="D12" s="357" t="s">
        <v>125</v>
      </c>
      <c r="E12" s="357"/>
      <c r="F12" s="357"/>
      <c r="G12" s="357"/>
      <c r="H12" s="357"/>
      <c r="I12" s="357"/>
      <c r="J12" s="357"/>
      <c r="K12" s="357"/>
      <c r="L12" s="357"/>
      <c r="M12" s="2"/>
      <c r="N12" s="2"/>
      <c r="O12" s="22"/>
    </row>
    <row r="13" spans="1:15" ht="15" customHeight="1">
      <c r="A13" s="433" t="s">
        <v>131</v>
      </c>
      <c r="B13" s="433"/>
      <c r="C13" s="433"/>
      <c r="D13" s="433"/>
      <c r="E13" s="433"/>
      <c r="F13" s="433"/>
      <c r="G13" s="433"/>
      <c r="H13" s="433"/>
      <c r="I13" s="433"/>
      <c r="J13" s="433"/>
      <c r="K13" s="433"/>
      <c r="L13" s="433"/>
      <c r="M13" s="2"/>
      <c r="N13" s="2"/>
      <c r="O13" s="22"/>
    </row>
    <row r="14" spans="1:15" ht="26.25" customHeight="1">
      <c r="A14" s="414" t="s">
        <v>456</v>
      </c>
      <c r="B14" s="414"/>
      <c r="C14" s="414"/>
      <c r="D14" s="414"/>
      <c r="E14" s="414"/>
      <c r="F14" s="414"/>
      <c r="G14" s="414"/>
      <c r="H14" s="414"/>
      <c r="I14" s="414"/>
      <c r="J14" s="414"/>
      <c r="K14" s="414"/>
      <c r="L14" s="414"/>
      <c r="M14" s="2"/>
      <c r="N14" s="2"/>
      <c r="O14" s="22"/>
    </row>
    <row r="15" spans="1:15" ht="24" customHeight="1">
      <c r="A15" s="414" t="s">
        <v>1312</v>
      </c>
      <c r="B15" s="414"/>
      <c r="C15" s="414"/>
      <c r="D15" s="414"/>
      <c r="E15" s="414"/>
      <c r="F15" s="414"/>
      <c r="G15" s="414"/>
      <c r="H15" s="414"/>
      <c r="I15" s="414"/>
      <c r="J15" s="414"/>
      <c r="K15" s="414"/>
      <c r="L15" s="414"/>
      <c r="M15" s="2"/>
      <c r="N15" s="2"/>
      <c r="O15" s="22"/>
    </row>
    <row r="16" spans="1:15" ht="21" customHeight="1">
      <c r="A16" s="414" t="s">
        <v>1313</v>
      </c>
      <c r="B16" s="414"/>
      <c r="C16" s="414"/>
      <c r="D16" s="414"/>
      <c r="E16" s="414"/>
      <c r="F16" s="414"/>
      <c r="G16" s="414"/>
      <c r="H16" s="414"/>
      <c r="I16" s="414"/>
      <c r="J16" s="414"/>
      <c r="K16" s="414"/>
      <c r="L16" s="414"/>
      <c r="M16" s="2"/>
      <c r="N16" s="2"/>
      <c r="O16" s="22"/>
    </row>
    <row r="17" spans="1:15" ht="21.75" customHeight="1">
      <c r="A17" s="414" t="s">
        <v>1314</v>
      </c>
      <c r="B17" s="414"/>
      <c r="C17" s="414"/>
      <c r="D17" s="414"/>
      <c r="E17" s="414"/>
      <c r="F17" s="414"/>
      <c r="G17" s="414"/>
      <c r="H17" s="414"/>
      <c r="I17" s="414"/>
      <c r="J17" s="414"/>
      <c r="K17" s="414"/>
      <c r="L17" s="414"/>
      <c r="M17" s="2"/>
      <c r="N17" s="2"/>
      <c r="O17" s="22"/>
    </row>
    <row r="18" spans="1:15" ht="19.5" customHeight="1">
      <c r="A18" s="414" t="s">
        <v>1315</v>
      </c>
      <c r="B18" s="414"/>
      <c r="C18" s="414"/>
      <c r="D18" s="414"/>
      <c r="E18" s="414"/>
      <c r="F18" s="414"/>
      <c r="G18" s="414"/>
      <c r="H18" s="414"/>
      <c r="I18" s="414"/>
      <c r="J18" s="414"/>
      <c r="K18" s="414"/>
      <c r="L18" s="414"/>
      <c r="M18" s="2"/>
      <c r="N18" s="2"/>
      <c r="O18" s="22"/>
    </row>
    <row r="19" spans="1:15" ht="21" customHeight="1">
      <c r="A19" s="414" t="s">
        <v>1316</v>
      </c>
      <c r="B19" s="414"/>
      <c r="C19" s="414"/>
      <c r="D19" s="414"/>
      <c r="E19" s="414"/>
      <c r="F19" s="414"/>
      <c r="G19" s="414"/>
      <c r="H19" s="414"/>
      <c r="I19" s="414"/>
      <c r="J19" s="414"/>
      <c r="K19" s="414"/>
      <c r="L19" s="414"/>
      <c r="M19" s="2"/>
      <c r="N19" s="2"/>
      <c r="O19" s="22"/>
    </row>
    <row r="20" spans="1:15" ht="15" customHeight="1">
      <c r="A20" s="415" t="s">
        <v>463</v>
      </c>
      <c r="B20" s="415"/>
      <c r="C20" s="415"/>
      <c r="D20" s="415"/>
      <c r="E20" s="415"/>
      <c r="F20" s="415"/>
      <c r="G20" s="415"/>
      <c r="H20" s="415"/>
      <c r="I20" s="415"/>
      <c r="J20" s="415"/>
      <c r="K20" s="415"/>
      <c r="L20" s="415"/>
      <c r="M20" s="2"/>
      <c r="N20" s="2"/>
      <c r="O20" s="22"/>
    </row>
    <row r="21" spans="1:15" ht="52.5" customHeight="1">
      <c r="A21" s="356" t="s">
        <v>464</v>
      </c>
      <c r="B21" s="356"/>
      <c r="C21" s="356"/>
      <c r="D21" s="357" t="s">
        <v>1317</v>
      </c>
      <c r="E21" s="357"/>
      <c r="F21" s="357"/>
      <c r="G21" s="357"/>
      <c r="H21" s="357"/>
      <c r="I21" s="357"/>
      <c r="J21" s="357"/>
      <c r="K21" s="357"/>
      <c r="L21" s="357"/>
      <c r="M21" s="2"/>
      <c r="N21" s="2"/>
      <c r="O21" s="22"/>
    </row>
    <row r="22" spans="1:15" ht="28.5" customHeight="1">
      <c r="A22" s="356" t="s">
        <v>466</v>
      </c>
      <c r="B22" s="356"/>
      <c r="C22" s="356"/>
      <c r="D22" s="357" t="s">
        <v>1318</v>
      </c>
      <c r="E22" s="357"/>
      <c r="F22" s="357"/>
      <c r="G22" s="357"/>
      <c r="H22" s="357"/>
      <c r="I22" s="357"/>
      <c r="J22" s="357"/>
      <c r="K22" s="357"/>
      <c r="L22" s="357"/>
      <c r="M22" s="2"/>
      <c r="N22" s="2"/>
      <c r="O22" s="22"/>
    </row>
    <row r="23" spans="1:15" ht="30" customHeight="1">
      <c r="A23" s="356" t="s">
        <v>468</v>
      </c>
      <c r="B23" s="356"/>
      <c r="C23" s="356"/>
      <c r="D23" s="357" t="s">
        <v>1313</v>
      </c>
      <c r="E23" s="357"/>
      <c r="F23" s="357"/>
      <c r="G23" s="357"/>
      <c r="H23" s="357"/>
      <c r="I23" s="357"/>
      <c r="J23" s="357"/>
      <c r="K23" s="357"/>
      <c r="L23" s="357"/>
      <c r="M23" s="2"/>
      <c r="N23" s="2"/>
      <c r="O23" s="22"/>
    </row>
    <row r="24" spans="1:15" ht="24.75" customHeight="1">
      <c r="A24" s="356" t="s">
        <v>469</v>
      </c>
      <c r="B24" s="356"/>
      <c r="C24" s="356"/>
      <c r="D24" s="357" t="s">
        <v>455</v>
      </c>
      <c r="E24" s="357"/>
      <c r="F24" s="357"/>
      <c r="G24" s="357"/>
      <c r="H24" s="357"/>
      <c r="I24" s="357"/>
      <c r="J24" s="357"/>
      <c r="K24" s="357"/>
      <c r="L24" s="357"/>
      <c r="M24" s="2"/>
      <c r="N24" s="2"/>
      <c r="O24" s="22"/>
    </row>
    <row r="25" spans="1:15" ht="21.75" customHeight="1">
      <c r="A25" s="356" t="s">
        <v>8</v>
      </c>
      <c r="B25" s="356"/>
      <c r="C25" s="356"/>
      <c r="D25" s="357" t="s">
        <v>470</v>
      </c>
      <c r="E25" s="357"/>
      <c r="F25" s="357"/>
      <c r="G25" s="357"/>
      <c r="H25" s="357"/>
      <c r="I25" s="357"/>
      <c r="J25" s="357"/>
      <c r="K25" s="357"/>
      <c r="L25" s="357"/>
      <c r="M25" s="2"/>
      <c r="N25" s="2"/>
      <c r="O25" s="22"/>
    </row>
    <row r="26" spans="1:15" ht="15" customHeight="1">
      <c r="A26" s="415" t="s">
        <v>471</v>
      </c>
      <c r="B26" s="415"/>
      <c r="C26" s="415"/>
      <c r="D26" s="415"/>
      <c r="E26" s="415"/>
      <c r="F26" s="415"/>
      <c r="G26" s="415"/>
      <c r="H26" s="415"/>
      <c r="I26" s="415"/>
      <c r="J26" s="415"/>
      <c r="K26" s="415"/>
      <c r="L26" s="415"/>
      <c r="M26" s="2"/>
      <c r="N26" s="2"/>
      <c r="O26" s="22"/>
    </row>
    <row r="27" spans="1:15" ht="30" customHeight="1">
      <c r="A27" s="432" t="s">
        <v>1319</v>
      </c>
      <c r="B27" s="432"/>
      <c r="C27" s="432"/>
      <c r="D27" s="432"/>
      <c r="E27" s="432"/>
      <c r="F27" s="432"/>
      <c r="G27" s="432"/>
      <c r="H27" s="432"/>
      <c r="I27" s="432"/>
      <c r="J27" s="432"/>
      <c r="K27" s="432"/>
      <c r="L27" s="432"/>
      <c r="M27" s="2"/>
      <c r="N27" s="2"/>
      <c r="O27" s="22"/>
    </row>
    <row r="28" spans="1:15" ht="27" customHeight="1">
      <c r="A28" s="432" t="s">
        <v>1320</v>
      </c>
      <c r="B28" s="432"/>
      <c r="C28" s="432"/>
      <c r="D28" s="432"/>
      <c r="E28" s="432"/>
      <c r="F28" s="432"/>
      <c r="G28" s="432"/>
      <c r="H28" s="432"/>
      <c r="I28" s="432"/>
      <c r="J28" s="432"/>
      <c r="K28" s="432"/>
      <c r="L28" s="432"/>
      <c r="M28" s="2"/>
      <c r="N28" s="2"/>
      <c r="O28" s="22"/>
    </row>
    <row r="29" spans="1:15" ht="24.75" customHeight="1">
      <c r="A29" s="432" t="s">
        <v>1321</v>
      </c>
      <c r="B29" s="432"/>
      <c r="C29" s="432"/>
      <c r="D29" s="432"/>
      <c r="E29" s="432"/>
      <c r="F29" s="432"/>
      <c r="G29" s="432"/>
      <c r="H29" s="432"/>
      <c r="I29" s="432"/>
      <c r="J29" s="432"/>
      <c r="K29" s="432"/>
      <c r="L29" s="432"/>
      <c r="M29" s="2"/>
      <c r="N29" s="2"/>
      <c r="O29" s="22"/>
    </row>
    <row r="30" spans="1:15" ht="21.75" customHeight="1">
      <c r="A30" s="432" t="s">
        <v>1322</v>
      </c>
      <c r="B30" s="432"/>
      <c r="C30" s="432"/>
      <c r="D30" s="432"/>
      <c r="E30" s="432"/>
      <c r="F30" s="432"/>
      <c r="G30" s="432"/>
      <c r="H30" s="432"/>
      <c r="I30" s="432"/>
      <c r="J30" s="432"/>
      <c r="K30" s="432"/>
      <c r="L30" s="432"/>
      <c r="M30" s="2"/>
      <c r="N30" s="2"/>
      <c r="O30" s="22"/>
    </row>
    <row r="31" spans="1:15" ht="19.5" customHeight="1">
      <c r="A31" s="432" t="s">
        <v>1323</v>
      </c>
      <c r="B31" s="432"/>
      <c r="C31" s="432"/>
      <c r="D31" s="432"/>
      <c r="E31" s="432"/>
      <c r="F31" s="432"/>
      <c r="G31" s="432"/>
      <c r="H31" s="432"/>
      <c r="I31" s="432"/>
      <c r="J31" s="432"/>
      <c r="K31" s="432"/>
      <c r="L31" s="432"/>
      <c r="M31" s="2"/>
      <c r="N31" s="2"/>
      <c r="O31" s="22"/>
    </row>
  </sheetData>
  <sheetProtection algorithmName="SHA-512" hashValue="sKqDjtkB+9hGlCJKajzxQ5H78LckrS8L2/hLF7dRe4bwomVNCpBfUXHh48IxjOrn14wfo26o1ntxNM+L5+BQxQ==" saltValue="EQMS+lYnxRiZyo1S/l/aZQ==" spinCount="100000" sheet="1" objects="1" scenarios="1"/>
  <mergeCells count="54">
    <mergeCell ref="A1:O1"/>
    <mergeCell ref="A2:O2"/>
    <mergeCell ref="A3:O3"/>
    <mergeCell ref="A4:O4"/>
    <mergeCell ref="B5:C5"/>
    <mergeCell ref="D5:E5"/>
    <mergeCell ref="F5:G5"/>
    <mergeCell ref="H5:I5"/>
    <mergeCell ref="J5:K5"/>
    <mergeCell ref="L5:M5"/>
    <mergeCell ref="N5:O5"/>
    <mergeCell ref="L6:M6"/>
    <mergeCell ref="N6:O6"/>
    <mergeCell ref="A7:C7"/>
    <mergeCell ref="D7:L7"/>
    <mergeCell ref="A8:C8"/>
    <mergeCell ref="D8:L8"/>
    <mergeCell ref="B6:C6"/>
    <mergeCell ref="D6:E6"/>
    <mergeCell ref="F6:G6"/>
    <mergeCell ref="H6:I6"/>
    <mergeCell ref="J6:K6"/>
    <mergeCell ref="A9:C9"/>
    <mergeCell ref="D9:L9"/>
    <mergeCell ref="A10:C10"/>
    <mergeCell ref="D10:L10"/>
    <mergeCell ref="A11:C11"/>
    <mergeCell ref="D11:L11"/>
    <mergeCell ref="A12:C12"/>
    <mergeCell ref="D12:L12"/>
    <mergeCell ref="A13:L13"/>
    <mergeCell ref="A14:L14"/>
    <mergeCell ref="A15:L15"/>
    <mergeCell ref="A16:L16"/>
    <mergeCell ref="A17:L17"/>
    <mergeCell ref="A18:L18"/>
    <mergeCell ref="A19:L19"/>
    <mergeCell ref="A20:L20"/>
    <mergeCell ref="A21:C21"/>
    <mergeCell ref="D21:L21"/>
    <mergeCell ref="A22:C22"/>
    <mergeCell ref="D22:L22"/>
    <mergeCell ref="A23:C23"/>
    <mergeCell ref="D23:L23"/>
    <mergeCell ref="A24:C24"/>
    <mergeCell ref="D24:L24"/>
    <mergeCell ref="A25:C25"/>
    <mergeCell ref="D25:L25"/>
    <mergeCell ref="A26:L26"/>
    <mergeCell ref="A27:L27"/>
    <mergeCell ref="A28:L28"/>
    <mergeCell ref="A29:L29"/>
    <mergeCell ref="A30:L30"/>
    <mergeCell ref="A31:L31"/>
  </mergeCell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5"/>
  <dimension ref="A1:E15"/>
  <sheetViews>
    <sheetView showGridLines="0" zoomScaleNormal="100" workbookViewId="0">
      <pane ySplit="6" topLeftCell="A7" activePane="bottomLeft" state="frozen"/>
      <selection pane="bottomLeft"/>
    </sheetView>
  </sheetViews>
  <sheetFormatPr baseColWidth="10" defaultColWidth="8.7109375" defaultRowHeight="15"/>
  <cols>
    <col min="1" max="1" width="38" style="1" customWidth="1"/>
    <col min="2" max="2" width="30" style="1" customWidth="1"/>
    <col min="3" max="3" width="12" style="1" customWidth="1"/>
    <col min="4" max="4" width="24" style="1" customWidth="1"/>
    <col min="5" max="5" width="48" style="1" customWidth="1"/>
  </cols>
  <sheetData>
    <row r="1" spans="1:5" ht="25.5" customHeight="1">
      <c r="A1" s="57" t="s">
        <v>1308</v>
      </c>
      <c r="B1" s="58"/>
      <c r="C1" s="58"/>
      <c r="D1" s="58"/>
      <c r="E1" s="58"/>
    </row>
    <row r="2" spans="1:5" ht="15" customHeight="1">
      <c r="A2" s="427" t="s">
        <v>1324</v>
      </c>
      <c r="B2" s="427"/>
      <c r="C2" s="427"/>
      <c r="D2" s="427"/>
      <c r="E2" s="427"/>
    </row>
    <row r="3" spans="1:5" ht="15" customHeight="1">
      <c r="A3" s="185" t="str">
        <f>HYPERLINK("#M16_INICIO!A1","◀ INICIO")</f>
        <v>◀ INICIO</v>
      </c>
      <c r="B3" s="438" t="str">
        <f>HYPERLINK("#M16_CALCULOS!A1","▶  CALCULOS")</f>
        <v>▶  CALCULOS</v>
      </c>
      <c r="C3" s="438"/>
      <c r="D3" s="438" t="str">
        <f>HYPERLINK("#M16_RESULTADOS!A1","▶ RESULTADOS")</f>
        <v>▶ RESULTADOS</v>
      </c>
      <c r="E3" s="438"/>
    </row>
    <row r="4" spans="1:5" ht="19.5" customHeight="1">
      <c r="A4" s="367" t="s">
        <v>479</v>
      </c>
      <c r="B4" s="367"/>
      <c r="C4" s="367"/>
      <c r="D4" s="367"/>
      <c r="E4" s="367"/>
    </row>
    <row r="5" spans="1:5" ht="15" customHeight="1">
      <c r="A5" s="368" t="s">
        <v>1325</v>
      </c>
      <c r="B5" s="368"/>
      <c r="C5" s="368"/>
      <c r="D5" s="368"/>
      <c r="E5" s="368"/>
    </row>
    <row r="6" spans="1:5" ht="15" customHeight="1">
      <c r="A6" s="134" t="s">
        <v>15</v>
      </c>
      <c r="B6" s="134" t="s">
        <v>16</v>
      </c>
      <c r="C6" s="134" t="s">
        <v>43</v>
      </c>
      <c r="D6" s="134" t="s">
        <v>481</v>
      </c>
      <c r="E6" s="134" t="s">
        <v>482</v>
      </c>
    </row>
    <row r="7" spans="1:5" ht="15" customHeight="1">
      <c r="A7" s="63" t="s">
        <v>483</v>
      </c>
      <c r="B7" s="66" t="str">
        <f>DATOS!$B$7</f>
        <v>NMX-2026-0028</v>
      </c>
      <c r="C7" s="151" t="s">
        <v>151</v>
      </c>
      <c r="D7" s="152" t="s">
        <v>484</v>
      </c>
      <c r="E7" s="152" t="s">
        <v>485</v>
      </c>
    </row>
    <row r="8" spans="1:5" ht="15" customHeight="1">
      <c r="A8" s="63" t="s">
        <v>19</v>
      </c>
      <c r="B8" s="67">
        <f>DATOS!$B$8</f>
        <v>46236</v>
      </c>
      <c r="C8" s="151" t="s">
        <v>486</v>
      </c>
      <c r="D8" s="152" t="s">
        <v>19</v>
      </c>
      <c r="E8" s="152" t="s">
        <v>487</v>
      </c>
    </row>
    <row r="9" spans="1:5" ht="15" customHeight="1">
      <c r="A9" s="63" t="s">
        <v>488</v>
      </c>
      <c r="B9" s="66" t="str">
        <f>DATOS!$B$9</f>
        <v>PER-0007</v>
      </c>
      <c r="C9" s="151" t="s">
        <v>151</v>
      </c>
      <c r="D9" s="152" t="s">
        <v>484</v>
      </c>
      <c r="E9" s="152" t="s">
        <v>489</v>
      </c>
    </row>
    <row r="10" spans="1:5" ht="15" customHeight="1">
      <c r="A10" s="63" t="s">
        <v>490</v>
      </c>
      <c r="B10" s="66" t="str">
        <f>DATOS!$B$10</f>
        <v>Hombre</v>
      </c>
      <c r="C10" s="151" t="s">
        <v>151</v>
      </c>
      <c r="D10" s="152" t="s">
        <v>491</v>
      </c>
      <c r="E10" s="152" t="s">
        <v>1326</v>
      </c>
    </row>
    <row r="11" spans="1:5" ht="15" customHeight="1">
      <c r="A11" s="63" t="s">
        <v>493</v>
      </c>
      <c r="B11" s="68">
        <f>DATOS!$B$11</f>
        <v>34</v>
      </c>
      <c r="C11" s="151" t="s">
        <v>494</v>
      </c>
      <c r="D11" s="152" t="s">
        <v>495</v>
      </c>
      <c r="E11" s="152" t="s">
        <v>496</v>
      </c>
    </row>
    <row r="12" spans="1:5" ht="15" customHeight="1">
      <c r="A12" s="63" t="s">
        <v>66</v>
      </c>
      <c r="B12" s="69">
        <f>DATOS!$B$12</f>
        <v>78.5</v>
      </c>
      <c r="C12" s="151" t="s">
        <v>497</v>
      </c>
      <c r="D12" s="152" t="s">
        <v>498</v>
      </c>
      <c r="E12" s="152" t="s">
        <v>1327</v>
      </c>
    </row>
    <row r="13" spans="1:5" ht="15" customHeight="1">
      <c r="A13" s="63" t="s">
        <v>500</v>
      </c>
      <c r="B13" s="69">
        <f>DATOS!$B$13</f>
        <v>176</v>
      </c>
      <c r="C13" s="151" t="s">
        <v>56</v>
      </c>
      <c r="D13" s="152" t="s">
        <v>501</v>
      </c>
      <c r="E13" s="152" t="s">
        <v>1328</v>
      </c>
    </row>
    <row r="14" spans="1:5" ht="15" customHeight="1">
      <c r="A14" s="63" t="s">
        <v>27</v>
      </c>
      <c r="B14" s="66" t="str">
        <f>DATOS!$B$14</f>
        <v>EVAL-01</v>
      </c>
      <c r="C14" s="151" t="s">
        <v>151</v>
      </c>
      <c r="D14" s="152" t="s">
        <v>484</v>
      </c>
      <c r="E14" s="152" t="s">
        <v>1329</v>
      </c>
    </row>
    <row r="15" spans="1:5" ht="15" customHeight="1">
      <c r="A15" s="63" t="s">
        <v>33</v>
      </c>
      <c r="B15" s="66">
        <f>DATOS!$B$17</f>
        <v>0</v>
      </c>
      <c r="C15" s="151" t="s">
        <v>151</v>
      </c>
      <c r="D15" s="152" t="s">
        <v>484</v>
      </c>
      <c r="E15" s="152" t="s">
        <v>1330</v>
      </c>
    </row>
  </sheetData>
  <sheetProtection algorithmName="SHA-512" hashValue="PkOJ9nMJowB7FrvyBd1WD0RCE065NATKpVAM1BhTCEkcblKHm+WFP7K/hC031YxkFs2zNkSzBZ/mLhFNF0hHdw==" saltValue="QzAG6Wt3ZFvCg9kRupqZ1w==" spinCount="100000" sheet="1" objects="1" scenarios="1"/>
  <mergeCells count="5">
    <mergeCell ref="A2:E2"/>
    <mergeCell ref="B3:C3"/>
    <mergeCell ref="D3:E3"/>
    <mergeCell ref="A4:E4"/>
    <mergeCell ref="A5:E5"/>
  </mergeCells>
  <dataValidations count="4">
    <dataValidation type="list" allowBlank="1" sqref="B10" xr:uid="{00000000-0002-0000-2200-000000000000}">
      <formula1>M16_SEXOS</formula1>
      <formula2>0</formula2>
    </dataValidation>
    <dataValidation type="decimal" allowBlank="1" sqref="B11" xr:uid="{00000000-0002-0000-2200-000001000000}">
      <formula1>M16_EDAD_MIN</formula1>
      <formula2>edad_max</formula2>
    </dataValidation>
    <dataValidation type="decimal" allowBlank="1" sqref="B12" xr:uid="{00000000-0002-0000-2200-000002000000}">
      <formula1>M16_PESO_MIN</formula1>
      <formula2>peso_max</formula2>
    </dataValidation>
    <dataValidation type="decimal" allowBlank="1" sqref="B13" xr:uid="{00000000-0002-0000-2200-000003000000}">
      <formula1>M16_EST_MIN</formula1>
      <formula2>est_max</formula2>
    </dataValidation>
  </dataValidation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6"/>
  <dimension ref="A1:E19"/>
  <sheetViews>
    <sheetView showGridLines="0" zoomScaleNormal="100" workbookViewId="0">
      <pane ySplit="6" topLeftCell="A7" activePane="bottomLeft" state="frozen"/>
      <selection pane="bottomLeft" activeCell="U27" sqref="U27"/>
    </sheetView>
  </sheetViews>
  <sheetFormatPr baseColWidth="10" defaultColWidth="8.7109375" defaultRowHeight="15"/>
  <cols>
    <col min="1" max="1" width="5" style="1" customWidth="1"/>
    <col min="2" max="2" width="34" style="1" customWidth="1"/>
    <col min="3" max="3" width="12" style="1" customWidth="1"/>
    <col min="4" max="4" width="10" style="1" customWidth="1"/>
    <col min="5" max="5" width="46" style="1" customWidth="1"/>
  </cols>
  <sheetData>
    <row r="1" spans="1:5" ht="25.5" customHeight="1">
      <c r="A1" s="57" t="s">
        <v>1308</v>
      </c>
      <c r="B1" s="58"/>
      <c r="C1" s="58"/>
      <c r="D1" s="58"/>
      <c r="E1" s="58"/>
    </row>
    <row r="2" spans="1:5" ht="15" customHeight="1">
      <c r="A2" s="427" t="s">
        <v>1331</v>
      </c>
      <c r="B2" s="427"/>
      <c r="C2" s="427"/>
      <c r="D2" s="427"/>
      <c r="E2" s="427"/>
    </row>
    <row r="3" spans="1:5" ht="43.5" customHeight="1">
      <c r="A3" s="367" t="s">
        <v>1332</v>
      </c>
      <c r="B3" s="367"/>
      <c r="C3" s="367"/>
      <c r="D3" s="367"/>
      <c r="E3" s="367"/>
    </row>
    <row r="4" spans="1:5" ht="15" customHeight="1">
      <c r="A4" s="439" t="str">
        <f>HYPERLINK("#M16_DATOS!A1","◀ DATOS")</f>
        <v>◀ DATOS</v>
      </c>
      <c r="B4" s="439"/>
      <c r="C4" s="440" t="str">
        <f>HYPERLINK("#M16_CALCULOS!A1","◀  CALCULOS")</f>
        <v>◀  CALCULOS</v>
      </c>
      <c r="D4" s="440"/>
      <c r="E4" s="440"/>
    </row>
    <row r="5" spans="1:5">
      <c r="A5" s="22"/>
      <c r="B5" s="22"/>
      <c r="C5" s="22"/>
      <c r="D5" s="22"/>
      <c r="E5" s="22"/>
    </row>
    <row r="6" spans="1:5" ht="15" customHeight="1">
      <c r="A6" s="186" t="s">
        <v>236</v>
      </c>
      <c r="B6" s="186" t="s">
        <v>1333</v>
      </c>
      <c r="C6" s="186" t="s">
        <v>16</v>
      </c>
      <c r="D6" s="186" t="s">
        <v>43</v>
      </c>
      <c r="E6" s="186" t="s">
        <v>519</v>
      </c>
    </row>
    <row r="7" spans="1:5" ht="15" customHeight="1">
      <c r="A7" s="78" t="s">
        <v>1334</v>
      </c>
      <c r="B7" s="78"/>
      <c r="C7" s="187"/>
      <c r="D7" s="187"/>
      <c r="E7" s="187"/>
    </row>
    <row r="8" spans="1:5" ht="15" customHeight="1">
      <c r="A8" s="188">
        <v>1</v>
      </c>
      <c r="B8" s="63" t="s">
        <v>49</v>
      </c>
      <c r="C8" s="69">
        <f>MED_Tri</f>
        <v>12</v>
      </c>
      <c r="D8" s="151" t="s">
        <v>47</v>
      </c>
      <c r="E8" s="152" t="s">
        <v>523</v>
      </c>
    </row>
    <row r="9" spans="1:5" ht="15" customHeight="1">
      <c r="A9" s="188">
        <v>2</v>
      </c>
      <c r="B9" s="63" t="s">
        <v>50</v>
      </c>
      <c r="C9" s="69">
        <f>MED_Sub</f>
        <v>14</v>
      </c>
      <c r="D9" s="151" t="s">
        <v>47</v>
      </c>
      <c r="E9" s="152" t="s">
        <v>524</v>
      </c>
    </row>
    <row r="10" spans="1:5" ht="15" customHeight="1">
      <c r="A10" s="188">
        <v>3</v>
      </c>
      <c r="B10" s="63" t="s">
        <v>1335</v>
      </c>
      <c r="C10" s="69">
        <f>MED_Supra</f>
        <v>16</v>
      </c>
      <c r="D10" s="151" t="s">
        <v>47</v>
      </c>
      <c r="E10" s="152" t="s">
        <v>1336</v>
      </c>
    </row>
    <row r="11" spans="1:5" ht="15" customHeight="1">
      <c r="A11" s="188">
        <v>4</v>
      </c>
      <c r="B11" s="63" t="s">
        <v>409</v>
      </c>
      <c r="C11" s="69">
        <f>MED_Pant</f>
        <v>37</v>
      </c>
      <c r="D11" s="151" t="s">
        <v>47</v>
      </c>
      <c r="E11" s="152" t="s">
        <v>1337</v>
      </c>
    </row>
    <row r="12" spans="1:5" ht="15" customHeight="1">
      <c r="A12" s="78" t="s">
        <v>1338</v>
      </c>
      <c r="B12" s="78"/>
      <c r="C12" s="187"/>
      <c r="D12" s="189"/>
      <c r="E12" s="189"/>
    </row>
    <row r="13" spans="1:5" ht="15" customHeight="1">
      <c r="A13" s="188">
        <v>5</v>
      </c>
      <c r="B13" s="63" t="s">
        <v>1339</v>
      </c>
      <c r="C13" s="69">
        <f>MED_Hum</f>
        <v>7</v>
      </c>
      <c r="D13" s="151" t="s">
        <v>56</v>
      </c>
      <c r="E13" s="152" t="s">
        <v>1340</v>
      </c>
    </row>
    <row r="14" spans="1:5" ht="15" customHeight="1">
      <c r="A14" s="188">
        <v>6</v>
      </c>
      <c r="B14" s="63" t="s">
        <v>1341</v>
      </c>
      <c r="C14" s="69">
        <f>MED_Fem</f>
        <v>9</v>
      </c>
      <c r="D14" s="151" t="s">
        <v>56</v>
      </c>
      <c r="E14" s="152" t="s">
        <v>1342</v>
      </c>
    </row>
    <row r="15" spans="1:5" ht="15" customHeight="1">
      <c r="A15" s="78" t="s">
        <v>1343</v>
      </c>
      <c r="B15" s="78"/>
      <c r="C15" s="187"/>
      <c r="D15" s="189"/>
      <c r="E15" s="189"/>
    </row>
    <row r="16" spans="1:5" ht="15" customHeight="1">
      <c r="A16" s="188">
        <v>7</v>
      </c>
      <c r="B16" s="63" t="s">
        <v>1344</v>
      </c>
      <c r="C16" s="69">
        <f>MED_BrazoG</f>
        <v>32</v>
      </c>
      <c r="D16" s="151" t="s">
        <v>56</v>
      </c>
      <c r="E16" s="152" t="s">
        <v>1345</v>
      </c>
    </row>
    <row r="17" spans="1:5" ht="15" customHeight="1">
      <c r="A17" s="188">
        <v>8</v>
      </c>
      <c r="B17" s="63" t="s">
        <v>1346</v>
      </c>
      <c r="C17" s="69">
        <f>MED_PantG</f>
        <v>36</v>
      </c>
      <c r="D17" s="151" t="s">
        <v>56</v>
      </c>
      <c r="E17" s="152" t="s">
        <v>1347</v>
      </c>
    </row>
    <row r="18" spans="1:5" ht="15" customHeight="1">
      <c r="A18" s="441" t="s">
        <v>1348</v>
      </c>
      <c r="B18" s="441"/>
      <c r="C18" s="441"/>
      <c r="D18" s="441"/>
      <c r="E18" s="441"/>
    </row>
    <row r="19" spans="1:5" ht="15" customHeight="1">
      <c r="A19" s="441"/>
      <c r="B19" s="441"/>
      <c r="C19" s="441"/>
      <c r="D19" s="441"/>
      <c r="E19" s="441"/>
    </row>
  </sheetData>
  <sheetProtection algorithmName="SHA-512" hashValue="49IVIWL45gCOAkZsTgQifiQI0arvSsTxK4PSLuYvrdct5PU5erAbq818hRA0mGEyf43KeIY6h0LHIHWm7eYfeQ==" saltValue="Ecb9NxQSYcEDwbOwXJ28yA==" spinCount="100000" sheet="1" objects="1" scenarios="1"/>
  <mergeCells count="5">
    <mergeCell ref="A2:E2"/>
    <mergeCell ref="A3:E3"/>
    <mergeCell ref="A4:B4"/>
    <mergeCell ref="C4:E4"/>
    <mergeCell ref="A18:E19"/>
  </mergeCells>
  <dataValidations count="3">
    <dataValidation type="decimal" allowBlank="1" sqref="C8:C11" xr:uid="{00000000-0002-0000-2300-000000000000}">
      <formula1>M16_PLI_MIN</formula1>
      <formula2>pli_max</formula2>
    </dataValidation>
    <dataValidation type="decimal" allowBlank="1" sqref="C13:C14" xr:uid="{00000000-0002-0000-2300-000001000000}">
      <formula1>M16_DIA_MIN</formula1>
      <formula2>dia_max</formula2>
    </dataValidation>
    <dataValidation type="decimal" allowBlank="1" sqref="C16:C17" xr:uid="{00000000-0002-0000-2300-000002000000}">
      <formula1>M16_PER_MIN</formula1>
      <formula2>per_max</formula2>
    </dataValidation>
  </dataValidation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7"/>
  <dimension ref="A1:D39"/>
  <sheetViews>
    <sheetView showGridLines="0" zoomScaleNormal="100" workbookViewId="0">
      <pane ySplit="5" topLeftCell="A6" activePane="bottomLeft" state="frozen"/>
      <selection pane="bottomLeft"/>
    </sheetView>
  </sheetViews>
  <sheetFormatPr baseColWidth="10" defaultColWidth="8.7109375" defaultRowHeight="15"/>
  <cols>
    <col min="1" max="1" width="46" style="1" customWidth="1"/>
    <col min="2" max="2" width="25.7109375" style="1" customWidth="1"/>
    <col min="3" max="3" width="12" style="1" customWidth="1"/>
    <col min="4" max="4" width="47.140625" style="1" customWidth="1"/>
  </cols>
  <sheetData>
    <row r="1" spans="1:4" ht="25.5" customHeight="1">
      <c r="A1" s="57" t="s">
        <v>1308</v>
      </c>
      <c r="B1" s="58"/>
      <c r="C1" s="58"/>
      <c r="D1" s="58"/>
    </row>
    <row r="2" spans="1:4" ht="15" customHeight="1">
      <c r="A2" s="429" t="s">
        <v>1349</v>
      </c>
      <c r="B2" s="429"/>
      <c r="C2" s="429"/>
      <c r="D2" s="429"/>
    </row>
    <row r="3" spans="1:4" ht="15" customHeight="1">
      <c r="A3" s="185" t="str">
        <f>HYPERLINK("#M16_DATOS!A1","◀ DATOS")</f>
        <v>◀ DATOS</v>
      </c>
      <c r="B3" s="190" t="str">
        <f>HYPERLINK("#M16_MEDIDAS!A1", "◀ MEDIDAS")</f>
        <v>◀ MEDIDAS</v>
      </c>
      <c r="C3" s="439" t="str">
        <f>HYPERLINK("#M16_RESULTADOS!A1","▶ RESULTADOS")</f>
        <v>▶ RESULTADOS</v>
      </c>
      <c r="D3" s="439"/>
    </row>
    <row r="4" spans="1:4" ht="27.75" customHeight="1">
      <c r="A4" s="367" t="s">
        <v>1350</v>
      </c>
      <c r="B4" s="367"/>
      <c r="C4" s="367"/>
      <c r="D4" s="367"/>
    </row>
    <row r="5" spans="1:4">
      <c r="A5" s="22"/>
      <c r="B5" s="22"/>
      <c r="C5" s="22"/>
      <c r="D5" s="22"/>
    </row>
    <row r="6" spans="1:4" ht="15" customHeight="1">
      <c r="A6" s="158" t="s">
        <v>1351</v>
      </c>
      <c r="B6" s="159"/>
      <c r="C6" s="159"/>
      <c r="D6" s="159"/>
    </row>
    <row r="7" spans="1:4" ht="15" customHeight="1">
      <c r="A7" s="160" t="s">
        <v>551</v>
      </c>
      <c r="B7" s="160" t="s">
        <v>16</v>
      </c>
      <c r="C7" s="160" t="s">
        <v>43</v>
      </c>
      <c r="D7" s="160" t="s">
        <v>552</v>
      </c>
    </row>
    <row r="8" spans="1:4" ht="15" customHeight="1">
      <c r="A8" s="150" t="s">
        <v>553</v>
      </c>
      <c r="B8" s="162">
        <f>IF(ISNUMBER(M16_in_Est),M16_in_Est/100,"ND")</f>
        <v>1.76</v>
      </c>
      <c r="C8" s="151" t="s">
        <v>554</v>
      </c>
      <c r="D8" s="152" t="s">
        <v>555</v>
      </c>
    </row>
    <row r="9" spans="1:4" ht="15" customHeight="1">
      <c r="A9" s="150" t="s">
        <v>1352</v>
      </c>
      <c r="B9" s="164">
        <f>IF(AND(ISNUMBER(M16_m_Tri),ISNUMBER(M16_m_Sub),ISNUMBER(M16_m_Sup)),M16_m_Tri+M16_m_Sub+M16_m_Sup,"ND: faltan pliegues")</f>
        <v>42</v>
      </c>
      <c r="C9" s="151" t="s">
        <v>47</v>
      </c>
      <c r="D9" s="152" t="s">
        <v>1353</v>
      </c>
    </row>
    <row r="10" spans="1:4" ht="15" customHeight="1">
      <c r="A10" s="150" t="s">
        <v>1354</v>
      </c>
      <c r="B10" s="162">
        <f>IF(AND(ISNUMBER(M16_c_Sum3),ISNUMBER(M16_in_Est),M16_in_Est&gt;0),M16_c_Sum3*(M16_ENDO_HREF/M16_in_Est),"ND")</f>
        <v>40.611136363636362</v>
      </c>
      <c r="C10" s="151" t="s">
        <v>47</v>
      </c>
      <c r="D10" s="152" t="s">
        <v>1355</v>
      </c>
    </row>
    <row r="11" spans="1:4" ht="15" customHeight="1">
      <c r="A11" s="150" t="s">
        <v>1356</v>
      </c>
      <c r="B11" s="163">
        <f>IF(AND(ISNUMBER(M16_m_ArmG),ISNUMBER(M16_m_Tri)),M16_m_ArmG-M16_m_Tri/10,"ND")</f>
        <v>30.8</v>
      </c>
      <c r="C11" s="151" t="s">
        <v>56</v>
      </c>
      <c r="D11" s="152" t="s">
        <v>1357</v>
      </c>
    </row>
    <row r="12" spans="1:4" ht="15" customHeight="1">
      <c r="A12" s="150" t="s">
        <v>1358</v>
      </c>
      <c r="B12" s="163">
        <f>IF(AND(ISNUMBER(M16_m_CalfG),ISNUMBER(M16_m_Calf)),M16_m_CalfG-M16_m_Calf/10,"ND")</f>
        <v>32.299999999999997</v>
      </c>
      <c r="C12" s="151" t="s">
        <v>56</v>
      </c>
      <c r="D12" s="152" t="s">
        <v>1359</v>
      </c>
    </row>
    <row r="13" spans="1:4" ht="15" customHeight="1">
      <c r="A13" s="150" t="s">
        <v>1360</v>
      </c>
      <c r="B13" s="162">
        <f>IF(AND(ISNUMBER(M16_in_Est),ISNUMBER(M16_in_Peso),M16_in_Peso&gt;0),M16_in_Est/(M16_in_Peso^(1/3)),"ND")</f>
        <v>41.10450748988054</v>
      </c>
      <c r="C13" s="151" t="s">
        <v>151</v>
      </c>
      <c r="D13" s="152" t="s">
        <v>1361</v>
      </c>
    </row>
    <row r="14" spans="1:4" ht="15" customHeight="1">
      <c r="A14" s="158" t="s">
        <v>566</v>
      </c>
      <c r="B14" s="159"/>
      <c r="C14" s="159"/>
      <c r="D14" s="159"/>
    </row>
    <row r="15" spans="1:4" ht="15" customHeight="1">
      <c r="A15" s="160" t="s">
        <v>551</v>
      </c>
      <c r="B15" s="160" t="s">
        <v>16</v>
      </c>
      <c r="C15" s="160" t="s">
        <v>43</v>
      </c>
      <c r="D15" s="160" t="s">
        <v>552</v>
      </c>
    </row>
    <row r="16" spans="1:4" ht="15" customHeight="1">
      <c r="A16" s="150" t="s">
        <v>567</v>
      </c>
      <c r="B16" s="166" t="str">
        <f>IF(AND(ISNUMBER(M16_in_Edad),M16_in_Edad&gt;=M16_EDAD_MIN,M16_in_Edad&lt;=M16_EDAD_MAX,ISNUMBER(M16_in_Peso),M16_in_Peso&gt;=M16_PESO_MIN,M16_in_Peso&lt;=M16_PESO_MAX,ISNUMBER(M16_in_Est),M16_in_Est&gt;=M16_EST_MIN,M16_in_Est&lt;=M16_EST_MAX),"SÍ","NO")</f>
        <v>SÍ</v>
      </c>
      <c r="C16" s="151" t="s">
        <v>151</v>
      </c>
      <c r="D16" s="152" t="s">
        <v>1362</v>
      </c>
    </row>
    <row r="17" spans="1:4" ht="15" customHeight="1">
      <c r="A17" s="158" t="s">
        <v>1363</v>
      </c>
      <c r="B17" s="159"/>
      <c r="C17" s="159"/>
      <c r="D17" s="159"/>
    </row>
    <row r="18" spans="1:4" ht="15" customHeight="1">
      <c r="A18" s="160" t="s">
        <v>551</v>
      </c>
      <c r="B18" s="160" t="s">
        <v>16</v>
      </c>
      <c r="C18" s="160" t="s">
        <v>43</v>
      </c>
      <c r="D18" s="160" t="s">
        <v>552</v>
      </c>
    </row>
    <row r="19" spans="1:4" ht="15" customHeight="1">
      <c r="A19" s="150" t="s">
        <v>93</v>
      </c>
      <c r="B19" s="191">
        <f>IF(AND(M16_c_Gate="SÍ",ISNUMBER(M16_c_Xcorr)),MAX(M16_MIN_COMP,M16_ENDO_C0+M16_ENDO_C1*M16_c_Xcorr-M16_ENDO_C2*M16_c_Xcorr^2+M16_ENDO_C3*M16_c_Xcorr^3),"ND")</f>
        <v>4.1467459984187576</v>
      </c>
      <c r="C19" s="151" t="s">
        <v>151</v>
      </c>
      <c r="D19" s="152" t="s">
        <v>1364</v>
      </c>
    </row>
    <row r="20" spans="1:4" ht="15" customHeight="1">
      <c r="A20" s="150" t="s">
        <v>95</v>
      </c>
      <c r="B20" s="191">
        <f>IF(AND(M16_c_Gate="SÍ",ISNUMBER(M16_m_Hum),ISNUMBER(M16_m_Fem),ISNUMBER(M16_c_CAG),ISNUMBER(M16_c_CCG),ISNUMBER(M16_in_Est)),MAX(M16_MIN_COMP,M16_MESO_HB*M16_m_Hum+M16_MESO_FB*M16_m_Fem+M16_MESO_CAG*M16_c_CAG+M16_MESO_CCG*M16_c_CCG-M16_MESO_H*M16_in_Est+M16_MESO_K),"ND")</f>
        <v>3.849699999999995</v>
      </c>
      <c r="C20" s="151" t="s">
        <v>151</v>
      </c>
      <c r="D20" s="152" t="s">
        <v>1365</v>
      </c>
    </row>
    <row r="21" spans="1:4" ht="15" customHeight="1">
      <c r="A21" s="150" t="s">
        <v>96</v>
      </c>
      <c r="B21" s="191">
        <f>IF(AND(M16_c_Gate="SÍ",ISNUMBER(M16_c_HWR)),MAX(M16_MIN_COMP,IF(M16_c_HWR&gt;=M16_ECTO_T1,M16_ECTO_A1*M16_c_HWR-M16_ECTO_B1,IF(M16_c_HWR&gt;M16_ECTO_T2,M16_ECTO_A2*M16_c_HWR-M16_ECTO_B2,M16_MIN_COMP))),"ND")</f>
        <v>1.5084994825925548</v>
      </c>
      <c r="C21" s="151" t="s">
        <v>151</v>
      </c>
      <c r="D21" s="152" t="s">
        <v>1366</v>
      </c>
    </row>
    <row r="22" spans="1:4" ht="15" customHeight="1">
      <c r="A22" s="150" t="s">
        <v>72</v>
      </c>
      <c r="B22" s="192" t="str">
        <f>IF(AND(ISNUMBER(M16_c_Endo),ISNUMBER(M16_c_Meso),ISNUMBER(M16_c_Ecto)),TEXT(M16_c_Endo,"0.0")&amp;" - "&amp;TEXT(M16_c_Meso,"0.0")&amp;" - "&amp;TEXT(M16_c_Ecto,"0.0"),"ND")</f>
        <v>04 - 04 - 02</v>
      </c>
      <c r="C22" s="151" t="s">
        <v>151</v>
      </c>
      <c r="D22" s="152" t="s">
        <v>1367</v>
      </c>
    </row>
    <row r="23" spans="1:4" ht="15" customHeight="1">
      <c r="A23" s="158" t="s">
        <v>1368</v>
      </c>
      <c r="B23" s="159"/>
      <c r="C23" s="159"/>
      <c r="D23" s="159"/>
    </row>
    <row r="24" spans="1:4" ht="15" customHeight="1">
      <c r="A24" s="160" t="s">
        <v>551</v>
      </c>
      <c r="B24" s="160" t="s">
        <v>16</v>
      </c>
      <c r="C24" s="160" t="s">
        <v>43</v>
      </c>
      <c r="D24" s="160" t="s">
        <v>552</v>
      </c>
    </row>
    <row r="25" spans="1:4" ht="15" customHeight="1">
      <c r="A25" s="150" t="s">
        <v>1369</v>
      </c>
      <c r="B25" s="162">
        <f>IF(AND(ISNUMBER(M16_c_Endo),ISNUMBER(M16_c_Ecto)),M16_c_Ecto-M16_c_Endo,"ND")</f>
        <v>-2.6382465158262027</v>
      </c>
      <c r="C25" s="151" t="s">
        <v>151</v>
      </c>
      <c r="D25" s="152" t="s">
        <v>1370</v>
      </c>
    </row>
    <row r="26" spans="1:4" ht="15" customHeight="1">
      <c r="A26" s="150" t="s">
        <v>1371</v>
      </c>
      <c r="B26" s="162">
        <f>IF(AND(ISNUMBER(M16_c_Endo),ISNUMBER(M16_c_Meso),ISNUMBER(M16_c_Ecto)),2*M16_c_Meso-(M16_c_Endo+M16_c_Ecto),"ND")</f>
        <v>2.0441545189886776</v>
      </c>
      <c r="C26" s="151" t="s">
        <v>151</v>
      </c>
      <c r="D26" s="152" t="s">
        <v>1372</v>
      </c>
    </row>
    <row r="27" spans="1:4" ht="15" customHeight="1">
      <c r="A27" s="150" t="s">
        <v>1373</v>
      </c>
      <c r="B27" s="163">
        <f>IF(ISNUMBER(M16_c_Endo),MAX(M16_c_Endo,M16_c_Meso,M16_c_Ecto),"ND")</f>
        <v>4.1467459984187576</v>
      </c>
      <c r="C27" s="151" t="s">
        <v>151</v>
      </c>
      <c r="D27" s="152"/>
    </row>
    <row r="28" spans="1:4" ht="15" customHeight="1">
      <c r="A28" s="150" t="s">
        <v>1374</v>
      </c>
      <c r="B28" s="163">
        <f>IF(ISNUMBER(M16_c_Endo),MIN(M16_c_Endo,M16_c_Meso,M16_c_Ecto),"ND")</f>
        <v>1.5084994825925548</v>
      </c>
      <c r="C28" s="151" t="s">
        <v>151</v>
      </c>
      <c r="D28" s="152"/>
    </row>
    <row r="29" spans="1:4" ht="15" customHeight="1">
      <c r="A29" s="150" t="s">
        <v>1375</v>
      </c>
      <c r="B29" s="163">
        <f>IF(ISNUMBER(M16_c_Endo),M16_c_Endo+M16_c_Meso+M16_c_Ecto-M16_c_mx-M16_c_mn,"ND")</f>
        <v>3.8496999999999959</v>
      </c>
      <c r="C29" s="151" t="s">
        <v>151</v>
      </c>
      <c r="D29" s="152"/>
    </row>
    <row r="30" spans="1:4" ht="15" customHeight="1">
      <c r="A30" s="150" t="s">
        <v>1376</v>
      </c>
      <c r="B30" s="166" t="str">
        <f>IF(AND(ISNUMBER(M16_c_Endo),ISNUMBER(M16_c_Meso),ISNUMBER(M16_c_Ecto)),IF((M16_c_mx-M16_c_mn)&lt;=1,"Central",IF((M16_c_mx-M16_c_mid)&lt;=0.5,IF(M16_c_mn=M16_c_Ecto,"Endomorfo-mesomorfo",IF(M16_c_mn=M16_c_Endo,"Mesomorfo-ectomorfo","Endomorfo-ectomorfo")),IF((M16_c_mid-M16_c_mn)&lt;=0.5,IF(M16_c_mx=M16_c_Meso,"Mesomorfo",IF(M16_c_mx=M16_c_Endo,"Endomorfo","Ectomorfo"))&amp;" balanceado",IF(M16_c_mx=M16_c_Meso,"Mesomorfo",IF(M16_c_mx=M16_c_Endo,"Endomorfo","Ectomorfo"))&amp;" "&amp;IF(M16_c_mid=M16_c_Endo,"endomórfico",IF(M16_c_mid=M16_c_Meso,"mesomórfico","ectomórfico"))))),"ND")</f>
        <v>Endomorfo-mesomorfo</v>
      </c>
      <c r="C30" s="151" t="s">
        <v>151</v>
      </c>
      <c r="D30" s="152" t="s">
        <v>1377</v>
      </c>
    </row>
    <row r="31" spans="1:4" ht="15" customHeight="1">
      <c r="A31" s="158" t="s">
        <v>1378</v>
      </c>
      <c r="B31" s="159"/>
      <c r="C31" s="159"/>
      <c r="D31" s="159"/>
    </row>
    <row r="32" spans="1:4" ht="15" customHeight="1">
      <c r="A32" s="78" t="s">
        <v>551</v>
      </c>
      <c r="B32" s="78" t="s">
        <v>16</v>
      </c>
      <c r="C32" s="78" t="s">
        <v>43</v>
      </c>
      <c r="D32" s="78" t="s">
        <v>552</v>
      </c>
    </row>
    <row r="33" spans="1:4" ht="15" customHeight="1">
      <c r="A33" s="72" t="s">
        <v>615</v>
      </c>
      <c r="B33" s="382" t="str">
        <f>IF(M16_c_Gate="NO","Corrija los datos imposibles (edad, peso o estatura) antes de interpretar.","—")</f>
        <v>—</v>
      </c>
      <c r="C33" s="382"/>
      <c r="D33" s="382"/>
    </row>
    <row r="34" spans="1:4" ht="15" customHeight="1">
      <c r="A34" s="72" t="s">
        <v>1379</v>
      </c>
      <c r="B34" s="382" t="str">
        <f>IF(ISNUMBER(M16_c_Endo),"—","Faltan pliegues (tríceps, subescapular o supraespinal) para la endomorfia.")</f>
        <v>—</v>
      </c>
      <c r="C34" s="382"/>
      <c r="D34" s="382"/>
    </row>
    <row r="35" spans="1:4" ht="15" customHeight="1">
      <c r="A35" s="72" t="s">
        <v>1380</v>
      </c>
      <c r="B35" s="382" t="str">
        <f>IF(ISNUMBER(M16_c_Meso),"—","Faltan diámetros o perímetros para la mesomorfia.")</f>
        <v>—</v>
      </c>
      <c r="C35" s="382"/>
      <c r="D35" s="382"/>
    </row>
    <row r="36" spans="1:4" ht="15" customHeight="1">
      <c r="A36" s="72" t="s">
        <v>1381</v>
      </c>
      <c r="B36" s="382" t="str">
        <f>IF(ISNUMBER(M16_c_Ecto),"—","Falta peso o estatura para la ectomorfia.")</f>
        <v>—</v>
      </c>
      <c r="C36" s="382"/>
      <c r="D36" s="382"/>
    </row>
    <row r="37" spans="1:4" ht="15" customHeight="1">
      <c r="A37" s="72" t="s">
        <v>1382</v>
      </c>
      <c r="B37" s="382" t="str">
        <f>IF(OR(AND(ISNUMBER(M16_c_Endo),M16_c_Endo&lt;=M16_MIN_COMP),AND(ISNUMBER(M16_c_Meso),M16_c_Meso&lt;=M16_MIN_COMP),AND(ISNUMBER(M16_c_Ecto),M16_c_Ecto&lt;=M16_MIN_COMP)),"Algún componente quedó en su valor mínimo (0,1): revise las mediciones extremas.","—")</f>
        <v>—</v>
      </c>
      <c r="C37" s="382"/>
      <c r="D37" s="382"/>
    </row>
    <row r="38" spans="1:4" ht="15" customHeight="1">
      <c r="A38" s="72" t="s">
        <v>1383</v>
      </c>
      <c r="B38" s="382" t="str">
        <f>IF(OR(AND(ISNUMBER(M16_m_Hum),OR(M16_m_Hum&lt;M16_DIA_MIN,M16_m_Hum&gt;M16_DIA_MAX)),AND(ISNUMBER(M16_m_Fem),OR(M16_m_Fem&lt;M16_DIA_MIN,M16_m_Fem&gt;M16_DIA_MAX)),AND(ISNUMBER(M16_m_ArmG),OR(M16_m_ArmG&lt;M16_PER_MIN,M16_m_ArmG&gt;M16_PER_MAX)),AND(ISNUMBER(M16_m_CalfG),OR(M16_m_CalfG&lt;M16_PER_MIN,M16_m_CalfG&gt;M16_PER_MAX))),"Algún diámetro o perímetro está fuera del rango habitual: verifique la medición.","—")</f>
        <v>—</v>
      </c>
      <c r="C38" s="382"/>
      <c r="D38" s="382"/>
    </row>
    <row r="39" spans="1:4" ht="23.25" customHeight="1">
      <c r="A39" s="72" t="s">
        <v>621</v>
      </c>
      <c r="B39" s="382" t="str">
        <f>"Exactitud matemática ≠ validación clínica. El somatotipo describe la FORMA corporal, no diagnostica ni mide composición por sí solo."</f>
        <v>Exactitud matemática ≠ validación clínica. El somatotipo describe la FORMA corporal, no diagnostica ni mide composición por sí solo.</v>
      </c>
      <c r="C39" s="382"/>
      <c r="D39" s="382"/>
    </row>
  </sheetData>
  <sheetProtection algorithmName="SHA-512" hashValue="lyRjg5WBxPQTyt1yAhO9T6fXT9WTj6zd74aH1tnoxY5vkV2tEeSvanxsOQqUMwlsJRcdFkz7AzNkPrPlYu/4rA==" saltValue="Vrzmejzx4BUem/gohiVU/g==" spinCount="100000" sheet="1" objects="1" scenarios="1"/>
  <mergeCells count="10">
    <mergeCell ref="A2:D2"/>
    <mergeCell ref="C3:D3"/>
    <mergeCell ref="A4:D4"/>
    <mergeCell ref="B33:D33"/>
    <mergeCell ref="B34:D34"/>
    <mergeCell ref="B35:D35"/>
    <mergeCell ref="B36:D36"/>
    <mergeCell ref="B37:D37"/>
    <mergeCell ref="B38:D38"/>
    <mergeCell ref="B39:D39"/>
  </mergeCell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8"/>
  <dimension ref="A1:H48"/>
  <sheetViews>
    <sheetView showGridLines="0" zoomScaleNormal="100" workbookViewId="0">
      <selection sqref="A1:H1"/>
    </sheetView>
  </sheetViews>
  <sheetFormatPr baseColWidth="10" defaultColWidth="8.7109375" defaultRowHeight="15"/>
  <cols>
    <col min="1" max="1" width="34" style="1" customWidth="1"/>
    <col min="2" max="2" width="20" style="1" customWidth="1"/>
    <col min="3" max="3" width="16" style="1" customWidth="1"/>
    <col min="4" max="4" width="18" style="1" customWidth="1"/>
    <col min="5" max="5" width="16" style="1" customWidth="1"/>
  </cols>
  <sheetData>
    <row r="1" spans="1:8" ht="25.5" customHeight="1">
      <c r="A1" s="385" t="s">
        <v>1308</v>
      </c>
      <c r="B1" s="385"/>
      <c r="C1" s="385"/>
      <c r="D1" s="385"/>
      <c r="E1" s="385"/>
      <c r="F1" s="385"/>
      <c r="G1" s="385"/>
      <c r="H1" s="385"/>
    </row>
    <row r="2" spans="1:8" ht="15" customHeight="1">
      <c r="A2" s="429" t="s">
        <v>1384</v>
      </c>
      <c r="B2" s="429"/>
      <c r="C2" s="429"/>
      <c r="D2" s="429"/>
      <c r="E2" s="429"/>
      <c r="F2" s="429"/>
      <c r="G2" s="429"/>
      <c r="H2" s="429"/>
    </row>
    <row r="3" spans="1:8" ht="22.5" customHeight="1">
      <c r="A3" s="185" t="str">
        <f>HYPERLINK("#M16_DATOS!A1","◀ DATOS")</f>
        <v>◀ DATOS</v>
      </c>
      <c r="B3" s="440" t="str">
        <f>HYPERLINK("#M16_MEDIDAS!A1", "◀ MEDIDAS")</f>
        <v>◀ MEDIDAS</v>
      </c>
      <c r="C3" s="440"/>
      <c r="D3" s="440" t="str">
        <f>HYPERLINK("#M16_CALCULOS!A1","◀  CALCULOS")</f>
        <v>◀  CALCULOS</v>
      </c>
      <c r="E3" s="440"/>
      <c r="F3" s="440"/>
      <c r="G3" s="438" t="str">
        <f>HYPERLINK("#M16_FUENTES!A1","▶  FUENTES")</f>
        <v>▶  FUENTES</v>
      </c>
      <c r="H3" s="438"/>
    </row>
    <row r="4" spans="1:8" ht="17.25" customHeight="1">
      <c r="A4" s="443"/>
      <c r="B4" s="443"/>
      <c r="C4" s="443"/>
      <c r="D4" s="443"/>
      <c r="E4" s="443"/>
      <c r="F4" s="443"/>
      <c r="G4" s="443"/>
      <c r="H4" s="443"/>
    </row>
    <row r="5" spans="1:8" ht="15" customHeight="1">
      <c r="A5" s="445" t="s">
        <v>623</v>
      </c>
      <c r="B5" s="445"/>
      <c r="C5" s="445"/>
      <c r="D5" s="445"/>
      <c r="E5" s="445"/>
      <c r="F5" s="445"/>
      <c r="G5" s="445"/>
      <c r="H5" s="445"/>
    </row>
    <row r="6" spans="1:8" ht="15" customHeight="1">
      <c r="A6" s="72" t="s">
        <v>624</v>
      </c>
      <c r="B6" s="396" t="str">
        <f>M16_in_ID</f>
        <v>NMX-2026-0028</v>
      </c>
      <c r="C6" s="396"/>
      <c r="D6" s="396"/>
      <c r="E6" s="396"/>
      <c r="F6" s="396"/>
      <c r="G6" s="396"/>
      <c r="H6" s="396"/>
    </row>
    <row r="7" spans="1:8" ht="15" customHeight="1">
      <c r="A7" s="72" t="s">
        <v>19</v>
      </c>
      <c r="B7" s="397">
        <f>M16_in_Fecha</f>
        <v>46236</v>
      </c>
      <c r="C7" s="397"/>
      <c r="D7" s="397"/>
      <c r="E7" s="397"/>
      <c r="F7" s="397"/>
      <c r="G7" s="397"/>
      <c r="H7" s="397"/>
    </row>
    <row r="8" spans="1:8" ht="15" customHeight="1">
      <c r="A8" s="72" t="s">
        <v>625</v>
      </c>
      <c r="B8" s="396" t="str">
        <f>M16_in_Pac</f>
        <v>PER-0007</v>
      </c>
      <c r="C8" s="396"/>
      <c r="D8" s="396"/>
      <c r="E8" s="396"/>
      <c r="F8" s="396"/>
      <c r="G8" s="396"/>
      <c r="H8" s="396"/>
    </row>
    <row r="9" spans="1:8" ht="15" customHeight="1">
      <c r="A9" s="72" t="s">
        <v>27</v>
      </c>
      <c r="B9" s="396" t="str">
        <f>M16_in_Eval</f>
        <v>EVAL-01</v>
      </c>
      <c r="C9" s="396"/>
      <c r="D9" s="396"/>
      <c r="E9" s="396"/>
      <c r="F9" s="396"/>
      <c r="G9" s="396"/>
      <c r="H9" s="396"/>
    </row>
    <row r="10" spans="1:8" ht="15" customHeight="1">
      <c r="A10" s="72" t="s">
        <v>626</v>
      </c>
      <c r="B10" s="396" t="str">
        <f>M16_in_Sexo&amp;" · "&amp;IF(ISNUMBER(M16_in_Edad),M16_in_Edad&amp;" años","(edad no válida)")</f>
        <v>Hombre · 34 años</v>
      </c>
      <c r="C10" s="396"/>
      <c r="D10" s="396"/>
      <c r="E10" s="396"/>
      <c r="F10" s="396"/>
      <c r="G10" s="396"/>
      <c r="H10" s="396"/>
    </row>
    <row r="11" spans="1:8" ht="15" customHeight="1">
      <c r="A11" s="72" t="s">
        <v>627</v>
      </c>
      <c r="B11" s="396" t="str">
        <f>IF(ISNUMBER(M16_in_Peso),ROUND(M16_in_Peso,1)&amp;" kg","(?)")&amp;" · "&amp;IF(ISNUMBER(M16_in_Est),ROUND(M16_in_Est,1)&amp;" cm","(?)")</f>
        <v>78,5 kg · 176 cm</v>
      </c>
      <c r="C11" s="396"/>
      <c r="D11" s="396"/>
      <c r="E11" s="396"/>
      <c r="F11" s="396"/>
      <c r="G11" s="396"/>
      <c r="H11" s="396"/>
    </row>
    <row r="12" spans="1:8" ht="15" customHeight="1">
      <c r="A12" s="72" t="s">
        <v>629</v>
      </c>
      <c r="B12" s="396" t="str">
        <f>IF(M16_c_Gate="SÍ","HABILITADO","BLOQUEADO — corrija los datos imposibles")</f>
        <v>HABILITADO</v>
      </c>
      <c r="C12" s="396"/>
      <c r="D12" s="396"/>
      <c r="E12" s="396"/>
      <c r="F12" s="396"/>
      <c r="G12" s="396"/>
      <c r="H12" s="396"/>
    </row>
    <row r="13" spans="1:8" ht="15" customHeight="1">
      <c r="A13" s="443"/>
      <c r="B13" s="443"/>
      <c r="C13" s="443"/>
      <c r="D13" s="443"/>
      <c r="E13" s="443"/>
      <c r="F13" s="443"/>
      <c r="G13" s="443"/>
      <c r="H13" s="443"/>
    </row>
    <row r="14" spans="1:8" ht="15" customHeight="1">
      <c r="A14" s="445" t="s">
        <v>1385</v>
      </c>
      <c r="B14" s="445"/>
      <c r="C14" s="445"/>
      <c r="D14" s="445"/>
      <c r="E14" s="445"/>
      <c r="F14" s="445"/>
      <c r="G14" s="445"/>
      <c r="H14" s="445"/>
    </row>
    <row r="15" spans="1:8" ht="15" customHeight="1">
      <c r="A15" s="72" t="s">
        <v>1386</v>
      </c>
      <c r="B15" s="379">
        <f>M16_c_Endo</f>
        <v>4.1467459984187576</v>
      </c>
      <c r="C15" s="379"/>
      <c r="D15" s="379"/>
      <c r="E15" s="379"/>
      <c r="F15" s="379"/>
      <c r="G15" s="379"/>
      <c r="H15" s="379"/>
    </row>
    <row r="16" spans="1:8" ht="15" customHeight="1">
      <c r="A16" s="72" t="s">
        <v>1387</v>
      </c>
      <c r="B16" s="379">
        <f>M16_c_Meso</f>
        <v>3.849699999999995</v>
      </c>
      <c r="C16" s="379"/>
      <c r="D16" s="379"/>
      <c r="E16" s="379"/>
      <c r="F16" s="379"/>
      <c r="G16" s="379"/>
      <c r="H16" s="379"/>
    </row>
    <row r="17" spans="1:8" ht="15" customHeight="1">
      <c r="A17" s="72" t="s">
        <v>1388</v>
      </c>
      <c r="B17" s="379">
        <f>M16_c_Ecto</f>
        <v>1.5084994825925548</v>
      </c>
      <c r="C17" s="379"/>
      <c r="D17" s="379"/>
      <c r="E17" s="379"/>
      <c r="F17" s="379"/>
      <c r="G17" s="379"/>
      <c r="H17" s="379"/>
    </row>
    <row r="18" spans="1:8" ht="15" customHeight="1">
      <c r="A18" s="63" t="s">
        <v>72</v>
      </c>
      <c r="B18" s="446" t="str">
        <f>M16_c_Soma</f>
        <v>04 - 04 - 02</v>
      </c>
      <c r="C18" s="446"/>
      <c r="D18" s="446"/>
      <c r="E18" s="446"/>
      <c r="F18" s="446"/>
      <c r="G18" s="446"/>
      <c r="H18" s="446"/>
    </row>
    <row r="19" spans="1:8" ht="15" customHeight="1">
      <c r="A19" s="63" t="s">
        <v>1106</v>
      </c>
      <c r="B19" s="446" t="str">
        <f>M16_c_Clase</f>
        <v>Endomorfo-mesomorfo</v>
      </c>
      <c r="C19" s="446"/>
      <c r="D19" s="446"/>
      <c r="E19" s="446"/>
      <c r="F19" s="446"/>
      <c r="G19" s="446"/>
      <c r="H19" s="446"/>
    </row>
    <row r="20" spans="1:8" ht="15" customHeight="1">
      <c r="A20" s="157"/>
      <c r="B20" s="193"/>
      <c r="C20" s="193"/>
      <c r="D20" s="193"/>
      <c r="E20" s="193"/>
      <c r="F20" s="193"/>
      <c r="G20" s="2"/>
      <c r="H20" s="2"/>
    </row>
    <row r="21" spans="1:8" ht="15" customHeight="1">
      <c r="A21" s="445" t="s">
        <v>1389</v>
      </c>
      <c r="B21" s="445"/>
      <c r="C21" s="445"/>
      <c r="D21" s="445"/>
      <c r="E21" s="445"/>
      <c r="F21" s="445"/>
      <c r="G21" s="445"/>
      <c r="H21" s="445"/>
    </row>
    <row r="22" spans="1:8" ht="15" customHeight="1">
      <c r="A22" s="72" t="s">
        <v>1390</v>
      </c>
      <c r="B22" s="377">
        <f>M16_c_SX</f>
        <v>-2.6382465158262027</v>
      </c>
      <c r="C22" s="377"/>
      <c r="D22" s="377"/>
      <c r="E22" s="377"/>
      <c r="F22" s="377"/>
      <c r="G22" s="377"/>
      <c r="H22" s="377"/>
    </row>
    <row r="23" spans="1:8" ht="15" customHeight="1">
      <c r="A23" s="72" t="s">
        <v>1391</v>
      </c>
      <c r="B23" s="377">
        <f>M16_c_SY</f>
        <v>2.0441545189886776</v>
      </c>
      <c r="C23" s="377"/>
      <c r="D23" s="377"/>
      <c r="E23" s="377"/>
      <c r="F23" s="377"/>
      <c r="G23" s="377"/>
      <c r="H23" s="377"/>
    </row>
    <row r="24" spans="1:8" ht="15" customHeight="1">
      <c r="A24" s="443"/>
      <c r="B24" s="443"/>
      <c r="C24" s="443"/>
      <c r="D24" s="443"/>
      <c r="E24" s="443"/>
      <c r="F24" s="443"/>
      <c r="G24" s="443"/>
      <c r="H24" s="443"/>
    </row>
    <row r="25" spans="1:8" ht="15" customHeight="1">
      <c r="A25" s="78" t="s">
        <v>1392</v>
      </c>
      <c r="B25" s="78" t="s">
        <v>1393</v>
      </c>
      <c r="C25" s="78" t="s">
        <v>1394</v>
      </c>
      <c r="D25" s="22"/>
      <c r="E25" s="22"/>
      <c r="F25" s="2"/>
      <c r="G25" s="2"/>
      <c r="H25" s="2"/>
    </row>
    <row r="26" spans="1:8" ht="15" customHeight="1">
      <c r="A26" s="126" t="str">
        <f>M16_CONFIG!A53</f>
        <v>Endomorfia (7-1-1)</v>
      </c>
      <c r="B26" s="194">
        <f>M16_CONFIG!B53</f>
        <v>-6</v>
      </c>
      <c r="C26" s="194">
        <f>M16_CONFIG!C53</f>
        <v>-6</v>
      </c>
      <c r="D26" s="22"/>
      <c r="E26" s="22"/>
      <c r="F26" s="2"/>
      <c r="G26" s="2"/>
      <c r="H26" s="2"/>
    </row>
    <row r="27" spans="1:8" ht="15" customHeight="1">
      <c r="A27" s="126" t="str">
        <f>M16_CONFIG!A54</f>
        <v>Mesomorfia (1-7-1)</v>
      </c>
      <c r="B27" s="194">
        <f>M16_CONFIG!B54</f>
        <v>0</v>
      </c>
      <c r="C27" s="194">
        <f>M16_CONFIG!C54</f>
        <v>12</v>
      </c>
      <c r="D27" s="22"/>
      <c r="E27" s="22"/>
      <c r="F27" s="2"/>
      <c r="G27" s="2"/>
      <c r="H27" s="2"/>
    </row>
    <row r="28" spans="1:8" ht="15" customHeight="1">
      <c r="A28" s="126" t="str">
        <f>M16_CONFIG!A55</f>
        <v>Ectomorfia (1-1-7)</v>
      </c>
      <c r="B28" s="194">
        <f>M16_CONFIG!B55</f>
        <v>6</v>
      </c>
      <c r="C28" s="194">
        <f>M16_CONFIG!C55</f>
        <v>-6</v>
      </c>
      <c r="D28" s="22"/>
      <c r="E28" s="22"/>
      <c r="F28" s="2"/>
      <c r="G28" s="2"/>
      <c r="H28" s="2"/>
    </row>
    <row r="29" spans="1:8" ht="15" customHeight="1">
      <c r="A29" s="126" t="str">
        <f>M16_CONFIG!A56</f>
        <v>cierre</v>
      </c>
      <c r="B29" s="194">
        <f>M16_CONFIG!B56</f>
        <v>-6</v>
      </c>
      <c r="C29" s="194">
        <f>M16_CONFIG!C56</f>
        <v>-6</v>
      </c>
      <c r="D29" s="22"/>
      <c r="E29" s="22"/>
      <c r="F29" s="2"/>
      <c r="G29" s="2"/>
      <c r="H29" s="2"/>
    </row>
    <row r="30" spans="1:8" ht="15" customHeight="1">
      <c r="A30" s="63" t="s">
        <v>237</v>
      </c>
      <c r="B30" s="195">
        <f>M16_c_SX</f>
        <v>-2.6382465158262027</v>
      </c>
      <c r="C30" s="195">
        <f>M16_c_SY</f>
        <v>2.0441545189886776</v>
      </c>
      <c r="D30" s="22"/>
      <c r="E30" s="22"/>
      <c r="F30" s="2"/>
      <c r="G30" s="2"/>
      <c r="H30" s="2"/>
    </row>
    <row r="31" spans="1:8" ht="15" customHeight="1">
      <c r="A31" s="369"/>
      <c r="B31" s="369"/>
      <c r="C31" s="369"/>
      <c r="D31" s="22"/>
      <c r="E31" s="22"/>
      <c r="F31" s="2"/>
      <c r="G31" s="2"/>
      <c r="H31" s="2"/>
    </row>
    <row r="32" spans="1:8" ht="15" customHeight="1">
      <c r="A32" s="445" t="s">
        <v>1395</v>
      </c>
      <c r="B32" s="445"/>
      <c r="C32" s="445"/>
      <c r="D32" s="445"/>
      <c r="E32" s="445"/>
      <c r="F32" s="445"/>
      <c r="G32" s="445"/>
      <c r="H32" s="445"/>
    </row>
    <row r="33" spans="1:8" ht="15" customHeight="1">
      <c r="A33" s="78" t="s">
        <v>653</v>
      </c>
      <c r="B33" s="78" t="s">
        <v>16</v>
      </c>
      <c r="C33" s="22"/>
      <c r="D33" s="22"/>
      <c r="E33" s="22"/>
      <c r="F33" s="2"/>
      <c r="G33" s="2"/>
      <c r="H33" s="2"/>
    </row>
    <row r="34" spans="1:8" ht="15" customHeight="1">
      <c r="A34" s="72" t="s">
        <v>93</v>
      </c>
      <c r="B34" s="104">
        <f>IF(ISNUMBER(M16_c_Endo),M16_c_Endo,0)</f>
        <v>4.1467459984187576</v>
      </c>
      <c r="C34" s="22"/>
      <c r="D34" s="22"/>
      <c r="E34" s="22"/>
      <c r="F34" s="2"/>
      <c r="G34" s="2"/>
      <c r="H34" s="2"/>
    </row>
    <row r="35" spans="1:8" ht="15" customHeight="1">
      <c r="A35" s="72" t="s">
        <v>95</v>
      </c>
      <c r="B35" s="104">
        <f>IF(ISNUMBER(M16_c_Meso),M16_c_Meso,0)</f>
        <v>3.849699999999995</v>
      </c>
      <c r="C35" s="22"/>
      <c r="D35" s="22"/>
      <c r="E35" s="22"/>
      <c r="F35" s="2"/>
      <c r="G35" s="2"/>
      <c r="H35" s="2"/>
    </row>
    <row r="36" spans="1:8" ht="15" customHeight="1">
      <c r="A36" s="72" t="s">
        <v>96</v>
      </c>
      <c r="B36" s="104">
        <f>IF(ISNUMBER(M16_c_Ecto),M16_c_Ecto,0)</f>
        <v>1.5084994825925548</v>
      </c>
      <c r="C36" s="22"/>
      <c r="D36" s="22"/>
      <c r="E36" s="22"/>
      <c r="F36" s="2"/>
      <c r="G36" s="2"/>
      <c r="H36" s="2"/>
    </row>
    <row r="37" spans="1:8" ht="15" customHeight="1">
      <c r="A37" s="157"/>
      <c r="B37" s="157"/>
      <c r="C37" s="22"/>
      <c r="D37" s="22"/>
      <c r="E37" s="22"/>
      <c r="F37" s="2"/>
      <c r="G37" s="2"/>
      <c r="H37" s="2"/>
    </row>
    <row r="38" spans="1:8" ht="15" customHeight="1">
      <c r="A38" s="445" t="s">
        <v>656</v>
      </c>
      <c r="B38" s="445"/>
      <c r="C38" s="445"/>
      <c r="D38" s="445"/>
      <c r="E38" s="445"/>
      <c r="F38" s="445"/>
      <c r="G38" s="445"/>
      <c r="H38" s="445"/>
    </row>
    <row r="39" spans="1:8" ht="15" customHeight="1">
      <c r="A39" s="72" t="s">
        <v>615</v>
      </c>
      <c r="B39" s="444" t="str">
        <f>M16_CALCULOS!B33</f>
        <v>—</v>
      </c>
      <c r="C39" s="444"/>
      <c r="D39" s="444"/>
      <c r="E39" s="444"/>
      <c r="F39" s="444"/>
      <c r="G39" s="444"/>
      <c r="H39" s="444"/>
    </row>
    <row r="40" spans="1:8" ht="15" customHeight="1">
      <c r="A40" s="72" t="s">
        <v>1379</v>
      </c>
      <c r="B40" s="444" t="str">
        <f>M16_CALCULOS!B34</f>
        <v>—</v>
      </c>
      <c r="C40" s="444"/>
      <c r="D40" s="444"/>
      <c r="E40" s="444"/>
      <c r="F40" s="444"/>
      <c r="G40" s="444"/>
      <c r="H40" s="444"/>
    </row>
    <row r="41" spans="1:8" ht="15" customHeight="1">
      <c r="A41" s="72" t="s">
        <v>1380</v>
      </c>
      <c r="B41" s="444" t="str">
        <f>M16_CALCULOS!B35</f>
        <v>—</v>
      </c>
      <c r="C41" s="444"/>
      <c r="D41" s="444"/>
      <c r="E41" s="444"/>
      <c r="F41" s="444"/>
      <c r="G41" s="444"/>
      <c r="H41" s="444"/>
    </row>
    <row r="42" spans="1:8" ht="15" customHeight="1">
      <c r="A42" s="72" t="s">
        <v>1381</v>
      </c>
      <c r="B42" s="444" t="str">
        <f>M16_CALCULOS!B36</f>
        <v>—</v>
      </c>
      <c r="C42" s="444"/>
      <c r="D42" s="444"/>
      <c r="E42" s="444"/>
      <c r="F42" s="444"/>
      <c r="G42" s="444"/>
      <c r="H42" s="444"/>
    </row>
    <row r="43" spans="1:8" ht="15" customHeight="1">
      <c r="A43" s="72" t="s">
        <v>1396</v>
      </c>
      <c r="B43" s="444" t="str">
        <f>M16_CALCULOS!B37</f>
        <v>—</v>
      </c>
      <c r="C43" s="444"/>
      <c r="D43" s="444"/>
      <c r="E43" s="444"/>
      <c r="F43" s="444"/>
      <c r="G43" s="444"/>
      <c r="H43" s="444"/>
    </row>
    <row r="44" spans="1:8" ht="15" customHeight="1">
      <c r="A44" s="72" t="s">
        <v>1397</v>
      </c>
      <c r="B44" s="444" t="str">
        <f>M16_CALCULOS!B38</f>
        <v>—</v>
      </c>
      <c r="C44" s="444"/>
      <c r="D44" s="444"/>
      <c r="E44" s="444"/>
      <c r="F44" s="444"/>
      <c r="G44" s="444"/>
      <c r="H44" s="444"/>
    </row>
    <row r="45" spans="1:8" ht="23.25" customHeight="1">
      <c r="A45" s="72" t="s">
        <v>621</v>
      </c>
      <c r="B45" s="444" t="str">
        <f>M16_CALCULOS!B39</f>
        <v>Exactitud matemática ≠ validación clínica. El somatotipo describe la FORMA corporal, no diagnostica ni mide composición por sí solo.</v>
      </c>
      <c r="C45" s="444"/>
      <c r="D45" s="444"/>
      <c r="E45" s="444"/>
      <c r="F45" s="444"/>
      <c r="G45" s="444"/>
      <c r="H45" s="444"/>
    </row>
    <row r="46" spans="1:8" ht="15" customHeight="1">
      <c r="A46" s="442" t="s">
        <v>1398</v>
      </c>
      <c r="B46" s="442"/>
      <c r="C46" s="442"/>
      <c r="D46" s="442"/>
      <c r="E46" s="442"/>
      <c r="F46" s="442"/>
      <c r="G46" s="442"/>
      <c r="H46" s="442"/>
    </row>
    <row r="47" spans="1:8" ht="39" customHeight="1">
      <c r="A47" s="442"/>
      <c r="B47" s="442"/>
      <c r="C47" s="442"/>
      <c r="D47" s="442"/>
      <c r="E47" s="442"/>
      <c r="F47" s="442"/>
      <c r="G47" s="442"/>
      <c r="H47" s="442"/>
    </row>
    <row r="48" spans="1:8" ht="15" customHeight="1">
      <c r="A48" s="443"/>
      <c r="B48" s="443"/>
      <c r="C48" s="443"/>
      <c r="D48" s="443"/>
      <c r="E48" s="443"/>
      <c r="F48" s="443"/>
      <c r="G48" s="443"/>
      <c r="H48" s="443"/>
    </row>
  </sheetData>
  <sheetProtection algorithmName="SHA-512" hashValue="B7vn8NgRtAnn2lqO5TuHYQgCrdt1aM96KN2YKWLXNLoP238CE8c5cpukrA5cQdCt3MDN6+y67c0CcCs6Rs8nCw==" saltValue="2mum0HwdEhOkg2CHffGJqA==" spinCount="100000" sheet="1" objects="1" scenarios="1"/>
  <mergeCells count="37">
    <mergeCell ref="A1:H1"/>
    <mergeCell ref="A2:H2"/>
    <mergeCell ref="B3:C3"/>
    <mergeCell ref="D3:F3"/>
    <mergeCell ref="G3:H3"/>
    <mergeCell ref="A4:H4"/>
    <mergeCell ref="A5:H5"/>
    <mergeCell ref="B6:H6"/>
    <mergeCell ref="B7:H7"/>
    <mergeCell ref="B8:H8"/>
    <mergeCell ref="B9:H9"/>
    <mergeCell ref="B10:H10"/>
    <mergeCell ref="B11:H11"/>
    <mergeCell ref="B12:H12"/>
    <mergeCell ref="A13:H13"/>
    <mergeCell ref="A14:H14"/>
    <mergeCell ref="B15:H15"/>
    <mergeCell ref="B16:H16"/>
    <mergeCell ref="B17:H17"/>
    <mergeCell ref="B18:H18"/>
    <mergeCell ref="B19:H19"/>
    <mergeCell ref="A21:H21"/>
    <mergeCell ref="B22:H22"/>
    <mergeCell ref="B23:H23"/>
    <mergeCell ref="A24:H24"/>
    <mergeCell ref="A31:C31"/>
    <mergeCell ref="A32:H32"/>
    <mergeCell ref="A38:H38"/>
    <mergeCell ref="B39:H39"/>
    <mergeCell ref="B40:H40"/>
    <mergeCell ref="A46:H47"/>
    <mergeCell ref="A48:H48"/>
    <mergeCell ref="B41:H41"/>
    <mergeCell ref="B42:H42"/>
    <mergeCell ref="B43:H43"/>
    <mergeCell ref="B44:H44"/>
    <mergeCell ref="B45:H45"/>
  </mergeCell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9"/>
  <dimension ref="A1:K15"/>
  <sheetViews>
    <sheetView showGridLines="0" zoomScaleNormal="100" workbookViewId="0">
      <pane ySplit="5" topLeftCell="A6" activePane="bottomLeft" state="frozen"/>
      <selection pane="bottomLeft"/>
    </sheetView>
  </sheetViews>
  <sheetFormatPr baseColWidth="10" defaultColWidth="8.7109375" defaultRowHeight="15"/>
  <cols>
    <col min="1" max="1" width="24" style="1" customWidth="1"/>
    <col min="2" max="2" width="30" style="1" customWidth="1"/>
    <col min="3" max="3" width="10" style="1" customWidth="1"/>
    <col min="4" max="4" width="30" style="1" customWidth="1"/>
    <col min="5" max="5" width="36" style="1" customWidth="1"/>
    <col min="6" max="6" width="12" style="1" customWidth="1"/>
    <col min="7" max="7" width="34" style="1" customWidth="1"/>
    <col min="8" max="8" width="22" style="1" customWidth="1"/>
    <col min="9" max="9" width="12" style="1" customWidth="1"/>
    <col min="10" max="10" width="30" style="1" customWidth="1"/>
    <col min="11" max="11" width="8" style="1" customWidth="1"/>
  </cols>
  <sheetData>
    <row r="1" spans="1:11" ht="25.5" customHeight="1">
      <c r="A1" s="57" t="s">
        <v>1308</v>
      </c>
      <c r="B1" s="58"/>
      <c r="C1" s="58"/>
      <c r="D1" s="58"/>
      <c r="E1" s="58"/>
      <c r="F1" s="58"/>
      <c r="G1" s="58"/>
      <c r="H1" s="58"/>
      <c r="I1" s="58"/>
      <c r="J1" s="58"/>
      <c r="K1" s="58"/>
    </row>
    <row r="2" spans="1:11" ht="15" customHeight="1">
      <c r="A2" s="429" t="s">
        <v>1399</v>
      </c>
      <c r="B2" s="429"/>
      <c r="C2" s="429"/>
      <c r="D2" s="429"/>
      <c r="E2" s="429"/>
      <c r="F2" s="429"/>
      <c r="G2" s="429"/>
      <c r="H2" s="429"/>
      <c r="I2" s="429"/>
      <c r="J2" s="429"/>
      <c r="K2" s="429"/>
    </row>
    <row r="3" spans="1:11" ht="33.75" customHeight="1">
      <c r="A3" s="367" t="s">
        <v>1400</v>
      </c>
      <c r="B3" s="367"/>
      <c r="C3" s="367"/>
      <c r="D3" s="367"/>
      <c r="E3" s="367"/>
      <c r="F3" s="367"/>
      <c r="G3" s="367"/>
      <c r="H3" s="367"/>
      <c r="I3" s="367"/>
      <c r="J3" s="367"/>
      <c r="K3" s="367"/>
    </row>
    <row r="4" spans="1:11" ht="15" customHeight="1">
      <c r="A4" s="185" t="str">
        <f>HYPERLINK("#M16_INICIO!A1","◀ INICIO")</f>
        <v>◀ INICIO</v>
      </c>
      <c r="B4" s="185" t="str">
        <f>HYPERLINK("#M16_DATOS!A1","◀ DATOS")</f>
        <v>◀ DATOS</v>
      </c>
      <c r="C4" s="440" t="str">
        <f>HYPERLINK("#M16_CALCULOS!A1","◀  CALCULOS")</f>
        <v>◀  CALCULOS</v>
      </c>
      <c r="D4" s="440"/>
      <c r="E4" s="440"/>
      <c r="F4" s="22"/>
      <c r="G4" s="22"/>
      <c r="H4" s="22"/>
      <c r="I4" s="22"/>
      <c r="J4" s="22"/>
      <c r="K4" s="22"/>
    </row>
    <row r="5" spans="1:11" ht="15" customHeight="1">
      <c r="A5" s="106" t="s">
        <v>662</v>
      </c>
      <c r="B5" s="106" t="s">
        <v>663</v>
      </c>
      <c r="C5" s="106" t="s">
        <v>664</v>
      </c>
      <c r="D5" s="106" t="s">
        <v>1401</v>
      </c>
      <c r="E5" s="106" t="s">
        <v>666</v>
      </c>
      <c r="F5" s="106" t="s">
        <v>667</v>
      </c>
      <c r="G5" s="106" t="s">
        <v>668</v>
      </c>
      <c r="H5" s="106" t="s">
        <v>669</v>
      </c>
      <c r="I5" s="106" t="s">
        <v>670</v>
      </c>
      <c r="J5" s="106" t="s">
        <v>671</v>
      </c>
      <c r="K5" s="106" t="s">
        <v>672</v>
      </c>
    </row>
    <row r="6" spans="1:11" ht="57.75" customHeight="1">
      <c r="A6" s="107" t="s">
        <v>1402</v>
      </c>
      <c r="B6" s="107" t="s">
        <v>1403</v>
      </c>
      <c r="C6" s="107" t="s">
        <v>1404</v>
      </c>
      <c r="D6" s="107" t="s">
        <v>1405</v>
      </c>
      <c r="E6" s="107" t="s">
        <v>1406</v>
      </c>
      <c r="F6" s="107" t="s">
        <v>1407</v>
      </c>
      <c r="G6" s="107" t="s">
        <v>1408</v>
      </c>
      <c r="H6" s="107" t="s">
        <v>1409</v>
      </c>
      <c r="I6" s="107" t="s">
        <v>681</v>
      </c>
      <c r="J6" s="107" t="s">
        <v>1410</v>
      </c>
      <c r="K6" s="108" t="s">
        <v>328</v>
      </c>
    </row>
    <row r="7" spans="1:11" ht="57.75" customHeight="1">
      <c r="A7" s="107" t="s">
        <v>1411</v>
      </c>
      <c r="B7" s="107" t="s">
        <v>1412</v>
      </c>
      <c r="C7" s="107" t="s">
        <v>1413</v>
      </c>
      <c r="D7" s="107" t="s">
        <v>1414</v>
      </c>
      <c r="E7" s="107" t="s">
        <v>1415</v>
      </c>
      <c r="F7" s="107" t="s">
        <v>1416</v>
      </c>
      <c r="G7" s="107" t="s">
        <v>1417</v>
      </c>
      <c r="H7" s="107" t="s">
        <v>1418</v>
      </c>
      <c r="I7" s="107" t="s">
        <v>681</v>
      </c>
      <c r="J7" s="107" t="s">
        <v>1419</v>
      </c>
      <c r="K7" s="108" t="s">
        <v>328</v>
      </c>
    </row>
    <row r="8" spans="1:11" ht="57.75" customHeight="1">
      <c r="A8" s="107" t="s">
        <v>95</v>
      </c>
      <c r="B8" s="107" t="s">
        <v>1412</v>
      </c>
      <c r="C8" s="107" t="s">
        <v>1413</v>
      </c>
      <c r="D8" s="107" t="s">
        <v>1420</v>
      </c>
      <c r="E8" s="107" t="s">
        <v>1421</v>
      </c>
      <c r="F8" s="107" t="s">
        <v>1167</v>
      </c>
      <c r="G8" s="107" t="s">
        <v>1422</v>
      </c>
      <c r="H8" s="107" t="s">
        <v>1418</v>
      </c>
      <c r="I8" s="107" t="s">
        <v>681</v>
      </c>
      <c r="J8" s="107" t="s">
        <v>1419</v>
      </c>
      <c r="K8" s="108" t="s">
        <v>328</v>
      </c>
    </row>
    <row r="9" spans="1:11" ht="57.75" customHeight="1">
      <c r="A9" s="107" t="s">
        <v>1423</v>
      </c>
      <c r="B9" s="107" t="s">
        <v>1412</v>
      </c>
      <c r="C9" s="107" t="s">
        <v>1413</v>
      </c>
      <c r="D9" s="107" t="s">
        <v>1424</v>
      </c>
      <c r="E9" s="107" t="s">
        <v>1425</v>
      </c>
      <c r="F9" s="107" t="s">
        <v>1426</v>
      </c>
      <c r="G9" s="107" t="s">
        <v>1427</v>
      </c>
      <c r="H9" s="107" t="s">
        <v>1418</v>
      </c>
      <c r="I9" s="107" t="s">
        <v>681</v>
      </c>
      <c r="J9" s="107" t="s">
        <v>1419</v>
      </c>
      <c r="K9" s="108" t="s">
        <v>328</v>
      </c>
    </row>
    <row r="10" spans="1:11" ht="57.75" customHeight="1">
      <c r="A10" s="107" t="s">
        <v>1428</v>
      </c>
      <c r="B10" s="107" t="s">
        <v>1429</v>
      </c>
      <c r="C10" s="107" t="s">
        <v>1413</v>
      </c>
      <c r="D10" s="107" t="s">
        <v>1430</v>
      </c>
      <c r="E10" s="107" t="s">
        <v>1431</v>
      </c>
      <c r="F10" s="107" t="s">
        <v>151</v>
      </c>
      <c r="G10" s="107" t="s">
        <v>1432</v>
      </c>
      <c r="H10" s="107" t="s">
        <v>1433</v>
      </c>
      <c r="I10" s="107" t="s">
        <v>681</v>
      </c>
      <c r="J10" s="107" t="s">
        <v>1434</v>
      </c>
      <c r="K10" s="108" t="s">
        <v>333</v>
      </c>
    </row>
    <row r="11" spans="1:11" ht="57.75" customHeight="1">
      <c r="A11" s="107" t="s">
        <v>1435</v>
      </c>
      <c r="B11" s="107" t="s">
        <v>729</v>
      </c>
      <c r="C11" s="107" t="s">
        <v>730</v>
      </c>
      <c r="D11" s="107" t="s">
        <v>731</v>
      </c>
      <c r="E11" s="107" t="s">
        <v>1436</v>
      </c>
      <c r="F11" s="107" t="s">
        <v>1437</v>
      </c>
      <c r="G11" s="107" t="s">
        <v>1438</v>
      </c>
      <c r="H11" s="107" t="s">
        <v>1439</v>
      </c>
      <c r="I11" s="107" t="s">
        <v>681</v>
      </c>
      <c r="J11" s="107" t="s">
        <v>1440</v>
      </c>
      <c r="K11" s="108" t="s">
        <v>328</v>
      </c>
    </row>
    <row r="12" spans="1:11">
      <c r="A12" s="22"/>
      <c r="B12" s="22"/>
      <c r="C12" s="22"/>
      <c r="D12" s="22"/>
      <c r="E12" s="22"/>
      <c r="F12" s="22"/>
      <c r="G12" s="22"/>
      <c r="H12" s="22"/>
      <c r="I12" s="22"/>
      <c r="J12" s="22"/>
      <c r="K12" s="22"/>
    </row>
    <row r="13" spans="1:11" ht="33.75" customHeight="1">
      <c r="A13" s="367" t="s">
        <v>1441</v>
      </c>
      <c r="B13" s="367"/>
      <c r="C13" s="367"/>
      <c r="D13" s="367"/>
      <c r="E13" s="367"/>
      <c r="F13" s="367"/>
      <c r="G13" s="367"/>
      <c r="H13" s="367"/>
      <c r="I13" s="367"/>
      <c r="J13" s="367"/>
      <c r="K13" s="367"/>
    </row>
    <row r="14" spans="1:11">
      <c r="A14" s="22"/>
      <c r="B14" s="22"/>
      <c r="C14" s="22"/>
      <c r="D14" s="22"/>
      <c r="E14" s="22"/>
      <c r="F14" s="22"/>
      <c r="G14" s="22"/>
      <c r="H14" s="22"/>
      <c r="I14" s="22"/>
      <c r="J14" s="22"/>
      <c r="K14" s="22"/>
    </row>
    <row r="15" spans="1:11" ht="84.75" customHeight="1">
      <c r="A15" s="367" t="s">
        <v>1442</v>
      </c>
      <c r="B15" s="367"/>
      <c r="C15" s="367"/>
      <c r="D15" s="367"/>
      <c r="E15" s="367"/>
      <c r="F15" s="367"/>
      <c r="G15" s="367"/>
      <c r="H15" s="367"/>
      <c r="I15" s="367"/>
      <c r="J15" s="367"/>
      <c r="K15" s="367"/>
    </row>
  </sheetData>
  <sheetProtection algorithmName="SHA-512" hashValue="c0RBxCwgdFcAqs4jttt+KMy7m5711DZrsM/AVFat88fxxhlzdzWmJEXHWwTPVukPYlw+dkAsOWIDm+/vxTatyQ==" saltValue="jfklqMtPQHeuoB/aUJWwAA==" spinCount="100000" sheet="1" objects="1" scenarios="1"/>
  <mergeCells count="7">
    <mergeCell ref="A13:K13"/>
    <mergeCell ref="A15:K15"/>
    <mergeCell ref="A2:D2"/>
    <mergeCell ref="E2:H2"/>
    <mergeCell ref="I2:K2"/>
    <mergeCell ref="A3:K3"/>
    <mergeCell ref="C4:E4"/>
  </mergeCell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0"/>
  <dimension ref="A1:M78"/>
  <sheetViews>
    <sheetView showGridLines="0" zoomScaleNormal="100" workbookViewId="0">
      <pane ySplit="5" topLeftCell="A6" activePane="bottomLeft" state="frozen"/>
      <selection pane="bottomLeft"/>
    </sheetView>
  </sheetViews>
  <sheetFormatPr baseColWidth="10" defaultColWidth="8.7109375" defaultRowHeight="15"/>
  <cols>
    <col min="1" max="1" width="6" style="1" customWidth="1"/>
    <col min="2" max="2" width="36" style="1" customWidth="1"/>
    <col min="3" max="3" width="10" style="1" customWidth="1"/>
    <col min="8" max="8" width="12" style="1" customWidth="1"/>
    <col min="10" max="10" width="10" style="1" customWidth="1"/>
    <col min="11" max="11" width="11" style="1" customWidth="1"/>
    <col min="13" max="13" width="10" style="1" customWidth="1"/>
  </cols>
  <sheetData>
    <row r="1" spans="1:13" ht="25.5" customHeight="1">
      <c r="A1" s="57" t="s">
        <v>1308</v>
      </c>
      <c r="B1" s="109"/>
      <c r="C1" s="109"/>
      <c r="D1" s="109"/>
      <c r="E1" s="109"/>
      <c r="F1" s="109"/>
      <c r="G1" s="109"/>
      <c r="H1" s="109"/>
      <c r="I1" s="109"/>
      <c r="J1" s="109"/>
      <c r="K1" s="109"/>
      <c r="L1" s="109"/>
      <c r="M1" s="109"/>
    </row>
    <row r="2" spans="1:13" ht="15" customHeight="1">
      <c r="A2" s="429" t="s">
        <v>746</v>
      </c>
      <c r="B2" s="429"/>
      <c r="C2" s="429"/>
      <c r="D2" s="429"/>
      <c r="E2" s="429"/>
      <c r="F2" s="429"/>
      <c r="G2" s="429"/>
      <c r="H2" s="429"/>
      <c r="I2" s="429"/>
      <c r="J2" s="429"/>
      <c r="K2" s="429"/>
      <c r="L2" s="429"/>
      <c r="M2" s="429"/>
    </row>
    <row r="3" spans="1:13" ht="33.75" customHeight="1">
      <c r="A3" s="367" t="s">
        <v>1443</v>
      </c>
      <c r="B3" s="367"/>
      <c r="C3" s="367"/>
      <c r="D3" s="367"/>
      <c r="E3" s="367"/>
      <c r="F3" s="367"/>
      <c r="G3" s="367"/>
      <c r="H3" s="367"/>
      <c r="I3" s="367"/>
      <c r="J3" s="367"/>
      <c r="K3" s="367"/>
      <c r="L3" s="367"/>
      <c r="M3" s="367"/>
    </row>
    <row r="4" spans="1:13" ht="25.5" customHeight="1">
      <c r="A4" s="439" t="str">
        <f>HYPERLINK("#M16_INICIO!A1","◀ INICIO")</f>
        <v>◀ INICIO</v>
      </c>
      <c r="B4" s="439"/>
      <c r="C4" s="439"/>
      <c r="D4" s="439"/>
      <c r="E4" s="2"/>
      <c r="F4" s="2"/>
      <c r="G4" s="2"/>
      <c r="H4" s="22"/>
      <c r="I4" s="2"/>
      <c r="J4" s="22"/>
      <c r="K4" s="22"/>
      <c r="L4" s="2"/>
      <c r="M4" s="22"/>
    </row>
    <row r="5" spans="1:13">
      <c r="A5" s="22"/>
      <c r="B5" s="22"/>
      <c r="C5" s="22"/>
      <c r="D5" s="2"/>
      <c r="E5" s="2"/>
      <c r="F5" s="2"/>
      <c r="G5" s="2"/>
      <c r="H5" s="22"/>
      <c r="I5" s="2"/>
      <c r="J5" s="22"/>
      <c r="K5" s="22"/>
      <c r="L5" s="2"/>
      <c r="M5" s="22"/>
    </row>
    <row r="6" spans="1:13" ht="15" customHeight="1">
      <c r="A6" s="431" t="s">
        <v>1444</v>
      </c>
      <c r="B6" s="431"/>
      <c r="C6" s="431"/>
      <c r="D6" s="431"/>
      <c r="E6" s="431"/>
      <c r="F6" s="431"/>
      <c r="G6" s="431"/>
      <c r="H6" s="431"/>
      <c r="I6" s="431"/>
      <c r="J6" s="431"/>
      <c r="K6" s="431"/>
      <c r="L6" s="431"/>
      <c r="M6" s="431"/>
    </row>
    <row r="7" spans="1:13" ht="15" customHeight="1">
      <c r="A7" s="110" t="s">
        <v>749</v>
      </c>
      <c r="B7" s="110" t="s">
        <v>750</v>
      </c>
      <c r="C7" s="110" t="s">
        <v>767</v>
      </c>
      <c r="D7" s="110" t="s">
        <v>1445</v>
      </c>
      <c r="E7" s="110" t="s">
        <v>326</v>
      </c>
      <c r="F7" s="110" t="s">
        <v>327</v>
      </c>
      <c r="G7" s="110" t="s">
        <v>752</v>
      </c>
      <c r="H7" s="110" t="s">
        <v>44</v>
      </c>
      <c r="I7" s="110"/>
      <c r="J7" s="110"/>
      <c r="K7" s="110"/>
      <c r="L7" s="110"/>
      <c r="M7" s="110"/>
    </row>
    <row r="8" spans="1:13" ht="15" customHeight="1">
      <c r="A8" s="111" t="s">
        <v>753</v>
      </c>
      <c r="B8" s="112" t="s">
        <v>1446</v>
      </c>
      <c r="C8" s="111">
        <v>30</v>
      </c>
      <c r="D8" s="111">
        <v>176</v>
      </c>
      <c r="E8" s="131">
        <f t="shared" ref="E8:E13" si="0">MAX(0.1,-0.7182+0.1451*(C8*(170.18/D8))-0.00068*(C8*(170.18/D8))^2+0.0000014*(C8*(170.18/D8))^3)</f>
        <v>2.9528331389988969</v>
      </c>
      <c r="F8" s="118">
        <v>2.952833</v>
      </c>
      <c r="G8" s="119">
        <f t="shared" ref="G8:G13" si="1">E8-F8</f>
        <v>1.3899889683699485E-7</v>
      </c>
      <c r="H8" s="120" t="str">
        <f t="shared" ref="H8:H13" si="2">IF(ABS(G8)&lt;=M16_TOL_U,"APROBADO","FALLIDO")</f>
        <v>APROBADO</v>
      </c>
      <c r="I8" s="105"/>
      <c r="J8" s="105"/>
      <c r="K8" s="105"/>
      <c r="L8" s="105"/>
      <c r="M8" s="105"/>
    </row>
    <row r="9" spans="1:13" ht="15" customHeight="1">
      <c r="A9" s="111" t="s">
        <v>755</v>
      </c>
      <c r="B9" s="112" t="s">
        <v>1447</v>
      </c>
      <c r="C9" s="111">
        <v>45</v>
      </c>
      <c r="D9" s="111">
        <v>165</v>
      </c>
      <c r="E9" s="131">
        <f t="shared" si="0"/>
        <v>4.6914420739741924</v>
      </c>
      <c r="F9" s="118">
        <v>4.6914420000000003</v>
      </c>
      <c r="G9" s="119">
        <f t="shared" si="1"/>
        <v>7.3974192105197289E-8</v>
      </c>
      <c r="H9" s="120" t="str">
        <f t="shared" si="2"/>
        <v>APROBADO</v>
      </c>
      <c r="I9" s="105"/>
      <c r="J9" s="105"/>
      <c r="K9" s="105"/>
      <c r="L9" s="105"/>
      <c r="M9" s="105"/>
    </row>
    <row r="10" spans="1:13" ht="15" customHeight="1">
      <c r="A10" s="111" t="s">
        <v>758</v>
      </c>
      <c r="B10" s="112" t="s">
        <v>1448</v>
      </c>
      <c r="C10" s="111">
        <v>60</v>
      </c>
      <c r="D10" s="111">
        <v>180</v>
      </c>
      <c r="E10" s="131">
        <f t="shared" si="0"/>
        <v>5.5802155350283273</v>
      </c>
      <c r="F10" s="118">
        <v>5.5802160000000001</v>
      </c>
      <c r="G10" s="119">
        <f t="shared" si="1"/>
        <v>-4.6497167272008255E-7</v>
      </c>
      <c r="H10" s="120" t="str">
        <f t="shared" si="2"/>
        <v>APROBADO</v>
      </c>
      <c r="I10" s="105"/>
      <c r="J10" s="105"/>
      <c r="K10" s="105"/>
      <c r="L10" s="105"/>
      <c r="M10" s="105"/>
    </row>
    <row r="11" spans="1:13" ht="15" customHeight="1">
      <c r="A11" s="111" t="s">
        <v>760</v>
      </c>
      <c r="B11" s="112" t="s">
        <v>1449</v>
      </c>
      <c r="C11" s="111">
        <v>20</v>
      </c>
      <c r="D11" s="111">
        <v>170</v>
      </c>
      <c r="E11" s="131">
        <f t="shared" si="0"/>
        <v>1.9255320150942643</v>
      </c>
      <c r="F11" s="118">
        <v>1.925532</v>
      </c>
      <c r="G11" s="119">
        <f t="shared" si="1"/>
        <v>1.5094264282922154E-8</v>
      </c>
      <c r="H11" s="120" t="str">
        <f t="shared" si="2"/>
        <v>APROBADO</v>
      </c>
      <c r="I11" s="105"/>
      <c r="J11" s="105"/>
      <c r="K11" s="105"/>
      <c r="L11" s="105"/>
      <c r="M11" s="105"/>
    </row>
    <row r="12" spans="1:13" ht="15" customHeight="1">
      <c r="A12" s="111" t="s">
        <v>762</v>
      </c>
      <c r="B12" s="112" t="s">
        <v>1450</v>
      </c>
      <c r="C12" s="111">
        <v>90</v>
      </c>
      <c r="D12" s="111">
        <v>160</v>
      </c>
      <c r="E12" s="131">
        <f t="shared" si="0"/>
        <v>8.1685532071471041</v>
      </c>
      <c r="F12" s="118">
        <v>8.1685529999999993</v>
      </c>
      <c r="G12" s="119">
        <f t="shared" si="1"/>
        <v>2.0714710480262966E-7</v>
      </c>
      <c r="H12" s="120" t="str">
        <f t="shared" si="2"/>
        <v>APROBADO</v>
      </c>
      <c r="I12" s="105"/>
      <c r="J12" s="105"/>
      <c r="K12" s="105"/>
      <c r="L12" s="105"/>
      <c r="M12" s="105"/>
    </row>
    <row r="13" spans="1:13" ht="15" customHeight="1">
      <c r="A13" s="111" t="s">
        <v>764</v>
      </c>
      <c r="B13" s="112" t="s">
        <v>1451</v>
      </c>
      <c r="C13" s="111">
        <v>15</v>
      </c>
      <c r="D13" s="111">
        <v>190</v>
      </c>
      <c r="E13" s="131">
        <f t="shared" si="0"/>
        <v>1.1119076122737217</v>
      </c>
      <c r="F13" s="118">
        <v>1.1119079999999999</v>
      </c>
      <c r="G13" s="119">
        <f t="shared" si="1"/>
        <v>-3.8772627819483318E-7</v>
      </c>
      <c r="H13" s="120" t="str">
        <f t="shared" si="2"/>
        <v>APROBADO</v>
      </c>
      <c r="I13" s="105"/>
      <c r="J13" s="105"/>
      <c r="K13" s="105"/>
      <c r="L13" s="105"/>
      <c r="M13" s="105"/>
    </row>
    <row r="14" spans="1:13">
      <c r="A14" s="22"/>
      <c r="B14" s="22"/>
      <c r="C14" s="22"/>
      <c r="D14" s="2"/>
      <c r="E14" s="2"/>
      <c r="F14" s="2"/>
      <c r="G14" s="2"/>
      <c r="H14" s="22"/>
      <c r="I14" s="2"/>
      <c r="J14" s="22"/>
      <c r="K14" s="22"/>
      <c r="L14" s="2"/>
      <c r="M14" s="22"/>
    </row>
    <row r="15" spans="1:13" ht="15" customHeight="1">
      <c r="A15" s="431" t="s">
        <v>1452</v>
      </c>
      <c r="B15" s="431"/>
      <c r="C15" s="431"/>
      <c r="D15" s="431"/>
      <c r="E15" s="431"/>
      <c r="F15" s="431"/>
      <c r="G15" s="431"/>
      <c r="H15" s="431"/>
      <c r="I15" s="431"/>
      <c r="J15" s="431"/>
      <c r="K15" s="431"/>
      <c r="L15" s="431"/>
      <c r="M15" s="431"/>
    </row>
    <row r="16" spans="1:13" ht="15" customHeight="1">
      <c r="A16" s="110" t="s">
        <v>749</v>
      </c>
      <c r="B16" s="110" t="s">
        <v>1453</v>
      </c>
      <c r="C16" s="110" t="s">
        <v>1454</v>
      </c>
      <c r="D16" s="110" t="s">
        <v>1455</v>
      </c>
      <c r="E16" s="110" t="s">
        <v>1456</v>
      </c>
      <c r="F16" s="110" t="s">
        <v>1445</v>
      </c>
      <c r="G16" s="110" t="s">
        <v>326</v>
      </c>
      <c r="H16" s="110" t="s">
        <v>327</v>
      </c>
      <c r="I16" s="110" t="s">
        <v>752</v>
      </c>
      <c r="J16" s="110" t="s">
        <v>44</v>
      </c>
      <c r="K16" s="110"/>
      <c r="L16" s="110"/>
      <c r="M16" s="110"/>
    </row>
    <row r="17" spans="1:13" ht="15" customHeight="1">
      <c r="A17" s="111" t="s">
        <v>768</v>
      </c>
      <c r="B17" s="196">
        <v>7</v>
      </c>
      <c r="C17" s="196">
        <v>9.6</v>
      </c>
      <c r="D17" s="196">
        <v>32</v>
      </c>
      <c r="E17" s="196">
        <v>36.200000000000003</v>
      </c>
      <c r="F17" s="111">
        <v>176</v>
      </c>
      <c r="G17" s="131">
        <f>MAX(0.1,0.858*B17+0.601*C17+0.188*D17+0.161*E17-0.131*F17+4.5)</f>
        <v>5.0638000000000041</v>
      </c>
      <c r="H17" s="118">
        <v>5.0637999999999996</v>
      </c>
      <c r="I17" s="119">
        <f>G17-H17</f>
        <v>0</v>
      </c>
      <c r="J17" s="120" t="str">
        <f>IF(ABS(I17)&lt;=M16_TOL_U,"APROBADO","FALLIDO")</f>
        <v>APROBADO</v>
      </c>
      <c r="K17" s="105"/>
      <c r="L17" s="105"/>
      <c r="M17" s="105"/>
    </row>
    <row r="18" spans="1:13" ht="15" customHeight="1">
      <c r="A18" s="111" t="s">
        <v>770</v>
      </c>
      <c r="B18" s="196">
        <v>6.5</v>
      </c>
      <c r="C18" s="196">
        <v>9</v>
      </c>
      <c r="D18" s="196">
        <v>28</v>
      </c>
      <c r="E18" s="196">
        <v>34</v>
      </c>
      <c r="F18" s="111">
        <v>165</v>
      </c>
      <c r="G18" s="131">
        <f>MAX(0.1,0.858*B18+0.601*C18+0.188*D18+0.161*E18-0.131*F18+4.5)</f>
        <v>4.6089999999999982</v>
      </c>
      <c r="H18" s="118">
        <v>4.609</v>
      </c>
      <c r="I18" s="119">
        <f>G18-H18</f>
        <v>0</v>
      </c>
      <c r="J18" s="120" t="str">
        <f>IF(ABS(I18)&lt;=M16_TOL_U,"APROBADO","FALLIDO")</f>
        <v>APROBADO</v>
      </c>
      <c r="K18" s="105"/>
      <c r="L18" s="105"/>
      <c r="M18" s="105"/>
    </row>
    <row r="19" spans="1:13" ht="15" customHeight="1">
      <c r="A19" s="111" t="s">
        <v>772</v>
      </c>
      <c r="B19" s="196">
        <v>7.5</v>
      </c>
      <c r="C19" s="196">
        <v>10.199999999999999</v>
      </c>
      <c r="D19" s="196">
        <v>36</v>
      </c>
      <c r="E19" s="196">
        <v>39</v>
      </c>
      <c r="F19" s="111">
        <v>182</v>
      </c>
      <c r="G19" s="131">
        <f>MAX(0.1,0.858*B19+0.601*C19+0.188*D19+0.161*E19-0.131*F19+4.5)</f>
        <v>6.2701999999999956</v>
      </c>
      <c r="H19" s="118">
        <v>6.2702</v>
      </c>
      <c r="I19" s="119">
        <f>G19-H19</f>
        <v>0</v>
      </c>
      <c r="J19" s="120" t="str">
        <f>IF(ABS(I19)&lt;=M16_TOL_U,"APROBADO","FALLIDO")</f>
        <v>APROBADO</v>
      </c>
      <c r="K19" s="105"/>
      <c r="L19" s="105"/>
      <c r="M19" s="105"/>
    </row>
    <row r="20" spans="1:13" ht="15" customHeight="1">
      <c r="A20" s="111" t="s">
        <v>774</v>
      </c>
      <c r="B20" s="196">
        <v>6</v>
      </c>
      <c r="C20" s="196">
        <v>8.5</v>
      </c>
      <c r="D20" s="196">
        <v>26</v>
      </c>
      <c r="E20" s="196">
        <v>32</v>
      </c>
      <c r="F20" s="111">
        <v>158</v>
      </c>
      <c r="G20" s="131">
        <f>MAX(0.1,0.858*B20+0.601*C20+0.188*D20+0.161*E20-0.131*F20+4.5)</f>
        <v>4.0984999999999978</v>
      </c>
      <c r="H20" s="118">
        <v>4.0984999999999996</v>
      </c>
      <c r="I20" s="119">
        <f>G20-H20</f>
        <v>0</v>
      </c>
      <c r="J20" s="120" t="str">
        <f>IF(ABS(I20)&lt;=M16_TOL_U,"APROBADO","FALLIDO")</f>
        <v>APROBADO</v>
      </c>
      <c r="K20" s="105"/>
      <c r="L20" s="105"/>
      <c r="M20" s="105"/>
    </row>
    <row r="21" spans="1:13" ht="15" customHeight="1">
      <c r="A21" s="111" t="s">
        <v>776</v>
      </c>
      <c r="B21" s="196">
        <v>8</v>
      </c>
      <c r="C21" s="196">
        <v>10.5</v>
      </c>
      <c r="D21" s="196">
        <v>40</v>
      </c>
      <c r="E21" s="196">
        <v>41</v>
      </c>
      <c r="F21" s="111">
        <v>190</v>
      </c>
      <c r="G21" s="131">
        <f>MAX(0.1,0.858*B21+0.601*C21+0.188*D21+0.161*E21-0.131*F21+4.5)</f>
        <v>6.9054999999999964</v>
      </c>
      <c r="H21" s="118">
        <v>6.9055</v>
      </c>
      <c r="I21" s="119">
        <f>G21-H21</f>
        <v>0</v>
      </c>
      <c r="J21" s="120" t="str">
        <f>IF(ABS(I21)&lt;=M16_TOL_U,"APROBADO","FALLIDO")</f>
        <v>APROBADO</v>
      </c>
      <c r="K21" s="105"/>
      <c r="L21" s="105"/>
      <c r="M21" s="105"/>
    </row>
    <row r="22" spans="1:13">
      <c r="A22" s="22"/>
      <c r="B22" s="22"/>
      <c r="C22" s="22"/>
      <c r="D22" s="2"/>
      <c r="E22" s="2"/>
      <c r="F22" s="2"/>
      <c r="G22" s="2"/>
      <c r="H22" s="22"/>
      <c r="I22" s="2"/>
      <c r="J22" s="22"/>
      <c r="K22" s="22"/>
      <c r="L22" s="2"/>
      <c r="M22" s="22"/>
    </row>
    <row r="23" spans="1:13" ht="15" customHeight="1">
      <c r="A23" s="431" t="s">
        <v>1457</v>
      </c>
      <c r="B23" s="431"/>
      <c r="C23" s="431"/>
      <c r="D23" s="431"/>
      <c r="E23" s="431"/>
      <c r="F23" s="431"/>
      <c r="G23" s="431"/>
      <c r="H23" s="431"/>
      <c r="I23" s="431"/>
      <c r="J23" s="431"/>
      <c r="K23" s="431"/>
      <c r="L23" s="431"/>
      <c r="M23" s="431"/>
    </row>
    <row r="24" spans="1:13" ht="15" customHeight="1">
      <c r="A24" s="110" t="s">
        <v>749</v>
      </c>
      <c r="B24" s="110" t="s">
        <v>750</v>
      </c>
      <c r="C24" s="110" t="s">
        <v>1445</v>
      </c>
      <c r="D24" s="110" t="s">
        <v>66</v>
      </c>
      <c r="E24" s="110" t="s">
        <v>326</v>
      </c>
      <c r="F24" s="110" t="s">
        <v>327</v>
      </c>
      <c r="G24" s="110" t="s">
        <v>752</v>
      </c>
      <c r="H24" s="405" t="s">
        <v>44</v>
      </c>
      <c r="I24" s="405"/>
      <c r="J24" s="405"/>
      <c r="K24" s="405"/>
      <c r="L24" s="405"/>
      <c r="M24" s="405"/>
    </row>
    <row r="25" spans="1:13" ht="15" customHeight="1">
      <c r="A25" s="111" t="s">
        <v>785</v>
      </c>
      <c r="B25" s="112" t="s">
        <v>1458</v>
      </c>
      <c r="C25" s="111">
        <v>176</v>
      </c>
      <c r="D25" s="196">
        <v>78.5</v>
      </c>
      <c r="E25" s="131">
        <f t="shared" ref="E25:E30" si="3">MAX(0.1,IF(C25/(D25^(1/3))&gt;=40.75,0.732*(C25/(D25^(1/3)))-28.58,IF(C25/(D25^(1/3))&gt;38.25,0.463*(C25/(D25^(1/3)))-17.63,0.1)))</f>
        <v>1.5084994825925548</v>
      </c>
      <c r="F25" s="118">
        <v>1.508499</v>
      </c>
      <c r="G25" s="119">
        <f t="shared" ref="G25:G30" si="4">E25-F25</f>
        <v>4.8259255480687102E-7</v>
      </c>
      <c r="H25" s="402" t="str">
        <f t="shared" ref="H25:H30" si="5">IF(ABS(G25)&lt;=M16_TOL_U,"APROBADO","FALLIDO")</f>
        <v>APROBADO</v>
      </c>
      <c r="I25" s="402"/>
      <c r="J25" s="402"/>
      <c r="K25" s="402"/>
      <c r="L25" s="402"/>
      <c r="M25" s="402"/>
    </row>
    <row r="26" spans="1:13" ht="15" customHeight="1">
      <c r="A26" s="111" t="s">
        <v>788</v>
      </c>
      <c r="B26" s="112" t="s">
        <v>1459</v>
      </c>
      <c r="C26" s="111">
        <v>180</v>
      </c>
      <c r="D26" s="196">
        <v>60</v>
      </c>
      <c r="E26" s="131">
        <f t="shared" si="3"/>
        <v>5.0763102707248535</v>
      </c>
      <c r="F26" s="118">
        <v>5.0763100000000003</v>
      </c>
      <c r="G26" s="119">
        <f t="shared" si="4"/>
        <v>2.7072485320189799E-7</v>
      </c>
      <c r="H26" s="402" t="str">
        <f t="shared" si="5"/>
        <v>APROBADO</v>
      </c>
      <c r="I26" s="402"/>
      <c r="J26" s="402"/>
      <c r="K26" s="402"/>
      <c r="L26" s="402"/>
      <c r="M26" s="402"/>
    </row>
    <row r="27" spans="1:13" ht="15" customHeight="1">
      <c r="A27" s="111" t="s">
        <v>790</v>
      </c>
      <c r="B27" s="112" t="s">
        <v>1460</v>
      </c>
      <c r="C27" s="111">
        <v>170</v>
      </c>
      <c r="D27" s="196">
        <v>72</v>
      </c>
      <c r="E27" s="131">
        <f t="shared" si="3"/>
        <v>1.332256088175658</v>
      </c>
      <c r="F27" s="118">
        <v>1.3322560000000001</v>
      </c>
      <c r="G27" s="119">
        <f t="shared" si="4"/>
        <v>8.8175657886324643E-8</v>
      </c>
      <c r="H27" s="402" t="str">
        <f t="shared" si="5"/>
        <v>APROBADO</v>
      </c>
      <c r="I27" s="402"/>
      <c r="J27" s="402"/>
      <c r="K27" s="402"/>
      <c r="L27" s="402"/>
      <c r="M27" s="402"/>
    </row>
    <row r="28" spans="1:13" ht="15" customHeight="1">
      <c r="A28" s="111" t="s">
        <v>792</v>
      </c>
      <c r="B28" s="112" t="s">
        <v>1461</v>
      </c>
      <c r="C28" s="111">
        <v>160</v>
      </c>
      <c r="D28" s="196">
        <v>85</v>
      </c>
      <c r="E28" s="131">
        <f t="shared" si="3"/>
        <v>0.1</v>
      </c>
      <c r="F28" s="118">
        <v>0.1</v>
      </c>
      <c r="G28" s="119">
        <f t="shared" si="4"/>
        <v>0</v>
      </c>
      <c r="H28" s="402" t="str">
        <f t="shared" si="5"/>
        <v>APROBADO</v>
      </c>
      <c r="I28" s="402"/>
      <c r="J28" s="402"/>
      <c r="K28" s="402"/>
      <c r="L28" s="402"/>
      <c r="M28" s="402"/>
    </row>
    <row r="29" spans="1:13" ht="15" customHeight="1">
      <c r="A29" s="111" t="s">
        <v>794</v>
      </c>
      <c r="B29" s="112" t="s">
        <v>1462</v>
      </c>
      <c r="C29" s="111">
        <v>190</v>
      </c>
      <c r="D29" s="196">
        <v>62</v>
      </c>
      <c r="E29" s="131">
        <f t="shared" si="3"/>
        <v>6.559921381331236</v>
      </c>
      <c r="F29" s="118">
        <v>6.5599210000000001</v>
      </c>
      <c r="G29" s="119">
        <f t="shared" si="4"/>
        <v>3.8133123592132279E-7</v>
      </c>
      <c r="H29" s="402" t="str">
        <f t="shared" si="5"/>
        <v>APROBADO</v>
      </c>
      <c r="I29" s="402"/>
      <c r="J29" s="402"/>
      <c r="K29" s="402"/>
      <c r="L29" s="402"/>
      <c r="M29" s="402"/>
    </row>
    <row r="30" spans="1:13" ht="15" customHeight="1">
      <c r="A30" s="111" t="s">
        <v>795</v>
      </c>
      <c r="B30" s="112" t="s">
        <v>1463</v>
      </c>
      <c r="C30" s="111">
        <v>165</v>
      </c>
      <c r="D30" s="196">
        <v>90</v>
      </c>
      <c r="E30" s="131">
        <f t="shared" si="3"/>
        <v>0.1</v>
      </c>
      <c r="F30" s="118">
        <v>0.1</v>
      </c>
      <c r="G30" s="119">
        <f t="shared" si="4"/>
        <v>0</v>
      </c>
      <c r="H30" s="402" t="str">
        <f t="shared" si="5"/>
        <v>APROBADO</v>
      </c>
      <c r="I30" s="402"/>
      <c r="J30" s="402"/>
      <c r="K30" s="402"/>
      <c r="L30" s="402"/>
      <c r="M30" s="402"/>
    </row>
    <row r="31" spans="1:13">
      <c r="A31" s="22"/>
      <c r="B31" s="22"/>
      <c r="C31" s="22"/>
      <c r="D31" s="2"/>
      <c r="E31" s="2"/>
      <c r="F31" s="2"/>
      <c r="G31" s="2"/>
      <c r="H31" s="22"/>
      <c r="I31" s="2"/>
      <c r="J31" s="22"/>
      <c r="K31" s="22"/>
      <c r="L31" s="2"/>
      <c r="M31" s="22"/>
    </row>
    <row r="32" spans="1:13" ht="15" customHeight="1">
      <c r="A32" s="431" t="s">
        <v>1464</v>
      </c>
      <c r="B32" s="431"/>
      <c r="C32" s="431"/>
      <c r="D32" s="431"/>
      <c r="E32" s="431"/>
      <c r="F32" s="431"/>
      <c r="G32" s="431"/>
      <c r="H32" s="431"/>
      <c r="I32" s="431"/>
      <c r="J32" s="431"/>
      <c r="K32" s="431"/>
      <c r="L32" s="431"/>
      <c r="M32" s="431"/>
    </row>
    <row r="33" spans="1:13" ht="15" customHeight="1">
      <c r="A33" s="110" t="s">
        <v>749</v>
      </c>
      <c r="B33" s="110" t="s">
        <v>1465</v>
      </c>
      <c r="C33" s="110" t="s">
        <v>1466</v>
      </c>
      <c r="D33" s="110" t="s">
        <v>1467</v>
      </c>
      <c r="E33" s="110" t="s">
        <v>1468</v>
      </c>
      <c r="F33" s="110" t="s">
        <v>1469</v>
      </c>
      <c r="G33" s="110" t="s">
        <v>1470</v>
      </c>
      <c r="H33" s="110" t="s">
        <v>1471</v>
      </c>
      <c r="I33" s="110" t="s">
        <v>1472</v>
      </c>
      <c r="J33" s="405" t="s">
        <v>1473</v>
      </c>
      <c r="K33" s="405"/>
      <c r="L33" s="405"/>
      <c r="M33" s="405"/>
    </row>
    <row r="34" spans="1:13" ht="15" customHeight="1">
      <c r="A34" s="111" t="s">
        <v>805</v>
      </c>
      <c r="B34" s="122">
        <v>2.95</v>
      </c>
      <c r="C34" s="122">
        <v>5.0599999999999996</v>
      </c>
      <c r="D34" s="122">
        <v>1.51</v>
      </c>
      <c r="E34" s="131">
        <f>D34-B34</f>
        <v>-1.4400000000000002</v>
      </c>
      <c r="F34" s="118">
        <v>-1.44</v>
      </c>
      <c r="G34" s="120" t="str">
        <f>IF(ABS(E34-F34)&lt;=M16_TOL_U,"APROBADO","FALLIDO")</f>
        <v>APROBADO</v>
      </c>
      <c r="H34" s="131">
        <f>2*C34-(B34+D34)</f>
        <v>5.6599999999999993</v>
      </c>
      <c r="I34" s="118">
        <v>5.66</v>
      </c>
      <c r="J34" s="402" t="str">
        <f>IF(ABS(H34-I34)&lt;=M16_TOL_U,"APROBADO","FALLIDO")</f>
        <v>APROBADO</v>
      </c>
      <c r="K34" s="402"/>
      <c r="L34" s="402"/>
      <c r="M34" s="402"/>
    </row>
    <row r="35" spans="1:13" ht="15" customHeight="1">
      <c r="A35" s="111" t="s">
        <v>807</v>
      </c>
      <c r="B35" s="122">
        <v>4</v>
      </c>
      <c r="C35" s="122">
        <v>4</v>
      </c>
      <c r="D35" s="122">
        <v>2</v>
      </c>
      <c r="E35" s="131">
        <f>D35-B35</f>
        <v>-2</v>
      </c>
      <c r="F35" s="118">
        <v>-2</v>
      </c>
      <c r="G35" s="120" t="str">
        <f>IF(ABS(E35-F35)&lt;=M16_TOL_U,"APROBADO","FALLIDO")</f>
        <v>APROBADO</v>
      </c>
      <c r="H35" s="131">
        <f>2*C35-(B35+D35)</f>
        <v>2</v>
      </c>
      <c r="I35" s="118">
        <v>2</v>
      </c>
      <c r="J35" s="402" t="str">
        <f>IF(ABS(H35-I35)&lt;=M16_TOL_U,"APROBADO","FALLIDO")</f>
        <v>APROBADO</v>
      </c>
      <c r="K35" s="402"/>
      <c r="L35" s="402"/>
      <c r="M35" s="402"/>
    </row>
    <row r="36" spans="1:13" ht="15" customHeight="1">
      <c r="A36" s="111" t="s">
        <v>809</v>
      </c>
      <c r="B36" s="122">
        <v>1.5</v>
      </c>
      <c r="C36" s="122">
        <v>2</v>
      </c>
      <c r="D36" s="122">
        <v>5.5</v>
      </c>
      <c r="E36" s="131">
        <f>D36-B36</f>
        <v>4</v>
      </c>
      <c r="F36" s="118">
        <v>4</v>
      </c>
      <c r="G36" s="120" t="str">
        <f>IF(ABS(E36-F36)&lt;=M16_TOL_U,"APROBADO","FALLIDO")</f>
        <v>APROBADO</v>
      </c>
      <c r="H36" s="131">
        <f>2*C36-(B36+D36)</f>
        <v>-3</v>
      </c>
      <c r="I36" s="118">
        <v>-3</v>
      </c>
      <c r="J36" s="402" t="str">
        <f>IF(ABS(H36-I36)&lt;=M16_TOL_U,"APROBADO","FALLIDO")</f>
        <v>APROBADO</v>
      </c>
      <c r="K36" s="402"/>
      <c r="L36" s="402"/>
      <c r="M36" s="402"/>
    </row>
    <row r="37" spans="1:13" ht="15" customHeight="1">
      <c r="A37" s="111" t="s">
        <v>1198</v>
      </c>
      <c r="B37" s="122">
        <v>3</v>
      </c>
      <c r="C37" s="122">
        <v>3</v>
      </c>
      <c r="D37" s="122">
        <v>3</v>
      </c>
      <c r="E37" s="131">
        <f>D37-B37</f>
        <v>0</v>
      </c>
      <c r="F37" s="118">
        <v>0</v>
      </c>
      <c r="G37" s="120" t="str">
        <f>IF(ABS(E37-F37)&lt;=M16_TOL_U,"APROBADO","FALLIDO")</f>
        <v>APROBADO</v>
      </c>
      <c r="H37" s="131">
        <f>2*C37-(B37+D37)</f>
        <v>0</v>
      </c>
      <c r="I37" s="118">
        <v>0</v>
      </c>
      <c r="J37" s="402" t="str">
        <f>IF(ABS(H37-I37)&lt;=M16_TOL_U,"APROBADO","FALLIDO")</f>
        <v>APROBADO</v>
      </c>
      <c r="K37" s="402"/>
      <c r="L37" s="402"/>
      <c r="M37" s="402"/>
    </row>
    <row r="38" spans="1:13">
      <c r="A38" s="22"/>
      <c r="B38" s="22"/>
      <c r="C38" s="22"/>
      <c r="D38" s="2"/>
      <c r="E38" s="2"/>
      <c r="F38" s="2"/>
      <c r="G38" s="2"/>
      <c r="H38" s="22"/>
      <c r="I38" s="2"/>
      <c r="J38" s="22"/>
      <c r="K38" s="22"/>
      <c r="L38" s="2"/>
      <c r="M38" s="22"/>
    </row>
    <row r="39" spans="1:13" ht="15" customHeight="1">
      <c r="A39" s="431" t="s">
        <v>1474</v>
      </c>
      <c r="B39" s="431"/>
      <c r="C39" s="431"/>
      <c r="D39" s="431"/>
      <c r="E39" s="431"/>
      <c r="F39" s="431"/>
      <c r="G39" s="431"/>
      <c r="H39" s="431"/>
      <c r="I39" s="431"/>
      <c r="J39" s="431"/>
      <c r="K39" s="431"/>
      <c r="L39" s="431"/>
      <c r="M39" s="431"/>
    </row>
    <row r="40" spans="1:13" ht="15" customHeight="1">
      <c r="A40" s="110" t="s">
        <v>749</v>
      </c>
      <c r="B40" s="110" t="s">
        <v>1475</v>
      </c>
      <c r="C40" s="110" t="s">
        <v>327</v>
      </c>
      <c r="D40" s="110" t="s">
        <v>326</v>
      </c>
      <c r="E40" s="405" t="s">
        <v>44</v>
      </c>
      <c r="F40" s="405"/>
      <c r="G40" s="405"/>
      <c r="H40" s="405"/>
      <c r="I40" s="405"/>
      <c r="J40" s="405"/>
      <c r="K40" s="405"/>
      <c r="L40" s="405"/>
      <c r="M40" s="405"/>
    </row>
    <row r="41" spans="1:13" ht="15" customHeight="1">
      <c r="A41" s="111" t="s">
        <v>820</v>
      </c>
      <c r="B41" s="113" t="s">
        <v>1476</v>
      </c>
      <c r="C41" s="112" t="s">
        <v>1477</v>
      </c>
      <c r="D41" s="178" t="str">
        <f>IF((5.06-1.51)&lt;=1,"Central",IF((5.06-2.95)&lt;=0.5,IF(1.51=1.51,"Endomorfo-mesomorfo",IF(1.51=2.95,"Mesomorfo-ectomorfo","Endomorfo-ectomorfo")),IF((2.95-1.51)&lt;=0.5,IF(5.06=5.06,"Mesomorfo",IF(5.06=2.95,"Endomorfo","Ectomorfo"))&amp;" balanceado",IF(5.06=5.06,"Mesomorfo",IF(5.06=2.95,"Endomorfo","Ectomorfo"))&amp;" "&amp;IF(2.95=2.95,"endomórfico",IF(2.95=5.06,"mesomórfico","ectomórfico")))))</f>
        <v>Mesomorfo endomórfico</v>
      </c>
      <c r="E41" s="402" t="str">
        <f t="shared" ref="E41:E47" si="6">IF(D41=C41,"APROBADO","FALLIDO")</f>
        <v>APROBADO</v>
      </c>
      <c r="F41" s="402"/>
      <c r="G41" s="402"/>
      <c r="H41" s="402"/>
      <c r="I41" s="402"/>
      <c r="J41" s="402"/>
      <c r="K41" s="402"/>
      <c r="L41" s="402"/>
      <c r="M41" s="402"/>
    </row>
    <row r="42" spans="1:13" ht="15" customHeight="1">
      <c r="A42" s="111" t="s">
        <v>821</v>
      </c>
      <c r="B42" s="113" t="s">
        <v>1478</v>
      </c>
      <c r="C42" s="112" t="s">
        <v>1479</v>
      </c>
      <c r="D42" s="178" t="str">
        <f>IF((3.5-3)&lt;=1,"Central",IF((3.5-3.2)&lt;=0.5,IF(3=3.2,"Endomorfo-mesomorfo",IF(3=3,"Mesomorfo-ectomorfo","Endomorfo-ectomorfo")),IF((3.2-3)&lt;=0.5,IF(3.5=3.5,"Mesomorfo",IF(3.5=3,"Endomorfo","Ectomorfo"))&amp;" balanceado",IF(3.5=3.5,"Mesomorfo",IF(3.5=3,"Endomorfo","Ectomorfo"))&amp;" "&amp;IF(3.2=3,"endomórfico",IF(3.2=3.5,"mesomórfico","ectomórfico")))))</f>
        <v>Central</v>
      </c>
      <c r="E42" s="402" t="str">
        <f t="shared" si="6"/>
        <v>APROBADO</v>
      </c>
      <c r="F42" s="402"/>
      <c r="G42" s="402"/>
      <c r="H42" s="402"/>
      <c r="I42" s="402"/>
      <c r="J42" s="402"/>
      <c r="K42" s="402"/>
      <c r="L42" s="402"/>
      <c r="M42" s="402"/>
    </row>
    <row r="43" spans="1:13" ht="15" customHeight="1">
      <c r="A43" s="111" t="s">
        <v>822</v>
      </c>
      <c r="B43" s="113" t="s">
        <v>1480</v>
      </c>
      <c r="C43" s="112" t="s">
        <v>1481</v>
      </c>
      <c r="D43" s="178" t="str">
        <f>IF((5-2)&lt;=1,"Central",IF((5-2)&lt;=0.5,IF(2=2,"Endomorfo-mesomorfo",IF(2=5,"Mesomorfo-ectomorfo","Endomorfo-ectomorfo")),IF((2-2)&lt;=0.5,IF(5=2,"Mesomorfo",IF(5=5,"Endomorfo","Ectomorfo"))&amp;" balanceado",IF(5=2,"Mesomorfo",IF(5=5,"Endomorfo","Ectomorfo"))&amp;" "&amp;IF(2=5,"endomórfico",IF(2=2,"mesomórfico","ectomórfico")))))</f>
        <v>Endomorfo balanceado</v>
      </c>
      <c r="E43" s="402" t="str">
        <f t="shared" si="6"/>
        <v>APROBADO</v>
      </c>
      <c r="F43" s="402"/>
      <c r="G43" s="402"/>
      <c r="H43" s="402"/>
      <c r="I43" s="402"/>
      <c r="J43" s="402"/>
      <c r="K43" s="402"/>
      <c r="L43" s="402"/>
      <c r="M43" s="402"/>
    </row>
    <row r="44" spans="1:13" ht="15" customHeight="1">
      <c r="A44" s="111" t="s">
        <v>1208</v>
      </c>
      <c r="B44" s="113" t="s">
        <v>1482</v>
      </c>
      <c r="C44" s="112" t="s">
        <v>1483</v>
      </c>
      <c r="D44" s="178" t="str">
        <f>IF((5-2)&lt;=1,"Central",IF((5-2.2)&lt;=0.5,IF(2=2.2,"Endomorfo-mesomorfo",IF(2=2,"Mesomorfo-ectomorfo","Endomorfo-ectomorfo")),IF((2.2-2)&lt;=0.5,IF(5=5,"Mesomorfo",IF(5=2,"Endomorfo","Ectomorfo"))&amp;" balanceado",IF(5=5,"Mesomorfo",IF(5=2,"Endomorfo","Ectomorfo"))&amp;" "&amp;IF(2.2=2,"endomórfico",IF(2.2=5,"mesomórfico","ectomórfico")))))</f>
        <v>Mesomorfo balanceado</v>
      </c>
      <c r="E44" s="402" t="str">
        <f t="shared" si="6"/>
        <v>APROBADO</v>
      </c>
      <c r="F44" s="402"/>
      <c r="G44" s="402"/>
      <c r="H44" s="402"/>
      <c r="I44" s="402"/>
      <c r="J44" s="402"/>
      <c r="K44" s="402"/>
      <c r="L44" s="402"/>
      <c r="M44" s="402"/>
    </row>
    <row r="45" spans="1:13" ht="15" customHeight="1">
      <c r="A45" s="111" t="s">
        <v>1212</v>
      </c>
      <c r="B45" s="113" t="s">
        <v>1484</v>
      </c>
      <c r="C45" s="112" t="s">
        <v>1485</v>
      </c>
      <c r="D45" s="178" t="str">
        <f>IF((6-2)&lt;=1,"Central",IF((6-2.2)&lt;=0.5,IF(2=6,"Endomorfo-mesomorfo",IF(2=2,"Mesomorfo-ectomorfo","Endomorfo-ectomorfo")),IF((2.2-2)&lt;=0.5,IF(6=2.2,"Mesomorfo",IF(6=2,"Endomorfo","Ectomorfo"))&amp;" balanceado",IF(6=2.2,"Mesomorfo",IF(6=2,"Endomorfo","Ectomorfo"))&amp;" "&amp;IF(2.2=2,"endomórfico",IF(2.2=2.2,"mesomórfico","ectomórfico")))))</f>
        <v>Ectomorfo balanceado</v>
      </c>
      <c r="E45" s="402" t="str">
        <f t="shared" si="6"/>
        <v>APROBADO</v>
      </c>
      <c r="F45" s="402"/>
      <c r="G45" s="402"/>
      <c r="H45" s="402"/>
      <c r="I45" s="402"/>
      <c r="J45" s="402"/>
      <c r="K45" s="402"/>
      <c r="L45" s="402"/>
      <c r="M45" s="402"/>
    </row>
    <row r="46" spans="1:13" ht="15" customHeight="1">
      <c r="A46" s="111" t="s">
        <v>1216</v>
      </c>
      <c r="B46" s="113" t="s">
        <v>1486</v>
      </c>
      <c r="C46" s="112" t="s">
        <v>1487</v>
      </c>
      <c r="D46" s="178" t="str">
        <f>IF((4.5-1.5)&lt;=1,"Central",IF((4.5-4.5)&lt;=0.5,IF(1.5=1.5,"Endomorfo-mesomorfo",IF(1.5=4.5,"Mesomorfo-ectomorfo","Endomorfo-ectomorfo")),IF((4.5-1.5)&lt;=0.5,IF(4.5=4.5,"Mesomorfo",IF(4.5=4.5,"Endomorfo","Ectomorfo"))&amp;" balanceado",IF(4.5=4.5,"Mesomorfo",IF(4.5=4.5,"Endomorfo","Ectomorfo"))&amp;" "&amp;IF(4.5=4.5,"endomórfico",IF(4.5=4.5,"mesomórfico","ectomórfico")))))</f>
        <v>Endomorfo-mesomorfo</v>
      </c>
      <c r="E46" s="402" t="str">
        <f t="shared" si="6"/>
        <v>APROBADO</v>
      </c>
      <c r="F46" s="402"/>
      <c r="G46" s="402"/>
      <c r="H46" s="402"/>
      <c r="I46" s="402"/>
      <c r="J46" s="402"/>
      <c r="K46" s="402"/>
      <c r="L46" s="402"/>
      <c r="M46" s="402"/>
    </row>
    <row r="47" spans="1:13" ht="15" customHeight="1">
      <c r="A47" s="111" t="s">
        <v>1219</v>
      </c>
      <c r="B47" s="113" t="s">
        <v>1488</v>
      </c>
      <c r="C47" s="112" t="s">
        <v>1489</v>
      </c>
      <c r="D47" s="178" t="str">
        <f>IF((5.5-1.5)&lt;=1,"Central",IF((5.5-3)&lt;=0.5,IF(1.5=5.5,"Endomorfo-mesomorfo",IF(1.5=1.5,"Mesomorfo-ectomorfo","Endomorfo-ectomorfo")),IF((3-1.5)&lt;=0.5,IF(5.5=3,"Mesomorfo",IF(5.5=1.5,"Endomorfo","Ectomorfo"))&amp;" balanceado",IF(5.5=3,"Mesomorfo",IF(5.5=1.5,"Endomorfo","Ectomorfo"))&amp;" "&amp;IF(3=1.5,"endomórfico",IF(3=3,"mesomórfico","ectomórfico")))))</f>
        <v>Ectomorfo mesomórfico</v>
      </c>
      <c r="E47" s="402" t="str">
        <f t="shared" si="6"/>
        <v>APROBADO</v>
      </c>
      <c r="F47" s="402"/>
      <c r="G47" s="402"/>
      <c r="H47" s="402"/>
      <c r="I47" s="402"/>
      <c r="J47" s="402"/>
      <c r="K47" s="402"/>
      <c r="L47" s="402"/>
      <c r="M47" s="402"/>
    </row>
    <row r="48" spans="1:13">
      <c r="A48" s="22"/>
      <c r="B48" s="22"/>
      <c r="C48" s="22"/>
      <c r="D48" s="2"/>
      <c r="E48" s="2"/>
      <c r="F48" s="2"/>
      <c r="G48" s="2"/>
      <c r="H48" s="22"/>
      <c r="I48" s="2"/>
      <c r="J48" s="22"/>
      <c r="K48" s="22"/>
      <c r="L48" s="2"/>
      <c r="M48" s="22"/>
    </row>
    <row r="49" spans="1:13" ht="15" customHeight="1">
      <c r="A49" s="431" t="s">
        <v>823</v>
      </c>
      <c r="B49" s="431"/>
      <c r="C49" s="431"/>
      <c r="D49" s="431"/>
      <c r="E49" s="431"/>
      <c r="F49" s="431"/>
      <c r="G49" s="431"/>
      <c r="H49" s="431"/>
      <c r="I49" s="431"/>
      <c r="J49" s="431"/>
      <c r="K49" s="431"/>
      <c r="L49" s="431"/>
      <c r="M49" s="431"/>
    </row>
    <row r="50" spans="1:13" ht="32.25" customHeight="1">
      <c r="A50" s="110" t="s">
        <v>749</v>
      </c>
      <c r="B50" s="110" t="s">
        <v>824</v>
      </c>
      <c r="C50" s="110" t="s">
        <v>825</v>
      </c>
      <c r="D50" s="110" t="s">
        <v>826</v>
      </c>
      <c r="E50" s="110" t="s">
        <v>827</v>
      </c>
      <c r="F50" s="405" t="s">
        <v>44</v>
      </c>
      <c r="G50" s="405"/>
      <c r="H50" s="405"/>
      <c r="I50" s="405"/>
      <c r="J50" s="405"/>
      <c r="K50" s="405"/>
      <c r="L50" s="405"/>
      <c r="M50" s="405"/>
    </row>
    <row r="51" spans="1:13" ht="15" customHeight="1">
      <c r="A51" s="111" t="s">
        <v>828</v>
      </c>
      <c r="B51" s="112" t="s">
        <v>829</v>
      </c>
      <c r="C51" s="113" t="s">
        <v>830</v>
      </c>
      <c r="D51" s="112" t="s">
        <v>831</v>
      </c>
      <c r="E51" s="178" t="str">
        <f>IF(NOT(ISNUMBER(15)),"ERROR: edad no numérica",IF(AND(15&gt;=18,15&lt;=120),"OK","ERROR: edad fuera del alcance adulto"))</f>
        <v>ERROR: edad fuera del alcance adulto</v>
      </c>
      <c r="F51" s="402" t="str">
        <f t="shared" ref="F51:F58" si="7">IF(E51=D51,"APROBADO","FALLIDO")</f>
        <v>APROBADO</v>
      </c>
      <c r="G51" s="402"/>
      <c r="H51" s="402"/>
      <c r="I51" s="402"/>
      <c r="J51" s="402"/>
      <c r="K51" s="402"/>
      <c r="L51" s="402"/>
      <c r="M51" s="402"/>
    </row>
    <row r="52" spans="1:13" ht="15" customHeight="1">
      <c r="A52" s="111" t="s">
        <v>832</v>
      </c>
      <c r="B52" s="112" t="s">
        <v>833</v>
      </c>
      <c r="C52" s="113" t="s">
        <v>834</v>
      </c>
      <c r="D52" s="112" t="s">
        <v>835</v>
      </c>
      <c r="E52" s="178" t="str">
        <f>IF(NOT(ISNUMBER("quince")),"ERROR: edad no numérica",IF(AND("quince"&gt;=18,"quince"&lt;=120),"OK","ERROR: edad fuera del alcance adulto"))</f>
        <v>ERROR: edad no numérica</v>
      </c>
      <c r="F52" s="402" t="str">
        <f t="shared" si="7"/>
        <v>APROBADO</v>
      </c>
      <c r="G52" s="402"/>
      <c r="H52" s="402"/>
      <c r="I52" s="402"/>
      <c r="J52" s="402"/>
      <c r="K52" s="402"/>
      <c r="L52" s="402"/>
      <c r="M52" s="402"/>
    </row>
    <row r="53" spans="1:13" ht="15" customHeight="1">
      <c r="A53" s="111" t="s">
        <v>836</v>
      </c>
      <c r="B53" s="112" t="s">
        <v>837</v>
      </c>
      <c r="C53" s="113" t="s">
        <v>838</v>
      </c>
      <c r="D53" s="112" t="s">
        <v>839</v>
      </c>
      <c r="E53" s="178" t="str">
        <f>IF(NOT(ISNUMBER(-5)),"ERROR: peso no numérico",IF(AND(-5&gt;=25,-5&lt;=350),"OK","ERROR: peso fuera de rango"))</f>
        <v>ERROR: peso fuera de rango</v>
      </c>
      <c r="F53" s="402" t="str">
        <f t="shared" si="7"/>
        <v>APROBADO</v>
      </c>
      <c r="G53" s="402"/>
      <c r="H53" s="402"/>
      <c r="I53" s="402"/>
      <c r="J53" s="402"/>
      <c r="K53" s="402"/>
      <c r="L53" s="402"/>
      <c r="M53" s="402"/>
    </row>
    <row r="54" spans="1:13" ht="15" customHeight="1">
      <c r="A54" s="111" t="s">
        <v>840</v>
      </c>
      <c r="B54" s="112" t="s">
        <v>841</v>
      </c>
      <c r="C54" s="113" t="s">
        <v>842</v>
      </c>
      <c r="D54" s="112" t="s">
        <v>843</v>
      </c>
      <c r="E54" s="178" t="str">
        <f>IF(NOT(ISNUMBER(400)),"ERROR: estatura no numérico",IF(AND(400&gt;=120,400&lt;=230),"OK","ERROR: estatura fuera de rango"))</f>
        <v>ERROR: estatura fuera de rango</v>
      </c>
      <c r="F54" s="402" t="str">
        <f t="shared" si="7"/>
        <v>APROBADO</v>
      </c>
      <c r="G54" s="402"/>
      <c r="H54" s="402"/>
      <c r="I54" s="402"/>
      <c r="J54" s="402"/>
      <c r="K54" s="402"/>
      <c r="L54" s="402"/>
      <c r="M54" s="402"/>
    </row>
    <row r="55" spans="1:13" ht="15" customHeight="1">
      <c r="A55" s="111" t="s">
        <v>844</v>
      </c>
      <c r="B55" s="112" t="s">
        <v>1490</v>
      </c>
      <c r="C55" s="113" t="s">
        <v>1491</v>
      </c>
      <c r="D55" s="112" t="s">
        <v>1492</v>
      </c>
      <c r="E55" s="178" t="str">
        <f>IF(NOT(ISNUMBER(20)),"ERROR: diámetro no numérico",IF(AND(20&gt;=3,20&lt;=15),"OK","ERROR: diámetro fuera de rango"))</f>
        <v>ERROR: diámetro fuera de rango</v>
      </c>
      <c r="F55" s="402" t="str">
        <f t="shared" si="7"/>
        <v>APROBADO</v>
      </c>
      <c r="G55" s="402"/>
      <c r="H55" s="402"/>
      <c r="I55" s="402"/>
      <c r="J55" s="402"/>
      <c r="K55" s="402"/>
      <c r="L55" s="402"/>
      <c r="M55" s="402"/>
    </row>
    <row r="56" spans="1:13" ht="15" customHeight="1">
      <c r="A56" s="111" t="s">
        <v>848</v>
      </c>
      <c r="B56" s="112" t="s">
        <v>1493</v>
      </c>
      <c r="C56" s="113" t="s">
        <v>1494</v>
      </c>
      <c r="D56" s="112" t="s">
        <v>1495</v>
      </c>
      <c r="E56" s="178" t="str">
        <f>IF(NOT(ISNUMBER(5)),"ERROR: perímetro no numérico",IF(AND(5&gt;=15,5&lt;=80),"OK","ERROR: perímetro fuera de rango"))</f>
        <v>ERROR: perímetro fuera de rango</v>
      </c>
      <c r="F56" s="402" t="str">
        <f t="shared" si="7"/>
        <v>APROBADO</v>
      </c>
      <c r="G56" s="402"/>
      <c r="H56" s="402"/>
      <c r="I56" s="402"/>
      <c r="J56" s="402"/>
      <c r="K56" s="402"/>
      <c r="L56" s="402"/>
      <c r="M56" s="402"/>
    </row>
    <row r="57" spans="1:13" ht="15" customHeight="1">
      <c r="A57" s="111" t="s">
        <v>851</v>
      </c>
      <c r="B57" s="112" t="s">
        <v>1496</v>
      </c>
      <c r="C57" s="113" t="s">
        <v>1497</v>
      </c>
      <c r="D57" s="112">
        <v>0.1</v>
      </c>
      <c r="E57" s="178">
        <f>MAX(0.1,-0.3)</f>
        <v>0.1</v>
      </c>
      <c r="F57" s="402" t="str">
        <f t="shared" si="7"/>
        <v>APROBADO</v>
      </c>
      <c r="G57" s="402"/>
      <c r="H57" s="402"/>
      <c r="I57" s="402"/>
      <c r="J57" s="402"/>
      <c r="K57" s="402"/>
      <c r="L57" s="402"/>
      <c r="M57" s="402"/>
    </row>
    <row r="58" spans="1:13" ht="15" customHeight="1">
      <c r="A58" s="111" t="s">
        <v>855</v>
      </c>
      <c r="B58" s="112" t="s">
        <v>1498</v>
      </c>
      <c r="C58" s="113" t="s">
        <v>846</v>
      </c>
      <c r="D58" s="112">
        <v>0.1</v>
      </c>
      <c r="E58" s="178">
        <f>MAX(0.1,0)</f>
        <v>0.1</v>
      </c>
      <c r="F58" s="402" t="str">
        <f t="shared" si="7"/>
        <v>APROBADO</v>
      </c>
      <c r="G58" s="402"/>
      <c r="H58" s="402"/>
      <c r="I58" s="402"/>
      <c r="J58" s="402"/>
      <c r="K58" s="402"/>
      <c r="L58" s="402"/>
      <c r="M58" s="402"/>
    </row>
    <row r="59" spans="1:13">
      <c r="A59" s="22"/>
      <c r="B59" s="22"/>
      <c r="C59" s="22"/>
      <c r="D59" s="2"/>
      <c r="E59" s="2"/>
      <c r="F59" s="2"/>
      <c r="G59" s="2"/>
      <c r="H59" s="22"/>
      <c r="I59" s="2"/>
      <c r="J59" s="22"/>
      <c r="K59" s="22"/>
      <c r="L59" s="2"/>
      <c r="M59" s="22"/>
    </row>
    <row r="60" spans="1:13" ht="15" customHeight="1">
      <c r="A60" s="431" t="s">
        <v>867</v>
      </c>
      <c r="B60" s="431"/>
      <c r="C60" s="431"/>
      <c r="D60" s="431"/>
      <c r="E60" s="431"/>
      <c r="F60" s="431"/>
      <c r="G60" s="431"/>
      <c r="H60" s="431"/>
      <c r="I60" s="431"/>
      <c r="J60" s="431"/>
      <c r="K60" s="431"/>
      <c r="L60" s="431"/>
      <c r="M60" s="431"/>
    </row>
    <row r="61" spans="1:13" ht="15" customHeight="1">
      <c r="A61" s="110" t="s">
        <v>749</v>
      </c>
      <c r="B61" s="110" t="s">
        <v>868</v>
      </c>
      <c r="C61" s="110" t="s">
        <v>869</v>
      </c>
      <c r="D61" s="110" t="s">
        <v>327</v>
      </c>
      <c r="E61" s="405" t="s">
        <v>44</v>
      </c>
      <c r="F61" s="405"/>
      <c r="G61" s="405"/>
      <c r="H61" s="405"/>
      <c r="I61" s="405"/>
      <c r="J61" s="405"/>
      <c r="K61" s="405"/>
      <c r="L61" s="405"/>
      <c r="M61" s="405"/>
    </row>
    <row r="62" spans="1:13" ht="15" customHeight="1">
      <c r="A62" s="111" t="s">
        <v>870</v>
      </c>
      <c r="B62" s="112" t="s">
        <v>1499</v>
      </c>
      <c r="C62" s="130">
        <f>SUMPRODUCT(--ISERROR(M16_CALCULOS!B7:B39))</f>
        <v>0</v>
      </c>
      <c r="D62" s="111">
        <v>0</v>
      </c>
      <c r="E62" s="402" t="str">
        <f>IF(C62=D62,"APROBADO","FALLIDO")</f>
        <v>APROBADO</v>
      </c>
      <c r="F62" s="402"/>
      <c r="G62" s="402"/>
      <c r="H62" s="402"/>
      <c r="I62" s="402"/>
      <c r="J62" s="402"/>
      <c r="K62" s="402"/>
      <c r="L62" s="402"/>
      <c r="M62" s="402"/>
    </row>
    <row r="63" spans="1:13" ht="15" customHeight="1">
      <c r="A63" s="111" t="s">
        <v>872</v>
      </c>
      <c r="B63" s="112" t="s">
        <v>1500</v>
      </c>
      <c r="C63" s="130">
        <f>SUMPRODUCT(--ISERROR(M16_MEDIDAS!C8:C17))</f>
        <v>0</v>
      </c>
      <c r="D63" s="111">
        <v>0</v>
      </c>
      <c r="E63" s="402" t="str">
        <f>IF(C63=D63,"APROBADO","FALLIDO")</f>
        <v>APROBADO</v>
      </c>
      <c r="F63" s="402"/>
      <c r="G63" s="402"/>
      <c r="H63" s="402"/>
      <c r="I63" s="402"/>
      <c r="J63" s="402"/>
      <c r="K63" s="402"/>
      <c r="L63" s="402"/>
      <c r="M63" s="402"/>
    </row>
    <row r="64" spans="1:13" ht="15" customHeight="1">
      <c r="A64" s="111" t="s">
        <v>874</v>
      </c>
      <c r="B64" s="112" t="s">
        <v>1501</v>
      </c>
      <c r="C64" s="130">
        <f>SUMPRODUCT(--ISERROR(M16_RESULTADOS!B6:C40))</f>
        <v>0</v>
      </c>
      <c r="D64" s="111">
        <v>0</v>
      </c>
      <c r="E64" s="402" t="str">
        <f>IF(C64=D64,"APROBADO","FALLIDO")</f>
        <v>APROBADO</v>
      </c>
      <c r="F64" s="402"/>
      <c r="G64" s="402"/>
      <c r="H64" s="402"/>
      <c r="I64" s="402"/>
      <c r="J64" s="402"/>
      <c r="K64" s="402"/>
      <c r="L64" s="402"/>
      <c r="M64" s="402"/>
    </row>
    <row r="65" spans="1:13">
      <c r="A65" s="22"/>
      <c r="B65" s="22"/>
      <c r="C65" s="22"/>
      <c r="D65" s="2"/>
      <c r="E65" s="2"/>
      <c r="F65" s="2"/>
      <c r="G65" s="2"/>
      <c r="H65" s="22"/>
      <c r="I65" s="2"/>
      <c r="J65" s="22"/>
      <c r="K65" s="22"/>
      <c r="L65" s="2"/>
      <c r="M65" s="22"/>
    </row>
    <row r="66" spans="1:13" ht="15" customHeight="1">
      <c r="A66" s="431" t="s">
        <v>1502</v>
      </c>
      <c r="B66" s="431"/>
      <c r="C66" s="431"/>
      <c r="D66" s="431"/>
      <c r="E66" s="431"/>
      <c r="F66" s="431"/>
      <c r="G66" s="431"/>
      <c r="H66" s="431"/>
      <c r="I66" s="431"/>
      <c r="J66" s="431"/>
      <c r="K66" s="431"/>
      <c r="L66" s="431"/>
      <c r="M66" s="431"/>
    </row>
    <row r="67" spans="1:13" ht="21.75" customHeight="1">
      <c r="A67" s="110" t="s">
        <v>749</v>
      </c>
      <c r="B67" s="110" t="s">
        <v>877</v>
      </c>
      <c r="C67" s="110" t="s">
        <v>878</v>
      </c>
      <c r="D67" s="110" t="s">
        <v>879</v>
      </c>
      <c r="E67" s="110" t="s">
        <v>752</v>
      </c>
      <c r="F67" s="405" t="s">
        <v>44</v>
      </c>
      <c r="G67" s="405"/>
      <c r="H67" s="405"/>
      <c r="I67" s="405"/>
      <c r="J67" s="405"/>
      <c r="K67" s="405"/>
      <c r="L67" s="405"/>
      <c r="M67" s="405"/>
    </row>
    <row r="68" spans="1:13" ht="15" customHeight="1">
      <c r="A68" s="111" t="s">
        <v>880</v>
      </c>
      <c r="B68" s="112" t="s">
        <v>93</v>
      </c>
      <c r="C68" s="131">
        <f>M16_c_Endo</f>
        <v>4.1467459984187576</v>
      </c>
      <c r="D68" s="131">
        <f>MAX(0.1,-0.7182+0.1451*((M16_m_Tri+M16_m_Sub+M16_m_Sup)*(170.18/M16_in_Est))-0.00068*((M16_m_Tri+M16_m_Sub+M16_m_Sup)*(170.18/M16_in_Est))^2+0.0000014*((M16_m_Tri+M16_m_Sub+M16_m_Sup)*(170.18/M16_in_Est))^3)</f>
        <v>4.1467459984187576</v>
      </c>
      <c r="E68" s="119">
        <f>C68-D68</f>
        <v>0</v>
      </c>
      <c r="F68" s="402" t="str">
        <f>IF(ABS(E68)&lt;=M16_TOL_U,"APROBADO","FALLIDO")</f>
        <v>APROBADO</v>
      </c>
      <c r="G68" s="402"/>
      <c r="H68" s="402"/>
      <c r="I68" s="402"/>
      <c r="J68" s="402"/>
      <c r="K68" s="402"/>
      <c r="L68" s="402"/>
      <c r="M68" s="402"/>
    </row>
    <row r="69" spans="1:13" ht="15" customHeight="1">
      <c r="A69" s="111" t="s">
        <v>882</v>
      </c>
      <c r="B69" s="112" t="s">
        <v>95</v>
      </c>
      <c r="C69" s="131">
        <f>M16_c_Meso</f>
        <v>3.849699999999995</v>
      </c>
      <c r="D69" s="131">
        <f>MAX(0.1,0.858*M16_m_Hum+0.601*M16_m_Fem+0.188*(M16_m_ArmG-M16_m_Tri/10)+0.161*(M16_m_CalfG-M16_m_Calf/10)-0.131*M16_in_Est+4.5)</f>
        <v>3.849699999999995</v>
      </c>
      <c r="E69" s="119">
        <f>C69-D69</f>
        <v>0</v>
      </c>
      <c r="F69" s="402" t="str">
        <f>IF(ABS(E69)&lt;=M16_TOL_U,"APROBADO","FALLIDO")</f>
        <v>APROBADO</v>
      </c>
      <c r="G69" s="402"/>
      <c r="H69" s="402"/>
      <c r="I69" s="402"/>
      <c r="J69" s="402"/>
      <c r="K69" s="402"/>
      <c r="L69" s="402"/>
      <c r="M69" s="402"/>
    </row>
    <row r="70" spans="1:13" ht="15" customHeight="1">
      <c r="A70" s="111" t="s">
        <v>884</v>
      </c>
      <c r="B70" s="112" t="s">
        <v>96</v>
      </c>
      <c r="C70" s="131">
        <f>M16_c_Ecto</f>
        <v>1.5084994825925548</v>
      </c>
      <c r="D70" s="131">
        <f>MAX(0.1,IF(M16_in_Est/(M16_in_Peso^(1/3))&gt;=40.75,0.732*(M16_in_Est/(M16_in_Peso^(1/3)))-28.58,IF(M16_in_Est/(M16_in_Peso^(1/3))&gt;38.25,0.463*(M16_in_Est/(M16_in_Peso^(1/3)))-17.63,0.1)))</f>
        <v>1.5084994825925548</v>
      </c>
      <c r="E70" s="119">
        <f>C70-D70</f>
        <v>0</v>
      </c>
      <c r="F70" s="402" t="str">
        <f>IF(ABS(E70)&lt;=M16_TOL_U,"APROBADO","FALLIDO")</f>
        <v>APROBADO</v>
      </c>
      <c r="G70" s="402"/>
      <c r="H70" s="402"/>
      <c r="I70" s="402"/>
      <c r="J70" s="402"/>
      <c r="K70" s="402"/>
      <c r="L70" s="402"/>
      <c r="M70" s="402"/>
    </row>
    <row r="71" spans="1:13" ht="15" customHeight="1">
      <c r="A71" s="111" t="s">
        <v>885</v>
      </c>
      <c r="B71" s="112" t="s">
        <v>1503</v>
      </c>
      <c r="C71" s="131">
        <f>M16_c_SY</f>
        <v>2.0441545189886776</v>
      </c>
      <c r="D71" s="131">
        <f>2*M16_c_Meso-(M16_c_Endo+M16_c_Ecto)</f>
        <v>2.0441545189886776</v>
      </c>
      <c r="E71" s="119">
        <f>C71-D71</f>
        <v>0</v>
      </c>
      <c r="F71" s="402" t="str">
        <f>IF(ABS(E71)&lt;=M16_TOL_U,"APROBADO","FALLIDO")</f>
        <v>APROBADO</v>
      </c>
      <c r="G71" s="402"/>
      <c r="H71" s="402"/>
      <c r="I71" s="402"/>
      <c r="J71" s="402"/>
      <c r="K71" s="402"/>
      <c r="L71" s="402"/>
      <c r="M71" s="402"/>
    </row>
    <row r="72" spans="1:13">
      <c r="A72" s="22"/>
      <c r="B72" s="22"/>
      <c r="C72" s="22"/>
      <c r="D72" s="2"/>
      <c r="E72" s="2"/>
      <c r="F72" s="2"/>
      <c r="G72" s="2"/>
      <c r="H72" s="22"/>
      <c r="I72" s="2"/>
      <c r="J72" s="22"/>
      <c r="K72" s="22"/>
      <c r="L72" s="2"/>
      <c r="M72" s="22"/>
    </row>
    <row r="73" spans="1:13">
      <c r="A73" s="22"/>
      <c r="B73" s="22"/>
      <c r="C73" s="22"/>
      <c r="D73" s="2"/>
      <c r="E73" s="2"/>
      <c r="F73" s="2"/>
      <c r="G73" s="2"/>
      <c r="H73" s="22"/>
      <c r="I73" s="2"/>
      <c r="J73" s="22"/>
      <c r="K73" s="22"/>
      <c r="L73" s="2"/>
      <c r="M73" s="22"/>
    </row>
    <row r="74" spans="1:13" ht="15" customHeight="1">
      <c r="A74" s="431" t="s">
        <v>887</v>
      </c>
      <c r="B74" s="431"/>
      <c r="C74" s="431"/>
      <c r="D74" s="431"/>
      <c r="E74" s="431"/>
      <c r="F74" s="431"/>
      <c r="G74" s="431"/>
      <c r="H74" s="431"/>
      <c r="I74" s="431"/>
      <c r="J74" s="431"/>
      <c r="K74" s="431"/>
      <c r="L74" s="431"/>
      <c r="M74" s="431"/>
    </row>
    <row r="75" spans="1:13" ht="15" customHeight="1">
      <c r="A75" s="105" t="s">
        <v>888</v>
      </c>
      <c r="B75" s="22"/>
      <c r="C75" s="180">
        <v>47</v>
      </c>
      <c r="D75" s="2"/>
      <c r="E75" s="2"/>
      <c r="F75" s="2"/>
      <c r="G75" s="2"/>
      <c r="H75" s="22"/>
      <c r="I75" s="2"/>
      <c r="J75" s="22"/>
      <c r="K75" s="22"/>
      <c r="L75" s="2"/>
      <c r="M75" s="22"/>
    </row>
    <row r="76" spans="1:13" ht="15" customHeight="1">
      <c r="A76" s="105" t="s">
        <v>889</v>
      </c>
      <c r="B76" s="22"/>
      <c r="C76" s="180">
        <f>IF(H8="APROBADO",1,0)+IF(H9="APROBADO",1,0)+IF(H10="APROBADO",1,0)+IF(H11="APROBADO",1,0)+IF(H12="APROBADO",1,0)+IF(H13="APROBADO",1,0)+IF(J17="APROBADO",1,0)+IF(J18="APROBADO",1,0)+IF(J19="APROBADO",1,0)+IF(J20="APROBADO",1,0)+IF(J21="APROBADO",1,0)+IF(H25="APROBADO",1,0)+IF(H26="APROBADO",1,0)+IF(H27="APROBADO",1,0)+IF(H28="APROBADO",1,0)+IF(H29="APROBADO",1,0)+IF(H30="APROBADO",1,0)+IF(G34="APROBADO",1,0)+IF(J34="APROBADO",1,0)+IF(G35="APROBADO",1,0)+IF(J35="APROBADO",1,0)+IF(G36="APROBADO",1,0)+IF(J36="APROBADO",1,0)+IF(G37="APROBADO",1,0)+IF(J37="APROBADO",1,0)+IF(E41="APROBADO",1,0)+IF(E42="APROBADO",1,0)+IF(E43="APROBADO",1,0)+IF(E44="APROBADO",1,0)+IF(E45="APROBADO",1,0)+IF(E46="APROBADO",1,0)+IF(E47="APROBADO",1,0)+IF(F51="APROBADO",1,0)+IF(F52="APROBADO",1,0)+IF(F53="APROBADO",1,0)+IF(F54="APROBADO",1,0)+IF(F55="APROBADO",1,0)+IF(F56="APROBADO",1,0)+IF(F57="APROBADO",1,0)+IF(F58="APROBADO",1,0)+IF(E62="APROBADO",1,0)+IF(E63="APROBADO",1,0)+IF(E64="APROBADO",1,0)+IF(F68="APROBADO",1,0)+IF(F69="APROBADO",1,0)+IF(F70="APROBADO",1,0)+IF(F71="APROBADO",1,0)</f>
        <v>47</v>
      </c>
      <c r="D76" s="2"/>
      <c r="E76" s="2"/>
      <c r="F76" s="2"/>
      <c r="G76" s="2"/>
      <c r="H76" s="22"/>
      <c r="I76" s="2"/>
      <c r="J76" s="22"/>
      <c r="K76" s="22"/>
      <c r="L76" s="2"/>
      <c r="M76" s="22"/>
    </row>
    <row r="77" spans="1:13" ht="15" customHeight="1">
      <c r="A77" s="105" t="s">
        <v>890</v>
      </c>
      <c r="B77" s="22"/>
      <c r="C77" s="180">
        <f>47-C76</f>
        <v>0</v>
      </c>
      <c r="D77" s="2"/>
      <c r="E77" s="2"/>
      <c r="F77" s="2"/>
      <c r="G77" s="2"/>
      <c r="H77" s="22"/>
      <c r="I77" s="2"/>
      <c r="J77" s="22"/>
      <c r="K77" s="22"/>
      <c r="L77" s="2"/>
      <c r="M77" s="22"/>
    </row>
    <row r="78" spans="1:13" ht="15" customHeight="1">
      <c r="A78" s="181" t="s">
        <v>891</v>
      </c>
      <c r="B78" s="430" t="str">
        <f>IF(C76=47,"TODAS LAS PRUEBAS APROBADAS","HAY PRUEBAS FALLIDAS — REVISAR")</f>
        <v>TODAS LAS PRUEBAS APROBADAS</v>
      </c>
      <c r="C78" s="430"/>
      <c r="D78" s="430"/>
      <c r="E78" s="430"/>
      <c r="F78" s="430"/>
      <c r="G78" s="2"/>
      <c r="H78" s="22"/>
      <c r="I78" s="2"/>
      <c r="J78" s="22"/>
      <c r="K78" s="22"/>
      <c r="L78" s="2"/>
      <c r="M78" s="22"/>
    </row>
  </sheetData>
  <sheetProtection algorithmName="SHA-512" hashValue="Mo/Fe5uyMBp9XMRM1DIzFpoig5E3IOBNsGW0UpFAQv8cUAq44qujEDXTnmtAjcyT2gClMTcumd3gfzo9BPrQgw==" saltValue="qJnr+f5ZBbHMHMNom+aCuA==" spinCount="100000" sheet="1" objects="1" scenarios="1"/>
  <mergeCells count="51">
    <mergeCell ref="A2:M2"/>
    <mergeCell ref="A3:M3"/>
    <mergeCell ref="A4:D4"/>
    <mergeCell ref="A6:M6"/>
    <mergeCell ref="A15:M15"/>
    <mergeCell ref="A23:M23"/>
    <mergeCell ref="H24:M24"/>
    <mergeCell ref="H25:M25"/>
    <mergeCell ref="H26:M26"/>
    <mergeCell ref="H27:M27"/>
    <mergeCell ref="H28:M28"/>
    <mergeCell ref="H29:M29"/>
    <mergeCell ref="H30:M30"/>
    <mergeCell ref="A32:M32"/>
    <mergeCell ref="J33:M33"/>
    <mergeCell ref="J34:M34"/>
    <mergeCell ref="J35:M35"/>
    <mergeCell ref="J36:M36"/>
    <mergeCell ref="J37:M37"/>
    <mergeCell ref="A39:M39"/>
    <mergeCell ref="E40:M40"/>
    <mergeCell ref="E41:M41"/>
    <mergeCell ref="E42:M42"/>
    <mergeCell ref="E43:M43"/>
    <mergeCell ref="E44:M44"/>
    <mergeCell ref="E45:M45"/>
    <mergeCell ref="E46:M46"/>
    <mergeCell ref="E47:M47"/>
    <mergeCell ref="A49:M49"/>
    <mergeCell ref="F50:M50"/>
    <mergeCell ref="F51:M51"/>
    <mergeCell ref="F52:M52"/>
    <mergeCell ref="F53:M53"/>
    <mergeCell ref="F54:M54"/>
    <mergeCell ref="F55:M55"/>
    <mergeCell ref="F56:M56"/>
    <mergeCell ref="F57:M57"/>
    <mergeCell ref="F58:M58"/>
    <mergeCell ref="A60:M60"/>
    <mergeCell ref="E61:M61"/>
    <mergeCell ref="E62:M62"/>
    <mergeCell ref="E63:M63"/>
    <mergeCell ref="E64:M64"/>
    <mergeCell ref="A66:M66"/>
    <mergeCell ref="F67:M67"/>
    <mergeCell ref="B78:F78"/>
    <mergeCell ref="F68:M68"/>
    <mergeCell ref="F69:M69"/>
    <mergeCell ref="F70:M70"/>
    <mergeCell ref="F71:M71"/>
    <mergeCell ref="A74:M74"/>
  </mergeCell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1"/>
  <dimension ref="A1:L58"/>
  <sheetViews>
    <sheetView showGridLines="0" zoomScaleNormal="100" workbookViewId="0">
      <pane ySplit="5" topLeftCell="A6" activePane="bottomLeft" state="frozen"/>
      <selection pane="bottomLeft"/>
    </sheetView>
  </sheetViews>
  <sheetFormatPr baseColWidth="10" defaultColWidth="8.7109375" defaultRowHeight="15"/>
  <cols>
    <col min="1" max="1" width="30.28515625" style="1" customWidth="1"/>
    <col min="2" max="2" width="36.7109375" style="1" customWidth="1"/>
    <col min="3" max="3" width="18.140625" style="1" customWidth="1"/>
    <col min="4" max="4" width="14" style="1" customWidth="1"/>
    <col min="5" max="5" width="99.5703125" style="1" customWidth="1"/>
  </cols>
  <sheetData>
    <row r="1" spans="1:12" ht="25.5" customHeight="1">
      <c r="A1" s="57" t="s">
        <v>1308</v>
      </c>
      <c r="B1" s="58"/>
      <c r="C1" s="58"/>
      <c r="D1" s="58"/>
      <c r="E1" s="58"/>
      <c r="F1" s="2"/>
      <c r="G1" s="2"/>
      <c r="H1" s="2"/>
      <c r="I1" s="2"/>
      <c r="J1" s="2"/>
      <c r="K1" s="2"/>
      <c r="L1" s="2"/>
    </row>
    <row r="2" spans="1:12" ht="15" customHeight="1">
      <c r="A2" s="429" t="s">
        <v>892</v>
      </c>
      <c r="B2" s="429"/>
      <c r="C2" s="429"/>
      <c r="D2" s="429"/>
      <c r="E2" s="429"/>
      <c r="F2" s="2"/>
      <c r="G2" s="2"/>
      <c r="H2" s="2"/>
      <c r="I2" s="2"/>
      <c r="J2" s="2"/>
      <c r="K2" s="2"/>
      <c r="L2" s="2"/>
    </row>
    <row r="3" spans="1:12" ht="15" customHeight="1">
      <c r="A3" s="439" t="str">
        <f>HYPERLINK("#M16_INICIO!A1","◀ INICIO")</f>
        <v>◀ INICIO</v>
      </c>
      <c r="B3" s="439"/>
      <c r="C3" s="439"/>
      <c r="D3" s="439"/>
      <c r="E3" s="22"/>
      <c r="F3" s="2"/>
      <c r="G3" s="2"/>
      <c r="H3" s="2"/>
      <c r="I3" s="2"/>
      <c r="J3" s="2"/>
      <c r="K3" s="2"/>
      <c r="L3" s="2"/>
    </row>
    <row r="4" spans="1:12" ht="42" customHeight="1">
      <c r="A4" s="367" t="s">
        <v>893</v>
      </c>
      <c r="B4" s="367"/>
      <c r="C4" s="367"/>
      <c r="D4" s="367"/>
      <c r="E4" s="367"/>
      <c r="F4" s="2"/>
      <c r="G4" s="2"/>
      <c r="H4" s="2"/>
      <c r="I4" s="2"/>
      <c r="J4" s="2"/>
      <c r="K4" s="2"/>
      <c r="L4" s="2"/>
    </row>
    <row r="5" spans="1:12">
      <c r="A5" s="22"/>
      <c r="B5" s="22"/>
      <c r="C5" s="22"/>
      <c r="D5" s="22"/>
      <c r="E5" s="22"/>
      <c r="F5" s="2"/>
      <c r="G5" s="2"/>
      <c r="H5" s="2"/>
      <c r="I5" s="2"/>
      <c r="J5" s="2"/>
      <c r="K5" s="2"/>
      <c r="L5" s="2"/>
    </row>
    <row r="6" spans="1:12" ht="15" customHeight="1">
      <c r="A6" s="76" t="s">
        <v>1504</v>
      </c>
      <c r="B6" s="77"/>
      <c r="C6" s="77"/>
      <c r="D6" s="77"/>
      <c r="E6" s="77"/>
      <c r="F6" s="2"/>
      <c r="G6" s="2"/>
      <c r="H6" s="2"/>
      <c r="I6" s="2"/>
      <c r="J6" s="2"/>
      <c r="K6" s="2"/>
      <c r="L6" s="2"/>
    </row>
    <row r="7" spans="1:12" ht="15" customHeight="1">
      <c r="A7" s="197" t="s">
        <v>895</v>
      </c>
      <c r="B7" s="197" t="s">
        <v>16</v>
      </c>
      <c r="C7" s="198" t="s">
        <v>43</v>
      </c>
      <c r="D7" s="198" t="s">
        <v>1505</v>
      </c>
      <c r="E7" s="198" t="s">
        <v>1506</v>
      </c>
      <c r="F7" s="2"/>
      <c r="G7" s="2"/>
      <c r="H7" s="2"/>
      <c r="I7" s="2"/>
      <c r="J7" s="2"/>
      <c r="K7" s="2"/>
      <c r="L7" s="2"/>
    </row>
    <row r="8" spans="1:12" ht="15" customHeight="1">
      <c r="A8" s="199" t="s">
        <v>898</v>
      </c>
      <c r="B8" s="206" t="s">
        <v>899</v>
      </c>
      <c r="C8" s="200"/>
      <c r="D8" s="200"/>
      <c r="E8" s="200"/>
      <c r="F8" s="2"/>
      <c r="G8" s="2"/>
      <c r="H8" s="2"/>
      <c r="I8" s="2"/>
      <c r="J8" s="2"/>
      <c r="K8" s="2"/>
      <c r="L8" s="2"/>
    </row>
    <row r="9" spans="1:12" ht="15" customHeight="1">
      <c r="A9" s="199" t="s">
        <v>901</v>
      </c>
      <c r="B9" s="206" t="s">
        <v>902</v>
      </c>
      <c r="C9" s="200"/>
      <c r="D9" s="200"/>
      <c r="E9" s="200"/>
      <c r="F9" s="2"/>
      <c r="G9" s="2"/>
      <c r="H9" s="2"/>
      <c r="I9" s="2"/>
      <c r="J9" s="2"/>
      <c r="K9" s="2"/>
      <c r="L9" s="2"/>
    </row>
    <row r="10" spans="1:12" ht="15" customHeight="1">
      <c r="A10" s="199" t="s">
        <v>904</v>
      </c>
      <c r="B10" s="207">
        <v>18</v>
      </c>
      <c r="C10" s="200"/>
      <c r="D10" s="200"/>
      <c r="E10" s="200"/>
      <c r="F10" s="2"/>
      <c r="G10" s="2"/>
      <c r="H10" s="2"/>
      <c r="I10" s="2"/>
      <c r="J10" s="2"/>
      <c r="K10" s="2"/>
      <c r="L10" s="2"/>
    </row>
    <row r="11" spans="1:12" ht="15" customHeight="1">
      <c r="A11" s="199" t="s">
        <v>907</v>
      </c>
      <c r="B11" s="207">
        <v>120</v>
      </c>
      <c r="C11" s="200"/>
      <c r="D11" s="200"/>
      <c r="E11" s="200"/>
      <c r="F11" s="2"/>
      <c r="G11" s="2"/>
      <c r="H11" s="2"/>
      <c r="I11" s="2"/>
      <c r="J11" s="2"/>
      <c r="K11" s="2"/>
      <c r="L11" s="2"/>
    </row>
    <row r="12" spans="1:12" ht="15" customHeight="1">
      <c r="A12" s="201" t="s">
        <v>909</v>
      </c>
      <c r="B12" s="207">
        <v>25</v>
      </c>
      <c r="C12" s="200"/>
      <c r="D12" s="200"/>
      <c r="E12" s="200"/>
      <c r="F12" s="2"/>
      <c r="G12" s="2"/>
      <c r="H12" s="2"/>
      <c r="I12" s="2"/>
      <c r="J12" s="2"/>
      <c r="K12" s="2"/>
      <c r="L12" s="2"/>
    </row>
    <row r="13" spans="1:12" ht="15" customHeight="1">
      <c r="A13" s="199" t="s">
        <v>910</v>
      </c>
      <c r="B13" s="207">
        <v>350</v>
      </c>
      <c r="C13" s="200" t="s">
        <v>497</v>
      </c>
      <c r="D13" s="200" t="s">
        <v>905</v>
      </c>
      <c r="E13" s="200" t="s">
        <v>1507</v>
      </c>
      <c r="F13" s="202"/>
      <c r="G13" s="202"/>
      <c r="H13" s="202"/>
      <c r="I13" s="202"/>
      <c r="J13" s="202"/>
      <c r="K13" s="202"/>
      <c r="L13" s="202"/>
    </row>
    <row r="14" spans="1:12" ht="26.25" customHeight="1">
      <c r="A14" s="199" t="s">
        <v>911</v>
      </c>
      <c r="B14" s="207">
        <v>120</v>
      </c>
      <c r="C14" s="200" t="s">
        <v>56</v>
      </c>
      <c r="D14" s="200" t="s">
        <v>905</v>
      </c>
      <c r="E14" s="200" t="s">
        <v>1508</v>
      </c>
      <c r="F14" s="202"/>
      <c r="G14" s="202"/>
      <c r="H14" s="202"/>
      <c r="I14" s="202"/>
      <c r="J14" s="202"/>
      <c r="K14" s="202"/>
      <c r="L14" s="202"/>
    </row>
    <row r="15" spans="1:12" ht="24" customHeight="1">
      <c r="A15" s="199" t="s">
        <v>912</v>
      </c>
      <c r="B15" s="207">
        <v>230</v>
      </c>
      <c r="C15" s="200" t="s">
        <v>56</v>
      </c>
      <c r="D15" s="200" t="s">
        <v>905</v>
      </c>
      <c r="E15" s="200" t="s">
        <v>1508</v>
      </c>
      <c r="F15" s="202"/>
      <c r="G15" s="202"/>
      <c r="H15" s="202"/>
      <c r="I15" s="202"/>
      <c r="J15" s="202"/>
      <c r="K15" s="202"/>
      <c r="L15" s="202"/>
    </row>
    <row r="16" spans="1:12" ht="21" customHeight="1">
      <c r="A16" s="199" t="s">
        <v>913</v>
      </c>
      <c r="B16" s="207">
        <v>2</v>
      </c>
      <c r="C16" s="200" t="s">
        <v>47</v>
      </c>
      <c r="D16" s="200" t="s">
        <v>905</v>
      </c>
      <c r="E16" s="200" t="s">
        <v>1509</v>
      </c>
      <c r="F16" s="202"/>
      <c r="G16" s="202"/>
      <c r="H16" s="202"/>
      <c r="I16" s="202"/>
      <c r="J16" s="202"/>
      <c r="K16" s="202"/>
      <c r="L16" s="202"/>
    </row>
    <row r="17" spans="1:12" ht="21.75" customHeight="1">
      <c r="A17" s="199" t="s">
        <v>915</v>
      </c>
      <c r="B17" s="207">
        <v>60</v>
      </c>
      <c r="C17" s="200" t="s">
        <v>47</v>
      </c>
      <c r="D17" s="200" t="s">
        <v>905</v>
      </c>
      <c r="E17" s="200" t="s">
        <v>1509</v>
      </c>
      <c r="F17" s="202"/>
      <c r="G17" s="202"/>
      <c r="H17" s="202"/>
      <c r="I17" s="202"/>
      <c r="J17" s="202"/>
      <c r="K17" s="202"/>
      <c r="L17" s="202"/>
    </row>
    <row r="18" spans="1:12" ht="19.5" customHeight="1">
      <c r="A18" s="199" t="s">
        <v>1510</v>
      </c>
      <c r="B18" s="207">
        <v>3</v>
      </c>
      <c r="C18" s="200" t="s">
        <v>56</v>
      </c>
      <c r="D18" s="200" t="s">
        <v>905</v>
      </c>
      <c r="E18" s="200" t="s">
        <v>1511</v>
      </c>
      <c r="F18" s="202"/>
      <c r="G18" s="202"/>
      <c r="H18" s="202"/>
      <c r="I18" s="202"/>
      <c r="J18" s="202"/>
      <c r="K18" s="202"/>
      <c r="L18" s="202"/>
    </row>
    <row r="19" spans="1:12" ht="21" customHeight="1">
      <c r="A19" s="199" t="s">
        <v>1512</v>
      </c>
      <c r="B19" s="207">
        <v>15</v>
      </c>
      <c r="C19" s="200" t="s">
        <v>56</v>
      </c>
      <c r="D19" s="200" t="s">
        <v>905</v>
      </c>
      <c r="E19" s="200" t="s">
        <v>1511</v>
      </c>
      <c r="F19" s="202"/>
      <c r="G19" s="202"/>
      <c r="H19" s="202"/>
      <c r="I19" s="202"/>
      <c r="J19" s="202"/>
      <c r="K19" s="202"/>
      <c r="L19" s="202"/>
    </row>
    <row r="20" spans="1:12" ht="15" customHeight="1">
      <c r="A20" s="105" t="s">
        <v>1513</v>
      </c>
      <c r="B20" s="208">
        <v>15</v>
      </c>
      <c r="C20" s="200" t="s">
        <v>56</v>
      </c>
      <c r="D20" s="139" t="s">
        <v>905</v>
      </c>
      <c r="E20" s="203" t="s">
        <v>1514</v>
      </c>
      <c r="F20" s="2"/>
      <c r="G20" s="2"/>
      <c r="H20" s="2"/>
      <c r="I20" s="2"/>
      <c r="J20" s="2"/>
      <c r="K20" s="2"/>
      <c r="L20" s="2"/>
    </row>
    <row r="21" spans="1:12" ht="15" customHeight="1">
      <c r="A21" s="105" t="s">
        <v>1515</v>
      </c>
      <c r="B21" s="208">
        <v>80</v>
      </c>
      <c r="C21" s="200" t="s">
        <v>56</v>
      </c>
      <c r="D21" s="139" t="s">
        <v>905</v>
      </c>
      <c r="E21" s="203"/>
      <c r="F21" s="2"/>
      <c r="G21" s="2"/>
      <c r="H21" s="2"/>
      <c r="I21" s="2"/>
      <c r="J21" s="2"/>
      <c r="K21" s="2"/>
      <c r="L21" s="2"/>
    </row>
    <row r="22" spans="1:12" ht="15" customHeight="1">
      <c r="A22" s="105" t="s">
        <v>1516</v>
      </c>
      <c r="B22" s="209">
        <v>0.1</v>
      </c>
      <c r="C22" s="200" t="s">
        <v>151</v>
      </c>
      <c r="D22" s="139" t="s">
        <v>1517</v>
      </c>
      <c r="E22" s="203" t="s">
        <v>1518</v>
      </c>
      <c r="F22" s="2"/>
      <c r="G22" s="2"/>
      <c r="H22" s="2"/>
      <c r="I22" s="2"/>
      <c r="J22" s="2"/>
      <c r="K22" s="2"/>
      <c r="L22" s="2"/>
    </row>
    <row r="23" spans="1:12" ht="15" customHeight="1">
      <c r="A23" s="105" t="s">
        <v>1519</v>
      </c>
      <c r="B23" s="210">
        <v>0.01</v>
      </c>
      <c r="C23" s="200" t="s">
        <v>151</v>
      </c>
      <c r="D23" s="139" t="s">
        <v>920</v>
      </c>
      <c r="E23" s="203" t="s">
        <v>1520</v>
      </c>
      <c r="F23" s="2"/>
      <c r="G23" s="2"/>
      <c r="H23" s="2"/>
      <c r="I23" s="2"/>
      <c r="J23" s="2"/>
      <c r="K23" s="2"/>
      <c r="L23" s="2"/>
    </row>
    <row r="24" spans="1:12" ht="15" customHeight="1">
      <c r="A24" s="105" t="s">
        <v>1521</v>
      </c>
      <c r="B24" s="148">
        <v>-0.71819999999999995</v>
      </c>
      <c r="C24" s="200" t="s">
        <v>151</v>
      </c>
      <c r="D24" s="139" t="s">
        <v>933</v>
      </c>
      <c r="E24" s="203" t="s">
        <v>1522</v>
      </c>
      <c r="F24" s="2"/>
      <c r="G24" s="2"/>
      <c r="H24" s="2"/>
      <c r="I24" s="2"/>
      <c r="J24" s="2"/>
      <c r="K24" s="2"/>
      <c r="L24" s="2"/>
    </row>
    <row r="25" spans="1:12" ht="15" customHeight="1">
      <c r="A25" s="105" t="s">
        <v>1523</v>
      </c>
      <c r="B25" s="148">
        <v>0.14510000000000001</v>
      </c>
      <c r="C25" s="200" t="s">
        <v>151</v>
      </c>
      <c r="D25" s="139" t="s">
        <v>933</v>
      </c>
      <c r="E25" s="203"/>
      <c r="F25" s="2"/>
      <c r="G25" s="2"/>
      <c r="H25" s="2"/>
      <c r="I25" s="2"/>
      <c r="J25" s="2"/>
      <c r="K25" s="2"/>
      <c r="L25" s="2"/>
    </row>
    <row r="26" spans="1:12" ht="15" customHeight="1">
      <c r="A26" s="105" t="s">
        <v>1524</v>
      </c>
      <c r="B26" s="211">
        <v>6.8000000000000005E-4</v>
      </c>
      <c r="C26" s="200" t="s">
        <v>151</v>
      </c>
      <c r="D26" s="139" t="s">
        <v>933</v>
      </c>
      <c r="E26" s="203" t="s">
        <v>1525</v>
      </c>
      <c r="F26" s="2"/>
      <c r="G26" s="2"/>
      <c r="H26" s="2"/>
      <c r="I26" s="2"/>
      <c r="J26" s="2"/>
      <c r="K26" s="2"/>
      <c r="L26" s="2"/>
    </row>
    <row r="27" spans="1:12" ht="15" customHeight="1">
      <c r="A27" s="105" t="s">
        <v>1526</v>
      </c>
      <c r="B27" s="212">
        <v>1.3999999999999999E-6</v>
      </c>
      <c r="C27" s="200" t="s">
        <v>151</v>
      </c>
      <c r="D27" s="139" t="s">
        <v>933</v>
      </c>
      <c r="E27" s="203"/>
      <c r="F27" s="2"/>
      <c r="G27" s="2"/>
      <c r="H27" s="2"/>
      <c r="I27" s="2"/>
      <c r="J27" s="2"/>
      <c r="K27" s="2"/>
      <c r="L27" s="2"/>
    </row>
    <row r="28" spans="1:12" ht="15" customHeight="1">
      <c r="A28" s="105" t="s">
        <v>1527</v>
      </c>
      <c r="B28" s="213">
        <v>170.18</v>
      </c>
      <c r="C28" s="200" t="s">
        <v>56</v>
      </c>
      <c r="D28" s="139" t="s">
        <v>933</v>
      </c>
      <c r="E28" s="203" t="s">
        <v>1528</v>
      </c>
      <c r="F28" s="2"/>
      <c r="G28" s="2"/>
      <c r="H28" s="2"/>
      <c r="I28" s="2"/>
      <c r="J28" s="2"/>
      <c r="K28" s="2"/>
      <c r="L28" s="2"/>
    </row>
    <row r="29" spans="1:12" ht="15" customHeight="1">
      <c r="A29" s="105" t="s">
        <v>1529</v>
      </c>
      <c r="B29" s="210">
        <v>0.85799999999999998</v>
      </c>
      <c r="C29" s="200" t="s">
        <v>151</v>
      </c>
      <c r="D29" s="139" t="s">
        <v>933</v>
      </c>
      <c r="E29" s="203" t="s">
        <v>1530</v>
      </c>
      <c r="F29" s="2"/>
      <c r="G29" s="2"/>
      <c r="H29" s="2"/>
      <c r="I29" s="2"/>
      <c r="J29" s="2"/>
      <c r="K29" s="2"/>
      <c r="L29" s="2"/>
    </row>
    <row r="30" spans="1:12" ht="15" customHeight="1">
      <c r="A30" s="105" t="s">
        <v>1531</v>
      </c>
      <c r="B30" s="210">
        <v>0.60099999999999998</v>
      </c>
      <c r="C30" s="200" t="s">
        <v>151</v>
      </c>
      <c r="D30" s="139" t="s">
        <v>933</v>
      </c>
      <c r="E30" s="203" t="s">
        <v>1532</v>
      </c>
      <c r="F30" s="2"/>
      <c r="G30" s="2"/>
      <c r="H30" s="2"/>
      <c r="I30" s="2"/>
      <c r="J30" s="2"/>
      <c r="K30" s="2"/>
      <c r="L30" s="2"/>
    </row>
    <row r="31" spans="1:12" ht="15" customHeight="1">
      <c r="A31" s="105" t="s">
        <v>1533</v>
      </c>
      <c r="B31" s="210">
        <v>0.188</v>
      </c>
      <c r="C31" s="200" t="s">
        <v>151</v>
      </c>
      <c r="D31" s="139" t="s">
        <v>933</v>
      </c>
      <c r="E31" s="203" t="s">
        <v>1534</v>
      </c>
      <c r="F31" s="2"/>
      <c r="G31" s="2"/>
      <c r="H31" s="2"/>
      <c r="I31" s="2"/>
      <c r="J31" s="2"/>
      <c r="K31" s="2"/>
      <c r="L31" s="2"/>
    </row>
    <row r="32" spans="1:12" ht="15" customHeight="1">
      <c r="A32" s="105" t="s">
        <v>1535</v>
      </c>
      <c r="B32" s="210">
        <v>0.161</v>
      </c>
      <c r="C32" s="200" t="s">
        <v>151</v>
      </c>
      <c r="D32" s="139" t="s">
        <v>933</v>
      </c>
      <c r="E32" s="203" t="s">
        <v>1536</v>
      </c>
      <c r="F32" s="2"/>
      <c r="G32" s="2"/>
      <c r="H32" s="2"/>
      <c r="I32" s="2"/>
      <c r="J32" s="2"/>
      <c r="K32" s="2"/>
      <c r="L32" s="2"/>
    </row>
    <row r="33" spans="1:12" ht="15" customHeight="1">
      <c r="A33" s="105" t="s">
        <v>1537</v>
      </c>
      <c r="B33" s="210">
        <v>0.13100000000000001</v>
      </c>
      <c r="C33" s="200" t="s">
        <v>151</v>
      </c>
      <c r="D33" s="139" t="s">
        <v>933</v>
      </c>
      <c r="E33" s="203" t="s">
        <v>1538</v>
      </c>
      <c r="F33" s="2"/>
      <c r="G33" s="2"/>
      <c r="H33" s="2"/>
      <c r="I33" s="2"/>
      <c r="J33" s="2"/>
      <c r="K33" s="2"/>
      <c r="L33" s="2"/>
    </row>
    <row r="34" spans="1:12" ht="15" customHeight="1">
      <c r="A34" s="105" t="s">
        <v>1539</v>
      </c>
      <c r="B34" s="209">
        <v>4.5</v>
      </c>
      <c r="C34" s="200" t="s">
        <v>151</v>
      </c>
      <c r="D34" s="139" t="s">
        <v>933</v>
      </c>
      <c r="E34" s="203" t="s">
        <v>1267</v>
      </c>
      <c r="F34" s="2"/>
      <c r="G34" s="2"/>
      <c r="H34" s="2"/>
      <c r="I34" s="2"/>
      <c r="J34" s="2"/>
      <c r="K34" s="2"/>
      <c r="L34" s="2"/>
    </row>
    <row r="35" spans="1:12" ht="15" customHeight="1">
      <c r="A35" s="105" t="s">
        <v>1540</v>
      </c>
      <c r="B35" s="213">
        <v>40.75</v>
      </c>
      <c r="C35" s="200" t="s">
        <v>151</v>
      </c>
      <c r="D35" s="139" t="s">
        <v>1269</v>
      </c>
      <c r="E35" s="203" t="s">
        <v>1541</v>
      </c>
      <c r="F35" s="2"/>
      <c r="G35" s="2"/>
      <c r="H35" s="2"/>
      <c r="I35" s="2"/>
      <c r="J35" s="2"/>
      <c r="K35" s="2"/>
      <c r="L35" s="2"/>
    </row>
    <row r="36" spans="1:12" ht="15" customHeight="1">
      <c r="A36" s="105" t="s">
        <v>1542</v>
      </c>
      <c r="B36" s="213">
        <v>38.25</v>
      </c>
      <c r="C36" s="200" t="s">
        <v>151</v>
      </c>
      <c r="D36" s="139" t="s">
        <v>1269</v>
      </c>
      <c r="E36" s="203" t="s">
        <v>1543</v>
      </c>
      <c r="F36" s="2"/>
      <c r="G36" s="2"/>
      <c r="H36" s="2"/>
      <c r="I36" s="2"/>
      <c r="J36" s="2"/>
      <c r="K36" s="2"/>
      <c r="L36" s="2"/>
    </row>
    <row r="37" spans="1:12" ht="15" customHeight="1">
      <c r="A37" s="105" t="s">
        <v>1544</v>
      </c>
      <c r="B37" s="210">
        <v>0.73199999999999998</v>
      </c>
      <c r="C37" s="200" t="s">
        <v>151</v>
      </c>
      <c r="D37" s="139" t="s">
        <v>933</v>
      </c>
      <c r="E37" s="203" t="s">
        <v>1545</v>
      </c>
      <c r="F37" s="2"/>
      <c r="G37" s="2"/>
      <c r="H37" s="2"/>
      <c r="I37" s="2"/>
      <c r="J37" s="2"/>
      <c r="K37" s="2"/>
      <c r="L37" s="2"/>
    </row>
    <row r="38" spans="1:12" ht="15" customHeight="1">
      <c r="A38" s="105" t="s">
        <v>1546</v>
      </c>
      <c r="B38" s="213">
        <v>28.58</v>
      </c>
      <c r="C38" s="200" t="s">
        <v>151</v>
      </c>
      <c r="D38" s="139" t="s">
        <v>933</v>
      </c>
      <c r="E38" s="203"/>
      <c r="F38" s="2"/>
      <c r="G38" s="2"/>
      <c r="H38" s="2"/>
      <c r="I38" s="2"/>
      <c r="J38" s="2"/>
      <c r="K38" s="2"/>
      <c r="L38" s="2"/>
    </row>
    <row r="39" spans="1:12" ht="15" customHeight="1">
      <c r="A39" s="105" t="s">
        <v>1547</v>
      </c>
      <c r="B39" s="210">
        <v>0.46300000000000002</v>
      </c>
      <c r="C39" s="200" t="s">
        <v>151</v>
      </c>
      <c r="D39" s="139" t="s">
        <v>933</v>
      </c>
      <c r="E39" s="203" t="s">
        <v>1548</v>
      </c>
      <c r="F39" s="2"/>
      <c r="G39" s="2"/>
      <c r="H39" s="2"/>
      <c r="I39" s="2"/>
      <c r="J39" s="2"/>
      <c r="K39" s="2"/>
      <c r="L39" s="2"/>
    </row>
    <row r="40" spans="1:12" ht="15" customHeight="1">
      <c r="A40" s="105" t="s">
        <v>1549</v>
      </c>
      <c r="B40" s="213">
        <v>17.63</v>
      </c>
      <c r="C40" s="200" t="s">
        <v>151</v>
      </c>
      <c r="D40" s="139" t="s">
        <v>933</v>
      </c>
      <c r="E40" s="203"/>
      <c r="F40" s="2"/>
      <c r="G40" s="2"/>
      <c r="H40" s="2"/>
      <c r="I40" s="2"/>
      <c r="J40" s="2"/>
      <c r="K40" s="2"/>
      <c r="L40" s="2"/>
    </row>
    <row r="41" spans="1:12">
      <c r="A41" s="22"/>
      <c r="B41" s="22"/>
      <c r="C41" s="22"/>
      <c r="D41" s="22"/>
      <c r="E41" s="22"/>
      <c r="F41" s="2"/>
      <c r="G41" s="2"/>
      <c r="H41" s="2"/>
      <c r="I41" s="2"/>
      <c r="J41" s="2"/>
      <c r="K41" s="2"/>
      <c r="L41" s="2"/>
    </row>
    <row r="42" spans="1:12" ht="15" customHeight="1">
      <c r="A42" s="390" t="s">
        <v>959</v>
      </c>
      <c r="B42" s="390"/>
      <c r="C42" s="390"/>
      <c r="D42" s="390"/>
      <c r="E42" s="390"/>
      <c r="F42" s="2"/>
      <c r="G42" s="2"/>
      <c r="H42" s="2"/>
      <c r="I42" s="2"/>
      <c r="J42" s="2"/>
      <c r="K42" s="2"/>
      <c r="L42" s="2"/>
    </row>
    <row r="43" spans="1:12" ht="15" customHeight="1">
      <c r="A43" s="136" t="s">
        <v>16</v>
      </c>
      <c r="B43" s="448" t="s">
        <v>960</v>
      </c>
      <c r="C43" s="448"/>
      <c r="D43" s="22"/>
      <c r="E43" s="22"/>
      <c r="F43" s="2"/>
      <c r="G43" s="2"/>
      <c r="H43" s="2"/>
      <c r="I43" s="2"/>
      <c r="J43" s="2"/>
      <c r="K43" s="2"/>
      <c r="L43" s="2"/>
    </row>
    <row r="44" spans="1:12" ht="15" customHeight="1">
      <c r="A44" s="105" t="s">
        <v>23</v>
      </c>
      <c r="B44" s="204" t="s">
        <v>1550</v>
      </c>
      <c r="C44" s="205"/>
      <c r="D44" s="22"/>
      <c r="E44" s="22"/>
      <c r="F44" s="2"/>
      <c r="G44" s="2"/>
      <c r="H44" s="2"/>
      <c r="I44" s="2"/>
      <c r="J44" s="2"/>
      <c r="K44" s="2"/>
      <c r="L44" s="2"/>
    </row>
    <row r="45" spans="1:12" ht="15" customHeight="1">
      <c r="A45" s="105" t="s">
        <v>757</v>
      </c>
      <c r="B45" s="447" t="s">
        <v>1551</v>
      </c>
      <c r="C45" s="447"/>
      <c r="D45" s="22"/>
      <c r="E45" s="22"/>
      <c r="F45" s="2"/>
      <c r="G45" s="2"/>
      <c r="H45" s="2"/>
      <c r="I45" s="2"/>
      <c r="J45" s="2"/>
      <c r="K45" s="2"/>
      <c r="L45" s="2"/>
    </row>
    <row r="46" spans="1:12">
      <c r="A46" s="22"/>
      <c r="B46" s="22"/>
      <c r="C46" s="22"/>
      <c r="D46" s="22"/>
      <c r="E46" s="22"/>
      <c r="F46" s="2"/>
      <c r="G46" s="2"/>
      <c r="H46" s="2"/>
      <c r="I46" s="2"/>
      <c r="J46" s="2"/>
      <c r="K46" s="2"/>
      <c r="L46" s="2"/>
    </row>
    <row r="47" spans="1:12" ht="15" customHeight="1">
      <c r="A47" s="76" t="s">
        <v>1552</v>
      </c>
      <c r="B47" s="22"/>
      <c r="C47" s="22"/>
      <c r="D47" s="22"/>
      <c r="E47" s="22"/>
      <c r="F47" s="2"/>
      <c r="G47" s="2"/>
      <c r="H47" s="2"/>
      <c r="I47" s="2"/>
      <c r="J47" s="2"/>
      <c r="K47" s="2"/>
      <c r="L47" s="2"/>
    </row>
    <row r="48" spans="1:12" ht="15" customHeight="1">
      <c r="A48" s="105" t="s">
        <v>175</v>
      </c>
      <c r="B48" s="22"/>
      <c r="C48" s="22"/>
      <c r="D48" s="22"/>
      <c r="E48" s="22"/>
      <c r="F48" s="2"/>
      <c r="G48" s="2"/>
      <c r="H48" s="2"/>
      <c r="I48" s="2"/>
      <c r="J48" s="2"/>
      <c r="K48" s="2"/>
      <c r="L48" s="2"/>
    </row>
    <row r="49" spans="1:12" ht="15" customHeight="1">
      <c r="A49" s="105" t="s">
        <v>201</v>
      </c>
      <c r="B49" s="22"/>
      <c r="C49" s="22"/>
      <c r="D49" s="22"/>
      <c r="E49" s="22"/>
      <c r="F49" s="2"/>
      <c r="G49" s="2"/>
      <c r="H49" s="2"/>
      <c r="I49" s="2"/>
      <c r="J49" s="2"/>
      <c r="K49" s="2"/>
      <c r="L49" s="2"/>
    </row>
    <row r="50" spans="1:12">
      <c r="A50" s="22"/>
      <c r="B50" s="22"/>
      <c r="C50" s="22"/>
      <c r="D50" s="22"/>
      <c r="E50" s="22"/>
      <c r="F50" s="2"/>
      <c r="G50" s="2"/>
      <c r="H50" s="2"/>
      <c r="I50" s="2"/>
      <c r="J50" s="2"/>
      <c r="K50" s="2"/>
      <c r="L50" s="2"/>
    </row>
    <row r="51" spans="1:12" ht="15" customHeight="1">
      <c r="A51" s="390" t="s">
        <v>1553</v>
      </c>
      <c r="B51" s="390"/>
      <c r="C51" s="390"/>
      <c r="D51" s="390"/>
      <c r="E51" s="390"/>
      <c r="F51" s="2"/>
      <c r="G51" s="2"/>
      <c r="H51" s="2"/>
      <c r="I51" s="2"/>
      <c r="J51" s="2"/>
      <c r="K51" s="2"/>
      <c r="L51" s="2"/>
    </row>
    <row r="52" spans="1:12" ht="15" customHeight="1">
      <c r="A52" s="136" t="s">
        <v>1554</v>
      </c>
      <c r="B52" s="136" t="s">
        <v>1555</v>
      </c>
      <c r="C52" s="136" t="s">
        <v>1556</v>
      </c>
      <c r="D52" s="22"/>
      <c r="E52" s="22"/>
      <c r="F52" s="2"/>
      <c r="G52" s="2"/>
      <c r="H52" s="2"/>
      <c r="I52" s="2"/>
      <c r="J52" s="2"/>
      <c r="K52" s="2"/>
      <c r="L52" s="2"/>
    </row>
    <row r="53" spans="1:12" ht="15" customHeight="1">
      <c r="A53" s="112" t="s">
        <v>1557</v>
      </c>
      <c r="B53" s="111">
        <v>-6</v>
      </c>
      <c r="C53" s="111">
        <v>-6</v>
      </c>
      <c r="D53" s="22"/>
      <c r="E53" s="22"/>
      <c r="F53" s="2"/>
      <c r="G53" s="2"/>
      <c r="H53" s="2"/>
      <c r="I53" s="2"/>
      <c r="J53" s="2"/>
      <c r="K53" s="2"/>
      <c r="L53" s="2"/>
    </row>
    <row r="54" spans="1:12" ht="15" customHeight="1">
      <c r="A54" s="112" t="s">
        <v>1558</v>
      </c>
      <c r="B54" s="111">
        <v>0</v>
      </c>
      <c r="C54" s="111">
        <v>12</v>
      </c>
      <c r="D54" s="22"/>
      <c r="E54" s="22"/>
      <c r="F54" s="2"/>
      <c r="G54" s="2"/>
      <c r="H54" s="2"/>
      <c r="I54" s="2"/>
      <c r="J54" s="2"/>
      <c r="K54" s="2"/>
      <c r="L54" s="2"/>
    </row>
    <row r="55" spans="1:12" ht="15" customHeight="1">
      <c r="A55" s="112" t="s">
        <v>1559</v>
      </c>
      <c r="B55" s="111">
        <v>6</v>
      </c>
      <c r="C55" s="111">
        <v>-6</v>
      </c>
      <c r="D55" s="22"/>
      <c r="E55" s="22"/>
      <c r="F55" s="2"/>
      <c r="G55" s="2"/>
      <c r="H55" s="2"/>
      <c r="I55" s="2"/>
      <c r="J55" s="2"/>
      <c r="K55" s="2"/>
      <c r="L55" s="2"/>
    </row>
    <row r="56" spans="1:12" ht="15" customHeight="1">
      <c r="A56" s="112" t="s">
        <v>1560</v>
      </c>
      <c r="B56" s="111">
        <v>-6</v>
      </c>
      <c r="C56" s="111">
        <v>-6</v>
      </c>
      <c r="D56" s="22"/>
      <c r="E56" s="22"/>
      <c r="F56" s="2"/>
      <c r="G56" s="2"/>
      <c r="H56" s="2"/>
      <c r="I56" s="2"/>
      <c r="J56" s="2"/>
      <c r="K56" s="2"/>
      <c r="L56" s="2"/>
    </row>
    <row r="57" spans="1:12">
      <c r="A57" s="22"/>
      <c r="B57" s="22"/>
      <c r="C57" s="22"/>
      <c r="D57" s="22"/>
      <c r="E57" s="22"/>
      <c r="F57" s="2"/>
      <c r="G57" s="2"/>
      <c r="H57" s="2"/>
      <c r="I57" s="2"/>
      <c r="J57" s="2"/>
      <c r="K57" s="2"/>
      <c r="L57" s="2"/>
    </row>
    <row r="58" spans="1:12" ht="27.75" customHeight="1">
      <c r="A58" s="367" t="s">
        <v>1561</v>
      </c>
      <c r="B58" s="367"/>
      <c r="C58" s="367"/>
      <c r="D58" s="367"/>
      <c r="E58" s="367"/>
      <c r="F58" s="2"/>
      <c r="G58" s="2"/>
      <c r="H58" s="2"/>
      <c r="I58" s="2"/>
      <c r="J58" s="2"/>
      <c r="K58" s="2"/>
      <c r="L58" s="2"/>
    </row>
  </sheetData>
  <sheetProtection algorithmName="SHA-512" hashValue="4aO/xS2aBCZNM2cOgf4usYaHdhK3NJ3AJK666CpRUGFW9ZyAMWxqnWfgir0ZtOho//g8MB0rqhdYntXDweBJcA==" saltValue="MFRCrmrC5m6eZwbzqRb6lw==" spinCount="100000" sheet="1" objects="1" scenarios="1"/>
  <mergeCells count="8">
    <mergeCell ref="B45:C45"/>
    <mergeCell ref="A51:E51"/>
    <mergeCell ref="A58:E58"/>
    <mergeCell ref="A2:E2"/>
    <mergeCell ref="A3:D3"/>
    <mergeCell ref="A4:E4"/>
    <mergeCell ref="A42:E42"/>
    <mergeCell ref="B43:C43"/>
  </mergeCell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2"/>
  <dimension ref="A1:E7"/>
  <sheetViews>
    <sheetView showGridLines="0" zoomScaleNormal="100" workbookViewId="0"/>
  </sheetViews>
  <sheetFormatPr baseColWidth="10" defaultColWidth="8.7109375" defaultRowHeight="15"/>
  <cols>
    <col min="1" max="1" width="12" style="1" customWidth="1"/>
    <col min="2" max="2" width="14" style="1" customWidth="1"/>
    <col min="3" max="3" width="56" style="1" customWidth="1"/>
    <col min="4" max="4" width="40" style="1" customWidth="1"/>
    <col min="5" max="5" width="20" style="1" customWidth="1"/>
  </cols>
  <sheetData>
    <row r="1" spans="1:5" ht="25.5" customHeight="1">
      <c r="A1" s="57" t="s">
        <v>1308</v>
      </c>
      <c r="B1" s="58"/>
      <c r="C1" s="58"/>
      <c r="D1" s="58"/>
      <c r="E1" s="58"/>
    </row>
    <row r="2" spans="1:5" ht="15" customHeight="1">
      <c r="A2" s="429" t="s">
        <v>426</v>
      </c>
      <c r="B2" s="429"/>
      <c r="C2" s="429"/>
      <c r="D2" s="429"/>
      <c r="E2" s="429"/>
    </row>
    <row r="3" spans="1:5" ht="15" customHeight="1">
      <c r="A3" s="439" t="str">
        <f>HYPERLINK("#M16_INICIO!A1","◀ INICIO")</f>
        <v>◀ INICIO</v>
      </c>
      <c r="B3" s="439"/>
      <c r="C3" s="439"/>
      <c r="D3" s="439"/>
      <c r="E3" s="22"/>
    </row>
    <row r="4" spans="1:5">
      <c r="A4" s="22"/>
      <c r="B4" s="22"/>
      <c r="C4" s="22"/>
      <c r="D4" s="22"/>
      <c r="E4" s="22"/>
    </row>
    <row r="5" spans="1:5" ht="15" customHeight="1">
      <c r="A5" s="136" t="s">
        <v>1</v>
      </c>
      <c r="B5" s="136" t="s">
        <v>19</v>
      </c>
      <c r="C5" s="136" t="s">
        <v>427</v>
      </c>
      <c r="D5" s="136" t="s">
        <v>997</v>
      </c>
      <c r="E5" s="136" t="s">
        <v>124</v>
      </c>
    </row>
    <row r="6" spans="1:5" ht="55.5" customHeight="1">
      <c r="A6" s="111" t="s">
        <v>116</v>
      </c>
      <c r="B6" s="111" t="s">
        <v>454</v>
      </c>
      <c r="C6" s="107" t="s">
        <v>1562</v>
      </c>
      <c r="D6" s="107" t="s">
        <v>1563</v>
      </c>
      <c r="E6" s="112" t="s">
        <v>1000</v>
      </c>
    </row>
    <row r="7" spans="1:5" ht="55.5" customHeight="1">
      <c r="A7" s="111" t="s">
        <v>116</v>
      </c>
      <c r="B7" s="111" t="s">
        <v>454</v>
      </c>
      <c r="C7" s="107" t="s">
        <v>1564</v>
      </c>
      <c r="D7" s="107" t="s">
        <v>1002</v>
      </c>
      <c r="E7" s="112" t="s">
        <v>1000</v>
      </c>
    </row>
  </sheetData>
  <sheetProtection algorithmName="SHA-512" hashValue="+AOcdCQgDJjGysO4LWKcrel0tow3g+FOkDAUU/JUo1eIaWKbbucA0AJsfl6UQ35f12quglfJKCjnrQBN9LKedg==" saltValue="o7nGqip3r1MoT7gqlKJ1lQ==" spinCount="100000" sheet="1" objects="1" scenarios="1"/>
  <mergeCells count="2">
    <mergeCell ref="A2:E2"/>
    <mergeCell ref="A3:D3"/>
  </mergeCell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3"/>
  <dimension ref="A1:Q35"/>
  <sheetViews>
    <sheetView showGridLines="0" zoomScaleNormal="100" workbookViewId="0">
      <selection sqref="A1:Q1"/>
    </sheetView>
  </sheetViews>
  <sheetFormatPr baseColWidth="10" defaultColWidth="8.7109375" defaultRowHeight="15"/>
  <cols>
    <col min="1" max="1" width="18.5703125" style="1" customWidth="1"/>
    <col min="2" max="2" width="15" style="1" customWidth="1"/>
    <col min="3" max="3" width="12" style="1" customWidth="1"/>
    <col min="4" max="4" width="11" style="1" customWidth="1"/>
    <col min="6" max="6" width="10" style="1" customWidth="1"/>
    <col min="8" max="8" width="11.71093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1566</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7.75" customHeight="1">
      <c r="A4" s="457" t="s">
        <v>105</v>
      </c>
      <c r="B4" s="457"/>
      <c r="C4" s="457"/>
      <c r="D4" s="457"/>
      <c r="E4" s="457"/>
      <c r="F4" s="457"/>
      <c r="G4" s="457"/>
      <c r="H4" s="457"/>
      <c r="I4" s="457"/>
      <c r="J4" s="457"/>
      <c r="K4" s="457"/>
      <c r="L4" s="457"/>
      <c r="M4" s="457"/>
      <c r="N4" s="457"/>
      <c r="O4" s="457"/>
      <c r="P4" s="457"/>
      <c r="Q4" s="457"/>
    </row>
    <row r="5" spans="1:17" ht="27.75" customHeight="1">
      <c r="A5" s="321" t="str">
        <f>HYPERLINK("#M34_DATOS!A1","▶  DATOS")</f>
        <v>▶  DATOS</v>
      </c>
      <c r="B5" s="321"/>
      <c r="C5" s="321" t="str">
        <f>HYPERLINK("#M34_CALCULO!A1","▶  CALCULO")</f>
        <v>▶  CALCULO</v>
      </c>
      <c r="D5" s="321"/>
      <c r="E5" s="321" t="str">
        <f>HYPERLINK("#M34_SENSIBILIDAD!A1","▶  SENSIBILIDAD")</f>
        <v>▶  SENSIBILIDAD</v>
      </c>
      <c r="F5" s="321"/>
      <c r="G5" s="321" t="str">
        <f>HYPERLINK("#M34_INTERPRETACION!A1","▶  INTERPRETACION")</f>
        <v>▶  INTERPRETACION</v>
      </c>
      <c r="H5" s="321"/>
      <c r="I5" s="321" t="str">
        <f>HYPERLINK("#M34_FUENTES!A1","▶  FUENTES")</f>
        <v>▶  FUENTES</v>
      </c>
      <c r="J5" s="321"/>
      <c r="K5" s="321" t="str">
        <f>HYPERLINK("#M34_PRUEBAS!A1","▶  PRUEBAS")</f>
        <v>▶  PRUEBAS</v>
      </c>
      <c r="L5" s="321"/>
      <c r="M5" s="321" t="str">
        <f>HYPERLINK("#M34_CONFIG!A1","▶  CONFIG")</f>
        <v>▶  CONFIG</v>
      </c>
      <c r="N5" s="321"/>
      <c r="O5" s="321" t="str">
        <f>HYPERLINK("#M34_CHANGELOG!A1","▶  CHANGELOG")</f>
        <v>▶  CHANGELOG</v>
      </c>
      <c r="P5" s="321"/>
      <c r="Q5" s="321"/>
    </row>
    <row r="6" spans="1:17" ht="29.25" customHeight="1">
      <c r="A6" s="320" t="s">
        <v>1567</v>
      </c>
      <c r="B6" s="320"/>
      <c r="C6" s="320" t="s">
        <v>1568</v>
      </c>
      <c r="D6" s="320"/>
      <c r="E6" s="320" t="s">
        <v>1569</v>
      </c>
      <c r="F6" s="320"/>
      <c r="G6" s="320" t="s">
        <v>1570</v>
      </c>
      <c r="H6" s="320"/>
      <c r="I6" s="320" t="s">
        <v>1571</v>
      </c>
      <c r="J6" s="320"/>
      <c r="K6" s="320" t="s">
        <v>112</v>
      </c>
      <c r="L6" s="320"/>
      <c r="M6" s="320" t="s">
        <v>113</v>
      </c>
      <c r="N6" s="320"/>
      <c r="O6" s="320" t="s">
        <v>114</v>
      </c>
      <c r="P6" s="320"/>
      <c r="Q6" s="320"/>
    </row>
    <row r="7" spans="1:17">
      <c r="A7" s="22"/>
      <c r="B7" s="22"/>
      <c r="C7" s="22"/>
      <c r="D7" s="22"/>
      <c r="E7" s="2"/>
      <c r="F7" s="22"/>
      <c r="G7" s="2"/>
      <c r="H7" s="22"/>
      <c r="I7" s="22"/>
      <c r="J7" s="22"/>
      <c r="K7" s="22"/>
      <c r="L7" s="22"/>
      <c r="M7" s="22"/>
      <c r="N7" s="2"/>
      <c r="O7" s="2"/>
      <c r="P7" s="2"/>
      <c r="Q7" s="22"/>
    </row>
    <row r="8" spans="1:17" ht="22.5" customHeight="1">
      <c r="A8" s="454" t="s">
        <v>115</v>
      </c>
      <c r="B8" s="454"/>
      <c r="C8" s="357" t="s">
        <v>1572</v>
      </c>
      <c r="D8" s="357"/>
      <c r="E8" s="357"/>
      <c r="F8" s="357"/>
      <c r="G8" s="357"/>
      <c r="H8" s="357"/>
      <c r="I8" s="357"/>
      <c r="J8" s="357"/>
      <c r="K8" s="357"/>
      <c r="L8" s="22"/>
      <c r="M8" s="22"/>
      <c r="N8" s="2"/>
      <c r="O8" s="2"/>
      <c r="P8" s="2"/>
      <c r="Q8" s="22"/>
    </row>
    <row r="9" spans="1:17" ht="22.5" customHeight="1">
      <c r="A9" s="454" t="s">
        <v>1</v>
      </c>
      <c r="B9" s="454"/>
      <c r="C9" s="357" t="s">
        <v>116</v>
      </c>
      <c r="D9" s="357"/>
      <c r="E9" s="357"/>
      <c r="F9" s="357"/>
      <c r="G9" s="357"/>
      <c r="H9" s="357"/>
      <c r="I9" s="357"/>
      <c r="J9" s="357"/>
      <c r="K9" s="357"/>
      <c r="L9" s="22"/>
      <c r="M9" s="22"/>
      <c r="N9" s="2"/>
      <c r="O9" s="2"/>
      <c r="P9" s="2"/>
      <c r="Q9" s="22"/>
    </row>
    <row r="10" spans="1:17" ht="22.5" customHeight="1">
      <c r="A10" s="454" t="s">
        <v>19</v>
      </c>
      <c r="B10" s="454"/>
      <c r="C10" s="357" t="s">
        <v>117</v>
      </c>
      <c r="D10" s="357"/>
      <c r="E10" s="357"/>
      <c r="F10" s="357"/>
      <c r="G10" s="357"/>
      <c r="H10" s="357"/>
      <c r="I10" s="357"/>
      <c r="J10" s="357"/>
      <c r="K10" s="357"/>
      <c r="L10" s="22"/>
      <c r="M10" s="22"/>
      <c r="N10" s="2"/>
      <c r="O10" s="2"/>
      <c r="P10" s="2"/>
      <c r="Q10" s="22"/>
    </row>
    <row r="11" spans="1:17" ht="22.5" customHeight="1">
      <c r="A11" s="454" t="s">
        <v>1573</v>
      </c>
      <c r="B11" s="454"/>
      <c r="C11" s="357" t="s">
        <v>1574</v>
      </c>
      <c r="D11" s="357"/>
      <c r="E11" s="357"/>
      <c r="F11" s="357"/>
      <c r="G11" s="357"/>
      <c r="H11" s="357"/>
      <c r="I11" s="357"/>
      <c r="J11" s="357"/>
      <c r="K11" s="357"/>
      <c r="L11" s="22"/>
      <c r="M11" s="22"/>
      <c r="N11" s="2"/>
      <c r="O11" s="2"/>
      <c r="P11" s="2"/>
      <c r="Q11" s="22"/>
    </row>
    <row r="12" spans="1:17" ht="22.5" customHeight="1">
      <c r="A12" s="454" t="s">
        <v>1575</v>
      </c>
      <c r="B12" s="454"/>
      <c r="C12" s="357" t="s">
        <v>1576</v>
      </c>
      <c r="D12" s="357"/>
      <c r="E12" s="357"/>
      <c r="F12" s="357"/>
      <c r="G12" s="357"/>
      <c r="H12" s="357"/>
      <c r="I12" s="357"/>
      <c r="J12" s="357"/>
      <c r="K12" s="357"/>
      <c r="L12" s="22"/>
      <c r="M12" s="22"/>
      <c r="N12" s="2"/>
      <c r="O12" s="2"/>
      <c r="P12" s="2"/>
      <c r="Q12" s="22"/>
    </row>
    <row r="13" spans="1:17" ht="22.5" customHeight="1">
      <c r="A13" s="454" t="s">
        <v>122</v>
      </c>
      <c r="B13" s="454"/>
      <c r="C13" s="357" t="s">
        <v>123</v>
      </c>
      <c r="D13" s="357"/>
      <c r="E13" s="357"/>
      <c r="F13" s="357"/>
      <c r="G13" s="357"/>
      <c r="H13" s="357"/>
      <c r="I13" s="357"/>
      <c r="J13" s="357"/>
      <c r="K13" s="357"/>
      <c r="L13" s="22"/>
      <c r="M13" s="22"/>
      <c r="N13" s="2"/>
      <c r="O13" s="2"/>
      <c r="P13" s="2"/>
      <c r="Q13" s="22"/>
    </row>
    <row r="14" spans="1:17" ht="22.5" customHeight="1">
      <c r="A14" s="454" t="s">
        <v>124</v>
      </c>
      <c r="B14" s="454"/>
      <c r="C14" s="357" t="s">
        <v>125</v>
      </c>
      <c r="D14" s="357"/>
      <c r="E14" s="357"/>
      <c r="F14" s="357"/>
      <c r="G14" s="357"/>
      <c r="H14" s="357"/>
      <c r="I14" s="357"/>
      <c r="J14" s="357"/>
      <c r="K14" s="357"/>
      <c r="L14" s="22"/>
      <c r="M14" s="22"/>
      <c r="N14" s="2"/>
      <c r="O14" s="2"/>
      <c r="P14" s="2"/>
      <c r="Q14" s="22"/>
    </row>
    <row r="15" spans="1:17">
      <c r="A15" s="22"/>
      <c r="B15" s="22"/>
      <c r="C15" s="22"/>
      <c r="D15" s="22"/>
      <c r="E15" s="2"/>
      <c r="F15" s="22"/>
      <c r="G15" s="2"/>
      <c r="H15" s="22"/>
      <c r="I15" s="22"/>
      <c r="J15" s="22"/>
      <c r="K15" s="22"/>
      <c r="L15" s="22"/>
      <c r="M15" s="22"/>
      <c r="N15" s="2"/>
      <c r="O15" s="2"/>
      <c r="P15" s="2"/>
      <c r="Q15" s="22"/>
    </row>
    <row r="16" spans="1:17" ht="19.5" customHeight="1">
      <c r="A16" s="452" t="s">
        <v>1577</v>
      </c>
      <c r="B16" s="452"/>
      <c r="C16" s="452"/>
      <c r="D16" s="452"/>
      <c r="E16" s="452"/>
      <c r="F16" s="452"/>
      <c r="G16" s="452"/>
      <c r="H16" s="452"/>
      <c r="I16" s="452"/>
      <c r="J16" s="452"/>
      <c r="K16" s="452"/>
      <c r="L16" s="452"/>
      <c r="M16" s="452"/>
      <c r="N16" s="452"/>
      <c r="O16" s="452"/>
      <c r="P16" s="452"/>
      <c r="Q16" s="452"/>
    </row>
    <row r="17" spans="1:17" ht="30" customHeight="1">
      <c r="A17" s="453" t="s">
        <v>1578</v>
      </c>
      <c r="B17" s="453"/>
      <c r="C17" s="453"/>
      <c r="D17" s="453"/>
      <c r="E17" s="453"/>
      <c r="F17" s="453"/>
      <c r="G17" s="453"/>
      <c r="H17" s="453"/>
      <c r="I17" s="453"/>
      <c r="J17" s="453"/>
      <c r="K17" s="453"/>
      <c r="L17" s="453"/>
      <c r="M17" s="453"/>
      <c r="N17" s="453"/>
      <c r="O17" s="453"/>
      <c r="P17" s="453"/>
      <c r="Q17" s="453"/>
    </row>
    <row r="18" spans="1:17" ht="30" customHeight="1">
      <c r="A18" s="453" t="s">
        <v>1579</v>
      </c>
      <c r="B18" s="453"/>
      <c r="C18" s="453"/>
      <c r="D18" s="453"/>
      <c r="E18" s="453"/>
      <c r="F18" s="453"/>
      <c r="G18" s="453"/>
      <c r="H18" s="453"/>
      <c r="I18" s="453"/>
      <c r="J18" s="453"/>
      <c r="K18" s="453"/>
      <c r="L18" s="453"/>
      <c r="M18" s="453"/>
      <c r="N18" s="453"/>
      <c r="O18" s="453"/>
      <c r="P18" s="453"/>
      <c r="Q18" s="453"/>
    </row>
    <row r="19" spans="1:17" ht="30" customHeight="1">
      <c r="A19" s="453" t="s">
        <v>1580</v>
      </c>
      <c r="B19" s="453"/>
      <c r="C19" s="453"/>
      <c r="D19" s="453"/>
      <c r="E19" s="453"/>
      <c r="F19" s="453"/>
      <c r="G19" s="453"/>
      <c r="H19" s="453"/>
      <c r="I19" s="453"/>
      <c r="J19" s="453"/>
      <c r="K19" s="453"/>
      <c r="L19" s="453"/>
      <c r="M19" s="453"/>
      <c r="N19" s="453"/>
      <c r="O19" s="453"/>
      <c r="P19" s="453"/>
      <c r="Q19" s="453"/>
    </row>
    <row r="20" spans="1:17" ht="30" customHeight="1">
      <c r="A20" s="453" t="s">
        <v>1581</v>
      </c>
      <c r="B20" s="453"/>
      <c r="C20" s="453"/>
      <c r="D20" s="453"/>
      <c r="E20" s="453"/>
      <c r="F20" s="453"/>
      <c r="G20" s="453"/>
      <c r="H20" s="453"/>
      <c r="I20" s="453"/>
      <c r="J20" s="453"/>
      <c r="K20" s="453"/>
      <c r="L20" s="453"/>
      <c r="M20" s="453"/>
      <c r="N20" s="453"/>
      <c r="O20" s="453"/>
      <c r="P20" s="453"/>
      <c r="Q20" s="453"/>
    </row>
    <row r="21" spans="1:17" ht="30" customHeight="1">
      <c r="A21" s="453" t="s">
        <v>1582</v>
      </c>
      <c r="B21" s="453"/>
      <c r="C21" s="453"/>
      <c r="D21" s="453"/>
      <c r="E21" s="453"/>
      <c r="F21" s="453"/>
      <c r="G21" s="453"/>
      <c r="H21" s="453"/>
      <c r="I21" s="453"/>
      <c r="J21" s="453"/>
      <c r="K21" s="453"/>
      <c r="L21" s="453"/>
      <c r="M21" s="453"/>
      <c r="N21" s="453"/>
      <c r="O21" s="453"/>
      <c r="P21" s="453"/>
      <c r="Q21" s="453"/>
    </row>
    <row r="22" spans="1:17" ht="30" customHeight="1">
      <c r="A22" s="453" t="s">
        <v>1583</v>
      </c>
      <c r="B22" s="453"/>
      <c r="C22" s="453"/>
      <c r="D22" s="453"/>
      <c r="E22" s="453"/>
      <c r="F22" s="453"/>
      <c r="G22" s="453"/>
      <c r="H22" s="453"/>
      <c r="I22" s="453"/>
      <c r="J22" s="453"/>
      <c r="K22" s="453"/>
      <c r="L22" s="453"/>
      <c r="M22" s="453"/>
      <c r="N22" s="453"/>
      <c r="O22" s="453"/>
      <c r="P22" s="453"/>
      <c r="Q22" s="453"/>
    </row>
    <row r="23" spans="1:17">
      <c r="A23" s="22"/>
      <c r="B23" s="22"/>
      <c r="C23" s="22"/>
      <c r="D23" s="22"/>
      <c r="E23" s="2"/>
      <c r="F23" s="22"/>
      <c r="G23" s="2"/>
      <c r="H23" s="22"/>
      <c r="I23" s="22"/>
      <c r="J23" s="22"/>
      <c r="K23" s="22"/>
      <c r="L23" s="22"/>
      <c r="M23" s="22"/>
      <c r="N23" s="2"/>
      <c r="O23" s="2"/>
      <c r="P23" s="2"/>
      <c r="Q23" s="22"/>
    </row>
    <row r="24" spans="1:17" ht="19.5" customHeight="1">
      <c r="A24" s="452" t="s">
        <v>1584</v>
      </c>
      <c r="B24" s="452"/>
      <c r="C24" s="452"/>
      <c r="D24" s="452"/>
      <c r="E24" s="452"/>
      <c r="F24" s="452"/>
      <c r="G24" s="452"/>
      <c r="H24" s="452"/>
      <c r="I24" s="452"/>
      <c r="J24" s="452"/>
      <c r="K24" s="452"/>
      <c r="L24" s="452"/>
      <c r="M24" s="452"/>
      <c r="N24" s="452"/>
      <c r="O24" s="452"/>
      <c r="P24" s="452"/>
      <c r="Q24" s="452"/>
    </row>
    <row r="25" spans="1:17" ht="27.75" customHeight="1">
      <c r="A25" s="451" t="s">
        <v>1585</v>
      </c>
      <c r="B25" s="451"/>
      <c r="C25" s="451"/>
      <c r="D25" s="451"/>
      <c r="E25" s="451"/>
      <c r="F25" s="451"/>
      <c r="G25" s="451"/>
      <c r="H25" s="451"/>
      <c r="I25" s="451"/>
      <c r="J25" s="451"/>
      <c r="K25" s="451"/>
      <c r="L25" s="451"/>
      <c r="M25" s="451"/>
      <c r="N25" s="451"/>
      <c r="O25" s="451"/>
      <c r="P25" s="451"/>
      <c r="Q25" s="451"/>
    </row>
    <row r="26" spans="1:17" ht="27.75" customHeight="1">
      <c r="A26" s="451" t="s">
        <v>1586</v>
      </c>
      <c r="B26" s="451"/>
      <c r="C26" s="451"/>
      <c r="D26" s="451"/>
      <c r="E26" s="451"/>
      <c r="F26" s="451"/>
      <c r="G26" s="451"/>
      <c r="H26" s="451"/>
      <c r="I26" s="451"/>
      <c r="J26" s="451"/>
      <c r="K26" s="451"/>
      <c r="L26" s="451"/>
      <c r="M26" s="451"/>
      <c r="N26" s="451"/>
      <c r="O26" s="451"/>
      <c r="P26" s="451"/>
      <c r="Q26" s="451"/>
    </row>
    <row r="27" spans="1:17" ht="27.75" customHeight="1">
      <c r="A27" s="451" t="s">
        <v>1587</v>
      </c>
      <c r="B27" s="451"/>
      <c r="C27" s="451"/>
      <c r="D27" s="451"/>
      <c r="E27" s="451"/>
      <c r="F27" s="451"/>
      <c r="G27" s="451"/>
      <c r="H27" s="451"/>
      <c r="I27" s="451"/>
      <c r="J27" s="451"/>
      <c r="K27" s="451"/>
      <c r="L27" s="451"/>
      <c r="M27" s="451"/>
      <c r="N27" s="451"/>
      <c r="O27" s="451"/>
      <c r="P27" s="451"/>
      <c r="Q27" s="451"/>
    </row>
    <row r="28" spans="1:17">
      <c r="A28" s="22"/>
      <c r="B28" s="22"/>
      <c r="C28" s="22"/>
      <c r="D28" s="22"/>
      <c r="E28" s="2"/>
      <c r="F28" s="22"/>
      <c r="G28" s="2"/>
      <c r="H28" s="22"/>
      <c r="I28" s="22"/>
      <c r="J28" s="22"/>
      <c r="K28" s="22"/>
      <c r="L28" s="22"/>
      <c r="M28" s="22"/>
      <c r="N28" s="2"/>
      <c r="O28" s="2"/>
      <c r="P28" s="2"/>
      <c r="Q28" s="22"/>
    </row>
    <row r="29" spans="1:17" ht="19.5" customHeight="1">
      <c r="A29" s="452" t="s">
        <v>138</v>
      </c>
      <c r="B29" s="452"/>
      <c r="C29" s="452"/>
      <c r="D29" s="452"/>
      <c r="E29" s="452"/>
      <c r="F29" s="452"/>
      <c r="G29" s="452"/>
      <c r="H29" s="452"/>
      <c r="I29" s="452"/>
      <c r="J29" s="452"/>
      <c r="K29" s="452"/>
      <c r="L29" s="452"/>
      <c r="M29" s="452"/>
      <c r="N29" s="452"/>
      <c r="O29" s="452"/>
      <c r="P29" s="452"/>
      <c r="Q29" s="452"/>
    </row>
    <row r="30" spans="1:17" ht="33.75" customHeight="1">
      <c r="A30" s="449">
        <v>1</v>
      </c>
      <c r="B30" s="449"/>
      <c r="C30" s="450" t="s">
        <v>1588</v>
      </c>
      <c r="D30" s="450"/>
      <c r="E30" s="450"/>
      <c r="F30" s="450"/>
      <c r="G30" s="450"/>
      <c r="H30" s="450"/>
      <c r="I30" s="450"/>
      <c r="J30" s="450"/>
      <c r="K30" s="450"/>
      <c r="L30" s="450"/>
      <c r="M30" s="450"/>
      <c r="N30" s="450"/>
      <c r="O30" s="450"/>
      <c r="P30" s="450"/>
      <c r="Q30" s="450"/>
    </row>
    <row r="31" spans="1:17" ht="33.75" customHeight="1">
      <c r="A31" s="449">
        <v>2</v>
      </c>
      <c r="B31" s="449"/>
      <c r="C31" s="450" t="s">
        <v>1589</v>
      </c>
      <c r="D31" s="450"/>
      <c r="E31" s="450"/>
      <c r="F31" s="450"/>
      <c r="G31" s="450"/>
      <c r="H31" s="450"/>
      <c r="I31" s="450"/>
      <c r="J31" s="450"/>
      <c r="K31" s="450"/>
      <c r="L31" s="450"/>
      <c r="M31" s="450"/>
      <c r="N31" s="450"/>
      <c r="O31" s="450"/>
      <c r="P31" s="450"/>
      <c r="Q31" s="450"/>
    </row>
    <row r="32" spans="1:17" ht="33.75" customHeight="1">
      <c r="A32" s="449">
        <v>3</v>
      </c>
      <c r="B32" s="449"/>
      <c r="C32" s="450" t="s">
        <v>1590</v>
      </c>
      <c r="D32" s="450"/>
      <c r="E32" s="450"/>
      <c r="F32" s="450"/>
      <c r="G32" s="450"/>
      <c r="H32" s="450"/>
      <c r="I32" s="450"/>
      <c r="J32" s="450"/>
      <c r="K32" s="450"/>
      <c r="L32" s="450"/>
      <c r="M32" s="450"/>
      <c r="N32" s="450"/>
      <c r="O32" s="450"/>
      <c r="P32" s="450"/>
      <c r="Q32" s="450"/>
    </row>
    <row r="33" spans="1:17" ht="33.75" customHeight="1">
      <c r="A33" s="449">
        <v>4</v>
      </c>
      <c r="B33" s="449"/>
      <c r="C33" s="450" t="s">
        <v>1591</v>
      </c>
      <c r="D33" s="450"/>
      <c r="E33" s="450"/>
      <c r="F33" s="450"/>
      <c r="G33" s="450"/>
      <c r="H33" s="450"/>
      <c r="I33" s="450"/>
      <c r="J33" s="450"/>
      <c r="K33" s="450"/>
      <c r="L33" s="450"/>
      <c r="M33" s="450"/>
      <c r="N33" s="450"/>
      <c r="O33" s="450"/>
      <c r="P33" s="450"/>
      <c r="Q33" s="450"/>
    </row>
    <row r="34" spans="1:17" ht="33.75" customHeight="1">
      <c r="A34" s="449">
        <v>5</v>
      </c>
      <c r="B34" s="449"/>
      <c r="C34" s="450" t="s">
        <v>1592</v>
      </c>
      <c r="D34" s="450"/>
      <c r="E34" s="450"/>
      <c r="F34" s="450"/>
      <c r="G34" s="450"/>
      <c r="H34" s="450"/>
      <c r="I34" s="450"/>
      <c r="J34" s="450"/>
      <c r="K34" s="450"/>
      <c r="L34" s="450"/>
      <c r="M34" s="450"/>
      <c r="N34" s="450"/>
      <c r="O34" s="450"/>
      <c r="P34" s="450"/>
      <c r="Q34" s="450"/>
    </row>
    <row r="35" spans="1:17" ht="33.75" customHeight="1">
      <c r="A35" s="449">
        <v>6</v>
      </c>
      <c r="B35" s="449"/>
      <c r="C35" s="450" t="s">
        <v>1593</v>
      </c>
      <c r="D35" s="450"/>
      <c r="E35" s="450"/>
      <c r="F35" s="450"/>
      <c r="G35" s="450"/>
      <c r="H35" s="450"/>
      <c r="I35" s="450"/>
      <c r="J35" s="450"/>
      <c r="K35" s="450"/>
      <c r="L35" s="450"/>
      <c r="M35" s="450"/>
      <c r="N35" s="450"/>
      <c r="O35" s="450"/>
      <c r="P35" s="450"/>
      <c r="Q35" s="450"/>
    </row>
  </sheetData>
  <sheetProtection algorithmName="SHA-512" hashValue="e0gJQ8js+keirAQhnihMSJ3soWHAF5ClHMSsdB/60EYBwCwzyzq+YhyNNybNwxPf42qRDWtfhqDnyzCEj6qkXw==" saltValue="hAmP903ZPqdoe9Ut9K+FPA==" spinCount="100000" sheet="1" objects="1" scenarios="1"/>
  <mergeCells count="57">
    <mergeCell ref="A1:Q1"/>
    <mergeCell ref="A2:Q3"/>
    <mergeCell ref="A4:Q4"/>
    <mergeCell ref="A5:B5"/>
    <mergeCell ref="C5:D5"/>
    <mergeCell ref="E5:F5"/>
    <mergeCell ref="G5:H5"/>
    <mergeCell ref="I5:J5"/>
    <mergeCell ref="K5:L5"/>
    <mergeCell ref="M5:N5"/>
    <mergeCell ref="O5:Q5"/>
    <mergeCell ref="K6:L6"/>
    <mergeCell ref="M6:N6"/>
    <mergeCell ref="O6:Q6"/>
    <mergeCell ref="A8:B8"/>
    <mergeCell ref="C8:K8"/>
    <mergeCell ref="A6:B6"/>
    <mergeCell ref="C6:D6"/>
    <mergeCell ref="E6:F6"/>
    <mergeCell ref="G6:H6"/>
    <mergeCell ref="I6:J6"/>
    <mergeCell ref="A9:B9"/>
    <mergeCell ref="C9:K9"/>
    <mergeCell ref="A10:B10"/>
    <mergeCell ref="C10:K10"/>
    <mergeCell ref="A11:B11"/>
    <mergeCell ref="C11:K11"/>
    <mergeCell ref="A12:B12"/>
    <mergeCell ref="C12:K12"/>
    <mergeCell ref="A13:B13"/>
    <mergeCell ref="C13:K13"/>
    <mergeCell ref="A14:B14"/>
    <mergeCell ref="C14:K14"/>
    <mergeCell ref="A16:Q16"/>
    <mergeCell ref="A17:Q17"/>
    <mergeCell ref="A18:Q18"/>
    <mergeCell ref="A19:Q19"/>
    <mergeCell ref="A20:Q20"/>
    <mergeCell ref="A21:Q21"/>
    <mergeCell ref="A22:Q22"/>
    <mergeCell ref="A24:Q24"/>
    <mergeCell ref="A25:Q25"/>
    <mergeCell ref="A26:Q26"/>
    <mergeCell ref="A27:Q27"/>
    <mergeCell ref="A29:Q29"/>
    <mergeCell ref="A30:B30"/>
    <mergeCell ref="C30:Q30"/>
    <mergeCell ref="A31:B31"/>
    <mergeCell ref="C31:Q31"/>
    <mergeCell ref="A35:B35"/>
    <mergeCell ref="C35:Q35"/>
    <mergeCell ref="A32:B32"/>
    <mergeCell ref="C32:Q32"/>
    <mergeCell ref="A33:B33"/>
    <mergeCell ref="C33:Q33"/>
    <mergeCell ref="A34:B34"/>
    <mergeCell ref="C34:Q34"/>
  </mergeCell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44"/>
  <dimension ref="A1:Q28"/>
  <sheetViews>
    <sheetView showGridLines="0" zoomScaleNormal="100" workbookViewId="0">
      <selection activeCell="A4" sqref="A4:B4"/>
    </sheetView>
  </sheetViews>
  <sheetFormatPr baseColWidth="10" defaultColWidth="8.7109375" defaultRowHeight="15"/>
  <cols>
    <col min="1" max="1" width="18.5703125" style="1" customWidth="1"/>
    <col min="2" max="2" width="20.140625"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1594</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2"/>
      <c r="E4" s="2"/>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15" customHeight="1">
      <c r="A6" s="461" t="s">
        <v>1595</v>
      </c>
      <c r="B6" s="461"/>
      <c r="C6" s="461"/>
      <c r="D6" s="461"/>
      <c r="E6" s="461"/>
      <c r="F6" s="461"/>
      <c r="G6" s="461"/>
      <c r="H6" s="461"/>
      <c r="I6" s="461"/>
      <c r="J6" s="461"/>
      <c r="K6" s="461"/>
      <c r="L6" s="461"/>
      <c r="M6" s="461"/>
      <c r="N6" s="461"/>
      <c r="O6" s="461"/>
      <c r="P6" s="461"/>
      <c r="Q6" s="461"/>
    </row>
    <row r="7" spans="1:17" ht="15" customHeight="1">
      <c r="A7" s="461"/>
      <c r="B7" s="461"/>
      <c r="C7" s="461"/>
      <c r="D7" s="461"/>
      <c r="E7" s="461"/>
      <c r="F7" s="461"/>
      <c r="G7" s="461"/>
      <c r="H7" s="461"/>
      <c r="I7" s="461"/>
      <c r="J7" s="461"/>
      <c r="K7" s="461"/>
      <c r="L7" s="461"/>
      <c r="M7" s="461"/>
      <c r="N7" s="461"/>
      <c r="O7" s="461"/>
      <c r="P7" s="461"/>
      <c r="Q7" s="461"/>
    </row>
    <row r="8" spans="1:17" ht="15" customHeight="1">
      <c r="A8" s="461"/>
      <c r="B8" s="461"/>
      <c r="C8" s="461"/>
      <c r="D8" s="461"/>
      <c r="E8" s="461"/>
      <c r="F8" s="461"/>
      <c r="G8" s="461"/>
      <c r="H8" s="461"/>
      <c r="I8" s="461"/>
      <c r="J8" s="461"/>
      <c r="K8" s="461"/>
      <c r="L8" s="461"/>
      <c r="M8" s="461"/>
      <c r="N8" s="461"/>
      <c r="O8" s="461"/>
      <c r="P8" s="461"/>
      <c r="Q8" s="461"/>
    </row>
    <row r="9" spans="1:17">
      <c r="A9" s="22"/>
      <c r="B9" s="22"/>
      <c r="C9" s="22"/>
      <c r="D9" s="22"/>
      <c r="E9" s="2"/>
      <c r="F9" s="22"/>
      <c r="G9" s="2"/>
      <c r="H9" s="22"/>
      <c r="I9" s="22"/>
      <c r="J9" s="22"/>
      <c r="K9" s="22"/>
      <c r="L9" s="22"/>
      <c r="M9" s="22"/>
      <c r="N9" s="2"/>
      <c r="O9" s="2"/>
      <c r="P9" s="2"/>
      <c r="Q9" s="22"/>
    </row>
    <row r="10" spans="1:17" ht="19.5" customHeight="1">
      <c r="A10" s="452" t="s">
        <v>1596</v>
      </c>
      <c r="B10" s="452"/>
      <c r="C10" s="452"/>
      <c r="D10" s="452"/>
      <c r="E10" s="452"/>
      <c r="F10" s="452"/>
      <c r="G10" s="452"/>
      <c r="H10" s="452"/>
      <c r="I10" s="452"/>
      <c r="J10" s="452"/>
      <c r="K10" s="452"/>
      <c r="L10" s="452"/>
      <c r="M10" s="452"/>
      <c r="N10" s="452"/>
      <c r="O10" s="452"/>
      <c r="P10" s="452"/>
      <c r="Q10" s="452"/>
    </row>
    <row r="11" spans="1:17" ht="18" customHeight="1">
      <c r="A11" s="458" t="s">
        <v>1597</v>
      </c>
      <c r="B11" s="458"/>
      <c r="C11" s="462" t="s">
        <v>168</v>
      </c>
      <c r="D11" s="462"/>
      <c r="E11" s="462"/>
      <c r="F11" s="462"/>
      <c r="G11" s="462"/>
      <c r="H11" s="462"/>
      <c r="I11" s="462"/>
      <c r="J11" s="462"/>
      <c r="K11" s="462"/>
      <c r="L11" s="22"/>
      <c r="M11" s="22"/>
      <c r="N11" s="2"/>
      <c r="O11" s="2"/>
      <c r="P11" s="2"/>
      <c r="Q11" s="22"/>
    </row>
    <row r="12" spans="1:17" ht="18" customHeight="1">
      <c r="A12" s="458" t="s">
        <v>1598</v>
      </c>
      <c r="B12" s="458"/>
      <c r="C12" s="462">
        <v>45</v>
      </c>
      <c r="D12" s="462"/>
      <c r="E12" s="462"/>
      <c r="F12" s="462"/>
      <c r="G12" s="462"/>
      <c r="H12" s="462"/>
      <c r="I12" s="462"/>
      <c r="J12" s="462"/>
      <c r="K12" s="462"/>
      <c r="L12" s="463" t="s">
        <v>1599</v>
      </c>
      <c r="M12" s="463"/>
      <c r="N12" s="463"/>
      <c r="O12" s="463"/>
      <c r="P12" s="463"/>
      <c r="Q12" s="463"/>
    </row>
    <row r="13" spans="1:17" ht="18" customHeight="1">
      <c r="A13" s="458" t="s">
        <v>22</v>
      </c>
      <c r="B13" s="458"/>
      <c r="C13" s="462" t="s">
        <v>1600</v>
      </c>
      <c r="D13" s="462"/>
      <c r="E13" s="462"/>
      <c r="F13" s="462"/>
      <c r="G13" s="462"/>
      <c r="H13" s="462"/>
      <c r="I13" s="462"/>
      <c r="J13" s="462"/>
      <c r="K13" s="462"/>
      <c r="L13" s="22"/>
      <c r="M13" s="22"/>
      <c r="N13" s="2"/>
      <c r="O13" s="2"/>
      <c r="P13" s="2"/>
      <c r="Q13" s="22"/>
    </row>
    <row r="14" spans="1:17" ht="18" customHeight="1">
      <c r="A14" s="458" t="s">
        <v>25</v>
      </c>
      <c r="B14" s="458"/>
      <c r="C14" s="462">
        <v>82</v>
      </c>
      <c r="D14" s="462"/>
      <c r="E14" s="462"/>
      <c r="F14" s="462"/>
      <c r="G14" s="462"/>
      <c r="H14" s="462"/>
      <c r="I14" s="462"/>
      <c r="J14" s="462"/>
      <c r="K14" s="462"/>
      <c r="L14" s="463" t="s">
        <v>1601</v>
      </c>
      <c r="M14" s="463"/>
      <c r="N14" s="463"/>
      <c r="O14" s="463"/>
      <c r="P14" s="463"/>
      <c r="Q14" s="463"/>
    </row>
    <row r="15" spans="1:17" ht="18" customHeight="1">
      <c r="A15" s="458" t="s">
        <v>26</v>
      </c>
      <c r="B15" s="458"/>
      <c r="C15" s="462">
        <v>178</v>
      </c>
      <c r="D15" s="462"/>
      <c r="E15" s="462"/>
      <c r="F15" s="462"/>
      <c r="G15" s="462"/>
      <c r="H15" s="462"/>
      <c r="I15" s="462"/>
      <c r="J15" s="462"/>
      <c r="K15" s="462"/>
      <c r="L15" s="463" t="s">
        <v>1602</v>
      </c>
      <c r="M15" s="463"/>
      <c r="N15" s="463"/>
      <c r="O15" s="463"/>
      <c r="P15" s="463"/>
      <c r="Q15" s="463"/>
    </row>
    <row r="16" spans="1:17" ht="18" customHeight="1">
      <c r="A16" s="458" t="s">
        <v>1603</v>
      </c>
      <c r="B16" s="458"/>
      <c r="C16" s="462">
        <v>22</v>
      </c>
      <c r="D16" s="462"/>
      <c r="E16" s="462"/>
      <c r="F16" s="462"/>
      <c r="G16" s="462"/>
      <c r="H16" s="462"/>
      <c r="I16" s="462"/>
      <c r="J16" s="462"/>
      <c r="K16" s="462"/>
      <c r="L16" s="463" t="s">
        <v>1604</v>
      </c>
      <c r="M16" s="463"/>
      <c r="N16" s="463"/>
      <c r="O16" s="463"/>
      <c r="P16" s="463"/>
      <c r="Q16" s="463"/>
    </row>
    <row r="17" spans="1:17" ht="18" customHeight="1">
      <c r="A17" s="458" t="s">
        <v>1605</v>
      </c>
      <c r="B17" s="458"/>
      <c r="C17" s="462" t="s">
        <v>1606</v>
      </c>
      <c r="D17" s="462"/>
      <c r="E17" s="462"/>
      <c r="F17" s="462"/>
      <c r="G17" s="462"/>
      <c r="H17" s="462"/>
      <c r="I17" s="462"/>
      <c r="J17" s="462"/>
      <c r="K17" s="462"/>
      <c r="L17" s="463" t="s">
        <v>1607</v>
      </c>
      <c r="M17" s="463"/>
      <c r="N17" s="463"/>
      <c r="O17" s="463"/>
      <c r="P17" s="463"/>
      <c r="Q17" s="463"/>
    </row>
    <row r="18" spans="1:17" ht="18" customHeight="1">
      <c r="A18" s="458" t="s">
        <v>1608</v>
      </c>
      <c r="B18" s="458"/>
      <c r="C18" s="462" t="s">
        <v>1609</v>
      </c>
      <c r="D18" s="462"/>
      <c r="E18" s="462"/>
      <c r="F18" s="462"/>
      <c r="G18" s="462"/>
      <c r="H18" s="462"/>
      <c r="I18" s="462"/>
      <c r="J18" s="462"/>
      <c r="K18" s="462"/>
      <c r="L18" s="22"/>
      <c r="M18" s="22"/>
      <c r="N18" s="2"/>
      <c r="O18" s="2"/>
      <c r="P18" s="2"/>
      <c r="Q18" s="22"/>
    </row>
    <row r="19" spans="1:17" ht="18" customHeight="1">
      <c r="A19" s="458" t="s">
        <v>1610</v>
      </c>
      <c r="B19" s="458"/>
      <c r="C19" s="462" t="s">
        <v>151</v>
      </c>
      <c r="D19" s="462"/>
      <c r="E19" s="462"/>
      <c r="F19" s="462"/>
      <c r="G19" s="462"/>
      <c r="H19" s="462"/>
      <c r="I19" s="462"/>
      <c r="J19" s="462"/>
      <c r="K19" s="462"/>
      <c r="L19" s="22"/>
      <c r="M19" s="22"/>
      <c r="N19" s="2"/>
      <c r="O19" s="2"/>
      <c r="P19" s="2"/>
      <c r="Q19" s="22"/>
    </row>
    <row r="20" spans="1:17">
      <c r="A20" s="22"/>
      <c r="B20" s="22"/>
      <c r="C20" s="22"/>
      <c r="D20" s="22"/>
      <c r="E20" s="2"/>
      <c r="F20" s="22"/>
      <c r="G20" s="2"/>
      <c r="H20" s="22"/>
      <c r="I20" s="22"/>
      <c r="J20" s="22"/>
      <c r="K20" s="22"/>
      <c r="L20" s="22"/>
      <c r="M20" s="22"/>
      <c r="N20" s="2"/>
      <c r="O20" s="2"/>
      <c r="P20" s="2"/>
      <c r="Q20" s="22"/>
    </row>
    <row r="21" spans="1:17" ht="19.5" customHeight="1">
      <c r="A21" s="452" t="s">
        <v>1611</v>
      </c>
      <c r="B21" s="452"/>
      <c r="C21" s="452"/>
      <c r="D21" s="452"/>
      <c r="E21" s="452"/>
      <c r="F21" s="452"/>
      <c r="G21" s="452"/>
      <c r="H21" s="452"/>
      <c r="I21" s="452"/>
      <c r="J21" s="452"/>
      <c r="K21" s="452"/>
      <c r="L21" s="452"/>
      <c r="M21" s="452"/>
      <c r="N21" s="452"/>
      <c r="O21" s="452"/>
      <c r="P21" s="452"/>
      <c r="Q21" s="452"/>
    </row>
    <row r="22" spans="1:17" ht="18" customHeight="1">
      <c r="A22" s="458" t="s">
        <v>89</v>
      </c>
      <c r="B22" s="458"/>
      <c r="C22" s="460">
        <f>IF(OR(NOT(ISNUMBER(C14)),NOT(ISNUMBER(C16))),"ND",C14*C16/100)</f>
        <v>18.04</v>
      </c>
      <c r="D22" s="460"/>
      <c r="E22" s="460"/>
      <c r="F22" s="460"/>
      <c r="G22" s="460"/>
      <c r="H22" s="460"/>
      <c r="I22" s="460"/>
      <c r="J22" s="460"/>
      <c r="K22" s="460"/>
      <c r="L22" s="22"/>
      <c r="M22" s="22"/>
      <c r="N22" s="2"/>
      <c r="O22" s="2"/>
      <c r="P22" s="2"/>
      <c r="Q22" s="22"/>
    </row>
    <row r="23" spans="1:17" ht="18" customHeight="1">
      <c r="A23" s="458" t="s">
        <v>1612</v>
      </c>
      <c r="B23" s="458"/>
      <c r="C23" s="459">
        <f>IF(OR(NOT(ISNUMBER(C14)),NOT(ISNUMBER(C16))),"ND: falta peso o porcentaje de grasa",C14*(1-C16/100))</f>
        <v>63.96</v>
      </c>
      <c r="D23" s="459"/>
      <c r="E23" s="459"/>
      <c r="F23" s="459"/>
      <c r="G23" s="459"/>
      <c r="H23" s="459"/>
      <c r="I23" s="459"/>
      <c r="J23" s="459"/>
      <c r="K23" s="459"/>
      <c r="L23" s="22"/>
      <c r="M23" s="22"/>
      <c r="N23" s="2"/>
      <c r="O23" s="2"/>
      <c r="P23" s="2"/>
      <c r="Q23" s="22"/>
    </row>
    <row r="24" spans="1:17" ht="18" customHeight="1">
      <c r="A24" s="458" t="s">
        <v>1613</v>
      </c>
      <c r="B24" s="458"/>
      <c r="C24" s="460">
        <f>IF(OR(NOT(ISNUMBER(C14)),NOT(ISNUMBER(C15)),C15=0),"ND",C14/((C15/100)^2))</f>
        <v>25.880570635020831</v>
      </c>
      <c r="D24" s="460"/>
      <c r="E24" s="460"/>
      <c r="F24" s="460"/>
      <c r="G24" s="460"/>
      <c r="H24" s="460"/>
      <c r="I24" s="460"/>
      <c r="J24" s="460"/>
      <c r="K24" s="460"/>
      <c r="L24" s="22"/>
      <c r="M24" s="22"/>
      <c r="N24" s="2"/>
      <c r="O24" s="2"/>
      <c r="P24" s="2"/>
      <c r="Q24" s="22"/>
    </row>
    <row r="25" spans="1:17">
      <c r="A25" s="22"/>
      <c r="B25" s="22"/>
      <c r="C25" s="22"/>
      <c r="D25" s="22"/>
      <c r="E25" s="2"/>
      <c r="F25" s="22"/>
      <c r="G25" s="2"/>
      <c r="H25" s="22"/>
      <c r="I25" s="22"/>
      <c r="J25" s="22"/>
      <c r="K25" s="22"/>
      <c r="L25" s="22"/>
      <c r="M25" s="22"/>
      <c r="N25" s="2"/>
      <c r="O25" s="2"/>
      <c r="P25" s="2"/>
      <c r="Q25" s="22"/>
    </row>
    <row r="26" spans="1:17" ht="15" customHeight="1">
      <c r="A26" s="461" t="s">
        <v>1614</v>
      </c>
      <c r="B26" s="461"/>
      <c r="C26" s="461"/>
      <c r="D26" s="461"/>
      <c r="E26" s="461"/>
      <c r="F26" s="461"/>
      <c r="G26" s="461"/>
      <c r="H26" s="461"/>
      <c r="I26" s="461"/>
      <c r="J26" s="461"/>
      <c r="K26" s="461"/>
      <c r="L26" s="461"/>
      <c r="M26" s="461"/>
      <c r="N26" s="461"/>
      <c r="O26" s="461"/>
      <c r="P26" s="461"/>
      <c r="Q26" s="461"/>
    </row>
    <row r="27" spans="1:17" ht="15" customHeight="1">
      <c r="A27" s="461"/>
      <c r="B27" s="461"/>
      <c r="C27" s="461"/>
      <c r="D27" s="461"/>
      <c r="E27" s="461"/>
      <c r="F27" s="461"/>
      <c r="G27" s="461"/>
      <c r="H27" s="461"/>
      <c r="I27" s="461"/>
      <c r="J27" s="461"/>
      <c r="K27" s="461"/>
      <c r="L27" s="461"/>
      <c r="M27" s="461"/>
      <c r="N27" s="461"/>
      <c r="O27" s="461"/>
      <c r="P27" s="461"/>
      <c r="Q27" s="461"/>
    </row>
    <row r="28" spans="1:17" ht="15" customHeight="1">
      <c r="A28" s="461"/>
      <c r="B28" s="461"/>
      <c r="C28" s="461"/>
      <c r="D28" s="461"/>
      <c r="E28" s="461"/>
      <c r="F28" s="461"/>
      <c r="G28" s="461"/>
      <c r="H28" s="461"/>
      <c r="I28" s="461"/>
      <c r="J28" s="461"/>
      <c r="K28" s="461"/>
      <c r="L28" s="461"/>
      <c r="M28" s="461"/>
      <c r="N28" s="461"/>
      <c r="O28" s="461"/>
      <c r="P28" s="461"/>
      <c r="Q28" s="461"/>
    </row>
  </sheetData>
  <sheetProtection algorithmName="SHA-512" hashValue="9MtdrX2GfO/LIlfnQAaQV6BzStz77da1ju151ZSvwRCb9G71mx1UzI+cUNddgnlcCrCY/ii5RwJgrAsYWB9CXg==" saltValue="oeK/juTU+yxPgO/YJNvqfQ==" spinCount="100000" sheet="1" objects="1" scenarios="1"/>
  <mergeCells count="36">
    <mergeCell ref="A1:Q1"/>
    <mergeCell ref="A2:Q3"/>
    <mergeCell ref="A4:B4"/>
    <mergeCell ref="A6:Q8"/>
    <mergeCell ref="A10:Q10"/>
    <mergeCell ref="A11:B11"/>
    <mergeCell ref="C11:K11"/>
    <mergeCell ref="A12:B12"/>
    <mergeCell ref="C12:K12"/>
    <mergeCell ref="L12:Q12"/>
    <mergeCell ref="A13:B13"/>
    <mergeCell ref="C13:K13"/>
    <mergeCell ref="A14:B14"/>
    <mergeCell ref="C14:K14"/>
    <mergeCell ref="L14:Q14"/>
    <mergeCell ref="A15:B15"/>
    <mergeCell ref="C15:K15"/>
    <mergeCell ref="L15:Q15"/>
    <mergeCell ref="A16:B16"/>
    <mergeCell ref="C16:K16"/>
    <mergeCell ref="L16:Q16"/>
    <mergeCell ref="A17:B17"/>
    <mergeCell ref="C17:K17"/>
    <mergeCell ref="L17:Q17"/>
    <mergeCell ref="A18:B18"/>
    <mergeCell ref="C18:K18"/>
    <mergeCell ref="A19:B19"/>
    <mergeCell ref="C19:K19"/>
    <mergeCell ref="A21:Q21"/>
    <mergeCell ref="A22:B22"/>
    <mergeCell ref="C22:K22"/>
    <mergeCell ref="A23:B23"/>
    <mergeCell ref="C23:K23"/>
    <mergeCell ref="A24:B24"/>
    <mergeCell ref="C24:K24"/>
    <mergeCell ref="A26:Q28"/>
  </mergeCells>
  <dataValidations count="2">
    <dataValidation type="list" allowBlank="1" sqref="C13" xr:uid="{00000000-0002-0000-2B00-000000000000}">
      <formula1>M34_lst_sexo</formula1>
      <formula2>0</formula2>
    </dataValidation>
    <dataValidation type="list" allowBlank="1" sqref="C17" xr:uid="{00000000-0002-0000-2B00-000001000000}">
      <formula1>M34_lst_metodo</formula1>
      <formula2>0</formula2>
    </dataValidation>
  </dataValidation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45"/>
  <dimension ref="A1:Q31"/>
  <sheetViews>
    <sheetView showGridLines="0" zoomScaleNormal="100" workbookViewId="0">
      <selection sqref="A1:Q1"/>
    </sheetView>
  </sheetViews>
  <sheetFormatPr baseColWidth="10" defaultColWidth="8.7109375" defaultRowHeight="15"/>
  <cols>
    <col min="1" max="1" width="18.5703125" style="1" customWidth="1"/>
    <col min="2" max="2" width="60.28515625"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1615</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2"/>
      <c r="E4" s="2"/>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19.5" customHeight="1">
      <c r="A6" s="452" t="s">
        <v>1616</v>
      </c>
      <c r="B6" s="452"/>
      <c r="C6" s="452"/>
      <c r="D6" s="452"/>
      <c r="E6" s="452"/>
      <c r="F6" s="452"/>
      <c r="G6" s="452"/>
      <c r="H6" s="452"/>
      <c r="I6" s="452"/>
      <c r="J6" s="452"/>
      <c r="K6" s="452"/>
      <c r="L6" s="452"/>
      <c r="M6" s="452"/>
      <c r="N6" s="452"/>
      <c r="O6" s="452"/>
      <c r="P6" s="452"/>
      <c r="Q6" s="452"/>
    </row>
    <row r="7" spans="1:17" ht="15" customHeight="1">
      <c r="A7" s="418" t="s">
        <v>1617</v>
      </c>
      <c r="B7" s="418"/>
      <c r="C7" s="418"/>
      <c r="D7" s="418"/>
      <c r="E7" s="418"/>
      <c r="F7" s="418"/>
      <c r="G7" s="418"/>
      <c r="H7" s="418"/>
      <c r="I7" s="418"/>
      <c r="J7" s="418"/>
      <c r="K7" s="418"/>
      <c r="L7" s="418"/>
      <c r="M7" s="418"/>
      <c r="N7" s="418"/>
      <c r="O7" s="418"/>
      <c r="P7" s="418"/>
      <c r="Q7" s="418"/>
    </row>
    <row r="8" spans="1:17" ht="18" customHeight="1">
      <c r="A8" s="458" t="s">
        <v>90</v>
      </c>
      <c r="B8" s="458"/>
      <c r="C8" s="460">
        <f>M34_v_mlg</f>
        <v>63.96</v>
      </c>
      <c r="D8" s="460"/>
      <c r="E8" s="460"/>
      <c r="F8" s="460"/>
      <c r="G8" s="460"/>
      <c r="H8" s="460"/>
      <c r="I8" s="460"/>
      <c r="J8" s="460"/>
      <c r="K8" s="460"/>
      <c r="L8" s="22"/>
      <c r="M8" s="22"/>
      <c r="N8" s="2"/>
      <c r="O8" s="2"/>
      <c r="P8" s="2"/>
      <c r="Q8" s="22"/>
    </row>
    <row r="9" spans="1:17" ht="18" customHeight="1">
      <c r="A9" s="458" t="s">
        <v>1618</v>
      </c>
      <c r="B9" s="458"/>
      <c r="C9" s="459">
        <f>IF(NOT(ISNUMBER(M34_v_mlg)),"ND",M34_k_kmConst+M34_k_kmFFM*M34_v_mlg)</f>
        <v>1751.5360000000001</v>
      </c>
      <c r="D9" s="459"/>
      <c r="E9" s="459"/>
      <c r="F9" s="459"/>
      <c r="G9" s="459"/>
      <c r="H9" s="459"/>
      <c r="I9" s="459"/>
      <c r="J9" s="459"/>
      <c r="K9" s="459"/>
      <c r="L9" s="463" t="s">
        <v>1619</v>
      </c>
      <c r="M9" s="463"/>
      <c r="N9" s="463"/>
      <c r="O9" s="463"/>
      <c r="P9" s="463"/>
      <c r="Q9" s="463"/>
    </row>
    <row r="10" spans="1:17">
      <c r="A10" s="22"/>
      <c r="B10" s="22"/>
      <c r="C10" s="22"/>
      <c r="D10" s="22"/>
      <c r="E10" s="2"/>
      <c r="F10" s="22"/>
      <c r="G10" s="2"/>
      <c r="H10" s="22"/>
      <c r="I10" s="22"/>
      <c r="J10" s="22"/>
      <c r="K10" s="22"/>
      <c r="L10" s="22"/>
      <c r="M10" s="22"/>
      <c r="N10" s="2"/>
      <c r="O10" s="2"/>
      <c r="P10" s="2"/>
      <c r="Q10" s="22"/>
    </row>
    <row r="11" spans="1:17" ht="19.5" customHeight="1">
      <c r="A11" s="452" t="s">
        <v>1620</v>
      </c>
      <c r="B11" s="452"/>
      <c r="C11" s="452"/>
      <c r="D11" s="452"/>
      <c r="E11" s="452"/>
      <c r="F11" s="452"/>
      <c r="G11" s="452"/>
      <c r="H11" s="452"/>
      <c r="I11" s="452"/>
      <c r="J11" s="452"/>
      <c r="K11" s="452"/>
      <c r="L11" s="452"/>
      <c r="M11" s="452"/>
      <c r="N11" s="452"/>
      <c r="O11" s="452"/>
      <c r="P11" s="452"/>
      <c r="Q11" s="452"/>
    </row>
    <row r="12" spans="1:17" ht="18" customHeight="1">
      <c r="A12" s="458" t="s">
        <v>1621</v>
      </c>
      <c r="B12" s="458"/>
      <c r="C12" s="460">
        <f>IF(COUNTIF(M34_lst_sexo,M34_v_sexo)=0,"ND",IF(M34_v_sexo="Masculino",M34_k_hombre,M34_k_mujer))</f>
        <v>5</v>
      </c>
      <c r="D12" s="460"/>
      <c r="E12" s="460"/>
      <c r="F12" s="460"/>
      <c r="G12" s="460"/>
      <c r="H12" s="460"/>
      <c r="I12" s="460"/>
      <c r="J12" s="460"/>
      <c r="K12" s="460"/>
      <c r="L12" s="22"/>
      <c r="M12" s="22"/>
      <c r="N12" s="2"/>
      <c r="O12" s="2"/>
      <c r="P12" s="2"/>
      <c r="Q12" s="22"/>
    </row>
    <row r="13" spans="1:17" ht="18" customHeight="1">
      <c r="A13" s="458" t="s">
        <v>1622</v>
      </c>
      <c r="B13" s="458"/>
      <c r="C13" s="460">
        <f>IF(OR(NOT(ISNUMBER(M34_v_peso)),NOT(ISNUMBER(M34_v_talla)),NOT(ISNUMBER(M34_v_edad)),NOT(ISNUMBER(C12))),"ND",M34_k_peso*M34_v_peso+M34_k_talla*M34_v_talla+M34_k_edad*M34_v_edad+C12)</f>
        <v>1712.5</v>
      </c>
      <c r="D13" s="460"/>
      <c r="E13" s="460"/>
      <c r="F13" s="460"/>
      <c r="G13" s="460"/>
      <c r="H13" s="460"/>
      <c r="I13" s="460"/>
      <c r="J13" s="460"/>
      <c r="K13" s="460"/>
      <c r="L13" s="22"/>
      <c r="M13" s="22"/>
      <c r="N13" s="2"/>
      <c r="O13" s="2"/>
      <c r="P13" s="2"/>
      <c r="Q13" s="22"/>
    </row>
    <row r="14" spans="1:17" ht="25.5" customHeight="1">
      <c r="A14" s="458" t="s">
        <v>1623</v>
      </c>
      <c r="B14" s="458"/>
      <c r="C14" s="460">
        <f>IF(OR(NOT(ISNUMBER(C9)),NOT(ISNUMBER(C13))),"ND",C9-C13)</f>
        <v>39.036000000000058</v>
      </c>
      <c r="D14" s="460"/>
      <c r="E14" s="460"/>
      <c r="F14" s="460"/>
      <c r="G14" s="460"/>
      <c r="H14" s="460"/>
      <c r="I14" s="460"/>
      <c r="J14" s="460"/>
      <c r="K14" s="460"/>
      <c r="L14" s="463" t="s">
        <v>1624</v>
      </c>
      <c r="M14" s="463"/>
      <c r="N14" s="463"/>
      <c r="O14" s="463"/>
      <c r="P14" s="463"/>
      <c r="Q14" s="463"/>
    </row>
    <row r="15" spans="1:17">
      <c r="A15" s="22"/>
      <c r="B15" s="22"/>
      <c r="C15" s="22"/>
      <c r="D15" s="22"/>
      <c r="E15" s="2"/>
      <c r="F15" s="22"/>
      <c r="G15" s="2"/>
      <c r="H15" s="22"/>
      <c r="I15" s="22"/>
      <c r="J15" s="22"/>
      <c r="K15" s="22"/>
      <c r="L15" s="22"/>
      <c r="M15" s="22"/>
      <c r="N15" s="2"/>
      <c r="O15" s="2"/>
      <c r="P15" s="2"/>
      <c r="Q15" s="22"/>
    </row>
    <row r="16" spans="1:17" ht="19.5" customHeight="1">
      <c r="A16" s="452" t="s">
        <v>1625</v>
      </c>
      <c r="B16" s="452"/>
      <c r="C16" s="452"/>
      <c r="D16" s="452"/>
      <c r="E16" s="452"/>
      <c r="F16" s="452"/>
      <c r="G16" s="452"/>
      <c r="H16" s="452"/>
      <c r="I16" s="452"/>
      <c r="J16" s="452"/>
      <c r="K16" s="452"/>
      <c r="L16" s="452"/>
      <c r="M16" s="452"/>
      <c r="N16" s="452"/>
      <c r="O16" s="452"/>
      <c r="P16" s="452"/>
      <c r="Q16" s="452"/>
    </row>
    <row r="17" spans="1:17" ht="15" customHeight="1">
      <c r="A17" s="373" t="s">
        <v>1626</v>
      </c>
      <c r="B17" s="373"/>
      <c r="C17" s="373"/>
      <c r="D17" s="373"/>
      <c r="E17" s="373"/>
      <c r="F17" s="373"/>
      <c r="G17" s="373"/>
      <c r="H17" s="373"/>
      <c r="I17" s="373"/>
      <c r="J17" s="373"/>
      <c r="K17" s="373"/>
      <c r="L17" s="373"/>
      <c r="M17" s="373"/>
      <c r="N17" s="373"/>
      <c r="O17" s="373"/>
      <c r="P17" s="373"/>
      <c r="Q17" s="373"/>
    </row>
    <row r="18" spans="1:17" ht="18" customHeight="1">
      <c r="A18" s="458" t="s">
        <v>1627</v>
      </c>
      <c r="B18" s="458"/>
      <c r="C18" s="460">
        <f>IF(OR(NOT(ISNUMBER(M34_v_peso)),NOT(ISNUMBER(M34_v_talla)),NOT(ISNUMBER(C12))),"ND",M34_k_peso*M34_v_peso+M34_k_talla*M34_v_talla+C12)</f>
        <v>1937.5</v>
      </c>
      <c r="D18" s="460"/>
      <c r="E18" s="460"/>
      <c r="F18" s="460"/>
      <c r="G18" s="460"/>
      <c r="H18" s="460"/>
      <c r="I18" s="460"/>
      <c r="J18" s="460"/>
      <c r="K18" s="460"/>
      <c r="L18" s="22"/>
      <c r="M18" s="22"/>
      <c r="N18" s="2"/>
      <c r="O18" s="2"/>
      <c r="P18" s="2"/>
      <c r="Q18" s="22"/>
    </row>
    <row r="19" spans="1:17" ht="27.75" customHeight="1">
      <c r="A19" s="458" t="s">
        <v>1628</v>
      </c>
      <c r="B19" s="458"/>
      <c r="C19" s="466">
        <f>IF(OR(NOT(ISNUMBER(C18)),NOT(ISNUMBER(C9)),M34_k_edad=0),"ND",(C18-C9)/(-M34_k_edad))</f>
        <v>37.192799999999991</v>
      </c>
      <c r="D19" s="466"/>
      <c r="E19" s="466"/>
      <c r="F19" s="466"/>
      <c r="G19" s="466"/>
      <c r="H19" s="466"/>
      <c r="I19" s="466"/>
      <c r="J19" s="466"/>
      <c r="K19" s="466"/>
      <c r="L19" s="463" t="s">
        <v>1629</v>
      </c>
      <c r="M19" s="463"/>
      <c r="N19" s="463"/>
      <c r="O19" s="463"/>
      <c r="P19" s="463"/>
      <c r="Q19" s="463"/>
    </row>
    <row r="20" spans="1:17" ht="18" customHeight="1">
      <c r="A20" s="458" t="s">
        <v>1598</v>
      </c>
      <c r="B20" s="458"/>
      <c r="C20" s="460">
        <f>M34_v_edad</f>
        <v>45</v>
      </c>
      <c r="D20" s="460"/>
      <c r="E20" s="460"/>
      <c r="F20" s="460"/>
      <c r="G20" s="460"/>
      <c r="H20" s="460"/>
      <c r="I20" s="460"/>
      <c r="J20" s="460"/>
      <c r="K20" s="460"/>
      <c r="L20" s="22"/>
      <c r="M20" s="22"/>
      <c r="N20" s="2"/>
      <c r="O20" s="2"/>
      <c r="P20" s="2"/>
      <c r="Q20" s="22"/>
    </row>
    <row r="21" spans="1:17" ht="18" customHeight="1">
      <c r="A21" s="458" t="s">
        <v>1630</v>
      </c>
      <c r="B21" s="458"/>
      <c r="C21" s="460">
        <f>IF(NOT(ISNUMBER(C19)),"ND",C19-M34_v_edad)</f>
        <v>-7.8072000000000088</v>
      </c>
      <c r="D21" s="460"/>
      <c r="E21" s="460"/>
      <c r="F21" s="460"/>
      <c r="G21" s="460"/>
      <c r="H21" s="460"/>
      <c r="I21" s="460"/>
      <c r="J21" s="460"/>
      <c r="K21" s="460"/>
      <c r="L21" s="22"/>
      <c r="M21" s="22"/>
      <c r="N21" s="2"/>
      <c r="O21" s="2"/>
      <c r="P21" s="2"/>
      <c r="Q21" s="22"/>
    </row>
    <row r="22" spans="1:17" ht="27.75" customHeight="1">
      <c r="A22" s="458" t="s">
        <v>1631</v>
      </c>
      <c r="B22" s="458"/>
      <c r="C22" s="465" t="str">
        <f>IF(NOT(ISNUMBER(C19)),"ND",IF(OR(C19&lt;M34_u_edadMin,C19&gt;M34_u_edadMax),"FUERA DE RANGO: el resultado cae fuera del intervalo mostrable. No lo presente como una edad.","Dentro del rango de presentación"))</f>
        <v>Dentro del rango de presentación</v>
      </c>
      <c r="D22" s="465"/>
      <c r="E22" s="465"/>
      <c r="F22" s="465"/>
      <c r="G22" s="465"/>
      <c r="H22" s="465"/>
      <c r="I22" s="465"/>
      <c r="J22" s="465"/>
      <c r="K22" s="465"/>
      <c r="L22" s="22"/>
      <c r="M22" s="22"/>
      <c r="N22" s="2"/>
      <c r="O22" s="2"/>
      <c r="P22" s="2"/>
      <c r="Q22" s="22"/>
    </row>
    <row r="23" spans="1:17">
      <c r="A23" s="22"/>
      <c r="B23" s="22"/>
      <c r="C23" s="22"/>
      <c r="D23" s="22"/>
      <c r="E23" s="2"/>
      <c r="F23" s="22"/>
      <c r="G23" s="2"/>
      <c r="H23" s="22"/>
      <c r="I23" s="22"/>
      <c r="J23" s="22"/>
      <c r="K23" s="22"/>
      <c r="L23" s="22"/>
      <c r="M23" s="22"/>
      <c r="N23" s="2"/>
      <c r="O23" s="2"/>
      <c r="P23" s="2"/>
      <c r="Q23" s="22"/>
    </row>
    <row r="24" spans="1:17" ht="19.5" customHeight="1">
      <c r="A24" s="452" t="s">
        <v>1632</v>
      </c>
      <c r="B24" s="452"/>
      <c r="C24" s="452"/>
      <c r="D24" s="452"/>
      <c r="E24" s="452"/>
      <c r="F24" s="452"/>
      <c r="G24" s="452"/>
      <c r="H24" s="452"/>
      <c r="I24" s="452"/>
      <c r="J24" s="452"/>
      <c r="K24" s="452"/>
      <c r="L24" s="452"/>
      <c r="M24" s="452"/>
      <c r="N24" s="452"/>
      <c r="O24" s="452"/>
      <c r="P24" s="452"/>
      <c r="Q24" s="452"/>
    </row>
    <row r="25" spans="1:17" ht="24" customHeight="1">
      <c r="A25" s="464" t="s">
        <v>1633</v>
      </c>
      <c r="B25" s="464"/>
      <c r="C25" s="460">
        <f>IF(OR(NOT(ISNUMBER(C18)),NOT(ISNUMBER(C13))),"ND",(C18-C13)/(-M34_k_edad))</f>
        <v>45</v>
      </c>
      <c r="D25" s="460"/>
      <c r="E25" s="460"/>
      <c r="F25" s="460"/>
      <c r="G25" s="460"/>
      <c r="H25" s="460"/>
      <c r="I25" s="460"/>
      <c r="J25" s="460"/>
      <c r="K25" s="460"/>
      <c r="L25" s="463" t="s">
        <v>1634</v>
      </c>
      <c r="M25" s="463"/>
      <c r="N25" s="463"/>
      <c r="O25" s="463"/>
      <c r="P25" s="463"/>
      <c r="Q25" s="463"/>
    </row>
    <row r="26" spans="1:17" ht="51.75" customHeight="1">
      <c r="A26" s="458" t="s">
        <v>1635</v>
      </c>
      <c r="B26" s="458"/>
      <c r="C26" s="453" t="s">
        <v>1636</v>
      </c>
      <c r="D26" s="453"/>
      <c r="E26" s="453"/>
      <c r="F26" s="453"/>
      <c r="G26" s="453"/>
      <c r="H26" s="453"/>
      <c r="I26" s="453"/>
      <c r="J26" s="453"/>
      <c r="K26" s="453"/>
      <c r="L26" s="22"/>
      <c r="M26" s="22"/>
      <c r="N26" s="2"/>
      <c r="O26" s="2"/>
      <c r="P26" s="2"/>
      <c r="Q26" s="22"/>
    </row>
    <row r="27" spans="1:17">
      <c r="A27" s="22"/>
      <c r="B27" s="22"/>
      <c r="C27" s="22"/>
      <c r="D27" s="22"/>
      <c r="E27" s="2"/>
      <c r="F27" s="22"/>
      <c r="G27" s="2"/>
      <c r="H27" s="22"/>
      <c r="I27" s="22"/>
      <c r="J27" s="22"/>
      <c r="K27" s="22"/>
      <c r="L27" s="22"/>
      <c r="M27" s="22"/>
      <c r="N27" s="2"/>
      <c r="O27" s="2"/>
      <c r="P27" s="2"/>
      <c r="Q27" s="22"/>
    </row>
    <row r="28" spans="1:17" ht="15" customHeight="1">
      <c r="A28" s="461" t="s">
        <v>1637</v>
      </c>
      <c r="B28" s="461"/>
      <c r="C28" s="461"/>
      <c r="D28" s="461"/>
      <c r="E28" s="461"/>
      <c r="F28" s="461"/>
      <c r="G28" s="461"/>
      <c r="H28" s="461"/>
      <c r="I28" s="461"/>
      <c r="J28" s="461"/>
      <c r="K28" s="461"/>
      <c r="L28" s="461"/>
      <c r="M28" s="461"/>
      <c r="N28" s="461"/>
      <c r="O28" s="461"/>
      <c r="P28" s="461"/>
      <c r="Q28" s="461"/>
    </row>
    <row r="29" spans="1:17" ht="15" customHeight="1">
      <c r="A29" s="461"/>
      <c r="B29" s="461"/>
      <c r="C29" s="461"/>
      <c r="D29" s="461"/>
      <c r="E29" s="461"/>
      <c r="F29" s="461"/>
      <c r="G29" s="461"/>
      <c r="H29" s="461"/>
      <c r="I29" s="461"/>
      <c r="J29" s="461"/>
      <c r="K29" s="461"/>
      <c r="L29" s="461"/>
      <c r="M29" s="461"/>
      <c r="N29" s="461"/>
      <c r="O29" s="461"/>
      <c r="P29" s="461"/>
      <c r="Q29" s="461"/>
    </row>
    <row r="30" spans="1:17" ht="15" customHeight="1">
      <c r="A30" s="461"/>
      <c r="B30" s="461"/>
      <c r="C30" s="461"/>
      <c r="D30" s="461"/>
      <c r="E30" s="461"/>
      <c r="F30" s="461"/>
      <c r="G30" s="461"/>
      <c r="H30" s="461"/>
      <c r="I30" s="461"/>
      <c r="J30" s="461"/>
      <c r="K30" s="461"/>
      <c r="L30" s="461"/>
      <c r="M30" s="461"/>
      <c r="N30" s="461"/>
      <c r="O30" s="461"/>
      <c r="P30" s="461"/>
      <c r="Q30" s="461"/>
    </row>
    <row r="31" spans="1:17" ht="15" customHeight="1">
      <c r="A31" s="461"/>
      <c r="B31" s="461"/>
      <c r="C31" s="461"/>
      <c r="D31" s="461"/>
      <c r="E31" s="461"/>
      <c r="F31" s="461"/>
      <c r="G31" s="461"/>
      <c r="H31" s="461"/>
      <c r="I31" s="461"/>
      <c r="J31" s="461"/>
      <c r="K31" s="461"/>
      <c r="L31" s="461"/>
      <c r="M31" s="461"/>
      <c r="N31" s="461"/>
      <c r="O31" s="461"/>
      <c r="P31" s="461"/>
      <c r="Q31" s="461"/>
    </row>
  </sheetData>
  <sheetProtection algorithmName="SHA-512" hashValue="quhzCsUCJGUWpcfO6zplY+mK1DTnvDy0+FoM83Bt+TUkEBE2UhcXCeYqg39LwJEqYF2SeCupcCsBsEe0G5wF3A==" saltValue="JGM1JCez9LT+FoReI053IQ==" spinCount="100000" sheet="1" objects="1" scenarios="1"/>
  <mergeCells count="38">
    <mergeCell ref="A1:Q1"/>
    <mergeCell ref="A2:Q3"/>
    <mergeCell ref="A4:B4"/>
    <mergeCell ref="A6:Q6"/>
    <mergeCell ref="A7:Q7"/>
    <mergeCell ref="A8:B8"/>
    <mergeCell ref="C8:K8"/>
    <mergeCell ref="A9:B9"/>
    <mergeCell ref="C9:K9"/>
    <mergeCell ref="L9:Q9"/>
    <mergeCell ref="A11:Q11"/>
    <mergeCell ref="A12:B12"/>
    <mergeCell ref="C12:K12"/>
    <mergeCell ref="A13:B13"/>
    <mergeCell ref="C13:K13"/>
    <mergeCell ref="A14:B14"/>
    <mergeCell ref="C14:K14"/>
    <mergeCell ref="L14:Q14"/>
    <mergeCell ref="A16:Q16"/>
    <mergeCell ref="A17:Q17"/>
    <mergeCell ref="A18:B18"/>
    <mergeCell ref="C18:K18"/>
    <mergeCell ref="A19:B19"/>
    <mergeCell ref="C19:K19"/>
    <mergeCell ref="L19:Q19"/>
    <mergeCell ref="A20:B20"/>
    <mergeCell ref="C20:K20"/>
    <mergeCell ref="A21:B21"/>
    <mergeCell ref="C21:K21"/>
    <mergeCell ref="A22:B22"/>
    <mergeCell ref="C22:K22"/>
    <mergeCell ref="A28:Q31"/>
    <mergeCell ref="A24:Q24"/>
    <mergeCell ref="A25:B25"/>
    <mergeCell ref="C25:K25"/>
    <mergeCell ref="L25:Q25"/>
    <mergeCell ref="A26:B26"/>
    <mergeCell ref="C26:K26"/>
  </mergeCell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46"/>
  <dimension ref="A1:Q30"/>
  <sheetViews>
    <sheetView showGridLines="0" zoomScaleNormal="100" workbookViewId="0">
      <selection sqref="A1:Q1"/>
    </sheetView>
  </sheetViews>
  <sheetFormatPr baseColWidth="10" defaultColWidth="8.7109375" defaultRowHeight="15"/>
  <cols>
    <col min="1" max="1" width="26" style="1" customWidth="1"/>
    <col min="2" max="2" width="39.42578125" style="1" customWidth="1"/>
    <col min="3" max="3" width="20" style="1" customWidth="1"/>
    <col min="4" max="4" width="22" style="1" customWidth="1"/>
    <col min="5" max="5" width="28"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1638</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2"/>
      <c r="E4" s="22"/>
      <c r="F4" s="22"/>
      <c r="G4" s="2"/>
      <c r="H4" s="22"/>
      <c r="I4" s="22"/>
      <c r="J4" s="22"/>
      <c r="K4" s="22"/>
      <c r="L4" s="22"/>
      <c r="M4" s="22"/>
      <c r="N4" s="2"/>
      <c r="O4" s="2"/>
      <c r="P4" s="2"/>
      <c r="Q4" s="22"/>
    </row>
    <row r="5" spans="1:17">
      <c r="A5" s="22"/>
      <c r="B5" s="22"/>
      <c r="C5" s="22"/>
      <c r="D5" s="22"/>
      <c r="E5" s="22"/>
      <c r="F5" s="22"/>
      <c r="G5" s="2"/>
      <c r="H5" s="22"/>
      <c r="I5" s="22"/>
      <c r="J5" s="22"/>
      <c r="K5" s="22"/>
      <c r="L5" s="22"/>
      <c r="M5" s="22"/>
      <c r="N5" s="2"/>
      <c r="O5" s="2"/>
      <c r="P5" s="2"/>
      <c r="Q5" s="22"/>
    </row>
    <row r="6" spans="1:17" ht="15" customHeight="1">
      <c r="A6" s="467" t="s">
        <v>1639</v>
      </c>
      <c r="B6" s="467"/>
      <c r="C6" s="467"/>
      <c r="D6" s="467"/>
      <c r="E6" s="467"/>
      <c r="F6" s="467"/>
      <c r="G6" s="467"/>
      <c r="H6" s="467"/>
      <c r="I6" s="467"/>
      <c r="J6" s="467"/>
      <c r="K6" s="467"/>
      <c r="L6" s="467"/>
      <c r="M6" s="467"/>
      <c r="N6" s="467"/>
      <c r="O6" s="467"/>
      <c r="P6" s="467"/>
      <c r="Q6" s="467"/>
    </row>
    <row r="7" spans="1:17" ht="15" customHeight="1">
      <c r="A7" s="467"/>
      <c r="B7" s="467"/>
      <c r="C7" s="467"/>
      <c r="D7" s="467"/>
      <c r="E7" s="467"/>
      <c r="F7" s="467"/>
      <c r="G7" s="467"/>
      <c r="H7" s="467"/>
      <c r="I7" s="467"/>
      <c r="J7" s="467"/>
      <c r="K7" s="467"/>
      <c r="L7" s="467"/>
      <c r="M7" s="467"/>
      <c r="N7" s="467"/>
      <c r="O7" s="467"/>
      <c r="P7" s="467"/>
      <c r="Q7" s="467"/>
    </row>
    <row r="8" spans="1:17" ht="15" customHeight="1">
      <c r="A8" s="467"/>
      <c r="B8" s="467"/>
      <c r="C8" s="467"/>
      <c r="D8" s="467"/>
      <c r="E8" s="467"/>
      <c r="F8" s="467"/>
      <c r="G8" s="467"/>
      <c r="H8" s="467"/>
      <c r="I8" s="467"/>
      <c r="J8" s="467"/>
      <c r="K8" s="467"/>
      <c r="L8" s="467"/>
      <c r="M8" s="467"/>
      <c r="N8" s="467"/>
      <c r="O8" s="467"/>
      <c r="P8" s="467"/>
      <c r="Q8" s="467"/>
    </row>
    <row r="9" spans="1:17">
      <c r="A9" s="22"/>
      <c r="B9" s="22"/>
      <c r="C9" s="22"/>
      <c r="D9" s="22"/>
      <c r="E9" s="22"/>
      <c r="F9" s="22"/>
      <c r="G9" s="2"/>
      <c r="H9" s="22"/>
      <c r="I9" s="22"/>
      <c r="J9" s="22"/>
      <c r="K9" s="22"/>
      <c r="L9" s="22"/>
      <c r="M9" s="22"/>
      <c r="N9" s="2"/>
      <c r="O9" s="2"/>
      <c r="P9" s="2"/>
      <c r="Q9" s="22"/>
    </row>
    <row r="10" spans="1:17" ht="19.5" customHeight="1">
      <c r="A10" s="452" t="s">
        <v>1640</v>
      </c>
      <c r="B10" s="452"/>
      <c r="C10" s="452"/>
      <c r="D10" s="452"/>
      <c r="E10" s="452"/>
      <c r="F10" s="452"/>
      <c r="G10" s="452"/>
      <c r="H10" s="452"/>
      <c r="I10" s="452"/>
      <c r="J10" s="452"/>
      <c r="K10" s="452"/>
      <c r="L10" s="452"/>
      <c r="M10" s="452"/>
      <c r="N10" s="452"/>
      <c r="O10" s="452"/>
      <c r="P10" s="452"/>
      <c r="Q10" s="452"/>
    </row>
    <row r="11" spans="1:17" ht="33.75" customHeight="1">
      <c r="A11" s="214" t="s">
        <v>1641</v>
      </c>
      <c r="B11" s="214" t="s">
        <v>90</v>
      </c>
      <c r="C11" s="214" t="s">
        <v>1642</v>
      </c>
      <c r="D11" s="214" t="s">
        <v>1643</v>
      </c>
      <c r="E11" s="214" t="s">
        <v>1644</v>
      </c>
      <c r="F11" s="22"/>
      <c r="G11" s="2"/>
      <c r="H11" s="22"/>
      <c r="I11" s="22"/>
      <c r="J11" s="22"/>
      <c r="K11" s="22"/>
      <c r="L11" s="22"/>
      <c r="M11" s="22"/>
      <c r="N11" s="2"/>
      <c r="O11" s="2"/>
      <c r="P11" s="2"/>
      <c r="Q11" s="22"/>
    </row>
    <row r="12" spans="1:17" ht="21.75" customHeight="1">
      <c r="A12" s="215">
        <f>IF(NOT(ISNUMBER(M34_v_grasa)),"ND",M34_v_grasa+-4)</f>
        <v>18</v>
      </c>
      <c r="B12" s="215">
        <f t="shared" ref="B12:B20" si="0">IF(NOT(ISNUMBER(A12)),"ND",M34_v_peso*(1-A12/100))</f>
        <v>67.240000000000009</v>
      </c>
      <c r="C12" s="215">
        <f t="shared" ref="C12:C20" si="1">IF(NOT(ISNUMBER(B12)),"ND",M34_k_kmConst+M34_k_kmFFM*B12)</f>
        <v>1822.3840000000002</v>
      </c>
      <c r="D12" s="216">
        <f t="shared" ref="D12:D20" si="2">IF(NOT(ISNUMBER(C12)),"ND",(M34_v_base-C12)/(-M34_k_edad))</f>
        <v>23.023199999999953</v>
      </c>
      <c r="E12" s="217">
        <f t="shared" ref="E12:E20" si="3">IF(OR(NOT(ISNUMBER(D12)),NOT(ISNUMBER(M34_v_edadMet))),"ND",D12-M34_v_edadMet)</f>
        <v>-14.169600000000038</v>
      </c>
      <c r="F12" s="22"/>
      <c r="G12" s="2"/>
      <c r="H12" s="22"/>
      <c r="I12" s="22"/>
      <c r="J12" s="22"/>
      <c r="K12" s="22"/>
      <c r="L12" s="22"/>
      <c r="M12" s="22"/>
      <c r="N12" s="2"/>
      <c r="O12" s="2"/>
      <c r="P12" s="2"/>
      <c r="Q12" s="22"/>
    </row>
    <row r="13" spans="1:17" ht="21.75" customHeight="1">
      <c r="A13" s="215">
        <f>IF(NOT(ISNUMBER(M34_v_grasa)),"ND",M34_v_grasa+-3)</f>
        <v>19</v>
      </c>
      <c r="B13" s="215">
        <f t="shared" si="0"/>
        <v>66.42</v>
      </c>
      <c r="C13" s="215">
        <f t="shared" si="1"/>
        <v>1804.672</v>
      </c>
      <c r="D13" s="216">
        <f t="shared" si="2"/>
        <v>26.565599999999996</v>
      </c>
      <c r="E13" s="217">
        <f t="shared" si="3"/>
        <v>-10.627199999999995</v>
      </c>
      <c r="F13" s="22"/>
      <c r="G13" s="2"/>
      <c r="H13" s="22"/>
      <c r="I13" s="22"/>
      <c r="J13" s="22"/>
      <c r="K13" s="22"/>
      <c r="L13" s="22"/>
      <c r="M13" s="22"/>
      <c r="N13" s="2"/>
      <c r="O13" s="2"/>
      <c r="P13" s="2"/>
      <c r="Q13" s="22"/>
    </row>
    <row r="14" spans="1:17" ht="21.75" customHeight="1">
      <c r="A14" s="215">
        <f>IF(NOT(ISNUMBER(M34_v_grasa)),"ND",M34_v_grasa+-2)</f>
        <v>20</v>
      </c>
      <c r="B14" s="215">
        <f t="shared" si="0"/>
        <v>65.600000000000009</v>
      </c>
      <c r="C14" s="215">
        <f t="shared" si="1"/>
        <v>1786.9600000000003</v>
      </c>
      <c r="D14" s="216">
        <f t="shared" si="2"/>
        <v>30.107999999999947</v>
      </c>
      <c r="E14" s="217">
        <f t="shared" si="3"/>
        <v>-7.084800000000044</v>
      </c>
      <c r="F14" s="22"/>
      <c r="G14" s="2"/>
      <c r="H14" s="22"/>
      <c r="I14" s="22"/>
      <c r="J14" s="22"/>
      <c r="K14" s="22"/>
      <c r="L14" s="22"/>
      <c r="M14" s="22"/>
      <c r="N14" s="2"/>
      <c r="O14" s="2"/>
      <c r="P14" s="2"/>
      <c r="Q14" s="22"/>
    </row>
    <row r="15" spans="1:17" ht="21.75" customHeight="1">
      <c r="A15" s="215">
        <f>IF(NOT(ISNUMBER(M34_v_grasa)),"ND",M34_v_grasa+-1)</f>
        <v>21</v>
      </c>
      <c r="B15" s="215">
        <f t="shared" si="0"/>
        <v>64.78</v>
      </c>
      <c r="C15" s="215">
        <f t="shared" si="1"/>
        <v>1769.248</v>
      </c>
      <c r="D15" s="216">
        <f t="shared" si="2"/>
        <v>33.650399999999991</v>
      </c>
      <c r="E15" s="217">
        <f t="shared" si="3"/>
        <v>-3.5424000000000007</v>
      </c>
      <c r="F15" s="22"/>
      <c r="G15" s="2"/>
      <c r="H15" s="22"/>
      <c r="I15" s="22"/>
      <c r="J15" s="22"/>
      <c r="K15" s="22"/>
      <c r="L15" s="22"/>
      <c r="M15" s="22"/>
      <c r="N15" s="2"/>
      <c r="O15" s="2"/>
      <c r="P15" s="2"/>
      <c r="Q15" s="22"/>
    </row>
    <row r="16" spans="1:17" ht="21.75" customHeight="1">
      <c r="A16" s="218">
        <f>IF(NOT(ISNUMBER(M34_v_grasa)),"ND",M34_v_grasa+0)</f>
        <v>22</v>
      </c>
      <c r="B16" s="218">
        <f t="shared" si="0"/>
        <v>63.96</v>
      </c>
      <c r="C16" s="218">
        <f t="shared" si="1"/>
        <v>1751.5360000000001</v>
      </c>
      <c r="D16" s="218">
        <f t="shared" si="2"/>
        <v>37.192799999999991</v>
      </c>
      <c r="E16" s="218">
        <f t="shared" si="3"/>
        <v>0</v>
      </c>
      <c r="F16" s="22"/>
      <c r="G16" s="2"/>
      <c r="H16" s="22"/>
      <c r="I16" s="22"/>
      <c r="J16" s="22"/>
      <c r="K16" s="22"/>
      <c r="L16" s="22"/>
      <c r="M16" s="22"/>
      <c r="N16" s="2"/>
      <c r="O16" s="2"/>
      <c r="P16" s="2"/>
      <c r="Q16" s="22"/>
    </row>
    <row r="17" spans="1:17" ht="21.75" customHeight="1">
      <c r="A17" s="215">
        <f>IF(NOT(ISNUMBER(M34_v_grasa)),"ND",M34_v_grasa+1)</f>
        <v>23</v>
      </c>
      <c r="B17" s="215">
        <f t="shared" si="0"/>
        <v>63.14</v>
      </c>
      <c r="C17" s="215">
        <f t="shared" si="1"/>
        <v>1733.8240000000001</v>
      </c>
      <c r="D17" s="216">
        <f t="shared" si="2"/>
        <v>40.735199999999985</v>
      </c>
      <c r="E17" s="217">
        <f t="shared" si="3"/>
        <v>3.5423999999999936</v>
      </c>
      <c r="F17" s="22"/>
      <c r="G17" s="2"/>
      <c r="H17" s="22"/>
      <c r="I17" s="22"/>
      <c r="J17" s="22"/>
      <c r="K17" s="22"/>
      <c r="L17" s="22"/>
      <c r="M17" s="22"/>
      <c r="N17" s="2"/>
      <c r="O17" s="2"/>
      <c r="P17" s="2"/>
      <c r="Q17" s="22"/>
    </row>
    <row r="18" spans="1:17" ht="21.75" customHeight="1">
      <c r="A18" s="215">
        <f>IF(NOT(ISNUMBER(M34_v_grasa)),"ND",M34_v_grasa+2)</f>
        <v>24</v>
      </c>
      <c r="B18" s="215">
        <f t="shared" si="0"/>
        <v>62.32</v>
      </c>
      <c r="C18" s="215">
        <f t="shared" si="1"/>
        <v>1716.1120000000001</v>
      </c>
      <c r="D18" s="216">
        <f t="shared" si="2"/>
        <v>44.277599999999985</v>
      </c>
      <c r="E18" s="217">
        <f t="shared" si="3"/>
        <v>7.0847999999999942</v>
      </c>
      <c r="F18" s="22"/>
      <c r="G18" s="2"/>
      <c r="H18" s="22"/>
      <c r="I18" s="22"/>
      <c r="J18" s="22"/>
      <c r="K18" s="22"/>
      <c r="L18" s="22"/>
      <c r="M18" s="22"/>
      <c r="N18" s="2"/>
      <c r="O18" s="2"/>
      <c r="P18" s="2"/>
      <c r="Q18" s="22"/>
    </row>
    <row r="19" spans="1:17" ht="21.75" customHeight="1">
      <c r="A19" s="215">
        <f>IF(NOT(ISNUMBER(M34_v_grasa)),"ND",M34_v_grasa+3)</f>
        <v>25</v>
      </c>
      <c r="B19" s="215">
        <f t="shared" si="0"/>
        <v>61.5</v>
      </c>
      <c r="C19" s="215">
        <f t="shared" si="1"/>
        <v>1698.4</v>
      </c>
      <c r="D19" s="216">
        <f t="shared" si="2"/>
        <v>47.819999999999979</v>
      </c>
      <c r="E19" s="217">
        <f t="shared" si="3"/>
        <v>10.627199999999988</v>
      </c>
      <c r="F19" s="22"/>
      <c r="G19" s="2"/>
      <c r="H19" s="22"/>
      <c r="I19" s="22"/>
      <c r="J19" s="22"/>
      <c r="K19" s="22"/>
      <c r="L19" s="22"/>
      <c r="M19" s="22"/>
      <c r="N19" s="2"/>
      <c r="O19" s="2"/>
      <c r="P19" s="2"/>
      <c r="Q19" s="22"/>
    </row>
    <row r="20" spans="1:17" ht="21.75" customHeight="1">
      <c r="A20" s="215">
        <f>IF(NOT(ISNUMBER(M34_v_grasa)),"ND",M34_v_grasa+4)</f>
        <v>26</v>
      </c>
      <c r="B20" s="215">
        <f t="shared" si="0"/>
        <v>60.68</v>
      </c>
      <c r="C20" s="215">
        <f t="shared" si="1"/>
        <v>1680.6880000000001</v>
      </c>
      <c r="D20" s="216">
        <f t="shared" si="2"/>
        <v>51.36239999999998</v>
      </c>
      <c r="E20" s="217">
        <f t="shared" si="3"/>
        <v>14.169599999999988</v>
      </c>
      <c r="F20" s="22"/>
      <c r="G20" s="2"/>
      <c r="H20" s="22"/>
      <c r="I20" s="22"/>
      <c r="J20" s="22"/>
      <c r="K20" s="22"/>
      <c r="L20" s="22"/>
      <c r="M20" s="22"/>
      <c r="N20" s="2"/>
      <c r="O20" s="2"/>
      <c r="P20" s="2"/>
      <c r="Q20" s="22"/>
    </row>
    <row r="21" spans="1:17" ht="40.5" customHeight="1">
      <c r="A21" s="22"/>
      <c r="B21" s="22"/>
      <c r="C21" s="22"/>
      <c r="D21" s="22"/>
      <c r="E21" s="22"/>
      <c r="F21" s="22"/>
      <c r="G21" s="2"/>
      <c r="H21" s="22"/>
      <c r="I21" s="22"/>
      <c r="J21" s="22"/>
      <c r="K21" s="22"/>
      <c r="L21" s="22"/>
      <c r="M21" s="22"/>
      <c r="N21" s="2"/>
      <c r="O21" s="2"/>
      <c r="P21" s="2"/>
      <c r="Q21" s="22"/>
    </row>
    <row r="22" spans="1:17" ht="19.5" customHeight="1">
      <c r="A22" s="452" t="s">
        <v>1645</v>
      </c>
      <c r="B22" s="452"/>
      <c r="C22" s="452"/>
      <c r="D22" s="452"/>
      <c r="E22" s="452"/>
      <c r="F22" s="452"/>
      <c r="G22" s="452"/>
      <c r="H22" s="452"/>
      <c r="I22" s="452"/>
      <c r="J22" s="452"/>
      <c r="K22" s="452"/>
      <c r="L22" s="452"/>
      <c r="M22" s="452"/>
      <c r="N22" s="452"/>
      <c r="O22" s="452"/>
      <c r="P22" s="452"/>
      <c r="Q22" s="452"/>
    </row>
    <row r="23" spans="1:17" ht="18" customHeight="1">
      <c r="A23" s="458" t="s">
        <v>1646</v>
      </c>
      <c r="B23" s="458"/>
      <c r="C23" s="459">
        <f>IF(M34_k_edad=0,"ND",M34_k_kmFFM/(-M34_k_edad))</f>
        <v>4.32</v>
      </c>
      <c r="D23" s="459"/>
      <c r="E23" s="459"/>
      <c r="F23" s="459"/>
      <c r="G23" s="459"/>
      <c r="H23" s="459"/>
      <c r="I23" s="459"/>
      <c r="J23" s="459"/>
      <c r="K23" s="459"/>
      <c r="L23" s="373" t="s">
        <v>1647</v>
      </c>
      <c r="M23" s="373"/>
      <c r="N23" s="373"/>
      <c r="O23" s="373"/>
      <c r="P23" s="373"/>
      <c r="Q23" s="373"/>
    </row>
    <row r="24" spans="1:17" ht="18" customHeight="1">
      <c r="A24" s="458" t="s">
        <v>1648</v>
      </c>
      <c r="B24" s="458"/>
      <c r="C24" s="460">
        <f>IF(OR(NOT(ISNUMBER(M34_v_peso)),M34_k_edad=0),"ND",M34_v_peso/100*M34_k_kmFFM/(-M34_k_edad))</f>
        <v>3.5423999999999998</v>
      </c>
      <c r="D24" s="460"/>
      <c r="E24" s="460"/>
      <c r="F24" s="460"/>
      <c r="G24" s="460"/>
      <c r="H24" s="460"/>
      <c r="I24" s="460"/>
      <c r="J24" s="460"/>
      <c r="K24" s="460"/>
      <c r="L24" s="22"/>
      <c r="M24" s="22"/>
      <c r="N24" s="2"/>
      <c r="O24" s="2"/>
      <c r="P24" s="2"/>
      <c r="Q24" s="22"/>
    </row>
    <row r="25" spans="1:17" ht="30" customHeight="1">
      <c r="A25" s="458" t="s">
        <v>1649</v>
      </c>
      <c r="B25" s="458"/>
      <c r="C25" s="465" t="str">
        <f>IF(NOT(ISNUMBER(C24)),"ND","Un error de dos puntos porcentuales en la estimación de la grasa desplaza el resultado en "&amp;TEXT(2*C24,"0.0")&amp;" años. Ningún método de campo tiene esa precisión.")</f>
        <v>Un error de dos puntos porcentuales en la estimación de la grasa desplaza el resultado en 07 años. Ningún método de campo tiene esa precisión.</v>
      </c>
      <c r="D25" s="465"/>
      <c r="E25" s="465"/>
      <c r="F25" s="465"/>
      <c r="G25" s="465"/>
      <c r="H25" s="465"/>
      <c r="I25" s="465"/>
      <c r="J25" s="465"/>
      <c r="K25" s="465"/>
      <c r="L25" s="22"/>
      <c r="M25" s="22"/>
      <c r="N25" s="2"/>
      <c r="O25" s="2"/>
      <c r="P25" s="2"/>
      <c r="Q25" s="22"/>
    </row>
    <row r="26" spans="1:17" ht="30" customHeight="1">
      <c r="A26" s="458" t="s">
        <v>1650</v>
      </c>
      <c r="B26" s="458"/>
      <c r="C26" s="465" t="str">
        <f>IF(NOT(ISNUMBER(C23)),"ND","La conversión entre masa magra y años es un cociente fijo entre dos coeficientes de ecuaciones distintas. No refleja ningún proceso biológico de envejecimiento: es aritmética.")</f>
        <v>La conversión entre masa magra y años es un cociente fijo entre dos coeficientes de ecuaciones distintas. No refleja ningún proceso biológico de envejecimiento: es aritmética.</v>
      </c>
      <c r="D26" s="465"/>
      <c r="E26" s="465"/>
      <c r="F26" s="465"/>
      <c r="G26" s="465"/>
      <c r="H26" s="465"/>
      <c r="I26" s="465"/>
      <c r="J26" s="465"/>
      <c r="K26" s="465"/>
      <c r="L26" s="22"/>
      <c r="M26" s="22"/>
      <c r="N26" s="2"/>
      <c r="O26" s="2"/>
      <c r="P26" s="2"/>
      <c r="Q26" s="22"/>
    </row>
    <row r="27" spans="1:17">
      <c r="A27" s="22"/>
      <c r="B27" s="22"/>
      <c r="C27" s="22"/>
      <c r="D27" s="22"/>
      <c r="E27" s="22"/>
      <c r="F27" s="22"/>
      <c r="G27" s="2"/>
      <c r="H27" s="22"/>
      <c r="I27" s="22"/>
      <c r="J27" s="22"/>
      <c r="K27" s="22"/>
      <c r="L27" s="22"/>
      <c r="M27" s="22"/>
      <c r="N27" s="2"/>
      <c r="O27" s="2"/>
      <c r="P27" s="2"/>
      <c r="Q27" s="22"/>
    </row>
    <row r="28" spans="1:17" ht="15" customHeight="1">
      <c r="A28" s="467" t="s">
        <v>1651</v>
      </c>
      <c r="B28" s="467"/>
      <c r="C28" s="467"/>
      <c r="D28" s="467"/>
      <c r="E28" s="467"/>
      <c r="F28" s="467"/>
      <c r="G28" s="467"/>
      <c r="H28" s="467"/>
      <c r="I28" s="467"/>
      <c r="J28" s="467"/>
      <c r="K28" s="467"/>
      <c r="L28" s="467"/>
      <c r="M28" s="467"/>
      <c r="N28" s="467"/>
      <c r="O28" s="467"/>
      <c r="P28" s="467"/>
      <c r="Q28" s="467"/>
    </row>
    <row r="29" spans="1:17" ht="15" customHeight="1">
      <c r="A29" s="467"/>
      <c r="B29" s="467"/>
      <c r="C29" s="467"/>
      <c r="D29" s="467"/>
      <c r="E29" s="467"/>
      <c r="F29" s="467"/>
      <c r="G29" s="467"/>
      <c r="H29" s="467"/>
      <c r="I29" s="467"/>
      <c r="J29" s="467"/>
      <c r="K29" s="467"/>
      <c r="L29" s="467"/>
      <c r="M29" s="467"/>
      <c r="N29" s="467"/>
      <c r="O29" s="467"/>
      <c r="P29" s="467"/>
      <c r="Q29" s="467"/>
    </row>
    <row r="30" spans="1:17" ht="15" customHeight="1">
      <c r="A30" s="467"/>
      <c r="B30" s="467"/>
      <c r="C30" s="467"/>
      <c r="D30" s="467"/>
      <c r="E30" s="467"/>
      <c r="F30" s="467"/>
      <c r="G30" s="467"/>
      <c r="H30" s="467"/>
      <c r="I30" s="467"/>
      <c r="J30" s="467"/>
      <c r="K30" s="467"/>
      <c r="L30" s="467"/>
      <c r="M30" s="467"/>
      <c r="N30" s="467"/>
      <c r="O30" s="467"/>
      <c r="P30" s="467"/>
      <c r="Q30" s="467"/>
    </row>
  </sheetData>
  <sheetProtection algorithmName="SHA-512" hashValue="+kfOi8IrIwCrhtBqCZvHaHDjYOl293HX57fX/PDpbOsrjvCmRl8B3vccZafrW8JtvWXjNf7PGyERknzUjZkkww==" saltValue="tGwabAk8rYSLqknPa7oMHg==" spinCount="100000" sheet="1" objects="1" scenarios="1"/>
  <mergeCells count="16">
    <mergeCell ref="A1:Q1"/>
    <mergeCell ref="A2:Q3"/>
    <mergeCell ref="A4:B4"/>
    <mergeCell ref="A6:Q8"/>
    <mergeCell ref="A10:Q10"/>
    <mergeCell ref="A22:Q22"/>
    <mergeCell ref="A23:B23"/>
    <mergeCell ref="C23:K23"/>
    <mergeCell ref="L23:Q23"/>
    <mergeCell ref="A24:B24"/>
    <mergeCell ref="C24:K24"/>
    <mergeCell ref="A25:B25"/>
    <mergeCell ref="C25:K25"/>
    <mergeCell ref="A26:B26"/>
    <mergeCell ref="C26:K26"/>
    <mergeCell ref="A28:Q30"/>
  </mergeCell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47"/>
  <dimension ref="A1:Q45"/>
  <sheetViews>
    <sheetView showGridLines="0" zoomScaleNormal="100" workbookViewId="0">
      <selection sqref="A1:Q1"/>
    </sheetView>
  </sheetViews>
  <sheetFormatPr baseColWidth="10" defaultColWidth="8.7109375" defaultRowHeight="15"/>
  <cols>
    <col min="1" max="1" width="18.5703125" style="1" customWidth="1"/>
    <col min="2" max="2" width="19"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1652</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2"/>
      <c r="E4" s="2"/>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15" customHeight="1">
      <c r="A6" s="467" t="s">
        <v>1653</v>
      </c>
      <c r="B6" s="467"/>
      <c r="C6" s="467"/>
      <c r="D6" s="467"/>
      <c r="E6" s="467"/>
      <c r="F6" s="467"/>
      <c r="G6" s="467"/>
      <c r="H6" s="467"/>
      <c r="I6" s="467"/>
      <c r="J6" s="467"/>
      <c r="K6" s="467"/>
      <c r="L6" s="467"/>
      <c r="M6" s="467"/>
      <c r="N6" s="467"/>
      <c r="O6" s="467"/>
      <c r="P6" s="467"/>
      <c r="Q6" s="467"/>
    </row>
    <row r="7" spans="1:17" ht="15" customHeight="1">
      <c r="A7" s="467"/>
      <c r="B7" s="467"/>
      <c r="C7" s="467"/>
      <c r="D7" s="467"/>
      <c r="E7" s="467"/>
      <c r="F7" s="467"/>
      <c r="G7" s="467"/>
      <c r="H7" s="467"/>
      <c r="I7" s="467"/>
      <c r="J7" s="467"/>
      <c r="K7" s="467"/>
      <c r="L7" s="467"/>
      <c r="M7" s="467"/>
      <c r="N7" s="467"/>
      <c r="O7" s="467"/>
      <c r="P7" s="467"/>
      <c r="Q7" s="467"/>
    </row>
    <row r="8" spans="1:17" ht="15" customHeight="1">
      <c r="A8" s="467"/>
      <c r="B8" s="467"/>
      <c r="C8" s="467"/>
      <c r="D8" s="467"/>
      <c r="E8" s="467"/>
      <c r="F8" s="467"/>
      <c r="G8" s="467"/>
      <c r="H8" s="467"/>
      <c r="I8" s="467"/>
      <c r="J8" s="467"/>
      <c r="K8" s="467"/>
      <c r="L8" s="467"/>
      <c r="M8" s="467"/>
      <c r="N8" s="467"/>
      <c r="O8" s="467"/>
      <c r="P8" s="467"/>
      <c r="Q8" s="467"/>
    </row>
    <row r="9" spans="1:17" ht="15" customHeight="1">
      <c r="A9" s="467"/>
      <c r="B9" s="467"/>
      <c r="C9" s="467"/>
      <c r="D9" s="467"/>
      <c r="E9" s="467"/>
      <c r="F9" s="467"/>
      <c r="G9" s="467"/>
      <c r="H9" s="467"/>
      <c r="I9" s="467"/>
      <c r="J9" s="467"/>
      <c r="K9" s="467"/>
      <c r="L9" s="467"/>
      <c r="M9" s="467"/>
      <c r="N9" s="467"/>
      <c r="O9" s="467"/>
      <c r="P9" s="467"/>
      <c r="Q9" s="467"/>
    </row>
    <row r="10" spans="1:17">
      <c r="A10" s="22"/>
      <c r="B10" s="22"/>
      <c r="C10" s="22"/>
      <c r="D10" s="22"/>
      <c r="E10" s="2"/>
      <c r="F10" s="22"/>
      <c r="G10" s="2"/>
      <c r="H10" s="22"/>
      <c r="I10" s="22"/>
      <c r="J10" s="22"/>
      <c r="K10" s="22"/>
      <c r="L10" s="22"/>
      <c r="M10" s="22"/>
      <c r="N10" s="2"/>
      <c r="O10" s="2"/>
      <c r="P10" s="2"/>
      <c r="Q10" s="22"/>
    </row>
    <row r="11" spans="1:17" ht="19.5" customHeight="1">
      <c r="A11" s="452" t="s">
        <v>1654</v>
      </c>
      <c r="B11" s="452"/>
      <c r="C11" s="452"/>
      <c r="D11" s="452"/>
      <c r="E11" s="452"/>
      <c r="F11" s="452"/>
      <c r="G11" s="452"/>
      <c r="H11" s="452"/>
      <c r="I11" s="452"/>
      <c r="J11" s="452"/>
      <c r="K11" s="452"/>
      <c r="L11" s="452"/>
      <c r="M11" s="452"/>
      <c r="N11" s="452"/>
      <c r="O11" s="452"/>
      <c r="P11" s="452"/>
      <c r="Q11" s="452"/>
    </row>
    <row r="12" spans="1:17" ht="31.5" customHeight="1">
      <c r="A12" s="458" t="s">
        <v>1655</v>
      </c>
      <c r="B12" s="458"/>
      <c r="C12" s="472">
        <f>M34_v_edadMet</f>
        <v>37.192799999999991</v>
      </c>
      <c r="D12" s="472"/>
      <c r="E12" s="472"/>
      <c r="F12" s="472"/>
      <c r="G12" s="472"/>
      <c r="H12" s="472"/>
      <c r="I12" s="472"/>
      <c r="J12" s="472"/>
      <c r="K12" s="472"/>
      <c r="L12" s="22"/>
      <c r="M12" s="22"/>
      <c r="N12" s="2"/>
      <c r="O12" s="2"/>
      <c r="P12" s="2"/>
      <c r="Q12" s="22"/>
    </row>
    <row r="13" spans="1:17" ht="18" customHeight="1">
      <c r="A13" s="458" t="s">
        <v>1656</v>
      </c>
      <c r="B13" s="458"/>
      <c r="C13" s="460">
        <f>M34_v_edad</f>
        <v>45</v>
      </c>
      <c r="D13" s="460"/>
      <c r="E13" s="460"/>
      <c r="F13" s="460"/>
      <c r="G13" s="460"/>
      <c r="H13" s="460"/>
      <c r="I13" s="460"/>
      <c r="J13" s="460"/>
      <c r="K13" s="460"/>
      <c r="L13" s="22"/>
      <c r="M13" s="22"/>
      <c r="N13" s="2"/>
      <c r="O13" s="2"/>
      <c r="P13" s="2"/>
      <c r="Q13" s="22"/>
    </row>
    <row r="14" spans="1:17" ht="18" customHeight="1">
      <c r="A14" s="458" t="s">
        <v>1630</v>
      </c>
      <c r="B14" s="458"/>
      <c r="C14" s="460">
        <f>M34_v_difEdad</f>
        <v>-7.8072000000000088</v>
      </c>
      <c r="D14" s="460"/>
      <c r="E14" s="460"/>
      <c r="F14" s="460"/>
      <c r="G14" s="460"/>
      <c r="H14" s="460"/>
      <c r="I14" s="460"/>
      <c r="J14" s="460"/>
      <c r="K14" s="460"/>
      <c r="L14" s="22"/>
      <c r="M14" s="22"/>
      <c r="N14" s="2"/>
      <c r="O14" s="2"/>
      <c r="P14" s="2"/>
      <c r="Q14" s="22"/>
    </row>
    <row r="15" spans="1:17" ht="57.75" customHeight="1">
      <c r="A15" s="458" t="s">
        <v>1657</v>
      </c>
      <c r="B15" s="458"/>
      <c r="C15" s="471" t="str">
        <f>IF(NOT(ISNUMBER(M34_v_difEdad)),"ND",IF(ABS(M34_v_difEdad)&gt;M34_u_implaus,"DIFERENCIA IMPLAUSIBLE de "&amp;TEXT(M34_v_difEdad,"+0.0;-0.0")&amp;" años. Una separación de esta magnitud refleja un porcentaje de grasa muy alejado del promedio poblacional, no un envejecimiento real. NO comunique esta cifra como una edad.",IF(ABS(M34_v_difEdad)&lt;=M34_u_equiv,"La diferencia es menor que el error propio del método: el resultado es equivalente a la edad cronológica y no permite afirmar nada.",IF(M34_v_difEdad&lt;0,"El resultado queda por debajo de la edad cronológica. Significa que la persona tiene MÁS masa libre de grasa que el promedio poblacional para su peso y talla. Comuníquelo así, no como años de menos.","El resultado queda por encima de la edad cronológica. Significa que la persona tiene MENOS masa libre de grasa que el promedio poblacional para su peso y talla. Comuníquelo así, no como años de más."))))</f>
        <v>El resultado queda por debajo de la edad cronológica. Significa que la persona tiene MÁS masa libre de grasa que el promedio poblacional para su peso y talla. Comuníquelo así, no como años de menos.</v>
      </c>
      <c r="D15" s="471"/>
      <c r="E15" s="471"/>
      <c r="F15" s="471"/>
      <c r="G15" s="471"/>
      <c r="H15" s="471"/>
      <c r="I15" s="471"/>
      <c r="J15" s="471"/>
      <c r="K15" s="471"/>
      <c r="L15" s="22"/>
      <c r="M15" s="22"/>
      <c r="N15" s="2"/>
      <c r="O15" s="2"/>
      <c r="P15" s="2"/>
      <c r="Q15" s="22"/>
    </row>
    <row r="16" spans="1:17" ht="31.5" customHeight="1">
      <c r="A16" s="458" t="s">
        <v>1658</v>
      </c>
      <c r="B16" s="458"/>
      <c r="C16" s="465" t="str">
        <f>IF(NOT(ISNUMBER(M34_SENSIBILIDAD!C24)),"ND","Un error de dos puntos en la estimación de la grasa desplaza el resultado en "&amp;TEXT(2*M34_SENSIBILIDAD!C24,"0.0")&amp;" años. Compare esa cifra con la diferencia obtenida antes de sacar conclusiones.")</f>
        <v>Un error de dos puntos en la estimación de la grasa desplaza el resultado en 07 años. Compare esa cifra con la diferencia obtenida antes de sacar conclusiones.</v>
      </c>
      <c r="D16" s="465"/>
      <c r="E16" s="465"/>
      <c r="F16" s="465"/>
      <c r="G16" s="465"/>
      <c r="H16" s="465"/>
      <c r="I16" s="465"/>
      <c r="J16" s="465"/>
      <c r="K16" s="465"/>
      <c r="L16" s="22"/>
      <c r="M16" s="22"/>
      <c r="N16" s="2"/>
      <c r="O16" s="2"/>
      <c r="P16" s="2"/>
      <c r="Q16" s="22"/>
    </row>
    <row r="17" spans="1:17">
      <c r="A17" s="22"/>
      <c r="B17" s="22"/>
      <c r="C17" s="22"/>
      <c r="D17" s="22"/>
      <c r="E17" s="2"/>
      <c r="F17" s="22"/>
      <c r="G17" s="2"/>
      <c r="H17" s="22"/>
      <c r="I17" s="22"/>
      <c r="J17" s="22"/>
      <c r="K17" s="22"/>
      <c r="L17" s="22"/>
      <c r="M17" s="22"/>
      <c r="N17" s="2"/>
      <c r="O17" s="2"/>
      <c r="P17" s="2"/>
      <c r="Q17" s="22"/>
    </row>
    <row r="18" spans="1:17" ht="19.5" customHeight="1">
      <c r="A18" s="452" t="s">
        <v>1659</v>
      </c>
      <c r="B18" s="452"/>
      <c r="C18" s="452"/>
      <c r="D18" s="452"/>
      <c r="E18" s="452"/>
      <c r="F18" s="452"/>
      <c r="G18" s="452"/>
      <c r="H18" s="452"/>
      <c r="I18" s="452"/>
      <c r="J18" s="452"/>
      <c r="K18" s="452"/>
      <c r="L18" s="452"/>
      <c r="M18" s="452"/>
      <c r="N18" s="452"/>
      <c r="O18" s="452"/>
      <c r="P18" s="452"/>
      <c r="Q18" s="452"/>
    </row>
    <row r="19" spans="1:17" ht="31.5" customHeight="1">
      <c r="A19" s="219" t="s">
        <v>1660</v>
      </c>
      <c r="B19" s="470" t="s">
        <v>1661</v>
      </c>
      <c r="C19" s="470"/>
      <c r="D19" s="470"/>
      <c r="E19" s="470"/>
      <c r="F19" s="470"/>
      <c r="G19" s="470"/>
      <c r="H19" s="470"/>
      <c r="I19" s="470"/>
      <c r="J19" s="470"/>
      <c r="K19" s="470"/>
      <c r="L19" s="470"/>
      <c r="M19" s="470"/>
      <c r="N19" s="470"/>
      <c r="O19" s="470"/>
      <c r="P19" s="470"/>
      <c r="Q19" s="470"/>
    </row>
    <row r="20" spans="1:17" ht="31.5" customHeight="1">
      <c r="A20" s="219" t="s">
        <v>1660</v>
      </c>
      <c r="B20" s="470" t="s">
        <v>1662</v>
      </c>
      <c r="C20" s="470"/>
      <c r="D20" s="470"/>
      <c r="E20" s="470"/>
      <c r="F20" s="470"/>
      <c r="G20" s="470"/>
      <c r="H20" s="470"/>
      <c r="I20" s="470"/>
      <c r="J20" s="470"/>
      <c r="K20" s="470"/>
      <c r="L20" s="470"/>
      <c r="M20" s="470"/>
      <c r="N20" s="470"/>
      <c r="O20" s="470"/>
      <c r="P20" s="470"/>
      <c r="Q20" s="470"/>
    </row>
    <row r="21" spans="1:17" ht="31.5" customHeight="1">
      <c r="A21" s="219" t="s">
        <v>1660</v>
      </c>
      <c r="B21" s="470" t="s">
        <v>1663</v>
      </c>
      <c r="C21" s="470"/>
      <c r="D21" s="470"/>
      <c r="E21" s="470"/>
      <c r="F21" s="470"/>
      <c r="G21" s="470"/>
      <c r="H21" s="470"/>
      <c r="I21" s="470"/>
      <c r="J21" s="470"/>
      <c r="K21" s="470"/>
      <c r="L21" s="470"/>
      <c r="M21" s="470"/>
      <c r="N21" s="470"/>
      <c r="O21" s="470"/>
      <c r="P21" s="470"/>
      <c r="Q21" s="470"/>
    </row>
    <row r="22" spans="1:17" ht="31.5" customHeight="1">
      <c r="A22" s="220" t="s">
        <v>1664</v>
      </c>
      <c r="B22" s="468" t="s">
        <v>1665</v>
      </c>
      <c r="C22" s="468"/>
      <c r="D22" s="468"/>
      <c r="E22" s="468"/>
      <c r="F22" s="468"/>
      <c r="G22" s="468"/>
      <c r="H22" s="468"/>
      <c r="I22" s="468"/>
      <c r="J22" s="468"/>
      <c r="K22" s="468"/>
      <c r="L22" s="468"/>
      <c r="M22" s="468"/>
      <c r="N22" s="468"/>
      <c r="O22" s="468"/>
      <c r="P22" s="468"/>
      <c r="Q22" s="468"/>
    </row>
    <row r="23" spans="1:17" ht="31.5" customHeight="1">
      <c r="A23" s="220" t="s">
        <v>1664</v>
      </c>
      <c r="B23" s="468" t="s">
        <v>1666</v>
      </c>
      <c r="C23" s="468"/>
      <c r="D23" s="468"/>
      <c r="E23" s="468"/>
      <c r="F23" s="468"/>
      <c r="G23" s="468"/>
      <c r="H23" s="468"/>
      <c r="I23" s="468"/>
      <c r="J23" s="468"/>
      <c r="K23" s="468"/>
      <c r="L23" s="468"/>
      <c r="M23" s="468"/>
      <c r="N23" s="468"/>
      <c r="O23" s="468"/>
      <c r="P23" s="468"/>
      <c r="Q23" s="468"/>
    </row>
    <row r="24" spans="1:17" ht="31.5" customHeight="1">
      <c r="A24" s="220" t="s">
        <v>1664</v>
      </c>
      <c r="B24" s="468" t="s">
        <v>1667</v>
      </c>
      <c r="C24" s="468"/>
      <c r="D24" s="468"/>
      <c r="E24" s="468"/>
      <c r="F24" s="468"/>
      <c r="G24" s="468"/>
      <c r="H24" s="468"/>
      <c r="I24" s="468"/>
      <c r="J24" s="468"/>
      <c r="K24" s="468"/>
      <c r="L24" s="468"/>
      <c r="M24" s="468"/>
      <c r="N24" s="468"/>
      <c r="O24" s="468"/>
      <c r="P24" s="468"/>
      <c r="Q24" s="468"/>
    </row>
    <row r="25" spans="1:17" ht="31.5" customHeight="1">
      <c r="A25" s="220" t="s">
        <v>1664</v>
      </c>
      <c r="B25" s="468" t="s">
        <v>1668</v>
      </c>
      <c r="C25" s="468"/>
      <c r="D25" s="468"/>
      <c r="E25" s="468"/>
      <c r="F25" s="468"/>
      <c r="G25" s="468"/>
      <c r="H25" s="468"/>
      <c r="I25" s="468"/>
      <c r="J25" s="468"/>
      <c r="K25" s="468"/>
      <c r="L25" s="468"/>
      <c r="M25" s="468"/>
      <c r="N25" s="468"/>
      <c r="O25" s="468"/>
      <c r="P25" s="468"/>
      <c r="Q25" s="468"/>
    </row>
    <row r="26" spans="1:17" ht="31.5" customHeight="1">
      <c r="A26" s="220" t="s">
        <v>1664</v>
      </c>
      <c r="B26" s="468" t="s">
        <v>1669</v>
      </c>
      <c r="C26" s="468"/>
      <c r="D26" s="468"/>
      <c r="E26" s="468"/>
      <c r="F26" s="468"/>
      <c r="G26" s="468"/>
      <c r="H26" s="468"/>
      <c r="I26" s="468"/>
      <c r="J26" s="468"/>
      <c r="K26" s="468"/>
      <c r="L26" s="468"/>
      <c r="M26" s="468"/>
      <c r="N26" s="468"/>
      <c r="O26" s="468"/>
      <c r="P26" s="468"/>
      <c r="Q26" s="468"/>
    </row>
    <row r="27" spans="1:17">
      <c r="A27" s="22"/>
      <c r="B27" s="22"/>
      <c r="C27" s="22"/>
      <c r="D27" s="22"/>
      <c r="E27" s="2"/>
      <c r="F27" s="22"/>
      <c r="G27" s="2"/>
      <c r="H27" s="22"/>
      <c r="I27" s="22"/>
      <c r="J27" s="22"/>
      <c r="K27" s="22"/>
      <c r="L27" s="22"/>
      <c r="M27" s="22"/>
      <c r="N27" s="2"/>
      <c r="O27" s="2"/>
      <c r="P27" s="2"/>
      <c r="Q27" s="22"/>
    </row>
    <row r="28" spans="1:17" ht="19.5" customHeight="1">
      <c r="A28" s="452" t="s">
        <v>1670</v>
      </c>
      <c r="B28" s="452"/>
      <c r="C28" s="452"/>
      <c r="D28" s="452"/>
      <c r="E28" s="452"/>
      <c r="F28" s="452"/>
      <c r="G28" s="452"/>
      <c r="H28" s="452"/>
      <c r="I28" s="452"/>
      <c r="J28" s="452"/>
      <c r="K28" s="452"/>
      <c r="L28" s="452"/>
      <c r="M28" s="452"/>
      <c r="N28" s="452"/>
      <c r="O28" s="452"/>
      <c r="P28" s="452"/>
      <c r="Q28" s="452"/>
    </row>
    <row r="29" spans="1:17" ht="33.75" customHeight="1">
      <c r="A29" s="221" t="s">
        <v>1671</v>
      </c>
      <c r="B29" s="469" t="s">
        <v>1672</v>
      </c>
      <c r="C29" s="469"/>
      <c r="D29" s="469"/>
      <c r="E29" s="469"/>
      <c r="F29" s="469"/>
      <c r="G29" s="469"/>
      <c r="H29" s="469"/>
      <c r="I29" s="469"/>
      <c r="J29" s="469"/>
      <c r="K29" s="469"/>
      <c r="L29" s="469"/>
      <c r="M29" s="469"/>
      <c r="N29" s="469"/>
      <c r="O29" s="469"/>
      <c r="P29" s="469"/>
      <c r="Q29" s="469"/>
    </row>
    <row r="30" spans="1:17" ht="33.75" customHeight="1">
      <c r="A30" s="222" t="s">
        <v>1673</v>
      </c>
      <c r="B30" s="468" t="s">
        <v>1674</v>
      </c>
      <c r="C30" s="468"/>
      <c r="D30" s="468"/>
      <c r="E30" s="468"/>
      <c r="F30" s="468"/>
      <c r="G30" s="468"/>
      <c r="H30" s="468"/>
      <c r="I30" s="468"/>
      <c r="J30" s="468"/>
      <c r="K30" s="468"/>
      <c r="L30" s="468"/>
      <c r="M30" s="468"/>
      <c r="N30" s="468"/>
      <c r="O30" s="468"/>
      <c r="P30" s="468"/>
      <c r="Q30" s="468"/>
    </row>
    <row r="31" spans="1:17" ht="33.75" customHeight="1">
      <c r="A31" s="221" t="s">
        <v>1671</v>
      </c>
      <c r="B31" s="469" t="s">
        <v>1675</v>
      </c>
      <c r="C31" s="469"/>
      <c r="D31" s="469"/>
      <c r="E31" s="469"/>
      <c r="F31" s="469"/>
      <c r="G31" s="469"/>
      <c r="H31" s="469"/>
      <c r="I31" s="469"/>
      <c r="J31" s="469"/>
      <c r="K31" s="469"/>
      <c r="L31" s="469"/>
      <c r="M31" s="469"/>
      <c r="N31" s="469"/>
      <c r="O31" s="469"/>
      <c r="P31" s="469"/>
      <c r="Q31" s="469"/>
    </row>
    <row r="32" spans="1:17" ht="33.75" customHeight="1">
      <c r="A32" s="222" t="s">
        <v>1673</v>
      </c>
      <c r="B32" s="468" t="s">
        <v>1676</v>
      </c>
      <c r="C32" s="468"/>
      <c r="D32" s="468"/>
      <c r="E32" s="468"/>
      <c r="F32" s="468"/>
      <c r="G32" s="468"/>
      <c r="H32" s="468"/>
      <c r="I32" s="468"/>
      <c r="J32" s="468"/>
      <c r="K32" s="468"/>
      <c r="L32" s="468"/>
      <c r="M32" s="468"/>
      <c r="N32" s="468"/>
      <c r="O32" s="468"/>
      <c r="P32" s="468"/>
      <c r="Q32" s="468"/>
    </row>
    <row r="33" spans="1:17" ht="33.75" customHeight="1">
      <c r="A33" s="221" t="s">
        <v>1671</v>
      </c>
      <c r="B33" s="469" t="s">
        <v>1677</v>
      </c>
      <c r="C33" s="469"/>
      <c r="D33" s="469"/>
      <c r="E33" s="469"/>
      <c r="F33" s="469"/>
      <c r="G33" s="469"/>
      <c r="H33" s="469"/>
      <c r="I33" s="469"/>
      <c r="J33" s="469"/>
      <c r="K33" s="469"/>
      <c r="L33" s="469"/>
      <c r="M33" s="469"/>
      <c r="N33" s="469"/>
      <c r="O33" s="469"/>
      <c r="P33" s="469"/>
      <c r="Q33" s="469"/>
    </row>
    <row r="34" spans="1:17" ht="33.75" customHeight="1">
      <c r="A34" s="222" t="s">
        <v>1673</v>
      </c>
      <c r="B34" s="468" t="s">
        <v>1678</v>
      </c>
      <c r="C34" s="468"/>
      <c r="D34" s="468"/>
      <c r="E34" s="468"/>
      <c r="F34" s="468"/>
      <c r="G34" s="468"/>
      <c r="H34" s="468"/>
      <c r="I34" s="468"/>
      <c r="J34" s="468"/>
      <c r="K34" s="468"/>
      <c r="L34" s="468"/>
      <c r="M34" s="468"/>
      <c r="N34" s="468"/>
      <c r="O34" s="468"/>
      <c r="P34" s="468"/>
      <c r="Q34" s="468"/>
    </row>
    <row r="35" spans="1:17" ht="33.75" customHeight="1">
      <c r="A35" s="222" t="s">
        <v>1679</v>
      </c>
      <c r="B35" s="465" t="s">
        <v>1680</v>
      </c>
      <c r="C35" s="465"/>
      <c r="D35" s="465"/>
      <c r="E35" s="465"/>
      <c r="F35" s="465"/>
      <c r="G35" s="465"/>
      <c r="H35" s="465"/>
      <c r="I35" s="465"/>
      <c r="J35" s="465"/>
      <c r="K35" s="465"/>
      <c r="L35" s="465"/>
      <c r="M35" s="465"/>
      <c r="N35" s="465"/>
      <c r="O35" s="465"/>
      <c r="P35" s="465"/>
      <c r="Q35" s="465"/>
    </row>
    <row r="36" spans="1:17">
      <c r="A36" s="22"/>
      <c r="B36" s="22"/>
      <c r="C36" s="22"/>
      <c r="D36" s="22"/>
      <c r="E36" s="2"/>
      <c r="F36" s="22"/>
      <c r="G36" s="2"/>
      <c r="H36" s="22"/>
      <c r="I36" s="22"/>
      <c r="J36" s="22"/>
      <c r="K36" s="22"/>
      <c r="L36" s="22"/>
      <c r="M36" s="22"/>
      <c r="N36" s="2"/>
      <c r="O36" s="2"/>
      <c r="P36" s="2"/>
      <c r="Q36" s="22"/>
    </row>
    <row r="37" spans="1:17" ht="19.5" customHeight="1">
      <c r="A37" s="452" t="s">
        <v>1681</v>
      </c>
      <c r="B37" s="452"/>
      <c r="C37" s="452"/>
      <c r="D37" s="452"/>
      <c r="E37" s="452"/>
      <c r="F37" s="452"/>
      <c r="G37" s="452"/>
      <c r="H37" s="452"/>
      <c r="I37" s="452"/>
      <c r="J37" s="452"/>
      <c r="K37" s="452"/>
      <c r="L37" s="452"/>
      <c r="M37" s="452"/>
      <c r="N37" s="452"/>
      <c r="O37" s="452"/>
      <c r="P37" s="452"/>
      <c r="Q37" s="452"/>
    </row>
    <row r="38" spans="1:17" ht="18" customHeight="1">
      <c r="A38" s="458" t="s">
        <v>1682</v>
      </c>
      <c r="B38" s="458"/>
      <c r="C38" s="460">
        <f>M34_v_mlg</f>
        <v>63.96</v>
      </c>
      <c r="D38" s="460"/>
      <c r="E38" s="460"/>
      <c r="F38" s="460"/>
      <c r="G38" s="460"/>
      <c r="H38" s="460"/>
      <c r="I38" s="460"/>
      <c r="J38" s="460"/>
      <c r="K38" s="460"/>
      <c r="L38" s="373" t="s">
        <v>1683</v>
      </c>
      <c r="M38" s="373"/>
      <c r="N38" s="373"/>
      <c r="O38" s="373"/>
      <c r="P38" s="373"/>
      <c r="Q38" s="373"/>
    </row>
    <row r="39" spans="1:17" ht="18" customHeight="1">
      <c r="A39" s="458" t="s">
        <v>1684</v>
      </c>
      <c r="B39" s="458"/>
      <c r="C39" s="460">
        <f>IF(OR(NOT(ISNUMBER(M34_v_mlg)),NOT(ISNUMBER(M34_v_talla)),M34_v_talla=0),"ND",M34_v_mlg/((M34_v_talla/100)^2))</f>
        <v>20.186845095316247</v>
      </c>
      <c r="D39" s="460"/>
      <c r="E39" s="460"/>
      <c r="F39" s="460"/>
      <c r="G39" s="460"/>
      <c r="H39" s="460"/>
      <c r="I39" s="460"/>
      <c r="J39" s="460"/>
      <c r="K39" s="460"/>
      <c r="L39" s="373" t="s">
        <v>1685</v>
      </c>
      <c r="M39" s="373"/>
      <c r="N39" s="373"/>
      <c r="O39" s="373"/>
      <c r="P39" s="373"/>
      <c r="Q39" s="373"/>
    </row>
    <row r="40" spans="1:17" ht="18" customHeight="1">
      <c r="A40" s="458" t="s">
        <v>1603</v>
      </c>
      <c r="B40" s="458"/>
      <c r="C40" s="460">
        <f>M34_v_grasa</f>
        <v>22</v>
      </c>
      <c r="D40" s="460"/>
      <c r="E40" s="460"/>
      <c r="F40" s="460"/>
      <c r="G40" s="460"/>
      <c r="H40" s="460"/>
      <c r="I40" s="460"/>
      <c r="J40" s="460"/>
      <c r="K40" s="460"/>
      <c r="L40" s="373" t="s">
        <v>1686</v>
      </c>
      <c r="M40" s="373"/>
      <c r="N40" s="373"/>
      <c r="O40" s="373"/>
      <c r="P40" s="373"/>
      <c r="Q40" s="373"/>
    </row>
    <row r="41" spans="1:17" ht="18" customHeight="1">
      <c r="A41" s="458" t="s">
        <v>1687</v>
      </c>
      <c r="B41" s="458"/>
      <c r="C41" s="460">
        <f>M34_v_tmb</f>
        <v>1751.5360000000001</v>
      </c>
      <c r="D41" s="460"/>
      <c r="E41" s="460"/>
      <c r="F41" s="460"/>
      <c r="G41" s="460"/>
      <c r="H41" s="460"/>
      <c r="I41" s="460"/>
      <c r="J41" s="460"/>
      <c r="K41" s="460"/>
      <c r="L41" s="373" t="s">
        <v>1688</v>
      </c>
      <c r="M41" s="373"/>
      <c r="N41" s="373"/>
      <c r="O41" s="373"/>
      <c r="P41" s="373"/>
      <c r="Q41" s="373"/>
    </row>
    <row r="42" spans="1:17">
      <c r="A42" s="22"/>
      <c r="B42" s="22"/>
      <c r="C42" s="22"/>
      <c r="D42" s="22"/>
      <c r="E42" s="2"/>
      <c r="F42" s="22"/>
      <c r="G42" s="2"/>
      <c r="H42" s="22"/>
      <c r="I42" s="22"/>
      <c r="J42" s="22"/>
      <c r="K42" s="22"/>
      <c r="L42" s="22"/>
      <c r="M42" s="22"/>
      <c r="N42" s="2"/>
      <c r="O42" s="2"/>
      <c r="P42" s="2"/>
      <c r="Q42" s="22"/>
    </row>
    <row r="43" spans="1:17" ht="15" customHeight="1">
      <c r="A43" s="467" t="s">
        <v>1689</v>
      </c>
      <c r="B43" s="467"/>
      <c r="C43" s="467"/>
      <c r="D43" s="467"/>
      <c r="E43" s="467"/>
      <c r="F43" s="467"/>
      <c r="G43" s="467"/>
      <c r="H43" s="467"/>
      <c r="I43" s="467"/>
      <c r="J43" s="467"/>
      <c r="K43" s="467"/>
      <c r="L43" s="467"/>
      <c r="M43" s="467"/>
      <c r="N43" s="467"/>
      <c r="O43" s="467"/>
      <c r="P43" s="467"/>
      <c r="Q43" s="467"/>
    </row>
    <row r="44" spans="1:17" ht="15" customHeight="1">
      <c r="A44" s="467"/>
      <c r="B44" s="467"/>
      <c r="C44" s="467"/>
      <c r="D44" s="467"/>
      <c r="E44" s="467"/>
      <c r="F44" s="467"/>
      <c r="G44" s="467"/>
      <c r="H44" s="467"/>
      <c r="I44" s="467"/>
      <c r="J44" s="467"/>
      <c r="K44" s="467"/>
      <c r="L44" s="467"/>
      <c r="M44" s="467"/>
      <c r="N44" s="467"/>
      <c r="O44" s="467"/>
      <c r="P44" s="467"/>
      <c r="Q44" s="467"/>
    </row>
    <row r="45" spans="1:17" ht="15" customHeight="1">
      <c r="A45" s="467"/>
      <c r="B45" s="467"/>
      <c r="C45" s="467"/>
      <c r="D45" s="467"/>
      <c r="E45" s="467"/>
      <c r="F45" s="467"/>
      <c r="G45" s="467"/>
      <c r="H45" s="467"/>
      <c r="I45" s="467"/>
      <c r="J45" s="467"/>
      <c r="K45" s="467"/>
      <c r="L45" s="467"/>
      <c r="M45" s="467"/>
      <c r="N45" s="467"/>
      <c r="O45" s="467"/>
      <c r="P45" s="467"/>
      <c r="Q45" s="467"/>
    </row>
  </sheetData>
  <sheetProtection algorithmName="SHA-512" hashValue="cedBcBiZbrWI5XyxXO08vMOjNZztccEStUd1wYS4/dnHbBUH6+4EGinKXSbCIBjteELBsncfNP+6d4buDcSVYg==" saltValue="P7GpfBeSaa7PF1nxnFSk2w==" spinCount="100000" sheet="1" objects="1" scenarios="1"/>
  <mergeCells count="46">
    <mergeCell ref="A1:Q1"/>
    <mergeCell ref="A2:Q3"/>
    <mergeCell ref="A4:B4"/>
    <mergeCell ref="A6:Q9"/>
    <mergeCell ref="A11:Q11"/>
    <mergeCell ref="A12:B12"/>
    <mergeCell ref="C12:K12"/>
    <mergeCell ref="A13:B13"/>
    <mergeCell ref="C13:K13"/>
    <mergeCell ref="A14:B14"/>
    <mergeCell ref="C14:K14"/>
    <mergeCell ref="A15:B15"/>
    <mergeCell ref="C15:K15"/>
    <mergeCell ref="A16:B16"/>
    <mergeCell ref="C16:K16"/>
    <mergeCell ref="A18:Q18"/>
    <mergeCell ref="B19:Q19"/>
    <mergeCell ref="B20:Q20"/>
    <mergeCell ref="B21:Q21"/>
    <mergeCell ref="B22:Q22"/>
    <mergeCell ref="B23:Q23"/>
    <mergeCell ref="B24:Q24"/>
    <mergeCell ref="B25:Q25"/>
    <mergeCell ref="B26:Q26"/>
    <mergeCell ref="A28:Q28"/>
    <mergeCell ref="B29:Q29"/>
    <mergeCell ref="B30:Q30"/>
    <mergeCell ref="B31:Q31"/>
    <mergeCell ref="B32:Q32"/>
    <mergeCell ref="B33:Q33"/>
    <mergeCell ref="B34:Q34"/>
    <mergeCell ref="B35:Q35"/>
    <mergeCell ref="A37:Q37"/>
    <mergeCell ref="A38:B38"/>
    <mergeCell ref="C38:K38"/>
    <mergeCell ref="L38:Q38"/>
    <mergeCell ref="A41:B41"/>
    <mergeCell ref="C41:K41"/>
    <mergeCell ref="L41:Q41"/>
    <mergeCell ref="A43:Q45"/>
    <mergeCell ref="A39:B39"/>
    <mergeCell ref="C39:K39"/>
    <mergeCell ref="L39:Q39"/>
    <mergeCell ref="A40:B40"/>
    <mergeCell ref="C40:K40"/>
    <mergeCell ref="L40:Q40"/>
  </mergeCell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48"/>
  <dimension ref="A1:Q17"/>
  <sheetViews>
    <sheetView showGridLines="0" zoomScaleNormal="100" workbookViewId="0">
      <selection sqref="A1:Q1"/>
    </sheetView>
  </sheetViews>
  <sheetFormatPr baseColWidth="10" defaultColWidth="8.7109375" defaultRowHeight="15"/>
  <cols>
    <col min="1" max="1" width="34" style="1" customWidth="1"/>
    <col min="2" max="2" width="15"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1690</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2"/>
      <c r="E4" s="2"/>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19.5" customHeight="1">
      <c r="A6" s="452" t="s">
        <v>1691</v>
      </c>
      <c r="B6" s="452"/>
      <c r="C6" s="452"/>
      <c r="D6" s="452"/>
      <c r="E6" s="452"/>
      <c r="F6" s="452"/>
      <c r="G6" s="452"/>
      <c r="H6" s="452"/>
      <c r="I6" s="452"/>
      <c r="J6" s="452"/>
      <c r="K6" s="452"/>
      <c r="L6" s="452"/>
      <c r="M6" s="452"/>
      <c r="N6" s="452"/>
      <c r="O6" s="452"/>
      <c r="P6" s="452"/>
      <c r="Q6" s="452"/>
    </row>
    <row r="7" spans="1:17" ht="15" customHeight="1">
      <c r="A7" s="219" t="s">
        <v>301</v>
      </c>
      <c r="B7" s="474" t="s">
        <v>302</v>
      </c>
      <c r="C7" s="474"/>
      <c r="D7" s="474"/>
      <c r="E7" s="474"/>
      <c r="F7" s="474"/>
      <c r="G7" s="474"/>
      <c r="H7" s="474"/>
      <c r="I7" s="474"/>
      <c r="J7" s="474"/>
      <c r="K7" s="474"/>
      <c r="L7" s="474"/>
      <c r="M7" s="474"/>
      <c r="N7" s="474"/>
      <c r="O7" s="474"/>
      <c r="P7" s="474"/>
      <c r="Q7" s="474"/>
    </row>
    <row r="8" spans="1:17" ht="61.5" customHeight="1">
      <c r="A8" s="223" t="s">
        <v>1692</v>
      </c>
      <c r="B8" s="473" t="s">
        <v>1693</v>
      </c>
      <c r="C8" s="473"/>
      <c r="D8" s="473"/>
      <c r="E8" s="473"/>
      <c r="F8" s="473"/>
      <c r="G8" s="473"/>
      <c r="H8" s="473"/>
      <c r="I8" s="473"/>
      <c r="J8" s="473"/>
      <c r="K8" s="473"/>
      <c r="L8" s="473"/>
      <c r="M8" s="473"/>
      <c r="N8" s="473"/>
      <c r="O8" s="473"/>
      <c r="P8" s="473"/>
      <c r="Q8" s="473"/>
    </row>
    <row r="9" spans="1:17" ht="61.5" customHeight="1">
      <c r="A9" s="223" t="s">
        <v>1694</v>
      </c>
      <c r="B9" s="473" t="s">
        <v>1695</v>
      </c>
      <c r="C9" s="473"/>
      <c r="D9" s="473"/>
      <c r="E9" s="473"/>
      <c r="F9" s="473"/>
      <c r="G9" s="473"/>
      <c r="H9" s="473"/>
      <c r="I9" s="473"/>
      <c r="J9" s="473"/>
      <c r="K9" s="473"/>
      <c r="L9" s="473"/>
      <c r="M9" s="473"/>
      <c r="N9" s="473"/>
      <c r="O9" s="473"/>
      <c r="P9" s="473"/>
      <c r="Q9" s="473"/>
    </row>
    <row r="10" spans="1:17" ht="61.5" customHeight="1">
      <c r="A10" s="223" t="s">
        <v>1696</v>
      </c>
      <c r="B10" s="473" t="s">
        <v>1697</v>
      </c>
      <c r="C10" s="473"/>
      <c r="D10" s="473"/>
      <c r="E10" s="473"/>
      <c r="F10" s="473"/>
      <c r="G10" s="473"/>
      <c r="H10" s="473"/>
      <c r="I10" s="473"/>
      <c r="J10" s="473"/>
      <c r="K10" s="473"/>
      <c r="L10" s="473"/>
      <c r="M10" s="473"/>
      <c r="N10" s="473"/>
      <c r="O10" s="473"/>
      <c r="P10" s="473"/>
      <c r="Q10" s="473"/>
    </row>
    <row r="11" spans="1:17" ht="61.5" customHeight="1">
      <c r="A11" s="223" t="s">
        <v>1698</v>
      </c>
      <c r="B11" s="473" t="s">
        <v>1699</v>
      </c>
      <c r="C11" s="473"/>
      <c r="D11" s="473"/>
      <c r="E11" s="473"/>
      <c r="F11" s="473"/>
      <c r="G11" s="473"/>
      <c r="H11" s="473"/>
      <c r="I11" s="473"/>
      <c r="J11" s="473"/>
      <c r="K11" s="473"/>
      <c r="L11" s="473"/>
      <c r="M11" s="473"/>
      <c r="N11" s="473"/>
      <c r="O11" s="473"/>
      <c r="P11" s="473"/>
      <c r="Q11" s="473"/>
    </row>
    <row r="12" spans="1:17" ht="61.5" customHeight="1">
      <c r="A12" s="223" t="s">
        <v>1700</v>
      </c>
      <c r="B12" s="473" t="s">
        <v>1701</v>
      </c>
      <c r="C12" s="473"/>
      <c r="D12" s="473"/>
      <c r="E12" s="473"/>
      <c r="F12" s="473"/>
      <c r="G12" s="473"/>
      <c r="H12" s="473"/>
      <c r="I12" s="473"/>
      <c r="J12" s="473"/>
      <c r="K12" s="473"/>
      <c r="L12" s="473"/>
      <c r="M12" s="473"/>
      <c r="N12" s="473"/>
      <c r="O12" s="473"/>
      <c r="P12" s="473"/>
      <c r="Q12" s="473"/>
    </row>
    <row r="13" spans="1:17" ht="61.5" customHeight="1">
      <c r="A13" s="223" t="s">
        <v>1702</v>
      </c>
      <c r="B13" s="473" t="s">
        <v>1703</v>
      </c>
      <c r="C13" s="473"/>
      <c r="D13" s="473"/>
      <c r="E13" s="473"/>
      <c r="F13" s="473"/>
      <c r="G13" s="473"/>
      <c r="H13" s="473"/>
      <c r="I13" s="473"/>
      <c r="J13" s="473"/>
      <c r="K13" s="473"/>
      <c r="L13" s="473"/>
      <c r="M13" s="473"/>
      <c r="N13" s="473"/>
      <c r="O13" s="473"/>
      <c r="P13" s="473"/>
      <c r="Q13" s="473"/>
    </row>
    <row r="14" spans="1:17" ht="61.5" customHeight="1">
      <c r="A14" s="223" t="s">
        <v>1704</v>
      </c>
      <c r="B14" s="473" t="s">
        <v>1705</v>
      </c>
      <c r="C14" s="473"/>
      <c r="D14" s="473"/>
      <c r="E14" s="473"/>
      <c r="F14" s="473"/>
      <c r="G14" s="473"/>
      <c r="H14" s="473"/>
      <c r="I14" s="473"/>
      <c r="J14" s="473"/>
      <c r="K14" s="473"/>
      <c r="L14" s="473"/>
      <c r="M14" s="473"/>
      <c r="N14" s="473"/>
      <c r="O14" s="473"/>
      <c r="P14" s="473"/>
      <c r="Q14" s="473"/>
    </row>
    <row r="15" spans="1:17" ht="61.5" customHeight="1">
      <c r="A15" s="223" t="s">
        <v>1706</v>
      </c>
      <c r="B15" s="473" t="s">
        <v>1707</v>
      </c>
      <c r="C15" s="473"/>
      <c r="D15" s="473"/>
      <c r="E15" s="473"/>
      <c r="F15" s="473"/>
      <c r="G15" s="473"/>
      <c r="H15" s="473"/>
      <c r="I15" s="473"/>
      <c r="J15" s="473"/>
      <c r="K15" s="473"/>
      <c r="L15" s="473"/>
      <c r="M15" s="473"/>
      <c r="N15" s="473"/>
      <c r="O15" s="473"/>
      <c r="P15" s="473"/>
      <c r="Q15" s="473"/>
    </row>
    <row r="16" spans="1:17" ht="61.5" customHeight="1">
      <c r="A16" s="223" t="s">
        <v>1708</v>
      </c>
      <c r="B16" s="473" t="s">
        <v>1709</v>
      </c>
      <c r="C16" s="473"/>
      <c r="D16" s="473"/>
      <c r="E16" s="473"/>
      <c r="F16" s="473"/>
      <c r="G16" s="473"/>
      <c r="H16" s="473"/>
      <c r="I16" s="473"/>
      <c r="J16" s="473"/>
      <c r="K16" s="473"/>
      <c r="L16" s="473"/>
      <c r="M16" s="473"/>
      <c r="N16" s="473"/>
      <c r="O16" s="473"/>
      <c r="P16" s="473"/>
      <c r="Q16" s="473"/>
    </row>
    <row r="17" spans="1:17" ht="61.5" customHeight="1">
      <c r="A17" s="223" t="s">
        <v>1710</v>
      </c>
      <c r="B17" s="473" t="s">
        <v>1711</v>
      </c>
      <c r="C17" s="473"/>
      <c r="D17" s="473"/>
      <c r="E17" s="473"/>
      <c r="F17" s="473"/>
      <c r="G17" s="473"/>
      <c r="H17" s="473"/>
      <c r="I17" s="473"/>
      <c r="J17" s="473"/>
      <c r="K17" s="473"/>
      <c r="L17" s="473"/>
      <c r="M17" s="473"/>
      <c r="N17" s="473"/>
      <c r="O17" s="473"/>
      <c r="P17" s="473"/>
      <c r="Q17" s="473"/>
    </row>
  </sheetData>
  <sheetProtection algorithmName="SHA-512" hashValue="3NBbR4KRHA5mp2iQeKle5zcV8SM/hwo5RCcTtMYD/lSwt9T9JO1cjf5koPiQznLRr1Y75Lc3AbAEXMa3sfg96w==" saltValue="QRWl5JYd6bEHMCpGEpVTzA==" spinCount="100000" sheet="1" objects="1" scenarios="1"/>
  <mergeCells count="15">
    <mergeCell ref="A1:Q1"/>
    <mergeCell ref="A2:Q3"/>
    <mergeCell ref="A4:B4"/>
    <mergeCell ref="A6:Q6"/>
    <mergeCell ref="B7:Q7"/>
    <mergeCell ref="B8:Q8"/>
    <mergeCell ref="B9:Q9"/>
    <mergeCell ref="B10:Q10"/>
    <mergeCell ref="B11:Q11"/>
    <mergeCell ref="B12:Q12"/>
    <mergeCell ref="B13:Q13"/>
    <mergeCell ref="B14:Q14"/>
    <mergeCell ref="B15:Q15"/>
    <mergeCell ref="B16:Q16"/>
    <mergeCell ref="B17:Q17"/>
  </mergeCell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49"/>
  <dimension ref="A1:Q30"/>
  <sheetViews>
    <sheetView showGridLines="0" zoomScaleNormal="100" workbookViewId="0">
      <selection sqref="A1:Q1"/>
    </sheetView>
  </sheetViews>
  <sheetFormatPr baseColWidth="10" defaultColWidth="8.7109375" defaultRowHeight="15"/>
  <cols>
    <col min="1" max="1" width="18.5703125" style="1" customWidth="1"/>
    <col min="2" max="2" width="56" style="1" customWidth="1"/>
    <col min="3" max="3" width="20"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322</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
      <c r="E4" s="2"/>
      <c r="F4" s="22"/>
      <c r="G4" s="2"/>
      <c r="H4" s="22"/>
      <c r="I4" s="22"/>
      <c r="J4" s="22"/>
      <c r="K4" s="22"/>
      <c r="L4" s="22"/>
      <c r="M4" s="22"/>
      <c r="N4" s="2"/>
      <c r="O4" s="2"/>
      <c r="P4" s="2"/>
      <c r="Q4" s="22"/>
    </row>
    <row r="5" spans="1:17">
      <c r="A5" s="22"/>
      <c r="B5" s="22"/>
      <c r="C5" s="22"/>
      <c r="D5" s="2"/>
      <c r="E5" s="2"/>
      <c r="F5" s="22"/>
      <c r="G5" s="2"/>
      <c r="H5" s="22"/>
      <c r="I5" s="22"/>
      <c r="J5" s="22"/>
      <c r="K5" s="22"/>
      <c r="L5" s="22"/>
      <c r="M5" s="22"/>
      <c r="N5" s="2"/>
      <c r="O5" s="2"/>
      <c r="P5" s="2"/>
      <c r="Q5" s="22"/>
    </row>
    <row r="6" spans="1:17" ht="15" customHeight="1">
      <c r="A6" s="224" t="s">
        <v>323</v>
      </c>
      <c r="B6" s="22"/>
      <c r="C6" s="22"/>
      <c r="D6" s="2"/>
      <c r="E6" s="2"/>
      <c r="F6" s="22"/>
      <c r="G6" s="2"/>
      <c r="H6" s="22"/>
      <c r="I6" s="22"/>
      <c r="J6" s="22"/>
      <c r="K6" s="22"/>
      <c r="L6" s="22"/>
      <c r="M6" s="22"/>
      <c r="N6" s="2"/>
      <c r="O6" s="2"/>
      <c r="P6" s="2"/>
      <c r="Q6" s="22"/>
    </row>
    <row r="7" spans="1:17">
      <c r="A7" s="22"/>
      <c r="B7" s="22"/>
      <c r="C7" s="22"/>
      <c r="D7" s="2"/>
      <c r="E7" s="2"/>
      <c r="F7" s="22"/>
      <c r="G7" s="2"/>
      <c r="H7" s="22"/>
      <c r="I7" s="22"/>
      <c r="J7" s="22"/>
      <c r="K7" s="22"/>
      <c r="L7" s="22"/>
      <c r="M7" s="22"/>
      <c r="N7" s="2"/>
      <c r="O7" s="2"/>
      <c r="P7" s="2"/>
      <c r="Q7" s="22"/>
    </row>
    <row r="8" spans="1:17" ht="15" customHeight="1">
      <c r="A8" s="219" t="s">
        <v>324</v>
      </c>
      <c r="B8" s="219" t="s">
        <v>325</v>
      </c>
      <c r="C8" s="219" t="s">
        <v>326</v>
      </c>
      <c r="D8" s="219" t="s">
        <v>327</v>
      </c>
      <c r="E8" s="219" t="s">
        <v>44</v>
      </c>
      <c r="F8" s="22"/>
      <c r="G8" s="2"/>
      <c r="H8" s="22"/>
      <c r="I8" s="22"/>
      <c r="J8" s="22"/>
      <c r="K8" s="22"/>
      <c r="L8" s="22"/>
      <c r="M8" s="22"/>
      <c r="N8" s="2"/>
      <c r="O8" s="2"/>
      <c r="P8" s="2"/>
      <c r="Q8" s="22"/>
    </row>
    <row r="9" spans="1:17" ht="15" customHeight="1">
      <c r="A9" s="225" t="s">
        <v>328</v>
      </c>
      <c r="B9" s="226" t="s">
        <v>1712</v>
      </c>
      <c r="C9" s="225">
        <f>M34_DATOS!C23</f>
        <v>63.96</v>
      </c>
      <c r="D9" s="225">
        <v>63.96</v>
      </c>
      <c r="E9" s="227" t="str">
        <f t="shared" ref="E9:E28" si="0">IF(AND(ISNUMBER(C9),ISNUMBER(D9)),IF(ABS(C9-D9)&lt;=0.001,"APROBADO","REVISAR"),IF(EXACT(C9&amp;"",D9&amp;""),"APROBADO","REVISAR"))</f>
        <v>APROBADO</v>
      </c>
      <c r="F9" s="22"/>
      <c r="G9" s="2"/>
      <c r="H9" s="22"/>
      <c r="I9" s="22"/>
      <c r="J9" s="22"/>
      <c r="K9" s="22"/>
      <c r="L9" s="22"/>
      <c r="M9" s="22"/>
      <c r="N9" s="2"/>
      <c r="O9" s="2"/>
      <c r="P9" s="2"/>
      <c r="Q9" s="22"/>
    </row>
    <row r="10" spans="1:17" ht="15" customHeight="1">
      <c r="A10" s="225" t="s">
        <v>328</v>
      </c>
      <c r="B10" s="226" t="s">
        <v>1713</v>
      </c>
      <c r="C10" s="225">
        <f>M34_CALCULO!C9</f>
        <v>1751.5360000000001</v>
      </c>
      <c r="D10" s="225">
        <v>1751.5360000000001</v>
      </c>
      <c r="E10" s="227" t="str">
        <f t="shared" si="0"/>
        <v>APROBADO</v>
      </c>
      <c r="F10" s="22"/>
      <c r="G10" s="2"/>
      <c r="H10" s="22"/>
      <c r="I10" s="22"/>
      <c r="J10" s="22"/>
      <c r="K10" s="22"/>
      <c r="L10" s="22"/>
      <c r="M10" s="22"/>
      <c r="N10" s="2"/>
      <c r="O10" s="2"/>
      <c r="P10" s="2"/>
      <c r="Q10" s="22"/>
    </row>
    <row r="11" spans="1:17" ht="15" customHeight="1">
      <c r="A11" s="225" t="s">
        <v>328</v>
      </c>
      <c r="B11" s="226" t="s">
        <v>1714</v>
      </c>
      <c r="C11" s="225">
        <f>M34_CALCULO!C13</f>
        <v>1712.5</v>
      </c>
      <c r="D11" s="225">
        <v>1712.5</v>
      </c>
      <c r="E11" s="227" t="str">
        <f t="shared" si="0"/>
        <v>APROBADO</v>
      </c>
      <c r="F11" s="22"/>
      <c r="G11" s="2"/>
      <c r="H11" s="22"/>
      <c r="I11" s="22"/>
      <c r="J11" s="22"/>
      <c r="K11" s="22"/>
      <c r="L11" s="22"/>
      <c r="M11" s="22"/>
      <c r="N11" s="2"/>
      <c r="O11" s="2"/>
      <c r="P11" s="2"/>
      <c r="Q11" s="22"/>
    </row>
    <row r="12" spans="1:17" ht="15" customHeight="1">
      <c r="A12" s="225" t="s">
        <v>328</v>
      </c>
      <c r="B12" s="226" t="s">
        <v>1715</v>
      </c>
      <c r="C12" s="225">
        <f>M34_CALCULO!C14</f>
        <v>39.036000000000058</v>
      </c>
      <c r="D12" s="225">
        <v>39.036000000000001</v>
      </c>
      <c r="E12" s="227" t="str">
        <f t="shared" si="0"/>
        <v>APROBADO</v>
      </c>
      <c r="F12" s="22"/>
      <c r="G12" s="2"/>
      <c r="H12" s="22"/>
      <c r="I12" s="22"/>
      <c r="J12" s="22"/>
      <c r="K12" s="22"/>
      <c r="L12" s="22"/>
      <c r="M12" s="22"/>
      <c r="N12" s="2"/>
      <c r="O12" s="2"/>
      <c r="P12" s="2"/>
      <c r="Q12" s="22"/>
    </row>
    <row r="13" spans="1:17" ht="15" customHeight="1">
      <c r="A13" s="225" t="s">
        <v>333</v>
      </c>
      <c r="B13" s="226" t="s">
        <v>1627</v>
      </c>
      <c r="C13" s="225">
        <f>M34_CALCULO!C18</f>
        <v>1937.5</v>
      </c>
      <c r="D13" s="225">
        <v>1937.5</v>
      </c>
      <c r="E13" s="227" t="str">
        <f t="shared" si="0"/>
        <v>APROBADO</v>
      </c>
      <c r="F13" s="22"/>
      <c r="G13" s="2"/>
      <c r="H13" s="22"/>
      <c r="I13" s="22"/>
      <c r="J13" s="22"/>
      <c r="K13" s="22"/>
      <c r="L13" s="22"/>
      <c r="M13" s="22"/>
      <c r="N13" s="2"/>
      <c r="O13" s="2"/>
      <c r="P13" s="2"/>
      <c r="Q13" s="22"/>
    </row>
    <row r="14" spans="1:17" ht="15" customHeight="1">
      <c r="A14" s="225" t="s">
        <v>333</v>
      </c>
      <c r="B14" s="226" t="s">
        <v>1655</v>
      </c>
      <c r="C14" s="225">
        <f>M34_CALCULO!C19</f>
        <v>37.192799999999991</v>
      </c>
      <c r="D14" s="225">
        <v>37.192799999999998</v>
      </c>
      <c r="E14" s="227" t="str">
        <f t="shared" si="0"/>
        <v>APROBADO</v>
      </c>
      <c r="F14" s="22"/>
      <c r="G14" s="2"/>
      <c r="H14" s="22"/>
      <c r="I14" s="22"/>
      <c r="J14" s="22"/>
      <c r="K14" s="22"/>
      <c r="L14" s="22"/>
      <c r="M14" s="22"/>
      <c r="N14" s="2"/>
      <c r="O14" s="2"/>
      <c r="P14" s="2"/>
      <c r="Q14" s="22"/>
    </row>
    <row r="15" spans="1:17" ht="15" customHeight="1">
      <c r="A15" s="225" t="s">
        <v>333</v>
      </c>
      <c r="B15" s="226" t="s">
        <v>1716</v>
      </c>
      <c r="C15" s="225">
        <f>M34_CALCULO!C21</f>
        <v>-7.8072000000000088</v>
      </c>
      <c r="D15" s="225">
        <v>-7.8071999999999999</v>
      </c>
      <c r="E15" s="227" t="str">
        <f t="shared" si="0"/>
        <v>APROBADO</v>
      </c>
      <c r="F15" s="22"/>
      <c r="G15" s="2"/>
      <c r="H15" s="22"/>
      <c r="I15" s="22"/>
      <c r="J15" s="22"/>
      <c r="K15" s="22"/>
      <c r="L15" s="22"/>
      <c r="M15" s="22"/>
      <c r="N15" s="2"/>
      <c r="O15" s="2"/>
      <c r="P15" s="2"/>
      <c r="Q15" s="22"/>
    </row>
    <row r="16" spans="1:17" ht="15" customHeight="1">
      <c r="A16" s="225" t="s">
        <v>336</v>
      </c>
      <c r="B16" s="226" t="s">
        <v>1717</v>
      </c>
      <c r="C16" s="225">
        <f>M34_CALCULO!C25</f>
        <v>45</v>
      </c>
      <c r="D16" s="225">
        <v>45</v>
      </c>
      <c r="E16" s="227" t="str">
        <f t="shared" si="0"/>
        <v>APROBADO</v>
      </c>
      <c r="F16" s="22"/>
      <c r="G16" s="2"/>
      <c r="H16" s="22"/>
      <c r="I16" s="22"/>
      <c r="J16" s="22"/>
      <c r="K16" s="22"/>
      <c r="L16" s="22"/>
      <c r="M16" s="22"/>
      <c r="N16" s="2"/>
      <c r="O16" s="2"/>
      <c r="P16" s="2"/>
      <c r="Q16" s="22"/>
    </row>
    <row r="17" spans="1:17" ht="15" customHeight="1">
      <c r="A17" s="225" t="s">
        <v>336</v>
      </c>
      <c r="B17" s="226" t="s">
        <v>1718</v>
      </c>
      <c r="C17" s="225">
        <f>M34_CALCULO!C25-M34_DATOS!C12</f>
        <v>0</v>
      </c>
      <c r="D17" s="225">
        <v>0</v>
      </c>
      <c r="E17" s="227" t="str">
        <f t="shared" si="0"/>
        <v>APROBADO</v>
      </c>
      <c r="F17" s="22"/>
      <c r="G17" s="2"/>
      <c r="H17" s="22"/>
      <c r="I17" s="22"/>
      <c r="J17" s="22"/>
      <c r="K17" s="22"/>
      <c r="L17" s="22"/>
      <c r="M17" s="22"/>
      <c r="N17" s="2"/>
      <c r="O17" s="2"/>
      <c r="P17" s="2"/>
      <c r="Q17" s="22"/>
    </row>
    <row r="18" spans="1:17" ht="15" customHeight="1">
      <c r="A18" s="225" t="s">
        <v>336</v>
      </c>
      <c r="B18" s="226" t="s">
        <v>1719</v>
      </c>
      <c r="C18" s="225" t="str">
        <f>IF(ISNUMBER(SEARCH("identidad algebraica",M34_CALCULO!C26)),"DECLARA","NO DECLARA")</f>
        <v>DECLARA</v>
      </c>
      <c r="D18" s="225" t="s">
        <v>1720</v>
      </c>
      <c r="E18" s="227" t="str">
        <f t="shared" si="0"/>
        <v>APROBADO</v>
      </c>
      <c r="F18" s="22"/>
      <c r="G18" s="2"/>
      <c r="H18" s="22"/>
      <c r="I18" s="22"/>
      <c r="J18" s="22"/>
      <c r="K18" s="22"/>
      <c r="L18" s="22"/>
      <c r="M18" s="22"/>
      <c r="N18" s="2"/>
      <c r="O18" s="2"/>
      <c r="P18" s="2"/>
      <c r="Q18" s="22"/>
    </row>
    <row r="19" spans="1:17" ht="15" customHeight="1">
      <c r="A19" s="225" t="s">
        <v>342</v>
      </c>
      <c r="B19" s="226" t="s">
        <v>1721</v>
      </c>
      <c r="C19" s="225">
        <f>M34_SENSIBILIDAD!C23</f>
        <v>4.32</v>
      </c>
      <c r="D19" s="225">
        <v>4.32</v>
      </c>
      <c r="E19" s="227" t="str">
        <f t="shared" si="0"/>
        <v>APROBADO</v>
      </c>
      <c r="F19" s="22"/>
      <c r="G19" s="2"/>
      <c r="H19" s="22"/>
      <c r="I19" s="22"/>
      <c r="J19" s="22"/>
      <c r="K19" s="22"/>
      <c r="L19" s="22"/>
      <c r="M19" s="22"/>
      <c r="N19" s="2"/>
      <c r="O19" s="2"/>
      <c r="P19" s="2"/>
      <c r="Q19" s="22"/>
    </row>
    <row r="20" spans="1:17" ht="15" customHeight="1">
      <c r="A20" s="225" t="s">
        <v>342</v>
      </c>
      <c r="B20" s="226" t="s">
        <v>1722</v>
      </c>
      <c r="C20" s="225">
        <f>M34_SENSIBILIDAD!C24</f>
        <v>3.5423999999999998</v>
      </c>
      <c r="D20" s="225">
        <v>3.5424000000000002</v>
      </c>
      <c r="E20" s="227" t="str">
        <f t="shared" si="0"/>
        <v>APROBADO</v>
      </c>
      <c r="F20" s="22"/>
      <c r="G20" s="2"/>
      <c r="H20" s="22"/>
      <c r="I20" s="22"/>
      <c r="J20" s="22"/>
      <c r="K20" s="22"/>
      <c r="L20" s="22"/>
      <c r="M20" s="22"/>
      <c r="N20" s="2"/>
      <c r="O20" s="2"/>
      <c r="P20" s="2"/>
      <c r="Q20" s="22"/>
    </row>
    <row r="21" spans="1:17" ht="15" customHeight="1">
      <c r="A21" s="225" t="s">
        <v>342</v>
      </c>
      <c r="B21" s="226" t="s">
        <v>1723</v>
      </c>
      <c r="C21" s="228">
        <f>M34_SENSIBILIDAD!D12</f>
        <v>23.023199999999953</v>
      </c>
      <c r="D21" s="225">
        <v>23.023199999999999</v>
      </c>
      <c r="E21" s="227" t="str">
        <f t="shared" si="0"/>
        <v>APROBADO</v>
      </c>
      <c r="F21" s="22"/>
      <c r="G21" s="2"/>
      <c r="H21" s="22"/>
      <c r="I21" s="22"/>
      <c r="J21" s="22"/>
      <c r="K21" s="22"/>
      <c r="L21" s="22"/>
      <c r="M21" s="22"/>
      <c r="N21" s="2"/>
      <c r="O21" s="2"/>
      <c r="P21" s="2"/>
      <c r="Q21" s="22"/>
    </row>
    <row r="22" spans="1:17" ht="15" customHeight="1">
      <c r="A22" s="225" t="s">
        <v>342</v>
      </c>
      <c r="B22" s="226" t="s">
        <v>1724</v>
      </c>
      <c r="C22" s="228">
        <f>M34_SENSIBILIDAD!D20</f>
        <v>51.36239999999998</v>
      </c>
      <c r="D22" s="225">
        <v>51.362400000000001</v>
      </c>
      <c r="E22" s="227" t="str">
        <f t="shared" si="0"/>
        <v>APROBADO</v>
      </c>
      <c r="F22" s="22"/>
      <c r="G22" s="2"/>
      <c r="H22" s="22"/>
      <c r="I22" s="22"/>
      <c r="J22" s="22"/>
      <c r="K22" s="22"/>
      <c r="L22" s="22"/>
      <c r="M22" s="22"/>
      <c r="N22" s="2"/>
      <c r="O22" s="2"/>
      <c r="P22" s="2"/>
      <c r="Q22" s="22"/>
    </row>
    <row r="23" spans="1:17" ht="15" customHeight="1">
      <c r="A23" s="225" t="s">
        <v>342</v>
      </c>
      <c r="B23" s="226" t="s">
        <v>1725</v>
      </c>
      <c r="C23" s="225" t="str">
        <f>IF(M34_SENSIBILIDAD!D20-M34_SENSIBILIDAD!D12&gt;28,"AMPLIO","ESTRECHO")</f>
        <v>AMPLIO</v>
      </c>
      <c r="D23" s="225" t="s">
        <v>1726</v>
      </c>
      <c r="E23" s="227" t="str">
        <f t="shared" si="0"/>
        <v>APROBADO</v>
      </c>
      <c r="F23" s="22"/>
      <c r="G23" s="2"/>
      <c r="H23" s="22"/>
      <c r="I23" s="22"/>
      <c r="J23" s="22"/>
      <c r="K23" s="22"/>
      <c r="L23" s="22"/>
      <c r="M23" s="22"/>
      <c r="N23" s="2"/>
      <c r="O23" s="2"/>
      <c r="P23" s="2"/>
      <c r="Q23" s="22"/>
    </row>
    <row r="24" spans="1:17" ht="15" customHeight="1">
      <c r="A24" s="225" t="s">
        <v>342</v>
      </c>
      <c r="B24" s="226" t="s">
        <v>1727</v>
      </c>
      <c r="C24" s="225">
        <f>M34_SENSIBILIDAD!D16-M34_CALCULO!C19</f>
        <v>0</v>
      </c>
      <c r="D24" s="225">
        <v>0</v>
      </c>
      <c r="E24" s="227" t="str">
        <f t="shared" si="0"/>
        <v>APROBADO</v>
      </c>
      <c r="F24" s="22"/>
      <c r="G24" s="2"/>
      <c r="H24" s="22"/>
      <c r="I24" s="22"/>
      <c r="J24" s="22"/>
      <c r="K24" s="22"/>
      <c r="L24" s="22"/>
      <c r="M24" s="22"/>
      <c r="N24" s="2"/>
      <c r="O24" s="2"/>
      <c r="P24" s="2"/>
      <c r="Q24" s="22"/>
    </row>
    <row r="25" spans="1:17" ht="15" customHeight="1">
      <c r="A25" s="225" t="s">
        <v>348</v>
      </c>
      <c r="B25" s="226" t="s">
        <v>1728</v>
      </c>
      <c r="C25" s="225" t="str">
        <f>IF(AND(M34_CALCULO!C19&gt;=M34_u_edadMin,M34_CALCULO!C19&lt;=M34_u_edadMax),"DENTRO","FUERA")</f>
        <v>DENTRO</v>
      </c>
      <c r="D25" s="225" t="s">
        <v>363</v>
      </c>
      <c r="E25" s="227" t="str">
        <f t="shared" si="0"/>
        <v>APROBADO</v>
      </c>
      <c r="F25" s="22"/>
      <c r="G25" s="2"/>
      <c r="H25" s="22"/>
      <c r="I25" s="22"/>
      <c r="J25" s="22"/>
      <c r="K25" s="22"/>
      <c r="L25" s="22"/>
      <c r="M25" s="22"/>
      <c r="N25" s="2"/>
      <c r="O25" s="2"/>
      <c r="P25" s="2"/>
      <c r="Q25" s="22"/>
    </row>
    <row r="26" spans="1:17" ht="15" customHeight="1">
      <c r="A26" s="225" t="s">
        <v>348</v>
      </c>
      <c r="B26" s="226" t="s">
        <v>1729</v>
      </c>
      <c r="C26" s="225" t="str">
        <f>IF(ISNUMBER(SEARCH("no como años de menos",M34_INTERPRETACION!C15)),"CORRECTA","REVISAR")</f>
        <v>CORRECTA</v>
      </c>
      <c r="D26" s="225" t="s">
        <v>1730</v>
      </c>
      <c r="E26" s="227" t="str">
        <f t="shared" si="0"/>
        <v>APROBADO</v>
      </c>
      <c r="F26" s="22"/>
      <c r="G26" s="2"/>
      <c r="H26" s="22"/>
      <c r="I26" s="22"/>
      <c r="J26" s="22"/>
      <c r="K26" s="22"/>
      <c r="L26" s="22"/>
      <c r="M26" s="22"/>
      <c r="N26" s="2"/>
      <c r="O26" s="2"/>
      <c r="P26" s="2"/>
      <c r="Q26" s="22"/>
    </row>
    <row r="27" spans="1:17" ht="15" customHeight="1">
      <c r="A27" s="225" t="s">
        <v>360</v>
      </c>
      <c r="B27" s="226" t="s">
        <v>368</v>
      </c>
      <c r="C27" s="225" t="str">
        <f>IF(ISNUMBER(""),"NUMERO","ND")</f>
        <v>ND</v>
      </c>
      <c r="D27" s="225" t="s">
        <v>369</v>
      </c>
      <c r="E27" s="227" t="str">
        <f t="shared" si="0"/>
        <v>APROBADO</v>
      </c>
      <c r="F27" s="22"/>
      <c r="G27" s="2"/>
      <c r="H27" s="22"/>
      <c r="I27" s="22"/>
      <c r="J27" s="22"/>
      <c r="K27" s="22"/>
      <c r="L27" s="22"/>
      <c r="M27" s="22"/>
      <c r="N27" s="2"/>
      <c r="O27" s="2"/>
      <c r="P27" s="2"/>
      <c r="Q27" s="22"/>
    </row>
    <row r="28" spans="1:17" ht="15" customHeight="1">
      <c r="A28" s="225" t="s">
        <v>360</v>
      </c>
      <c r="B28" s="226" t="s">
        <v>1731</v>
      </c>
      <c r="C28" s="225" t="str">
        <f>IF(ISNUMBER(M34_DATOS!C23),"HAY DATO","ND")</f>
        <v>HAY DATO</v>
      </c>
      <c r="D28" s="225" t="s">
        <v>1732</v>
      </c>
      <c r="E28" s="227" t="str">
        <f t="shared" si="0"/>
        <v>APROBADO</v>
      </c>
      <c r="F28" s="22"/>
      <c r="G28" s="2"/>
      <c r="H28" s="22"/>
      <c r="I28" s="22"/>
      <c r="J28" s="22"/>
      <c r="K28" s="22"/>
      <c r="L28" s="22"/>
      <c r="M28" s="22"/>
      <c r="N28" s="2"/>
      <c r="O28" s="2"/>
      <c r="P28" s="2"/>
      <c r="Q28" s="22"/>
    </row>
    <row r="29" spans="1:17">
      <c r="A29" s="22"/>
      <c r="B29" s="22"/>
      <c r="C29" s="22"/>
      <c r="D29" s="2"/>
      <c r="E29" s="2"/>
      <c r="F29" s="22"/>
      <c r="G29" s="2"/>
      <c r="H29" s="22"/>
      <c r="I29" s="22"/>
      <c r="J29" s="22"/>
      <c r="K29" s="22"/>
      <c r="L29" s="22"/>
      <c r="M29" s="22"/>
      <c r="N29" s="2"/>
      <c r="O29" s="2"/>
      <c r="P29" s="2"/>
      <c r="Q29" s="22"/>
    </row>
    <row r="30" spans="1:17" ht="15" customHeight="1">
      <c r="A30" s="229" t="s">
        <v>370</v>
      </c>
      <c r="B30" s="230" t="s">
        <v>371</v>
      </c>
      <c r="C30" s="229">
        <f>COUNTIF(E9:E28,"APROBADO")</f>
        <v>20</v>
      </c>
      <c r="D30" s="229">
        <f>COUNTA(E9:E28)</f>
        <v>20</v>
      </c>
      <c r="E30" s="229" t="str">
        <f>IF(C30=D30,"TODAS APROBADAS","HAY PRUEBAS POR REVISAR")</f>
        <v>TODAS APROBADAS</v>
      </c>
      <c r="F30" s="22"/>
      <c r="G30" s="2"/>
      <c r="H30" s="22"/>
      <c r="I30" s="22"/>
      <c r="J30" s="22"/>
      <c r="K30" s="22"/>
      <c r="L30" s="22"/>
      <c r="M30" s="22"/>
      <c r="N30" s="2"/>
      <c r="O30" s="2"/>
      <c r="P30" s="2"/>
      <c r="Q30" s="22"/>
    </row>
  </sheetData>
  <sheetProtection algorithmName="SHA-512" hashValue="ISXz9s1TThWO8pOGnBSVqBFOpgcwN7ru8ku97yrdxdTh4Z/LyBMvYMPgORiCW7KHgW1CVZX1rsqS9r6HqnX1uQ==" saltValue="v1A0pMjxDtpH9aWdYSM0xw==" spinCount="100000" sheet="1" objects="1" scenarios="1"/>
  <mergeCells count="3">
    <mergeCell ref="A1:Q1"/>
    <mergeCell ref="A2:Q3"/>
    <mergeCell ref="A4:B4"/>
  </mergeCell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Hoja50"/>
  <dimension ref="A1:Q38"/>
  <sheetViews>
    <sheetView showGridLines="0" zoomScaleNormal="100" workbookViewId="0">
      <selection sqref="A1:Q1"/>
    </sheetView>
  </sheetViews>
  <sheetFormatPr baseColWidth="10" defaultColWidth="8.7109375" defaultRowHeight="15"/>
  <cols>
    <col min="1" max="1" width="44" style="1" customWidth="1"/>
    <col min="2" max="2" width="15" style="1" customWidth="1"/>
    <col min="3" max="3" width="12" style="1" customWidth="1"/>
    <col min="4" max="4" width="14" style="1" customWidth="1"/>
    <col min="5" max="5"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1733</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2"/>
      <c r="E4" s="22"/>
      <c r="F4" s="22"/>
      <c r="G4" s="2"/>
      <c r="H4" s="22"/>
      <c r="I4" s="22"/>
      <c r="J4" s="22"/>
      <c r="K4" s="22"/>
      <c r="L4" s="22"/>
      <c r="M4" s="22"/>
      <c r="N4" s="2"/>
      <c r="O4" s="2"/>
      <c r="P4" s="2"/>
      <c r="Q4" s="22"/>
    </row>
    <row r="5" spans="1:17">
      <c r="A5" s="22"/>
      <c r="B5" s="22"/>
      <c r="C5" s="22"/>
      <c r="D5" s="22"/>
      <c r="E5" s="22"/>
      <c r="F5" s="22"/>
      <c r="G5" s="2"/>
      <c r="H5" s="22"/>
      <c r="I5" s="22"/>
      <c r="J5" s="22"/>
      <c r="K5" s="22"/>
      <c r="L5" s="22"/>
      <c r="M5" s="22"/>
      <c r="N5" s="2"/>
      <c r="O5" s="2"/>
      <c r="P5" s="2"/>
      <c r="Q5" s="22"/>
    </row>
    <row r="6" spans="1:17" ht="19.5" customHeight="1">
      <c r="A6" s="452" t="s">
        <v>1734</v>
      </c>
      <c r="B6" s="452"/>
      <c r="C6" s="452"/>
      <c r="D6" s="452"/>
      <c r="E6" s="452"/>
      <c r="F6" s="452"/>
      <c r="G6" s="452"/>
      <c r="H6" s="452"/>
      <c r="I6" s="452"/>
      <c r="J6" s="452"/>
      <c r="K6" s="452"/>
      <c r="L6" s="452"/>
      <c r="M6" s="452"/>
      <c r="N6" s="452"/>
      <c r="O6" s="452"/>
      <c r="P6" s="452"/>
      <c r="Q6" s="452"/>
    </row>
    <row r="7" spans="1:17" ht="15" customHeight="1">
      <c r="A7" s="479" t="s">
        <v>1735</v>
      </c>
      <c r="B7" s="479"/>
      <c r="C7" s="479"/>
      <c r="D7" s="479"/>
      <c r="E7" s="479"/>
      <c r="F7" s="479"/>
      <c r="G7" s="479"/>
      <c r="H7" s="479"/>
      <c r="I7" s="479"/>
      <c r="J7" s="479"/>
      <c r="K7" s="479"/>
      <c r="L7" s="479"/>
      <c r="M7" s="479"/>
      <c r="N7" s="479"/>
      <c r="O7" s="479"/>
      <c r="P7" s="479"/>
      <c r="Q7" s="479"/>
    </row>
    <row r="8" spans="1:17" ht="18" customHeight="1">
      <c r="A8" s="219" t="s">
        <v>1736</v>
      </c>
      <c r="B8" s="219" t="s">
        <v>16</v>
      </c>
      <c r="C8" s="480" t="s">
        <v>1737</v>
      </c>
      <c r="D8" s="480"/>
      <c r="E8" s="480"/>
      <c r="F8" s="480"/>
      <c r="G8" s="480"/>
      <c r="H8" s="480"/>
      <c r="I8" s="480"/>
      <c r="J8" s="480"/>
      <c r="K8" s="480"/>
      <c r="L8" s="480"/>
      <c r="M8" s="480"/>
      <c r="N8" s="480"/>
      <c r="O8" s="480"/>
      <c r="P8" s="480"/>
      <c r="Q8" s="480"/>
    </row>
    <row r="9" spans="1:17" ht="15" customHeight="1">
      <c r="A9" s="231" t="s">
        <v>1738</v>
      </c>
      <c r="B9" s="233">
        <v>10</v>
      </c>
      <c r="C9" s="478" t="s">
        <v>1739</v>
      </c>
      <c r="D9" s="478"/>
      <c r="E9" s="478"/>
      <c r="F9" s="478"/>
      <c r="G9" s="478"/>
      <c r="H9" s="478"/>
      <c r="I9" s="478"/>
      <c r="J9" s="478"/>
      <c r="K9" s="478"/>
      <c r="L9" s="478"/>
      <c r="M9" s="478"/>
      <c r="N9" s="478"/>
      <c r="O9" s="478"/>
      <c r="P9" s="478"/>
      <c r="Q9" s="478"/>
    </row>
    <row r="10" spans="1:17" ht="15" customHeight="1">
      <c r="A10" s="231" t="s">
        <v>1740</v>
      </c>
      <c r="B10" s="233">
        <v>6.25</v>
      </c>
      <c r="C10" s="478" t="s">
        <v>1741</v>
      </c>
      <c r="D10" s="478"/>
      <c r="E10" s="478"/>
      <c r="F10" s="478"/>
      <c r="G10" s="478"/>
      <c r="H10" s="478"/>
      <c r="I10" s="478"/>
      <c r="J10" s="478"/>
      <c r="K10" s="478"/>
      <c r="L10" s="478"/>
      <c r="M10" s="478"/>
      <c r="N10" s="478"/>
      <c r="O10" s="478"/>
      <c r="P10" s="478"/>
      <c r="Q10" s="478"/>
    </row>
    <row r="11" spans="1:17" ht="15" customHeight="1">
      <c r="A11" s="231" t="s">
        <v>1742</v>
      </c>
      <c r="B11" s="233">
        <v>-5</v>
      </c>
      <c r="C11" s="478" t="s">
        <v>1743</v>
      </c>
      <c r="D11" s="478"/>
      <c r="E11" s="478"/>
      <c r="F11" s="478"/>
      <c r="G11" s="478"/>
      <c r="H11" s="478"/>
      <c r="I11" s="478"/>
      <c r="J11" s="478"/>
      <c r="K11" s="478"/>
      <c r="L11" s="478"/>
      <c r="M11" s="478"/>
      <c r="N11" s="478"/>
      <c r="O11" s="478"/>
      <c r="P11" s="478"/>
      <c r="Q11" s="478"/>
    </row>
    <row r="12" spans="1:17" ht="15" customHeight="1">
      <c r="A12" s="231" t="s">
        <v>1744</v>
      </c>
      <c r="B12" s="233">
        <v>5</v>
      </c>
      <c r="C12" s="478" t="s">
        <v>1745</v>
      </c>
      <c r="D12" s="478"/>
      <c r="E12" s="478"/>
      <c r="F12" s="478"/>
      <c r="G12" s="478"/>
      <c r="H12" s="478"/>
      <c r="I12" s="478"/>
      <c r="J12" s="478"/>
      <c r="K12" s="478"/>
      <c r="L12" s="478"/>
      <c r="M12" s="478"/>
      <c r="N12" s="478"/>
      <c r="O12" s="478"/>
      <c r="P12" s="478"/>
      <c r="Q12" s="478"/>
    </row>
    <row r="13" spans="1:17" ht="15" customHeight="1">
      <c r="A13" s="231" t="s">
        <v>1746</v>
      </c>
      <c r="B13" s="233">
        <v>-161</v>
      </c>
      <c r="C13" s="478" t="s">
        <v>1745</v>
      </c>
      <c r="D13" s="478"/>
      <c r="E13" s="478"/>
      <c r="F13" s="478"/>
      <c r="G13" s="478"/>
      <c r="H13" s="478"/>
      <c r="I13" s="478"/>
      <c r="J13" s="478"/>
      <c r="K13" s="478"/>
      <c r="L13" s="478"/>
      <c r="M13" s="478"/>
      <c r="N13" s="478"/>
      <c r="O13" s="478"/>
      <c r="P13" s="478"/>
      <c r="Q13" s="478"/>
    </row>
    <row r="14" spans="1:17">
      <c r="A14" s="22"/>
      <c r="B14" s="22"/>
      <c r="C14" s="22"/>
      <c r="D14" s="22"/>
      <c r="E14" s="22"/>
      <c r="F14" s="22"/>
      <c r="G14" s="2"/>
      <c r="H14" s="22"/>
      <c r="I14" s="22"/>
      <c r="J14" s="22"/>
      <c r="K14" s="22"/>
      <c r="L14" s="22"/>
      <c r="M14" s="22"/>
      <c r="N14" s="2"/>
      <c r="O14" s="2"/>
      <c r="P14" s="2"/>
      <c r="Q14" s="22"/>
    </row>
    <row r="15" spans="1:17" ht="19.5" customHeight="1">
      <c r="A15" s="452" t="s">
        <v>1747</v>
      </c>
      <c r="B15" s="452"/>
      <c r="C15" s="452"/>
      <c r="D15" s="452"/>
      <c r="E15" s="452"/>
      <c r="F15" s="452"/>
      <c r="G15" s="452"/>
      <c r="H15" s="452"/>
      <c r="I15" s="452"/>
      <c r="J15" s="452"/>
      <c r="K15" s="452"/>
      <c r="L15" s="452"/>
      <c r="M15" s="452"/>
      <c r="N15" s="452"/>
      <c r="O15" s="452"/>
      <c r="P15" s="452"/>
      <c r="Q15" s="452"/>
    </row>
    <row r="16" spans="1:17" ht="15" customHeight="1">
      <c r="A16" s="479" t="s">
        <v>1748</v>
      </c>
      <c r="B16" s="479"/>
      <c r="C16" s="479"/>
      <c r="D16" s="479"/>
      <c r="E16" s="479"/>
      <c r="F16" s="479"/>
      <c r="G16" s="479"/>
      <c r="H16" s="479"/>
      <c r="I16" s="479"/>
      <c r="J16" s="479"/>
      <c r="K16" s="479"/>
      <c r="L16" s="479"/>
      <c r="M16" s="479"/>
      <c r="N16" s="479"/>
      <c r="O16" s="479"/>
      <c r="P16" s="479"/>
      <c r="Q16" s="479"/>
    </row>
    <row r="17" spans="1:17" ht="15" customHeight="1">
      <c r="A17" s="475" t="s">
        <v>1749</v>
      </c>
      <c r="B17" s="475"/>
      <c r="C17" s="475"/>
      <c r="D17" s="233">
        <v>370</v>
      </c>
      <c r="E17" s="22"/>
      <c r="F17" s="22"/>
      <c r="G17" s="2"/>
      <c r="H17" s="22"/>
      <c r="I17" s="22"/>
      <c r="J17" s="22"/>
      <c r="K17" s="22"/>
      <c r="L17" s="22"/>
      <c r="M17" s="22"/>
      <c r="N17" s="2"/>
      <c r="O17" s="2"/>
      <c r="P17" s="2"/>
      <c r="Q17" s="22"/>
    </row>
    <row r="18" spans="1:17" ht="15" customHeight="1">
      <c r="A18" s="475" t="s">
        <v>1750</v>
      </c>
      <c r="B18" s="475"/>
      <c r="C18" s="475"/>
      <c r="D18" s="233">
        <v>21.6</v>
      </c>
      <c r="E18" s="22"/>
      <c r="F18" s="22"/>
      <c r="G18" s="2"/>
      <c r="H18" s="22"/>
      <c r="I18" s="22"/>
      <c r="J18" s="22"/>
      <c r="K18" s="22"/>
      <c r="L18" s="22"/>
      <c r="M18" s="22"/>
      <c r="N18" s="2"/>
      <c r="O18" s="2"/>
      <c r="P18" s="2"/>
      <c r="Q18" s="22"/>
    </row>
    <row r="19" spans="1:17">
      <c r="A19" s="22"/>
      <c r="B19" s="22"/>
      <c r="C19" s="22"/>
      <c r="D19" s="22"/>
      <c r="E19" s="22"/>
      <c r="F19" s="22"/>
      <c r="G19" s="2"/>
      <c r="H19" s="22"/>
      <c r="I19" s="22"/>
      <c r="J19" s="22"/>
      <c r="K19" s="22"/>
      <c r="L19" s="22"/>
      <c r="M19" s="22"/>
      <c r="N19" s="2"/>
      <c r="O19" s="2"/>
      <c r="P19" s="2"/>
      <c r="Q19" s="22"/>
    </row>
    <row r="20" spans="1:17" ht="19.5" customHeight="1">
      <c r="A20" s="452" t="s">
        <v>1751</v>
      </c>
      <c r="B20" s="452"/>
      <c r="C20" s="452"/>
      <c r="D20" s="452"/>
      <c r="E20" s="452"/>
      <c r="F20" s="452"/>
      <c r="G20" s="452"/>
      <c r="H20" s="452"/>
      <c r="I20" s="452"/>
      <c r="J20" s="452"/>
      <c r="K20" s="452"/>
      <c r="L20" s="452"/>
      <c r="M20" s="452"/>
      <c r="N20" s="452"/>
      <c r="O20" s="452"/>
      <c r="P20" s="452"/>
      <c r="Q20" s="452"/>
    </row>
    <row r="21" spans="1:17" ht="15" customHeight="1">
      <c r="A21" s="396" t="s">
        <v>1752</v>
      </c>
      <c r="B21" s="396"/>
      <c r="C21" s="396"/>
      <c r="D21" s="232" t="s">
        <v>494</v>
      </c>
      <c r="E21" s="234">
        <v>3</v>
      </c>
      <c r="F21" s="22"/>
      <c r="G21" s="2"/>
      <c r="H21" s="22"/>
      <c r="I21" s="22"/>
      <c r="J21" s="22"/>
      <c r="K21" s="22"/>
      <c r="L21" s="22"/>
      <c r="M21" s="22"/>
      <c r="N21" s="2"/>
      <c r="O21" s="2"/>
      <c r="P21" s="2"/>
      <c r="Q21" s="22"/>
    </row>
    <row r="22" spans="1:17" ht="15" customHeight="1">
      <c r="A22" s="396" t="s">
        <v>1753</v>
      </c>
      <c r="B22" s="396"/>
      <c r="C22" s="396"/>
      <c r="D22" s="232" t="s">
        <v>494</v>
      </c>
      <c r="E22" s="234">
        <v>15</v>
      </c>
      <c r="F22" s="22"/>
      <c r="G22" s="2"/>
      <c r="H22" s="22"/>
      <c r="I22" s="22"/>
      <c r="J22" s="22"/>
      <c r="K22" s="22"/>
      <c r="L22" s="22"/>
      <c r="M22" s="22"/>
      <c r="N22" s="2"/>
      <c r="O22" s="2"/>
      <c r="P22" s="2"/>
      <c r="Q22" s="22"/>
    </row>
    <row r="23" spans="1:17" ht="15" customHeight="1">
      <c r="A23" s="396" t="s">
        <v>1754</v>
      </c>
      <c r="B23" s="396"/>
      <c r="C23" s="396"/>
      <c r="D23" s="232" t="s">
        <v>494</v>
      </c>
      <c r="E23" s="234">
        <v>18</v>
      </c>
      <c r="F23" s="22"/>
      <c r="G23" s="2"/>
      <c r="H23" s="22"/>
      <c r="I23" s="22"/>
      <c r="J23" s="22"/>
      <c r="K23" s="22"/>
      <c r="L23" s="22"/>
      <c r="M23" s="22"/>
      <c r="N23" s="2"/>
      <c r="O23" s="2"/>
      <c r="P23" s="2"/>
      <c r="Q23" s="22"/>
    </row>
    <row r="24" spans="1:17" ht="15" customHeight="1">
      <c r="A24" s="396" t="s">
        <v>1755</v>
      </c>
      <c r="B24" s="396"/>
      <c r="C24" s="396"/>
      <c r="D24" s="232" t="s">
        <v>494</v>
      </c>
      <c r="E24" s="234">
        <v>90</v>
      </c>
      <c r="F24" s="22"/>
      <c r="G24" s="2"/>
      <c r="H24" s="22"/>
      <c r="I24" s="22"/>
      <c r="J24" s="22"/>
      <c r="K24" s="22"/>
      <c r="L24" s="22"/>
      <c r="M24" s="22"/>
      <c r="N24" s="2"/>
      <c r="O24" s="2"/>
      <c r="P24" s="2"/>
      <c r="Q24" s="22"/>
    </row>
    <row r="25" spans="1:17" ht="15" customHeight="1">
      <c r="A25" s="396" t="s">
        <v>387</v>
      </c>
      <c r="B25" s="396"/>
      <c r="C25" s="396"/>
      <c r="D25" s="232" t="s">
        <v>388</v>
      </c>
      <c r="E25" s="234">
        <v>1E-4</v>
      </c>
      <c r="F25" s="22"/>
      <c r="G25" s="2"/>
      <c r="H25" s="22"/>
      <c r="I25" s="22"/>
      <c r="J25" s="22"/>
      <c r="K25" s="22"/>
      <c r="L25" s="22"/>
      <c r="M25" s="22"/>
      <c r="N25" s="2"/>
      <c r="O25" s="2"/>
      <c r="P25" s="2"/>
      <c r="Q25" s="22"/>
    </row>
    <row r="26" spans="1:17" ht="15" customHeight="1">
      <c r="A26" s="476" t="s">
        <v>1756</v>
      </c>
      <c r="B26" s="476"/>
      <c r="C26" s="476"/>
      <c r="D26" s="476"/>
      <c r="E26" s="476"/>
      <c r="F26" s="476"/>
      <c r="G26" s="476"/>
      <c r="H26" s="476"/>
      <c r="I26" s="476"/>
      <c r="J26" s="476"/>
      <c r="K26" s="476"/>
      <c r="L26" s="476"/>
      <c r="M26" s="476"/>
      <c r="N26" s="476"/>
      <c r="O26" s="476"/>
      <c r="P26" s="476"/>
      <c r="Q26" s="476"/>
    </row>
    <row r="27" spans="1:17" ht="15" customHeight="1">
      <c r="A27" s="476"/>
      <c r="B27" s="476"/>
      <c r="C27" s="476"/>
      <c r="D27" s="476"/>
      <c r="E27" s="476"/>
      <c r="F27" s="476"/>
      <c r="G27" s="476"/>
      <c r="H27" s="476"/>
      <c r="I27" s="476"/>
      <c r="J27" s="476"/>
      <c r="K27" s="476"/>
      <c r="L27" s="476"/>
      <c r="M27" s="476"/>
      <c r="N27" s="476"/>
      <c r="O27" s="476"/>
      <c r="P27" s="476"/>
      <c r="Q27" s="476"/>
    </row>
    <row r="28" spans="1:17" ht="15" customHeight="1">
      <c r="A28" s="476"/>
      <c r="B28" s="476"/>
      <c r="C28" s="476"/>
      <c r="D28" s="476"/>
      <c r="E28" s="476"/>
      <c r="F28" s="476"/>
      <c r="G28" s="476"/>
      <c r="H28" s="476"/>
      <c r="I28" s="476"/>
      <c r="J28" s="476"/>
      <c r="K28" s="476"/>
      <c r="L28" s="476"/>
      <c r="M28" s="476"/>
      <c r="N28" s="476"/>
      <c r="O28" s="476"/>
      <c r="P28" s="476"/>
      <c r="Q28" s="476"/>
    </row>
    <row r="29" spans="1:17">
      <c r="A29" s="22"/>
      <c r="B29" s="22"/>
      <c r="C29" s="22"/>
      <c r="D29" s="22"/>
      <c r="E29" s="22"/>
      <c r="F29" s="22"/>
      <c r="G29" s="2"/>
      <c r="H29" s="22"/>
      <c r="I29" s="22"/>
      <c r="J29" s="22"/>
      <c r="K29" s="22"/>
      <c r="L29" s="22"/>
      <c r="M29" s="22"/>
      <c r="N29" s="2"/>
      <c r="O29" s="2"/>
      <c r="P29" s="2"/>
      <c r="Q29" s="22"/>
    </row>
    <row r="30" spans="1:17" ht="19.5" customHeight="1">
      <c r="A30" s="452" t="s">
        <v>412</v>
      </c>
      <c r="B30" s="452"/>
      <c r="C30" s="452"/>
      <c r="D30" s="452"/>
      <c r="E30" s="452"/>
      <c r="F30" s="452"/>
      <c r="G30" s="452"/>
      <c r="H30" s="452"/>
      <c r="I30" s="452"/>
      <c r="J30" s="452"/>
      <c r="K30" s="452"/>
      <c r="L30" s="452"/>
      <c r="M30" s="452"/>
      <c r="N30" s="452"/>
      <c r="O30" s="452"/>
      <c r="P30" s="452"/>
      <c r="Q30" s="452"/>
    </row>
    <row r="31" spans="1:17" ht="15" customHeight="1">
      <c r="A31" s="219" t="s">
        <v>1757</v>
      </c>
      <c r="B31" s="477" t="s">
        <v>1758</v>
      </c>
      <c r="C31" s="477"/>
      <c r="D31" s="219" t="s">
        <v>414</v>
      </c>
      <c r="E31" s="22"/>
      <c r="F31" s="22"/>
      <c r="G31" s="2"/>
      <c r="H31" s="22"/>
      <c r="I31" s="22"/>
      <c r="J31" s="22"/>
      <c r="K31" s="22"/>
      <c r="L31" s="22"/>
      <c r="M31" s="22"/>
      <c r="N31" s="2"/>
      <c r="O31" s="2"/>
      <c r="P31" s="2"/>
      <c r="Q31" s="22"/>
    </row>
    <row r="32" spans="1:17" ht="15" customHeight="1">
      <c r="A32" s="231" t="s">
        <v>1759</v>
      </c>
      <c r="B32" s="475" t="s">
        <v>1606</v>
      </c>
      <c r="C32" s="475"/>
      <c r="D32" s="231" t="s">
        <v>175</v>
      </c>
      <c r="E32" s="22"/>
      <c r="F32" s="22"/>
      <c r="G32" s="2"/>
      <c r="H32" s="22"/>
      <c r="I32" s="22"/>
      <c r="J32" s="22"/>
      <c r="K32" s="22"/>
      <c r="L32" s="22"/>
      <c r="M32" s="22"/>
      <c r="N32" s="2"/>
      <c r="O32" s="2"/>
      <c r="P32" s="2"/>
      <c r="Q32" s="22"/>
    </row>
    <row r="33" spans="1:17" ht="15" customHeight="1">
      <c r="A33" s="231" t="s">
        <v>1600</v>
      </c>
      <c r="B33" s="475" t="s">
        <v>1760</v>
      </c>
      <c r="C33" s="475"/>
      <c r="D33" s="231" t="s">
        <v>201</v>
      </c>
      <c r="E33" s="22"/>
      <c r="F33" s="22"/>
      <c r="G33" s="2"/>
      <c r="H33" s="22"/>
      <c r="I33" s="22"/>
      <c r="J33" s="22"/>
      <c r="K33" s="22"/>
      <c r="L33" s="22"/>
      <c r="M33" s="22"/>
      <c r="N33" s="2"/>
      <c r="O33" s="2"/>
      <c r="P33" s="2"/>
      <c r="Q33" s="22"/>
    </row>
    <row r="34" spans="1:17" ht="15" customHeight="1">
      <c r="A34" s="22"/>
      <c r="B34" s="475" t="s">
        <v>1761</v>
      </c>
      <c r="C34" s="475"/>
      <c r="D34" s="22"/>
      <c r="E34" s="22"/>
      <c r="F34" s="22"/>
      <c r="G34" s="2"/>
      <c r="H34" s="22"/>
      <c r="I34" s="22"/>
      <c r="J34" s="22"/>
      <c r="K34" s="22"/>
      <c r="L34" s="22"/>
      <c r="M34" s="22"/>
      <c r="N34" s="2"/>
      <c r="O34" s="2"/>
      <c r="P34" s="2"/>
      <c r="Q34" s="22"/>
    </row>
    <row r="35" spans="1:17" ht="15" customHeight="1">
      <c r="A35" s="22"/>
      <c r="B35" s="475" t="s">
        <v>1762</v>
      </c>
      <c r="C35" s="475"/>
      <c r="D35" s="22"/>
      <c r="E35" s="22"/>
      <c r="F35" s="22"/>
      <c r="G35" s="2"/>
      <c r="H35" s="22"/>
      <c r="I35" s="22"/>
      <c r="J35" s="22"/>
      <c r="K35" s="22"/>
      <c r="L35" s="22"/>
      <c r="M35" s="22"/>
      <c r="N35" s="2"/>
      <c r="O35" s="2"/>
      <c r="P35" s="2"/>
      <c r="Q35" s="22"/>
    </row>
    <row r="36" spans="1:17">
      <c r="A36" s="22"/>
      <c r="B36" s="22"/>
      <c r="C36" s="22"/>
      <c r="D36" s="22"/>
      <c r="E36" s="22"/>
      <c r="F36" s="22"/>
      <c r="G36" s="2"/>
      <c r="H36" s="22"/>
      <c r="I36" s="22"/>
      <c r="J36" s="22"/>
      <c r="K36" s="22"/>
      <c r="L36" s="22"/>
      <c r="M36" s="22"/>
      <c r="N36" s="2"/>
      <c r="O36" s="2"/>
      <c r="P36" s="2"/>
      <c r="Q36" s="22"/>
    </row>
    <row r="37" spans="1:17">
      <c r="A37" s="22"/>
      <c r="B37" s="22"/>
      <c r="C37" s="22"/>
      <c r="D37" s="22"/>
      <c r="E37" s="22"/>
      <c r="F37" s="22"/>
      <c r="G37" s="2"/>
      <c r="H37" s="22"/>
      <c r="I37" s="22"/>
      <c r="J37" s="22"/>
      <c r="K37" s="22"/>
      <c r="L37" s="22"/>
      <c r="M37" s="22"/>
      <c r="N37" s="2"/>
      <c r="O37" s="2"/>
      <c r="P37" s="2"/>
      <c r="Q37" s="22"/>
    </row>
    <row r="38" spans="1:17" ht="15" customHeight="1">
      <c r="A38" s="22"/>
      <c r="B38" s="22"/>
      <c r="C38" s="22"/>
      <c r="D38" s="22"/>
      <c r="E38" s="22"/>
      <c r="F38" s="22"/>
      <c r="G38" s="231"/>
      <c r="H38" s="22"/>
      <c r="I38" s="22"/>
      <c r="J38" s="22"/>
      <c r="K38" s="22"/>
      <c r="L38" s="22"/>
      <c r="M38" s="22"/>
      <c r="N38" s="2"/>
      <c r="O38" s="2"/>
      <c r="P38" s="2"/>
      <c r="Q38" s="22"/>
    </row>
  </sheetData>
  <sheetProtection algorithmName="SHA-512" hashValue="2zlFyhIFGvt5PCLKZG8Gv4IflwLzUHo1fBueETgVdkzxNz11E36vTd8fVlsAO7sNG1FQDYEHPJcST/bDvSv95A==" saltValue="BN7tmouZtr2Du1vSckAadA==" spinCount="100000" sheet="1" objects="1" scenarios="1"/>
  <mergeCells count="28">
    <mergeCell ref="A1:Q1"/>
    <mergeCell ref="A2:Q3"/>
    <mergeCell ref="A4:B4"/>
    <mergeCell ref="A6:Q6"/>
    <mergeCell ref="A7:Q7"/>
    <mergeCell ref="C8:Q8"/>
    <mergeCell ref="C9:Q9"/>
    <mergeCell ref="C10:Q10"/>
    <mergeCell ref="C11:Q11"/>
    <mergeCell ref="C12:Q12"/>
    <mergeCell ref="C13:Q13"/>
    <mergeCell ref="A15:Q15"/>
    <mergeCell ref="A16:Q16"/>
    <mergeCell ref="A17:C17"/>
    <mergeCell ref="A18:C18"/>
    <mergeCell ref="A20:Q20"/>
    <mergeCell ref="A21:C21"/>
    <mergeCell ref="A22:C22"/>
    <mergeCell ref="A23:C23"/>
    <mergeCell ref="A24:C24"/>
    <mergeCell ref="B33:C33"/>
    <mergeCell ref="B34:C34"/>
    <mergeCell ref="B35:C35"/>
    <mergeCell ref="A25:C25"/>
    <mergeCell ref="A26:Q28"/>
    <mergeCell ref="A30:Q30"/>
    <mergeCell ref="B31:C31"/>
    <mergeCell ref="B32:C32"/>
  </mergeCell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51"/>
  <dimension ref="A1:Q15"/>
  <sheetViews>
    <sheetView showGridLines="0" zoomScaleNormal="100" workbookViewId="0">
      <selection sqref="A1:Q1"/>
    </sheetView>
  </sheetViews>
  <sheetFormatPr baseColWidth="10" defaultColWidth="8.7109375" defaultRowHeight="15"/>
  <cols>
    <col min="1" max="1" width="12" style="1" customWidth="1"/>
    <col min="2" max="2" width="14" style="1" customWidth="1"/>
    <col min="3" max="3" width="12" style="1" customWidth="1"/>
    <col min="4" max="4" width="11" style="1" customWidth="1"/>
    <col min="6" max="6"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3" width="11" style="1" customWidth="1"/>
    <col min="17" max="17" width="12" style="1" customWidth="1"/>
  </cols>
  <sheetData>
    <row r="1" spans="1:17" ht="25.5" customHeight="1">
      <c r="A1" s="455" t="s">
        <v>1565</v>
      </c>
      <c r="B1" s="455"/>
      <c r="C1" s="455"/>
      <c r="D1" s="455"/>
      <c r="E1" s="455"/>
      <c r="F1" s="455"/>
      <c r="G1" s="455"/>
      <c r="H1" s="455"/>
      <c r="I1" s="455"/>
      <c r="J1" s="455"/>
      <c r="K1" s="455"/>
      <c r="L1" s="455"/>
      <c r="M1" s="455"/>
      <c r="N1" s="455"/>
      <c r="O1" s="455"/>
      <c r="P1" s="455"/>
      <c r="Q1" s="455"/>
    </row>
    <row r="2" spans="1:17" ht="15" customHeight="1">
      <c r="A2" s="456" t="s">
        <v>426</v>
      </c>
      <c r="B2" s="456"/>
      <c r="C2" s="456"/>
      <c r="D2" s="456"/>
      <c r="E2" s="456"/>
      <c r="F2" s="456"/>
      <c r="G2" s="456"/>
      <c r="H2" s="456"/>
      <c r="I2" s="456"/>
      <c r="J2" s="456"/>
      <c r="K2" s="456"/>
      <c r="L2" s="456"/>
      <c r="M2" s="456"/>
      <c r="N2" s="456"/>
      <c r="O2" s="456"/>
      <c r="P2" s="456"/>
      <c r="Q2" s="456"/>
    </row>
    <row r="3" spans="1:17" ht="15" customHeight="1">
      <c r="A3" s="456"/>
      <c r="B3" s="456"/>
      <c r="C3" s="456"/>
      <c r="D3" s="456"/>
      <c r="E3" s="456"/>
      <c r="F3" s="456"/>
      <c r="G3" s="456"/>
      <c r="H3" s="456"/>
      <c r="I3" s="456"/>
      <c r="J3" s="456"/>
      <c r="K3" s="456"/>
      <c r="L3" s="456"/>
      <c r="M3" s="456"/>
      <c r="N3" s="456"/>
      <c r="O3" s="456"/>
      <c r="P3" s="456"/>
      <c r="Q3" s="456"/>
    </row>
    <row r="4" spans="1:17" ht="24" customHeight="1">
      <c r="A4" s="321" t="str">
        <f>HYPERLINK("#M34_INICIO!A1","▶  VOLVER A INICIO")</f>
        <v>▶  VOLVER A INICIO</v>
      </c>
      <c r="B4" s="321"/>
      <c r="C4" s="22"/>
      <c r="D4" s="22"/>
      <c r="E4" s="2"/>
      <c r="F4" s="22"/>
      <c r="G4" s="2"/>
      <c r="H4" s="22"/>
      <c r="I4" s="22"/>
      <c r="J4" s="22"/>
      <c r="K4" s="22"/>
      <c r="L4" s="22"/>
      <c r="M4" s="22"/>
      <c r="N4" s="2"/>
      <c r="O4" s="2"/>
      <c r="P4" s="2"/>
      <c r="Q4" s="22"/>
    </row>
    <row r="5" spans="1:17">
      <c r="A5" s="22"/>
      <c r="B5" s="22"/>
      <c r="C5" s="22"/>
      <c r="D5" s="22"/>
      <c r="E5" s="2"/>
      <c r="F5" s="22"/>
      <c r="G5" s="2"/>
      <c r="H5" s="22"/>
      <c r="I5" s="22"/>
      <c r="J5" s="22"/>
      <c r="K5" s="22"/>
      <c r="L5" s="22"/>
      <c r="M5" s="22"/>
      <c r="N5" s="2"/>
      <c r="O5" s="2"/>
      <c r="P5" s="2"/>
      <c r="Q5" s="22"/>
    </row>
    <row r="6" spans="1:17" ht="15" customHeight="1">
      <c r="A6" s="219" t="s">
        <v>1</v>
      </c>
      <c r="B6" s="219" t="s">
        <v>19</v>
      </c>
      <c r="C6" s="481" t="s">
        <v>427</v>
      </c>
      <c r="D6" s="481"/>
      <c r="E6" s="481"/>
      <c r="F6" s="481"/>
      <c r="G6" s="481"/>
      <c r="H6" s="481"/>
      <c r="I6" s="481"/>
      <c r="J6" s="481"/>
      <c r="K6" s="481"/>
      <c r="L6" s="481"/>
      <c r="M6" s="481"/>
      <c r="N6" s="481"/>
      <c r="O6" s="481"/>
      <c r="P6" s="481"/>
      <c r="Q6" s="481"/>
    </row>
    <row r="7" spans="1:17" ht="45.75" customHeight="1">
      <c r="A7" s="235" t="s">
        <v>116</v>
      </c>
      <c r="B7" s="235" t="s">
        <v>117</v>
      </c>
      <c r="C7" s="473" t="s">
        <v>1763</v>
      </c>
      <c r="D7" s="473"/>
      <c r="E7" s="473"/>
      <c r="F7" s="473"/>
      <c r="G7" s="473"/>
      <c r="H7" s="473"/>
      <c r="I7" s="473"/>
      <c r="J7" s="473" t="s">
        <v>429</v>
      </c>
      <c r="K7" s="473"/>
      <c r="L7" s="473"/>
      <c r="M7" s="473"/>
      <c r="N7" s="473"/>
      <c r="O7" s="473"/>
      <c r="P7" s="473"/>
      <c r="Q7" s="473"/>
    </row>
    <row r="8" spans="1:17" ht="45.75" customHeight="1">
      <c r="A8" s="235" t="s">
        <v>116</v>
      </c>
      <c r="B8" s="235" t="s">
        <v>117</v>
      </c>
      <c r="C8" s="473" t="s">
        <v>1764</v>
      </c>
      <c r="D8" s="473"/>
      <c r="E8" s="473"/>
      <c r="F8" s="473"/>
      <c r="G8" s="473"/>
      <c r="H8" s="473"/>
      <c r="I8" s="473"/>
      <c r="J8" s="473" t="s">
        <v>1765</v>
      </c>
      <c r="K8" s="473"/>
      <c r="L8" s="473"/>
      <c r="M8" s="473"/>
      <c r="N8" s="473"/>
      <c r="O8" s="473"/>
      <c r="P8" s="473"/>
      <c r="Q8" s="473"/>
    </row>
    <row r="9" spans="1:17" ht="45.75" customHeight="1">
      <c r="A9" s="235" t="s">
        <v>116</v>
      </c>
      <c r="B9" s="235" t="s">
        <v>117</v>
      </c>
      <c r="C9" s="473" t="s">
        <v>1766</v>
      </c>
      <c r="D9" s="473"/>
      <c r="E9" s="473"/>
      <c r="F9" s="473"/>
      <c r="G9" s="473"/>
      <c r="H9" s="473"/>
      <c r="I9" s="473"/>
      <c r="J9" s="473" t="s">
        <v>1767</v>
      </c>
      <c r="K9" s="473"/>
      <c r="L9" s="473"/>
      <c r="M9" s="473"/>
      <c r="N9" s="473"/>
      <c r="O9" s="473"/>
      <c r="P9" s="473"/>
      <c r="Q9" s="473"/>
    </row>
    <row r="10" spans="1:17" ht="45.75" customHeight="1">
      <c r="A10" s="235" t="s">
        <v>116</v>
      </c>
      <c r="B10" s="235" t="s">
        <v>117</v>
      </c>
      <c r="C10" s="473" t="s">
        <v>1768</v>
      </c>
      <c r="D10" s="473"/>
      <c r="E10" s="473"/>
      <c r="F10" s="473"/>
      <c r="G10" s="473"/>
      <c r="H10" s="473"/>
      <c r="I10" s="473"/>
      <c r="J10" s="473" t="s">
        <v>1769</v>
      </c>
      <c r="K10" s="473"/>
      <c r="L10" s="473"/>
      <c r="M10" s="473"/>
      <c r="N10" s="473"/>
      <c r="O10" s="473"/>
      <c r="P10" s="473"/>
      <c r="Q10" s="473"/>
    </row>
    <row r="11" spans="1:17" ht="45.75" customHeight="1">
      <c r="A11" s="235" t="s">
        <v>116</v>
      </c>
      <c r="B11" s="235" t="s">
        <v>117</v>
      </c>
      <c r="C11" s="473" t="s">
        <v>1770</v>
      </c>
      <c r="D11" s="473"/>
      <c r="E11" s="473"/>
      <c r="F11" s="473"/>
      <c r="G11" s="473"/>
      <c r="H11" s="473"/>
      <c r="I11" s="473"/>
      <c r="J11" s="473" t="s">
        <v>1771</v>
      </c>
      <c r="K11" s="473"/>
      <c r="L11" s="473"/>
      <c r="M11" s="473"/>
      <c r="N11" s="473"/>
      <c r="O11" s="473"/>
      <c r="P11" s="473"/>
      <c r="Q11" s="473"/>
    </row>
    <row r="12" spans="1:17" ht="45.75" customHeight="1">
      <c r="A12" s="235" t="s">
        <v>116</v>
      </c>
      <c r="B12" s="235" t="s">
        <v>117</v>
      </c>
      <c r="C12" s="473" t="s">
        <v>1772</v>
      </c>
      <c r="D12" s="473"/>
      <c r="E12" s="473"/>
      <c r="F12" s="473"/>
      <c r="G12" s="473"/>
      <c r="H12" s="473"/>
      <c r="I12" s="473"/>
      <c r="J12" s="473" t="s">
        <v>1773</v>
      </c>
      <c r="K12" s="473"/>
      <c r="L12" s="473"/>
      <c r="M12" s="473"/>
      <c r="N12" s="473"/>
      <c r="O12" s="473"/>
      <c r="P12" s="473"/>
      <c r="Q12" s="473"/>
    </row>
    <row r="13" spans="1:17" ht="45.75" customHeight="1">
      <c r="A13" s="235" t="s">
        <v>116</v>
      </c>
      <c r="B13" s="235" t="s">
        <v>117</v>
      </c>
      <c r="C13" s="473" t="s">
        <v>1774</v>
      </c>
      <c r="D13" s="473"/>
      <c r="E13" s="473"/>
      <c r="F13" s="473"/>
      <c r="G13" s="473"/>
      <c r="H13" s="473"/>
      <c r="I13" s="473"/>
      <c r="J13" s="473" t="s">
        <v>1775</v>
      </c>
      <c r="K13" s="473"/>
      <c r="L13" s="473"/>
      <c r="M13" s="473"/>
      <c r="N13" s="473"/>
      <c r="O13" s="473"/>
      <c r="P13" s="473"/>
      <c r="Q13" s="473"/>
    </row>
    <row r="14" spans="1:17" ht="45.75" customHeight="1">
      <c r="A14" s="235" t="s">
        <v>116</v>
      </c>
      <c r="B14" s="235" t="s">
        <v>117</v>
      </c>
      <c r="C14" s="473" t="s">
        <v>442</v>
      </c>
      <c r="D14" s="473"/>
      <c r="E14" s="473"/>
      <c r="F14" s="473"/>
      <c r="G14" s="473"/>
      <c r="H14" s="473"/>
      <c r="I14" s="473"/>
      <c r="J14" s="473" t="s">
        <v>443</v>
      </c>
      <c r="K14" s="473"/>
      <c r="L14" s="473"/>
      <c r="M14" s="473"/>
      <c r="N14" s="473"/>
      <c r="O14" s="473"/>
      <c r="P14" s="473"/>
      <c r="Q14" s="473"/>
    </row>
    <row r="15" spans="1:17" ht="189" customHeight="1">
      <c r="A15" s="235" t="s">
        <v>444</v>
      </c>
      <c r="B15" s="235" t="s">
        <v>445</v>
      </c>
      <c r="C15" s="236" t="s">
        <v>1776</v>
      </c>
      <c r="D15" s="22"/>
      <c r="E15" s="2"/>
      <c r="F15" s="22"/>
      <c r="G15" s="2"/>
      <c r="H15" s="22"/>
      <c r="I15" s="22"/>
      <c r="J15" s="22"/>
      <c r="K15" s="22"/>
      <c r="L15" s="22"/>
      <c r="M15" s="22"/>
      <c r="N15" s="2"/>
      <c r="O15" s="2"/>
      <c r="P15" s="2"/>
      <c r="Q15" s="22"/>
    </row>
  </sheetData>
  <sheetProtection algorithmName="SHA-512" hashValue="lwh8as0Oi4kAfqhYDPvoYcevQn+4huiu7ayHXCBQMltGUGyXg5Iipw9OOLCjlcu8GcH2rXwGEXV0HaT9icHWlg==" saltValue="5qp1hwEdM4zzFW7sR+CP+g==" spinCount="100000" sheet="1" objects="1" scenarios="1"/>
  <mergeCells count="20">
    <mergeCell ref="A1:Q1"/>
    <mergeCell ref="A2:Q3"/>
    <mergeCell ref="A4:B4"/>
    <mergeCell ref="C6:Q6"/>
    <mergeCell ref="C7:I7"/>
    <mergeCell ref="J7:Q7"/>
    <mergeCell ref="C8:I8"/>
    <mergeCell ref="J8:Q8"/>
    <mergeCell ref="C9:I9"/>
    <mergeCell ref="J9:Q9"/>
    <mergeCell ref="C10:I10"/>
    <mergeCell ref="J10:Q10"/>
    <mergeCell ref="C14:I14"/>
    <mergeCell ref="J14:Q14"/>
    <mergeCell ref="C11:I11"/>
    <mergeCell ref="J11:Q11"/>
    <mergeCell ref="C12:I12"/>
    <mergeCell ref="J12:Q12"/>
    <mergeCell ref="C13:I13"/>
    <mergeCell ref="J13:Q13"/>
  </mergeCell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Hoja52"/>
  <dimension ref="A1:B51"/>
  <sheetViews>
    <sheetView showGridLines="0" zoomScaleNormal="100" workbookViewId="0"/>
  </sheetViews>
  <sheetFormatPr baseColWidth="10" defaultColWidth="8.7109375" defaultRowHeight="15"/>
  <cols>
    <col min="1" max="1" width="22" customWidth="1"/>
    <col min="2" max="2" width="70" customWidth="1"/>
  </cols>
  <sheetData>
    <row r="1" spans="1:2" ht="20.25">
      <c r="A1" s="237" t="s">
        <v>1777</v>
      </c>
      <c r="B1" s="2"/>
    </row>
    <row r="2" spans="1:2">
      <c r="A2" s="238" t="s">
        <v>1778</v>
      </c>
      <c r="B2" s="2"/>
    </row>
    <row r="3" spans="1:2">
      <c r="A3" s="2"/>
      <c r="B3" s="2"/>
    </row>
    <row r="4" spans="1:2">
      <c r="A4" s="2"/>
      <c r="B4" s="2"/>
    </row>
    <row r="5" spans="1:2">
      <c r="A5" s="2"/>
      <c r="B5" s="2"/>
    </row>
    <row r="6" spans="1:2">
      <c r="A6" s="7" t="s">
        <v>1779</v>
      </c>
      <c r="B6" s="7" t="s">
        <v>1780</v>
      </c>
    </row>
    <row r="7" spans="1:2">
      <c r="A7" s="239" t="s">
        <v>1781</v>
      </c>
      <c r="B7" s="239" t="s">
        <v>1782</v>
      </c>
    </row>
    <row r="8" spans="1:2">
      <c r="A8" s="239" t="s">
        <v>1783</v>
      </c>
      <c r="B8" s="239" t="s">
        <v>1784</v>
      </c>
    </row>
    <row r="9" spans="1:2">
      <c r="A9" s="239" t="s">
        <v>1785</v>
      </c>
      <c r="B9" s="239" t="s">
        <v>1786</v>
      </c>
    </row>
    <row r="10" spans="1:2">
      <c r="A10" s="239" t="s">
        <v>1787</v>
      </c>
      <c r="B10" s="239" t="s">
        <v>1788</v>
      </c>
    </row>
    <row r="11" spans="1:2">
      <c r="A11" s="239" t="s">
        <v>1789</v>
      </c>
      <c r="B11" s="239" t="s">
        <v>1790</v>
      </c>
    </row>
    <row r="12" spans="1:2">
      <c r="A12" s="239" t="s">
        <v>1791</v>
      </c>
      <c r="B12" s="239" t="s">
        <v>1792</v>
      </c>
    </row>
    <row r="13" spans="1:2">
      <c r="A13" s="239" t="s">
        <v>1793</v>
      </c>
      <c r="B13" s="239" t="s">
        <v>1794</v>
      </c>
    </row>
    <row r="14" spans="1:2">
      <c r="A14" s="239" t="s">
        <v>1795</v>
      </c>
      <c r="B14" s="239" t="s">
        <v>1796</v>
      </c>
    </row>
    <row r="15" spans="1:2">
      <c r="A15" s="239" t="s">
        <v>1797</v>
      </c>
      <c r="B15" s="239" t="s">
        <v>1798</v>
      </c>
    </row>
    <row r="16" spans="1:2">
      <c r="A16" s="239" t="s">
        <v>1799</v>
      </c>
      <c r="B16" s="239" t="s">
        <v>1800</v>
      </c>
    </row>
    <row r="17" spans="1:2">
      <c r="A17" s="239" t="s">
        <v>1801</v>
      </c>
      <c r="B17" s="239" t="s">
        <v>1802</v>
      </c>
    </row>
    <row r="18" spans="1:2">
      <c r="A18" s="239" t="s">
        <v>1803</v>
      </c>
      <c r="B18" s="239" t="s">
        <v>1804</v>
      </c>
    </row>
    <row r="19" spans="1:2">
      <c r="A19" s="239" t="s">
        <v>1805</v>
      </c>
      <c r="B19" s="239" t="s">
        <v>1806</v>
      </c>
    </row>
    <row r="20" spans="1:2">
      <c r="A20" s="239" t="s">
        <v>1807</v>
      </c>
      <c r="B20" s="239" t="s">
        <v>1808</v>
      </c>
    </row>
    <row r="21" spans="1:2">
      <c r="A21" s="239" t="s">
        <v>1809</v>
      </c>
      <c r="B21" s="239" t="s">
        <v>1810</v>
      </c>
    </row>
    <row r="22" spans="1:2">
      <c r="A22" s="239" t="s">
        <v>1811</v>
      </c>
      <c r="B22" s="239" t="s">
        <v>1812</v>
      </c>
    </row>
    <row r="23" spans="1:2">
      <c r="A23" s="239" t="s">
        <v>1813</v>
      </c>
      <c r="B23" s="239" t="s">
        <v>1814</v>
      </c>
    </row>
    <row r="24" spans="1:2">
      <c r="A24" s="239" t="s">
        <v>1815</v>
      </c>
      <c r="B24" s="239" t="s">
        <v>1816</v>
      </c>
    </row>
    <row r="25" spans="1:2">
      <c r="A25" s="239" t="s">
        <v>1817</v>
      </c>
      <c r="B25" s="239" t="s">
        <v>1818</v>
      </c>
    </row>
    <row r="26" spans="1:2">
      <c r="A26" s="239" t="s">
        <v>1819</v>
      </c>
      <c r="B26" s="239" t="s">
        <v>1820</v>
      </c>
    </row>
    <row r="27" spans="1:2">
      <c r="A27" s="239" t="s">
        <v>1821</v>
      </c>
      <c r="B27" s="239" t="s">
        <v>1822</v>
      </c>
    </row>
    <row r="28" spans="1:2">
      <c r="A28" s="239" t="s">
        <v>1823</v>
      </c>
      <c r="B28" s="239" t="s">
        <v>1824</v>
      </c>
    </row>
    <row r="29" spans="1:2">
      <c r="A29" s="239" t="s">
        <v>1825</v>
      </c>
      <c r="B29" s="239" t="s">
        <v>1826</v>
      </c>
    </row>
    <row r="30" spans="1:2">
      <c r="A30" s="239" t="s">
        <v>1827</v>
      </c>
      <c r="B30" s="239" t="s">
        <v>1828</v>
      </c>
    </row>
    <row r="31" spans="1:2">
      <c r="A31" s="239" t="s">
        <v>1829</v>
      </c>
      <c r="B31" s="239" t="s">
        <v>1830</v>
      </c>
    </row>
    <row r="32" spans="1:2">
      <c r="A32" s="239" t="s">
        <v>1831</v>
      </c>
      <c r="B32" s="239" t="s">
        <v>1832</v>
      </c>
    </row>
    <row r="33" spans="1:2">
      <c r="A33" s="239" t="s">
        <v>1833</v>
      </c>
      <c r="B33" s="239" t="s">
        <v>1834</v>
      </c>
    </row>
    <row r="34" spans="1:2">
      <c r="A34" s="239" t="s">
        <v>1835</v>
      </c>
      <c r="B34" s="239" t="s">
        <v>1836</v>
      </c>
    </row>
    <row r="35" spans="1:2">
      <c r="A35" s="239" t="s">
        <v>1837</v>
      </c>
      <c r="B35" s="239" t="s">
        <v>1838</v>
      </c>
    </row>
    <row r="36" spans="1:2">
      <c r="A36" s="239" t="s">
        <v>1839</v>
      </c>
      <c r="B36" s="239" t="s">
        <v>1840</v>
      </c>
    </row>
    <row r="37" spans="1:2">
      <c r="A37" s="239" t="s">
        <v>1841</v>
      </c>
      <c r="B37" s="239" t="s">
        <v>1842</v>
      </c>
    </row>
    <row r="38" spans="1:2">
      <c r="A38" s="239" t="s">
        <v>1843</v>
      </c>
      <c r="B38" s="239" t="s">
        <v>1844</v>
      </c>
    </row>
    <row r="39" spans="1:2">
      <c r="A39" s="239" t="s">
        <v>1845</v>
      </c>
      <c r="B39" s="239" t="s">
        <v>1846</v>
      </c>
    </row>
    <row r="40" spans="1:2">
      <c r="A40" s="239" t="s">
        <v>1847</v>
      </c>
      <c r="B40" s="239" t="s">
        <v>1848</v>
      </c>
    </row>
    <row r="41" spans="1:2">
      <c r="A41" s="239" t="s">
        <v>1849</v>
      </c>
      <c r="B41" s="239" t="s">
        <v>1850</v>
      </c>
    </row>
    <row r="42" spans="1:2">
      <c r="A42" s="239" t="s">
        <v>1851</v>
      </c>
      <c r="B42" s="239" t="s">
        <v>1852</v>
      </c>
    </row>
    <row r="43" spans="1:2">
      <c r="A43" s="239" t="s">
        <v>1853</v>
      </c>
      <c r="B43" s="239" t="s">
        <v>1854</v>
      </c>
    </row>
    <row r="44" spans="1:2">
      <c r="A44" s="239" t="s">
        <v>1855</v>
      </c>
      <c r="B44" s="239" t="s">
        <v>1856</v>
      </c>
    </row>
    <row r="45" spans="1:2">
      <c r="A45" s="239" t="s">
        <v>1857</v>
      </c>
      <c r="B45" s="239" t="s">
        <v>1858</v>
      </c>
    </row>
    <row r="46" spans="1:2">
      <c r="A46" s="239" t="s">
        <v>1859</v>
      </c>
      <c r="B46" s="239" t="s">
        <v>1860</v>
      </c>
    </row>
    <row r="47" spans="1:2">
      <c r="A47" s="239" t="s">
        <v>1861</v>
      </c>
      <c r="B47" s="239" t="s">
        <v>1862</v>
      </c>
    </row>
    <row r="48" spans="1:2">
      <c r="A48" s="239" t="s">
        <v>1863</v>
      </c>
      <c r="B48" s="239" t="s">
        <v>1864</v>
      </c>
    </row>
    <row r="49" spans="1:2">
      <c r="A49" s="239" t="s">
        <v>1865</v>
      </c>
      <c r="B49" s="239" t="s">
        <v>1866</v>
      </c>
    </row>
    <row r="50" spans="1:2">
      <c r="A50" s="239" t="s">
        <v>1867</v>
      </c>
      <c r="B50" s="239" t="s">
        <v>1868</v>
      </c>
    </row>
    <row r="51" spans="1:2">
      <c r="A51" s="239" t="s">
        <v>1869</v>
      </c>
      <c r="B51" s="239" t="s">
        <v>1870</v>
      </c>
    </row>
  </sheetData>
  <sheetProtection algorithmName="SHA-512" hashValue="GReAz/pO69KhqR+YzeoTRxxHqQkKrxgYHLhQKZ4WR1QAEpEbti16p0KMIrRxrSWEQi1L56TgzgInj9FGca2PUg==" saltValue="h3asj3IJ0fncIZHqRWEVYw==" spinCount="100000" sheet="1" objects="1" scenarios="1"/>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Hoja53"/>
  <dimension ref="A1:A22"/>
  <sheetViews>
    <sheetView showGridLines="0" zoomScaleNormal="100" workbookViewId="0"/>
  </sheetViews>
  <sheetFormatPr baseColWidth="10" defaultColWidth="8.7109375" defaultRowHeight="15"/>
  <sheetData>
    <row r="1" spans="1:1" ht="20.25">
      <c r="A1" s="237" t="s">
        <v>1871</v>
      </c>
    </row>
    <row r="2" spans="1:1">
      <c r="A2" s="238" t="s">
        <v>1872</v>
      </c>
    </row>
    <row r="3" spans="1:1">
      <c r="A3" s="2"/>
    </row>
    <row r="4" spans="1:1">
      <c r="A4" s="2"/>
    </row>
    <row r="5" spans="1:1">
      <c r="A5" s="2"/>
    </row>
    <row r="6" spans="1:1">
      <c r="A6" s="2"/>
    </row>
    <row r="7" spans="1:1">
      <c r="A7" s="240" t="s">
        <v>1873</v>
      </c>
    </row>
    <row r="8" spans="1:1">
      <c r="A8" s="240" t="s">
        <v>1874</v>
      </c>
    </row>
    <row r="9" spans="1:1">
      <c r="A9" s="240" t="s">
        <v>1875</v>
      </c>
    </row>
    <row r="10" spans="1:1">
      <c r="A10" s="240" t="s">
        <v>1876</v>
      </c>
    </row>
    <row r="11" spans="1:1">
      <c r="A11" s="240" t="s">
        <v>1877</v>
      </c>
    </row>
    <row r="12" spans="1:1">
      <c r="A12" s="240" t="s">
        <v>1878</v>
      </c>
    </row>
    <row r="13" spans="1:1">
      <c r="A13" s="240" t="s">
        <v>1879</v>
      </c>
    </row>
    <row r="14" spans="1:1">
      <c r="A14" s="240" t="s">
        <v>1880</v>
      </c>
    </row>
    <row r="15" spans="1:1">
      <c r="A15" s="2"/>
    </row>
    <row r="16" spans="1:1">
      <c r="A16" s="241" t="s">
        <v>1916</v>
      </c>
    </row>
    <row r="17" spans="1:1">
      <c r="A17" s="240" t="s">
        <v>1917</v>
      </c>
    </row>
    <row r="18" spans="1:1">
      <c r="A18" s="240" t="s">
        <v>1918</v>
      </c>
    </row>
    <row r="19" spans="1:1">
      <c r="A19" s="240" t="s">
        <v>1919</v>
      </c>
    </row>
    <row r="20" spans="1:1">
      <c r="A20" s="240" t="s">
        <v>1920</v>
      </c>
    </row>
    <row r="21" spans="1:1">
      <c r="A21" s="240" t="s">
        <v>1921</v>
      </c>
    </row>
    <row r="22" spans="1:1">
      <c r="A22" s="240" t="s">
        <v>1922</v>
      </c>
    </row>
  </sheetData>
  <sheetProtection algorithmName="SHA-512" hashValue="vMqhJoawrtm+5BmRBeyaUxEPs/iDUIbgNYgle0r1fymmb3LIXF1ipPznxnlfy4xtOEP9aJh1d7a2mrSjz8CYAw==" saltValue="WoWyXhkx6USyGu7xTmbs0Q==" spinCount="100000" sheet="1" objects="1" scenarios="1"/>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54"/>
  <dimension ref="A1:H8"/>
  <sheetViews>
    <sheetView showGridLines="0" zoomScaleNormal="100" workbookViewId="0">
      <selection activeCell="A8" sqref="A8"/>
    </sheetView>
  </sheetViews>
  <sheetFormatPr baseColWidth="10" defaultColWidth="8.7109375" defaultRowHeight="15"/>
  <sheetData>
    <row r="1" spans="1:8" ht="20.25">
      <c r="A1" s="237" t="s">
        <v>1881</v>
      </c>
      <c r="B1" s="2"/>
      <c r="C1" s="2"/>
      <c r="D1" s="2"/>
      <c r="E1" s="2"/>
      <c r="F1" s="2"/>
      <c r="G1" s="2"/>
      <c r="H1" s="2"/>
    </row>
    <row r="2" spans="1:8">
      <c r="A2" s="238"/>
      <c r="B2" s="2"/>
      <c r="C2" s="2"/>
      <c r="D2" s="2"/>
      <c r="E2" s="2"/>
      <c r="F2" s="2"/>
      <c r="G2" s="2"/>
      <c r="H2" s="2"/>
    </row>
    <row r="3" spans="1:8">
      <c r="A3" s="2"/>
      <c r="B3" s="2"/>
      <c r="C3" s="2"/>
      <c r="D3" s="2"/>
      <c r="E3" s="2"/>
      <c r="F3" s="2"/>
      <c r="G3" s="2"/>
      <c r="H3" s="2"/>
    </row>
    <row r="4" spans="1:8">
      <c r="A4" s="2"/>
      <c r="B4" s="2"/>
      <c r="C4" s="2"/>
      <c r="D4" s="2"/>
      <c r="E4" s="2"/>
      <c r="F4" s="2"/>
      <c r="G4" s="2"/>
      <c r="H4" s="2"/>
    </row>
    <row r="5" spans="1:8">
      <c r="A5" s="2"/>
      <c r="B5" s="2"/>
      <c r="C5" s="2"/>
      <c r="D5" s="2"/>
      <c r="E5" s="2"/>
      <c r="F5" s="2"/>
      <c r="G5" s="2"/>
      <c r="H5" s="2"/>
    </row>
    <row r="6" spans="1:8" ht="30" customHeight="1">
      <c r="A6" s="482" t="s">
        <v>1882</v>
      </c>
      <c r="B6" s="482"/>
      <c r="C6" s="482"/>
      <c r="D6" s="482"/>
      <c r="E6" s="482"/>
      <c r="F6" s="482"/>
      <c r="G6" s="482"/>
      <c r="H6" s="482"/>
    </row>
    <row r="7" spans="1:8">
      <c r="A7" s="2"/>
      <c r="B7" s="2"/>
      <c r="C7" s="2"/>
      <c r="D7" s="2"/>
      <c r="E7" s="2"/>
      <c r="F7" s="2"/>
      <c r="G7" s="2"/>
      <c r="H7" s="2"/>
    </row>
    <row r="8" spans="1:8">
      <c r="A8" s="240" t="s">
        <v>1883</v>
      </c>
      <c r="B8" s="2"/>
      <c r="C8" s="2"/>
      <c r="D8" s="2"/>
      <c r="E8" s="2"/>
      <c r="F8" s="2"/>
      <c r="G8" s="2"/>
      <c r="H8" s="2"/>
    </row>
  </sheetData>
  <sheetProtection algorithmName="SHA-512" hashValue="7tgAqtCShUZ3qrVa45CIdIgBSIvsYgIXtrCAN9yJ0KJnzQhUJMFclhQ/e8LgdciT/4DSoo4WpKcKiASi17T5Vw==" saltValue="DKpR2H5DKyCRrH5vi/v7Qg==" spinCount="100000" sheet="1" objects="1" scenarios="1"/>
  <mergeCells count="1">
    <mergeCell ref="A6:H6"/>
  </mergeCell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Hoja55"/>
  <dimension ref="A1:D29"/>
  <sheetViews>
    <sheetView showGridLines="0" zoomScaleNormal="100" workbookViewId="0"/>
  </sheetViews>
  <sheetFormatPr baseColWidth="10" defaultColWidth="8.7109375" defaultRowHeight="15"/>
  <cols>
    <col min="1" max="1" width="34" customWidth="1"/>
    <col min="2" max="3" width="18" customWidth="1"/>
    <col min="4" max="4" width="12" customWidth="1"/>
  </cols>
  <sheetData>
    <row r="1" spans="1:4" ht="20.25">
      <c r="A1" s="237" t="s">
        <v>1884</v>
      </c>
      <c r="B1" s="2"/>
      <c r="C1" s="2"/>
      <c r="D1" s="2"/>
    </row>
    <row r="2" spans="1:4">
      <c r="A2" s="238" t="s">
        <v>1885</v>
      </c>
      <c r="B2" s="2"/>
      <c r="C2" s="2"/>
      <c r="D2" s="2"/>
    </row>
    <row r="3" spans="1:4">
      <c r="A3" s="2"/>
      <c r="B3" s="2"/>
      <c r="C3" s="2"/>
      <c r="D3" s="2"/>
    </row>
    <row r="4" spans="1:4">
      <c r="A4" s="2"/>
      <c r="B4" s="2"/>
      <c r="C4" s="2"/>
      <c r="D4" s="2"/>
    </row>
    <row r="5" spans="1:4">
      <c r="A5" s="2"/>
      <c r="B5" s="2"/>
      <c r="C5" s="2"/>
      <c r="D5" s="2"/>
    </row>
    <row r="6" spans="1:4">
      <c r="A6" s="7" t="s">
        <v>1886</v>
      </c>
      <c r="B6" s="7" t="s">
        <v>1887</v>
      </c>
      <c r="C6" s="2"/>
      <c r="D6" s="2"/>
    </row>
    <row r="7" spans="1:4">
      <c r="A7" s="8" t="s">
        <v>100</v>
      </c>
      <c r="B7" s="8">
        <v>64</v>
      </c>
      <c r="C7" s="2"/>
      <c r="D7" s="2"/>
    </row>
    <row r="8" spans="1:4">
      <c r="A8" s="8" t="s">
        <v>86</v>
      </c>
      <c r="B8" s="8">
        <v>124</v>
      </c>
      <c r="C8" s="2"/>
      <c r="D8" s="2"/>
    </row>
    <row r="9" spans="1:4">
      <c r="A9" s="8" t="s">
        <v>82</v>
      </c>
      <c r="B9" s="8">
        <v>126</v>
      </c>
      <c r="C9" s="2"/>
      <c r="D9" s="2"/>
    </row>
    <row r="10" spans="1:4">
      <c r="A10" s="8" t="s">
        <v>94</v>
      </c>
      <c r="B10" s="8">
        <v>123</v>
      </c>
      <c r="C10" s="2"/>
      <c r="D10" s="2"/>
    </row>
    <row r="11" spans="1:4">
      <c r="A11" s="8" t="s">
        <v>1572</v>
      </c>
      <c r="B11" s="8">
        <v>44</v>
      </c>
      <c r="C11" s="2"/>
      <c r="D11" s="2"/>
    </row>
    <row r="12" spans="1:4">
      <c r="A12" s="2"/>
      <c r="B12" s="2"/>
      <c r="C12" s="2"/>
      <c r="D12" s="2"/>
    </row>
    <row r="13" spans="1:4">
      <c r="A13" s="241" t="s">
        <v>1888</v>
      </c>
      <c r="B13" s="2"/>
      <c r="C13" s="2"/>
      <c r="D13" s="2"/>
    </row>
    <row r="14" spans="1:4">
      <c r="A14" s="241" t="s">
        <v>1505</v>
      </c>
      <c r="B14" s="241" t="s">
        <v>326</v>
      </c>
      <c r="C14" s="241" t="s">
        <v>327</v>
      </c>
      <c r="D14" s="241" t="s">
        <v>44</v>
      </c>
    </row>
    <row r="15" spans="1:4">
      <c r="A15" s="240" t="s">
        <v>1889</v>
      </c>
      <c r="B15" s="2">
        <f>ROUND(M12_c_IMC,4)</f>
        <v>25.342199999999998</v>
      </c>
      <c r="C15" s="2">
        <f>ROUND(DATOS!B12/((DATOS!B13/100)^2),4)</f>
        <v>25.342199999999998</v>
      </c>
      <c r="D15" s="2" t="str">
        <f>IF(EXACT(TEXT(B15,"0.####"),TEXT(C15,"0.####")),"APROBADA","REVISAR")</f>
        <v>APROBADA</v>
      </c>
    </row>
    <row r="16" spans="1:4">
      <c r="A16" s="240" t="s">
        <v>1890</v>
      </c>
      <c r="B16" s="242">
        <f>M36_DATOS!B12</f>
        <v>78.5</v>
      </c>
      <c r="C16" s="2">
        <f>DATOS!B12</f>
        <v>78.5</v>
      </c>
      <c r="D16" s="2" t="str">
        <f>IF(EXACT(TEXT(B16,"0.####"),TEXT(C16,"0.####")),"APROBADA","REVISAR")</f>
        <v>APROBADA</v>
      </c>
    </row>
    <row r="17" spans="1:4">
      <c r="A17" s="240" t="s">
        <v>1891</v>
      </c>
      <c r="B17" s="242">
        <f>M12_DATOS!B17</f>
        <v>12</v>
      </c>
      <c r="C17" s="243">
        <f>M36_PLIEGUES!E9</f>
        <v>12</v>
      </c>
      <c r="D17" s="2" t="str">
        <f>IF(EXACT(TEXT(B17,"0.####"),TEXT(C17,"0.####")),"APROBADA","REVISAR")</f>
        <v>APROBADA</v>
      </c>
    </row>
    <row r="18" spans="1:4">
      <c r="A18" s="240" t="s">
        <v>1892</v>
      </c>
      <c r="B18" s="2" t="str">
        <f>M16_DATOS!B10</f>
        <v>Hombre</v>
      </c>
      <c r="C18" s="2" t="str">
        <f>DATOS!B10</f>
        <v>Hombre</v>
      </c>
      <c r="D18" s="2" t="str">
        <f>IF(EXACT(TEXT(B18,"0.####"),TEXT(C18,"0.####")),"APROBADA","REVISAR")</f>
        <v>APROBADA</v>
      </c>
    </row>
    <row r="19" spans="1:4">
      <c r="A19" s="2"/>
      <c r="B19" s="2"/>
      <c r="C19" s="2"/>
      <c r="D19" s="2"/>
    </row>
    <row r="20" spans="1:4">
      <c r="A20" s="241" t="s">
        <v>1923</v>
      </c>
      <c r="B20" s="2"/>
      <c r="C20" s="2"/>
      <c r="D20" s="2"/>
    </row>
    <row r="21" spans="1:4">
      <c r="A21" s="7" t="s">
        <v>1924</v>
      </c>
      <c r="B21" s="7" t="s">
        <v>1925</v>
      </c>
      <c r="C21" s="7" t="s">
        <v>1926</v>
      </c>
      <c r="D21" s="7" t="s">
        <v>44</v>
      </c>
    </row>
    <row r="22" spans="1:4">
      <c r="A22" s="240" t="s">
        <v>1927</v>
      </c>
      <c r="B22" s="240">
        <v>192</v>
      </c>
      <c r="C22" s="240" t="s">
        <v>1928</v>
      </c>
      <c r="D22" s="240" t="s">
        <v>1929</v>
      </c>
    </row>
    <row r="23" spans="1:4">
      <c r="A23" s="240" t="s">
        <v>1930</v>
      </c>
      <c r="B23" s="240">
        <v>4</v>
      </c>
      <c r="C23" s="240" t="s">
        <v>1931</v>
      </c>
      <c r="D23" s="240" t="s">
        <v>1932</v>
      </c>
    </row>
    <row r="24" spans="1:4">
      <c r="A24" s="240" t="s">
        <v>1933</v>
      </c>
      <c r="B24" s="240">
        <v>1234</v>
      </c>
      <c r="C24" s="240" t="s">
        <v>1934</v>
      </c>
      <c r="D24" s="240" t="s">
        <v>1935</v>
      </c>
    </row>
    <row r="25" spans="1:4">
      <c r="A25" s="240" t="s">
        <v>1936</v>
      </c>
      <c r="B25" s="240">
        <v>481</v>
      </c>
      <c r="C25" s="240" t="s">
        <v>1937</v>
      </c>
      <c r="D25" s="240" t="s">
        <v>1935</v>
      </c>
    </row>
    <row r="26" spans="1:4">
      <c r="A26" s="240" t="s">
        <v>1938</v>
      </c>
      <c r="B26" s="240">
        <v>0</v>
      </c>
      <c r="C26" s="240" t="s">
        <v>1939</v>
      </c>
      <c r="D26" s="240" t="s">
        <v>1940</v>
      </c>
    </row>
    <row r="27" spans="1:4">
      <c r="A27" s="240" t="s">
        <v>1941</v>
      </c>
      <c r="B27" s="240">
        <v>46</v>
      </c>
      <c r="C27" s="240" t="s">
        <v>1942</v>
      </c>
      <c r="D27" s="240" t="s">
        <v>1943</v>
      </c>
    </row>
    <row r="28" spans="1:4">
      <c r="A28" s="240" t="s">
        <v>1944</v>
      </c>
      <c r="B28" s="240">
        <v>0</v>
      </c>
      <c r="C28" s="240" t="s">
        <v>1945</v>
      </c>
      <c r="D28" s="240" t="s">
        <v>1946</v>
      </c>
    </row>
    <row r="29" spans="1:4">
      <c r="A29" s="240" t="s">
        <v>1947</v>
      </c>
      <c r="B29" s="240" t="s">
        <v>1948</v>
      </c>
      <c r="C29" s="240" t="s">
        <v>1949</v>
      </c>
      <c r="D29" s="240" t="s">
        <v>1950</v>
      </c>
    </row>
  </sheetData>
  <sheetProtection algorithmName="SHA-512" hashValue="8oVBUzjixxv+X52AvCXrdNxB+FomUNUJ1KZYC0s2dwDNMNzf6XZg2qgW9I02Il7OiT4PMu9XAQo0c/z/KBcrNQ==" saltValue="sdAwpSTNb6uurocM7Gq23g==" spinCount="100000" sheet="1" objects="1" scenarios="1"/>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Hoja56"/>
  <dimension ref="A1:H19"/>
  <sheetViews>
    <sheetView showGridLines="0" zoomScaleNormal="100" workbookViewId="0"/>
  </sheetViews>
  <sheetFormatPr baseColWidth="10" defaultColWidth="8.7109375" defaultRowHeight="15"/>
  <sheetData>
    <row r="1" spans="1:8" ht="20.25">
      <c r="A1" s="237" t="s">
        <v>1893</v>
      </c>
      <c r="B1" s="2"/>
      <c r="C1" s="2"/>
      <c r="D1" s="2"/>
      <c r="E1" s="2"/>
      <c r="F1" s="2"/>
      <c r="G1" s="2"/>
      <c r="H1" s="2"/>
    </row>
    <row r="2" spans="1:8">
      <c r="A2" s="238" t="s">
        <v>1894</v>
      </c>
      <c r="B2" s="2"/>
      <c r="C2" s="2"/>
      <c r="D2" s="2"/>
      <c r="E2" s="2"/>
      <c r="F2" s="2"/>
      <c r="G2" s="2"/>
      <c r="H2" s="2"/>
    </row>
    <row r="3" spans="1:8">
      <c r="A3" s="2"/>
      <c r="B3" s="2"/>
      <c r="C3" s="2"/>
      <c r="D3" s="2"/>
      <c r="E3" s="2"/>
      <c r="F3" s="2"/>
      <c r="G3" s="2"/>
      <c r="H3" s="2"/>
    </row>
    <row r="4" spans="1:8">
      <c r="A4" s="2"/>
      <c r="B4" s="2"/>
      <c r="C4" s="2"/>
      <c r="D4" s="2"/>
      <c r="E4" s="2"/>
      <c r="F4" s="2"/>
      <c r="G4" s="2"/>
      <c r="H4" s="2"/>
    </row>
    <row r="5" spans="1:8">
      <c r="A5" s="2"/>
      <c r="B5" s="2"/>
      <c r="C5" s="2"/>
      <c r="D5" s="2"/>
      <c r="E5" s="2"/>
      <c r="F5" s="2"/>
      <c r="G5" s="2"/>
      <c r="H5" s="2"/>
    </row>
    <row r="6" spans="1:8" ht="30" customHeight="1">
      <c r="A6" s="482" t="s">
        <v>1895</v>
      </c>
      <c r="B6" s="482"/>
      <c r="C6" s="482"/>
      <c r="D6" s="482"/>
      <c r="E6" s="482"/>
      <c r="F6" s="482"/>
      <c r="G6" s="482"/>
      <c r="H6" s="482"/>
    </row>
    <row r="7" spans="1:8">
      <c r="A7" s="2"/>
      <c r="B7" s="2"/>
      <c r="C7" s="2"/>
      <c r="D7" s="2"/>
      <c r="E7" s="2"/>
      <c r="F7" s="2"/>
      <c r="G7" s="2"/>
      <c r="H7" s="2"/>
    </row>
    <row r="8" spans="1:8">
      <c r="A8" s="241" t="s">
        <v>1951</v>
      </c>
      <c r="B8" s="2"/>
      <c r="C8" s="2"/>
      <c r="D8" s="2"/>
      <c r="E8" s="2"/>
      <c r="F8" s="2"/>
      <c r="G8" s="2"/>
      <c r="H8" s="2"/>
    </row>
    <row r="9" spans="1:8">
      <c r="A9" s="240" t="s">
        <v>1952</v>
      </c>
      <c r="B9" s="240" t="s">
        <v>1953</v>
      </c>
      <c r="C9" s="2"/>
      <c r="D9" s="2"/>
      <c r="E9" s="2"/>
      <c r="F9" s="2"/>
      <c r="G9" s="2"/>
      <c r="H9" s="2"/>
    </row>
    <row r="10" spans="1:8">
      <c r="A10" s="240" t="s">
        <v>1954</v>
      </c>
      <c r="B10" s="240" t="s">
        <v>1955</v>
      </c>
      <c r="C10" s="2"/>
      <c r="D10" s="2"/>
      <c r="E10" s="2"/>
      <c r="F10" s="2"/>
      <c r="G10" s="2"/>
      <c r="H10" s="2"/>
    </row>
    <row r="11" spans="1:8">
      <c r="A11" s="240" t="s">
        <v>1956</v>
      </c>
      <c r="B11" s="240" t="s">
        <v>1957</v>
      </c>
      <c r="C11" s="2"/>
      <c r="D11" s="2"/>
      <c r="E11" s="2"/>
      <c r="F11" s="2"/>
      <c r="G11" s="2"/>
      <c r="H11" s="2"/>
    </row>
    <row r="12" spans="1:8">
      <c r="A12" s="240" t="s">
        <v>1958</v>
      </c>
      <c r="B12" s="240" t="s">
        <v>1959</v>
      </c>
      <c r="C12" s="2"/>
      <c r="D12" s="2"/>
      <c r="E12" s="2"/>
      <c r="F12" s="2"/>
      <c r="G12" s="2"/>
      <c r="H12" s="2"/>
    </row>
    <row r="13" spans="1:8">
      <c r="A13" s="240" t="s">
        <v>1938</v>
      </c>
      <c r="B13" s="240">
        <v>0</v>
      </c>
      <c r="C13" s="2"/>
      <c r="D13" s="2"/>
      <c r="E13" s="2"/>
      <c r="F13" s="2"/>
      <c r="G13" s="2"/>
      <c r="H13" s="2"/>
    </row>
    <row r="14" spans="1:8">
      <c r="A14" s="240" t="s">
        <v>1960</v>
      </c>
      <c r="B14" s="240">
        <v>192</v>
      </c>
      <c r="C14" s="2"/>
      <c r="D14" s="2"/>
      <c r="E14" s="2"/>
      <c r="F14" s="2"/>
      <c r="G14" s="2"/>
      <c r="H14" s="2"/>
    </row>
    <row r="15" spans="1:8">
      <c r="A15" s="240" t="s">
        <v>1930</v>
      </c>
      <c r="B15" s="240">
        <v>4</v>
      </c>
      <c r="C15" s="2"/>
      <c r="D15" s="2"/>
      <c r="E15" s="2"/>
      <c r="F15" s="2"/>
      <c r="G15" s="2"/>
      <c r="H15" s="2"/>
    </row>
    <row r="16" spans="1:8">
      <c r="A16" s="240" t="s">
        <v>1961</v>
      </c>
      <c r="B16" s="240">
        <v>1234</v>
      </c>
      <c r="C16" s="2"/>
      <c r="D16" s="2"/>
      <c r="E16" s="2"/>
      <c r="F16" s="2"/>
      <c r="G16" s="2"/>
      <c r="H16" s="2"/>
    </row>
    <row r="17" spans="1:8">
      <c r="A17" s="240" t="s">
        <v>1962</v>
      </c>
      <c r="B17" s="240">
        <v>46</v>
      </c>
      <c r="C17" s="2"/>
      <c r="D17" s="2"/>
      <c r="E17" s="2"/>
      <c r="F17" s="2"/>
      <c r="G17" s="2"/>
      <c r="H17" s="2"/>
    </row>
    <row r="18" spans="1:8">
      <c r="A18" s="240" t="s">
        <v>1963</v>
      </c>
      <c r="B18" s="240" t="s">
        <v>1964</v>
      </c>
      <c r="C18" s="2"/>
      <c r="D18" s="2"/>
      <c r="E18" s="2"/>
      <c r="F18" s="2"/>
      <c r="G18" s="2"/>
      <c r="H18" s="2"/>
    </row>
    <row r="19" spans="1:8">
      <c r="A19" s="240" t="s">
        <v>1965</v>
      </c>
      <c r="B19" s="240" t="s">
        <v>1940</v>
      </c>
      <c r="C19" s="2"/>
      <c r="D19" s="2"/>
      <c r="E19" s="2"/>
      <c r="F19" s="2"/>
      <c r="G19" s="2"/>
      <c r="H19" s="2"/>
    </row>
  </sheetData>
  <sheetProtection algorithmName="SHA-512" hashValue="RQp5wb2PwPHmf9QYUL8RGBAcsxONPFkc86pwxyRDOc73okeCfdil+YVnIp4rTgZ6sSz4XnCU1P10dBhYTGZ9xA==" saltValue="zlw0klA1u05QgdqEp1N7aQ==" spinCount="100000" sheet="1" objects="1" scenarios="1"/>
  <mergeCells count="1">
    <mergeCell ref="A6:H6"/>
  </mergeCell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Hoja57"/>
  <dimension ref="A1:C7"/>
  <sheetViews>
    <sheetView showGridLines="0" zoomScaleNormal="100" workbookViewId="0"/>
  </sheetViews>
  <sheetFormatPr baseColWidth="10" defaultColWidth="8.7109375" defaultRowHeight="15"/>
  <cols>
    <col min="3" max="3" width="90" customWidth="1"/>
  </cols>
  <sheetData>
    <row r="1" spans="1:3" ht="20.25">
      <c r="A1" s="237" t="s">
        <v>1896</v>
      </c>
      <c r="B1" s="2"/>
      <c r="C1" s="2"/>
    </row>
    <row r="2" spans="1:3">
      <c r="A2" s="238"/>
      <c r="B2" s="2"/>
      <c r="C2" s="2"/>
    </row>
    <row r="3" spans="1:3">
      <c r="A3" s="2"/>
      <c r="B3" s="2"/>
      <c r="C3" s="2"/>
    </row>
    <row r="4" spans="1:3">
      <c r="A4" s="2"/>
      <c r="B4" s="2"/>
      <c r="C4" s="2"/>
    </row>
    <row r="5" spans="1:3">
      <c r="A5" s="2"/>
      <c r="B5" s="2"/>
      <c r="C5" s="2"/>
    </row>
    <row r="6" spans="1:3" ht="64.5">
      <c r="A6" s="240" t="s">
        <v>2</v>
      </c>
      <c r="B6" s="240" t="s">
        <v>74</v>
      </c>
      <c r="C6" s="244" t="s">
        <v>1897</v>
      </c>
    </row>
    <row r="7" spans="1:3" ht="51.75">
      <c r="A7" s="240" t="s">
        <v>1966</v>
      </c>
      <c r="B7" s="240" t="s">
        <v>1953</v>
      </c>
      <c r="C7" s="244" t="s">
        <v>1967</v>
      </c>
    </row>
  </sheetData>
  <sheetProtection algorithmName="SHA-512" hashValue="JRYSrSx8FQemRk/Dxpcnr7AWUO1mRPX+j1ixSgTMZYvmP3Eed2b8I+eOQE/mK1pLfQrcCPUGDYbCLQ6A4A+GfQ==" saltValue="C2Lpuia+kyi8leXtLHUn8A==" spinCount="100000" sheet="1" objects="1" scenarios="1"/>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Hoja58"/>
  <dimension ref="A1"/>
  <sheetViews>
    <sheetView workbookViewId="0"/>
  </sheetViews>
  <sheetFormatPr baseColWidth="10" defaultRowHeight="15"/>
  <sheetData>
    <row r="1" spans="1:1">
      <c r="A1" s="2"/>
    </row>
  </sheetData>
  <sheetProtection algorithmName="SHA-512" hashValue="IBWQpgXFUMdjXF8miq+Y+9pN+wm2QSc3mIggm1W3pO/iFgc+bSHXTXB1E8ulJ0aU2fUV/RWV+/odiA4HhpVtUA==" saltValue="1Nsr5XE9jyNF+IirrZVuMw==" spinCount="100000" sheet="1" objects="1" scenarios="1"/>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Hoja59"/>
  <dimension ref="A1:M18"/>
  <sheetViews>
    <sheetView workbookViewId="0">
      <selection sqref="A1:M1"/>
    </sheetView>
  </sheetViews>
  <sheetFormatPr baseColWidth="10" defaultColWidth="9.140625" defaultRowHeight="15"/>
  <cols>
    <col min="1" max="1" width="18" customWidth="1"/>
    <col min="2" max="2" width="12" customWidth="1"/>
    <col min="3" max="3" width="28" customWidth="1"/>
    <col min="4" max="4" width="40" customWidth="1"/>
    <col min="5" max="5" width="19" customWidth="1"/>
    <col min="6" max="6" width="34" customWidth="1"/>
    <col min="7" max="7" width="25" customWidth="1"/>
    <col min="8" max="8" width="27" customWidth="1"/>
    <col min="9" max="9" width="16" customWidth="1"/>
    <col min="10" max="10" width="10" customWidth="1"/>
    <col min="11" max="11" width="36" customWidth="1"/>
    <col min="12" max="12" width="18" customWidth="1"/>
    <col min="13" max="13" width="28" customWidth="1"/>
  </cols>
  <sheetData>
    <row r="1" spans="1:13" ht="27.95" customHeight="1">
      <c r="A1" s="483" t="s">
        <v>1968</v>
      </c>
      <c r="B1" s="483"/>
      <c r="C1" s="483"/>
      <c r="D1" s="483"/>
      <c r="E1" s="483"/>
      <c r="F1" s="483"/>
      <c r="G1" s="483"/>
      <c r="H1" s="483"/>
      <c r="I1" s="483"/>
      <c r="J1" s="483"/>
      <c r="K1" s="483"/>
      <c r="L1" s="483"/>
      <c r="M1" s="483"/>
    </row>
    <row r="2" spans="1:13" ht="21.95" customHeight="1">
      <c r="A2" s="484" t="s">
        <v>1969</v>
      </c>
      <c r="B2" s="484"/>
      <c r="C2" s="484"/>
      <c r="D2" s="484"/>
      <c r="E2" s="484"/>
      <c r="F2" s="484"/>
      <c r="G2" s="484"/>
      <c r="H2" s="484"/>
      <c r="I2" s="484"/>
      <c r="J2" s="484"/>
      <c r="K2" s="484"/>
      <c r="L2" s="484"/>
      <c r="M2" s="484"/>
    </row>
    <row r="3" spans="1:13">
      <c r="A3" s="260" t="s">
        <v>1970</v>
      </c>
      <c r="B3" s="485" t="s">
        <v>1971</v>
      </c>
      <c r="C3" s="485"/>
      <c r="D3" s="485"/>
      <c r="E3" s="485"/>
      <c r="F3" s="485"/>
      <c r="G3" s="485"/>
      <c r="H3" s="485"/>
      <c r="I3" s="485"/>
      <c r="J3" s="485"/>
      <c r="K3" s="485"/>
      <c r="L3" s="485"/>
      <c r="M3" s="485"/>
    </row>
    <row r="4" spans="1:13">
      <c r="A4" s="2"/>
      <c r="B4" s="2"/>
      <c r="C4" s="2"/>
      <c r="D4" s="2"/>
      <c r="E4" s="2"/>
      <c r="F4" s="2"/>
      <c r="G4" s="2"/>
      <c r="H4" s="2"/>
      <c r="I4" s="2"/>
      <c r="J4" s="2"/>
      <c r="K4" s="2"/>
      <c r="L4" s="2"/>
      <c r="M4" s="2"/>
    </row>
    <row r="5" spans="1:13" ht="33.950000000000003" customHeight="1">
      <c r="A5" s="245" t="s">
        <v>1972</v>
      </c>
      <c r="B5" s="246" t="s">
        <v>1973</v>
      </c>
      <c r="C5" s="246" t="s">
        <v>1333</v>
      </c>
      <c r="D5" s="246" t="s">
        <v>1974</v>
      </c>
      <c r="E5" s="246" t="s">
        <v>1975</v>
      </c>
      <c r="F5" s="246" t="s">
        <v>1976</v>
      </c>
      <c r="G5" s="246" t="s">
        <v>29</v>
      </c>
      <c r="H5" s="246" t="s">
        <v>1977</v>
      </c>
      <c r="I5" s="246" t="s">
        <v>1978</v>
      </c>
      <c r="J5" s="246" t="s">
        <v>43</v>
      </c>
      <c r="K5" s="246" t="s">
        <v>636</v>
      </c>
      <c r="L5" s="246" t="s">
        <v>1979</v>
      </c>
      <c r="M5" s="247" t="s">
        <v>44</v>
      </c>
    </row>
    <row r="6" spans="1:13" ht="24">
      <c r="A6" s="248" t="s">
        <v>1980</v>
      </c>
      <c r="B6" s="249" t="s">
        <v>1981</v>
      </c>
      <c r="C6" s="249" t="s">
        <v>1982</v>
      </c>
      <c r="D6" s="249" t="s">
        <v>1983</v>
      </c>
      <c r="E6" s="249" t="s">
        <v>1984</v>
      </c>
      <c r="F6" s="249" t="s">
        <v>1985</v>
      </c>
      <c r="G6" s="249" t="s">
        <v>1986</v>
      </c>
      <c r="H6" s="249" t="s">
        <v>1987</v>
      </c>
      <c r="I6" s="250" t="s">
        <v>1987</v>
      </c>
      <c r="J6" s="250" t="s">
        <v>497</v>
      </c>
      <c r="K6" s="249" t="s">
        <v>1988</v>
      </c>
      <c r="L6" s="249" t="s">
        <v>1989</v>
      </c>
      <c r="M6" s="251" t="s">
        <v>1990</v>
      </c>
    </row>
    <row r="7" spans="1:13" ht="24">
      <c r="A7" s="252" t="s">
        <v>1991</v>
      </c>
      <c r="B7" s="253" t="s">
        <v>1981</v>
      </c>
      <c r="C7" s="253" t="s">
        <v>1992</v>
      </c>
      <c r="D7" s="253" t="s">
        <v>1993</v>
      </c>
      <c r="E7" s="253" t="s">
        <v>1984</v>
      </c>
      <c r="F7" s="253" t="s">
        <v>1994</v>
      </c>
      <c r="G7" s="253" t="s">
        <v>1602</v>
      </c>
      <c r="H7" s="253" t="s">
        <v>1987</v>
      </c>
      <c r="I7" s="254" t="s">
        <v>1987</v>
      </c>
      <c r="J7" s="254" t="s">
        <v>56</v>
      </c>
      <c r="K7" s="253" t="s">
        <v>1995</v>
      </c>
      <c r="L7" s="253" t="s">
        <v>1996</v>
      </c>
      <c r="M7" s="255" t="s">
        <v>1990</v>
      </c>
    </row>
    <row r="8" spans="1:13" ht="24">
      <c r="A8" s="252" t="s">
        <v>1997</v>
      </c>
      <c r="B8" s="253" t="s">
        <v>1981</v>
      </c>
      <c r="C8" s="253" t="s">
        <v>1998</v>
      </c>
      <c r="D8" s="253" t="s">
        <v>1999</v>
      </c>
      <c r="E8" s="253" t="s">
        <v>2000</v>
      </c>
      <c r="F8" s="253" t="s">
        <v>2001</v>
      </c>
      <c r="G8" s="253" t="s">
        <v>1987</v>
      </c>
      <c r="H8" s="253" t="s">
        <v>1987</v>
      </c>
      <c r="I8" s="254" t="s">
        <v>1987</v>
      </c>
      <c r="J8" s="254" t="s">
        <v>56</v>
      </c>
      <c r="K8" s="253" t="s">
        <v>2002</v>
      </c>
      <c r="L8" s="253" t="s">
        <v>2003</v>
      </c>
      <c r="M8" s="255" t="s">
        <v>1990</v>
      </c>
    </row>
    <row r="9" spans="1:13" ht="24">
      <c r="A9" s="252" t="s">
        <v>2004</v>
      </c>
      <c r="B9" s="253" t="s">
        <v>1981</v>
      </c>
      <c r="C9" s="253" t="s">
        <v>2005</v>
      </c>
      <c r="D9" s="253" t="s">
        <v>2006</v>
      </c>
      <c r="E9" s="253" t="s">
        <v>2007</v>
      </c>
      <c r="F9" s="253" t="s">
        <v>1987</v>
      </c>
      <c r="G9" s="253" t="s">
        <v>1987</v>
      </c>
      <c r="H9" s="253" t="s">
        <v>1987</v>
      </c>
      <c r="I9" s="254" t="s">
        <v>1987</v>
      </c>
      <c r="J9" s="254" t="s">
        <v>56</v>
      </c>
      <c r="K9" s="253" t="s">
        <v>2008</v>
      </c>
      <c r="L9" s="253" t="s">
        <v>2009</v>
      </c>
      <c r="M9" s="255" t="s">
        <v>1990</v>
      </c>
    </row>
    <row r="10" spans="1:13" ht="24">
      <c r="A10" s="252" t="s">
        <v>2010</v>
      </c>
      <c r="B10" s="253" t="s">
        <v>1981</v>
      </c>
      <c r="C10" s="253" t="s">
        <v>2011</v>
      </c>
      <c r="D10" s="253" t="s">
        <v>2012</v>
      </c>
      <c r="E10" s="253" t="s">
        <v>2007</v>
      </c>
      <c r="F10" s="253" t="s">
        <v>1987</v>
      </c>
      <c r="G10" s="253" t="s">
        <v>2013</v>
      </c>
      <c r="H10" s="253" t="s">
        <v>1987</v>
      </c>
      <c r="I10" s="254" t="s">
        <v>1987</v>
      </c>
      <c r="J10" s="254" t="s">
        <v>56</v>
      </c>
      <c r="K10" s="253" t="s">
        <v>2014</v>
      </c>
      <c r="L10" s="253" t="s">
        <v>2015</v>
      </c>
      <c r="M10" s="255" t="s">
        <v>1990</v>
      </c>
    </row>
    <row r="11" spans="1:13" ht="24">
      <c r="A11" s="252" t="s">
        <v>2016</v>
      </c>
      <c r="B11" s="253" t="s">
        <v>1981</v>
      </c>
      <c r="C11" s="253" t="s">
        <v>1044</v>
      </c>
      <c r="D11" s="253" t="s">
        <v>2017</v>
      </c>
      <c r="E11" s="253" t="s">
        <v>1984</v>
      </c>
      <c r="F11" s="253" t="s">
        <v>1987</v>
      </c>
      <c r="G11" s="253" t="s">
        <v>2013</v>
      </c>
      <c r="H11" s="253" t="s">
        <v>1987</v>
      </c>
      <c r="I11" s="254" t="s">
        <v>1987</v>
      </c>
      <c r="J11" s="254" t="s">
        <v>56</v>
      </c>
      <c r="K11" s="253" t="s">
        <v>2018</v>
      </c>
      <c r="L11" s="253" t="s">
        <v>2019</v>
      </c>
      <c r="M11" s="255" t="s">
        <v>1990</v>
      </c>
    </row>
    <row r="12" spans="1:13" ht="24">
      <c r="A12" s="252" t="s">
        <v>2020</v>
      </c>
      <c r="B12" s="253" t="s">
        <v>1981</v>
      </c>
      <c r="C12" s="253" t="s">
        <v>2021</v>
      </c>
      <c r="D12" s="253" t="s">
        <v>2022</v>
      </c>
      <c r="E12" s="253" t="s">
        <v>1984</v>
      </c>
      <c r="F12" s="253" t="s">
        <v>1987</v>
      </c>
      <c r="G12" s="253" t="s">
        <v>1987</v>
      </c>
      <c r="H12" s="253" t="s">
        <v>1987</v>
      </c>
      <c r="I12" s="254" t="s">
        <v>1987</v>
      </c>
      <c r="J12" s="254" t="s">
        <v>56</v>
      </c>
      <c r="K12" s="253" t="s">
        <v>2023</v>
      </c>
      <c r="L12" s="253" t="s">
        <v>2024</v>
      </c>
      <c r="M12" s="255" t="s">
        <v>2025</v>
      </c>
    </row>
    <row r="13" spans="1:13" ht="24">
      <c r="A13" s="252" t="s">
        <v>2026</v>
      </c>
      <c r="B13" s="253" t="s">
        <v>1981</v>
      </c>
      <c r="C13" s="253" t="s">
        <v>2027</v>
      </c>
      <c r="D13" s="253" t="s">
        <v>2028</v>
      </c>
      <c r="E13" s="253" t="s">
        <v>2007</v>
      </c>
      <c r="F13" s="253" t="s">
        <v>2029</v>
      </c>
      <c r="G13" s="253" t="s">
        <v>1987</v>
      </c>
      <c r="H13" s="253" t="s">
        <v>1987</v>
      </c>
      <c r="I13" s="254" t="s">
        <v>1987</v>
      </c>
      <c r="J13" s="254" t="s">
        <v>56</v>
      </c>
      <c r="K13" s="253" t="s">
        <v>2030</v>
      </c>
      <c r="L13" s="253" t="s">
        <v>2031</v>
      </c>
      <c r="M13" s="255" t="s">
        <v>1990</v>
      </c>
    </row>
    <row r="14" spans="1:13" ht="24">
      <c r="A14" s="252" t="s">
        <v>2032</v>
      </c>
      <c r="B14" s="253" t="s">
        <v>1981</v>
      </c>
      <c r="C14" s="253" t="s">
        <v>2033</v>
      </c>
      <c r="D14" s="253" t="s">
        <v>2034</v>
      </c>
      <c r="E14" s="253" t="s">
        <v>2035</v>
      </c>
      <c r="F14" s="253" t="s">
        <v>1987</v>
      </c>
      <c r="G14" s="253" t="s">
        <v>1987</v>
      </c>
      <c r="H14" s="253" t="s">
        <v>1987</v>
      </c>
      <c r="I14" s="254">
        <v>3</v>
      </c>
      <c r="J14" s="254" t="s">
        <v>47</v>
      </c>
      <c r="K14" s="253" t="s">
        <v>2036</v>
      </c>
      <c r="L14" s="253" t="s">
        <v>2037</v>
      </c>
      <c r="M14" s="255" t="s">
        <v>2038</v>
      </c>
    </row>
    <row r="15" spans="1:13" ht="24">
      <c r="A15" s="252" t="s">
        <v>2039</v>
      </c>
      <c r="B15" s="253" t="s">
        <v>1981</v>
      </c>
      <c r="C15" s="253" t="s">
        <v>1034</v>
      </c>
      <c r="D15" s="253" t="s">
        <v>2040</v>
      </c>
      <c r="E15" s="253" t="s">
        <v>2041</v>
      </c>
      <c r="F15" s="253" t="s">
        <v>1987</v>
      </c>
      <c r="G15" s="253" t="s">
        <v>1987</v>
      </c>
      <c r="H15" s="253" t="s">
        <v>1987</v>
      </c>
      <c r="I15" s="254">
        <v>3</v>
      </c>
      <c r="J15" s="254" t="s">
        <v>47</v>
      </c>
      <c r="K15" s="253" t="s">
        <v>2042</v>
      </c>
      <c r="L15" s="253" t="s">
        <v>2043</v>
      </c>
      <c r="M15" s="255" t="s">
        <v>2038</v>
      </c>
    </row>
    <row r="16" spans="1:13" ht="24">
      <c r="A16" s="252" t="s">
        <v>2044</v>
      </c>
      <c r="B16" s="253" t="s">
        <v>1981</v>
      </c>
      <c r="C16" s="253" t="s">
        <v>1036</v>
      </c>
      <c r="D16" s="253" t="s">
        <v>2045</v>
      </c>
      <c r="E16" s="253" t="s">
        <v>2007</v>
      </c>
      <c r="F16" s="253" t="s">
        <v>1987</v>
      </c>
      <c r="G16" s="253" t="s">
        <v>1987</v>
      </c>
      <c r="H16" s="253" t="s">
        <v>1987</v>
      </c>
      <c r="I16" s="254">
        <v>3</v>
      </c>
      <c r="J16" s="254" t="s">
        <v>47</v>
      </c>
      <c r="K16" s="253" t="s">
        <v>2046</v>
      </c>
      <c r="L16" s="253" t="s">
        <v>2047</v>
      </c>
      <c r="M16" s="255" t="s">
        <v>2038</v>
      </c>
    </row>
    <row r="17" spans="1:13" ht="24">
      <c r="A17" s="252" t="s">
        <v>2048</v>
      </c>
      <c r="B17" s="253" t="s">
        <v>1981</v>
      </c>
      <c r="C17" s="253" t="s">
        <v>2049</v>
      </c>
      <c r="D17" s="253" t="s">
        <v>2050</v>
      </c>
      <c r="E17" s="253" t="s">
        <v>2035</v>
      </c>
      <c r="F17" s="253" t="s">
        <v>1987</v>
      </c>
      <c r="G17" s="253" t="s">
        <v>1987</v>
      </c>
      <c r="H17" s="253" t="s">
        <v>1987</v>
      </c>
      <c r="I17" s="254">
        <v>3</v>
      </c>
      <c r="J17" s="254" t="s">
        <v>47</v>
      </c>
      <c r="K17" s="253" t="s">
        <v>2051</v>
      </c>
      <c r="L17" s="253" t="s">
        <v>2052</v>
      </c>
      <c r="M17" s="255" t="s">
        <v>2038</v>
      </c>
    </row>
    <row r="18" spans="1:13" ht="24">
      <c r="A18" s="256" t="s">
        <v>2053</v>
      </c>
      <c r="B18" s="257" t="s">
        <v>1981</v>
      </c>
      <c r="C18" s="257" t="s">
        <v>2054</v>
      </c>
      <c r="D18" s="257" t="s">
        <v>2055</v>
      </c>
      <c r="E18" s="257" t="s">
        <v>2007</v>
      </c>
      <c r="F18" s="257" t="s">
        <v>1987</v>
      </c>
      <c r="G18" s="257" t="s">
        <v>1987</v>
      </c>
      <c r="H18" s="257" t="s">
        <v>1987</v>
      </c>
      <c r="I18" s="258" t="s">
        <v>1987</v>
      </c>
      <c r="J18" s="258" t="s">
        <v>56</v>
      </c>
      <c r="K18" s="257" t="s">
        <v>2056</v>
      </c>
      <c r="L18" s="257" t="s">
        <v>2057</v>
      </c>
      <c r="M18" s="259" t="s">
        <v>2058</v>
      </c>
    </row>
  </sheetData>
  <sheetProtection algorithmName="SHA-512" hashValue="+IwEQsBSlYzuVQFBth5R8WO6dYIhQ5OYzb5fCbzJXh9KvLfKWOA4iAAAnNcAKGO0eNBtS3M+A/5FYWJR0QGBEA==" saltValue="/jVP1bloeVVuD7rLYAzrdQ==" spinCount="100000" sheet="1" objects="1" scenarios="1"/>
  <mergeCells count="3">
    <mergeCell ref="A1:M1"/>
    <mergeCell ref="A2:M2"/>
    <mergeCell ref="B3:M3"/>
  </mergeCells>
  <conditionalFormatting sqref="M6:M18">
    <cfRule type="expression" dxfId="12" priority="1">
      <formula>ISNUMBER(SEARCH("CONFLICTO",M6))</formula>
    </cfRule>
    <cfRule type="expression" dxfId="11" priority="2">
      <formula>ISNUMBER(SEARCH("PENDIENTE",M6))</formula>
    </cfRule>
  </conditionalFormatting>
  <dataValidations count="1">
    <dataValidation type="list" sqref="B6:B18" xr:uid="{00000000-0002-0000-3A00-000000000000}">
      <formula1>"ISAK,UDD,OMS,MINSAL,OTRO_VERIFICADO"</formula1>
    </dataValidation>
  </dataValidations>
  <hyperlinks>
    <hyperlink ref="A3" location="INICIO!A1" display="◀  VOLVER AL HUB"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60"/>
  <dimension ref="A1:Y27"/>
  <sheetViews>
    <sheetView workbookViewId="0"/>
  </sheetViews>
  <sheetFormatPr baseColWidth="10" defaultColWidth="9.140625" defaultRowHeight="15"/>
  <cols>
    <col min="1" max="1" width="24" customWidth="1"/>
    <col min="2" max="3" width="34" customWidth="1"/>
    <col min="4" max="4" width="32" customWidth="1"/>
    <col min="5" max="15" width="18" customWidth="1"/>
    <col min="16" max="16" width="32" customWidth="1"/>
    <col min="17" max="17" width="18" customWidth="1"/>
    <col min="18" max="18" width="32" customWidth="1"/>
    <col min="19" max="19" width="18" customWidth="1"/>
    <col min="20" max="20" width="32" customWidth="1"/>
    <col min="21" max="22" width="18" customWidth="1"/>
    <col min="23" max="24" width="32" customWidth="1"/>
    <col min="25" max="25" width="18" customWidth="1"/>
  </cols>
  <sheetData>
    <row r="1" spans="1:25" ht="27.95" customHeight="1">
      <c r="A1" s="483" t="s">
        <v>2059</v>
      </c>
      <c r="B1" s="483"/>
      <c r="C1" s="483"/>
      <c r="D1" s="483"/>
      <c r="E1" s="483"/>
      <c r="F1" s="483"/>
      <c r="G1" s="483"/>
      <c r="H1" s="483"/>
      <c r="I1" s="483"/>
      <c r="J1" s="483"/>
      <c r="K1" s="483"/>
      <c r="L1" s="483"/>
      <c r="M1" s="483"/>
      <c r="N1" s="483"/>
      <c r="O1" s="483"/>
      <c r="P1" s="483"/>
      <c r="Q1" s="483"/>
      <c r="R1" s="483"/>
      <c r="S1" s="483"/>
      <c r="T1" s="483"/>
      <c r="U1" s="483"/>
      <c r="V1" s="483"/>
      <c r="W1" s="483"/>
      <c r="X1" s="483"/>
      <c r="Y1" s="483"/>
    </row>
    <row r="2" spans="1:25" ht="21.95" customHeight="1">
      <c r="A2" s="484" t="s">
        <v>2060</v>
      </c>
      <c r="B2" s="484"/>
      <c r="C2" s="484"/>
      <c r="D2" s="484"/>
      <c r="E2" s="484"/>
      <c r="F2" s="484"/>
      <c r="G2" s="484"/>
      <c r="H2" s="484"/>
      <c r="I2" s="484"/>
      <c r="J2" s="484"/>
      <c r="K2" s="484"/>
      <c r="L2" s="484"/>
      <c r="M2" s="484"/>
      <c r="N2" s="484"/>
      <c r="O2" s="484"/>
      <c r="P2" s="484"/>
      <c r="Q2" s="484"/>
      <c r="R2" s="484"/>
      <c r="S2" s="484"/>
      <c r="T2" s="484"/>
      <c r="U2" s="484"/>
      <c r="V2" s="484"/>
      <c r="W2" s="484"/>
      <c r="X2" s="484"/>
      <c r="Y2" s="484"/>
    </row>
    <row r="3" spans="1:25">
      <c r="A3" s="260" t="s">
        <v>1970</v>
      </c>
      <c r="B3" s="2"/>
      <c r="C3" s="2"/>
      <c r="D3" s="2"/>
      <c r="E3" s="2"/>
      <c r="F3" s="2"/>
      <c r="G3" s="2"/>
      <c r="H3" s="2"/>
      <c r="I3" s="2"/>
      <c r="J3" s="2"/>
      <c r="K3" s="2"/>
      <c r="L3" s="2"/>
      <c r="M3" s="2"/>
      <c r="N3" s="2"/>
      <c r="O3" s="2"/>
      <c r="P3" s="2"/>
      <c r="Q3" s="2"/>
      <c r="R3" s="2"/>
      <c r="S3" s="2"/>
      <c r="T3" s="2"/>
      <c r="U3" s="2"/>
      <c r="V3" s="2"/>
      <c r="W3" s="2"/>
      <c r="X3" s="2"/>
      <c r="Y3" s="2"/>
    </row>
    <row r="4" spans="1:25" ht="15.75">
      <c r="A4" s="261" t="s">
        <v>2061</v>
      </c>
      <c r="B4" s="262" t="s">
        <v>2033</v>
      </c>
      <c r="C4" s="2"/>
      <c r="D4" s="485" t="s">
        <v>2062</v>
      </c>
      <c r="E4" s="485"/>
      <c r="F4" s="485"/>
      <c r="G4" s="485"/>
      <c r="H4" s="485"/>
      <c r="I4" s="2"/>
      <c r="J4" s="2"/>
      <c r="K4" s="2"/>
      <c r="L4" s="2"/>
      <c r="M4" s="2"/>
      <c r="N4" s="2"/>
      <c r="O4" s="2"/>
      <c r="P4" s="2"/>
      <c r="Q4" s="2"/>
      <c r="R4" s="2"/>
      <c r="S4" s="2"/>
      <c r="T4" s="2"/>
      <c r="U4" s="2"/>
      <c r="V4" s="2"/>
      <c r="W4" s="2"/>
      <c r="X4" s="2"/>
      <c r="Y4" s="2"/>
    </row>
    <row r="5" spans="1:25">
      <c r="A5" s="2"/>
      <c r="B5" s="2"/>
      <c r="C5" s="2"/>
      <c r="D5" s="2"/>
      <c r="E5" s="2"/>
      <c r="F5" s="2"/>
      <c r="G5" s="2"/>
      <c r="H5" s="2"/>
      <c r="I5" s="2"/>
      <c r="J5" s="2"/>
      <c r="K5" s="2"/>
      <c r="L5" s="2"/>
      <c r="M5" s="2"/>
      <c r="N5" s="2"/>
      <c r="O5" s="2"/>
      <c r="P5" s="2"/>
      <c r="Q5" s="2"/>
      <c r="R5" s="2"/>
      <c r="S5" s="2"/>
      <c r="T5" s="2"/>
      <c r="U5" s="2"/>
      <c r="V5" s="2"/>
      <c r="W5" s="2"/>
      <c r="X5" s="2"/>
      <c r="Y5" s="2"/>
    </row>
    <row r="6" spans="1:25">
      <c r="A6" s="245" t="s">
        <v>15</v>
      </c>
      <c r="B6" s="246" t="s">
        <v>1981</v>
      </c>
      <c r="C6" s="246" t="s">
        <v>2063</v>
      </c>
      <c r="D6" s="247" t="s">
        <v>2064</v>
      </c>
      <c r="E6" s="2"/>
      <c r="F6" s="2"/>
      <c r="G6" s="2"/>
      <c r="H6" s="2"/>
      <c r="I6" s="2"/>
      <c r="J6" s="2"/>
      <c r="K6" s="2"/>
      <c r="L6" s="2"/>
      <c r="M6" s="2"/>
      <c r="N6" s="2"/>
      <c r="O6" s="2"/>
      <c r="P6" s="2"/>
      <c r="Q6" s="2"/>
      <c r="R6" s="2"/>
      <c r="S6" s="2"/>
      <c r="T6" s="2"/>
      <c r="U6" s="2"/>
      <c r="V6" s="2"/>
      <c r="W6" s="2"/>
      <c r="X6" s="2"/>
      <c r="Y6" s="2"/>
    </row>
    <row r="7" spans="1:25">
      <c r="A7" s="263" t="s">
        <v>1972</v>
      </c>
      <c r="B7" s="248" t="str">
        <f>INDEX($B$24:$B$27,MATCH($B$4,$A$24:$A$27,0))</f>
        <v>UDD-PRO-14</v>
      </c>
      <c r="C7" s="249" t="str">
        <f>INDEX($N$24:$N$27,MATCH($B$4,$A$24:$A$27,0))</f>
        <v>ISAK-NMX28-BIC</v>
      </c>
      <c r="D7" s="264" t="str">
        <f t="shared" ref="D7:D18" si="0">IF(OR(B7="",C7=""),"NO COMPARABLE",IF(B7=C7,"COINCIDE","DIFIERE"))</f>
        <v>DIFIERE</v>
      </c>
      <c r="E7" s="2"/>
      <c r="F7" s="2"/>
      <c r="G7" s="2"/>
      <c r="H7" s="2"/>
      <c r="I7" s="2"/>
      <c r="J7" s="2"/>
      <c r="K7" s="2"/>
      <c r="L7" s="2"/>
      <c r="M7" s="2"/>
      <c r="N7" s="2"/>
      <c r="O7" s="2"/>
      <c r="P7" s="2"/>
      <c r="Q7" s="2"/>
      <c r="R7" s="2"/>
      <c r="S7" s="2"/>
      <c r="T7" s="2"/>
      <c r="U7" s="2"/>
      <c r="V7" s="2"/>
      <c r="W7" s="2"/>
      <c r="X7" s="2"/>
      <c r="Y7" s="2"/>
    </row>
    <row r="8" spans="1:25">
      <c r="A8" s="265" t="s">
        <v>1973</v>
      </c>
      <c r="B8" s="252" t="str">
        <f>INDEX($C$24:$C$27,MATCH($B$4,$A$24:$A$27,0))</f>
        <v>UDD</v>
      </c>
      <c r="C8" s="253" t="str">
        <f>INDEX($O$24:$O$27,MATCH($B$4,$A$24:$A$27,0))</f>
        <v>ISAK</v>
      </c>
      <c r="D8" s="266" t="str">
        <f t="shared" si="0"/>
        <v>DIFIERE</v>
      </c>
      <c r="E8" s="2"/>
      <c r="F8" s="2"/>
      <c r="G8" s="2"/>
      <c r="H8" s="2"/>
      <c r="I8" s="2"/>
      <c r="J8" s="2"/>
      <c r="K8" s="2"/>
      <c r="L8" s="2"/>
      <c r="M8" s="2"/>
      <c r="N8" s="2"/>
      <c r="O8" s="2"/>
      <c r="P8" s="2"/>
      <c r="Q8" s="2"/>
      <c r="R8" s="2"/>
      <c r="S8" s="2"/>
      <c r="T8" s="2"/>
      <c r="U8" s="2"/>
      <c r="V8" s="2"/>
      <c r="W8" s="2"/>
      <c r="X8" s="2"/>
      <c r="Y8" s="2"/>
    </row>
    <row r="9" spans="1:25" ht="24">
      <c r="A9" s="265" t="s">
        <v>1974</v>
      </c>
      <c r="B9" s="252" t="str">
        <f>INDEX($D$24:$D$27,MATCH($B$4,$A$24:$A$27,0))</f>
        <v>Punto medio del brazo; detalle anatómico resumido en matriz</v>
      </c>
      <c r="C9" s="253" t="str">
        <f>INDEX($P$24:$P$27,MATCH($B$4,$A$24:$A$27,0))</f>
        <v>Punto medio del brazo, cara anterior, sobre el vientre del bíceps</v>
      </c>
      <c r="D9" s="266" t="str">
        <f t="shared" si="0"/>
        <v>DIFIERE</v>
      </c>
      <c r="E9" s="2"/>
      <c r="F9" s="2"/>
      <c r="G9" s="2"/>
      <c r="H9" s="2"/>
      <c r="I9" s="2"/>
      <c r="J9" s="2"/>
      <c r="K9" s="2"/>
      <c r="L9" s="2"/>
      <c r="M9" s="2"/>
      <c r="N9" s="2"/>
      <c r="O9" s="2"/>
      <c r="P9" s="2"/>
      <c r="Q9" s="2"/>
      <c r="R9" s="2"/>
      <c r="S9" s="2"/>
      <c r="T9" s="2"/>
      <c r="U9" s="2"/>
      <c r="V9" s="2"/>
      <c r="W9" s="2"/>
      <c r="X9" s="2"/>
      <c r="Y9" s="2"/>
    </row>
    <row r="10" spans="1:25">
      <c r="A10" s="265" t="s">
        <v>1975</v>
      </c>
      <c r="B10" s="252" t="str">
        <f>INDEX($E$24:$E$27,MATCH($B$4,$A$24:$A$27,0))</f>
        <v>Brazo no dominante</v>
      </c>
      <c r="C10" s="253" t="str">
        <f>INDEX($Q$24:$Q$27,MATCH($B$4,$A$24:$A$27,0))</f>
        <v>Derecho</v>
      </c>
      <c r="D10" s="266" t="str">
        <f t="shared" si="0"/>
        <v>DIFIERE</v>
      </c>
      <c r="E10" s="2"/>
      <c r="F10" s="2"/>
      <c r="G10" s="2"/>
      <c r="H10" s="2"/>
      <c r="I10" s="2"/>
      <c r="J10" s="2"/>
      <c r="K10" s="2"/>
      <c r="L10" s="2"/>
      <c r="M10" s="2"/>
      <c r="N10" s="2"/>
      <c r="O10" s="2"/>
      <c r="P10" s="2"/>
      <c r="Q10" s="2"/>
      <c r="R10" s="2"/>
      <c r="S10" s="2"/>
      <c r="T10" s="2"/>
      <c r="U10" s="2"/>
      <c r="V10" s="2"/>
      <c r="W10" s="2"/>
      <c r="X10" s="2"/>
      <c r="Y10" s="2"/>
    </row>
    <row r="11" spans="1:25">
      <c r="A11" s="265" t="s">
        <v>1976</v>
      </c>
      <c r="B11" s="252" t="str">
        <f>INDEX($F$24:$F$27,MATCH($B$4,$A$24:$A$27,0))</f>
        <v>NO_DOCUMENTADA_EN_MATRIZ</v>
      </c>
      <c r="C11" s="253" t="str">
        <f>INDEX($R$24:$R$27,MATCH($B$4,$A$24:$A$27,0))</f>
        <v>De pie, brazo relajado y supinado</v>
      </c>
      <c r="D11" s="266" t="str">
        <f t="shared" si="0"/>
        <v>DIFIERE</v>
      </c>
      <c r="E11" s="2"/>
      <c r="F11" s="2"/>
      <c r="G11" s="2"/>
      <c r="H11" s="2"/>
      <c r="I11" s="2"/>
      <c r="J11" s="2"/>
      <c r="K11" s="2"/>
      <c r="L11" s="2"/>
      <c r="M11" s="2"/>
      <c r="N11" s="2"/>
      <c r="O11" s="2"/>
      <c r="P11" s="2"/>
      <c r="Q11" s="2"/>
      <c r="R11" s="2"/>
      <c r="S11" s="2"/>
      <c r="T11" s="2"/>
      <c r="U11" s="2"/>
      <c r="V11" s="2"/>
      <c r="W11" s="2"/>
      <c r="X11" s="2"/>
      <c r="Y11" s="2"/>
    </row>
    <row r="12" spans="1:25">
      <c r="A12" s="265" t="s">
        <v>29</v>
      </c>
      <c r="B12" s="252" t="str">
        <f>INDEX($G$24:$G$27,MATCH($B$4,$A$24:$A$27,0))</f>
        <v>NO_DOCUMENTADO_EN_MATRIZ</v>
      </c>
      <c r="C12" s="253" t="str">
        <f>INDEX($S$24:$S$27,MATCH($B$4,$A$24:$A$27,0))</f>
        <v>Plicómetro</v>
      </c>
      <c r="D12" s="266" t="str">
        <f t="shared" si="0"/>
        <v>DIFIERE</v>
      </c>
      <c r="E12" s="2"/>
      <c r="F12" s="2"/>
      <c r="G12" s="2"/>
      <c r="H12" s="2"/>
      <c r="I12" s="2"/>
      <c r="J12" s="2"/>
      <c r="K12" s="2"/>
      <c r="L12" s="2"/>
      <c r="M12" s="2"/>
      <c r="N12" s="2"/>
      <c r="O12" s="2"/>
      <c r="P12" s="2"/>
      <c r="Q12" s="2"/>
      <c r="R12" s="2"/>
      <c r="S12" s="2"/>
      <c r="T12" s="2"/>
      <c r="U12" s="2"/>
      <c r="V12" s="2"/>
      <c r="W12" s="2"/>
      <c r="X12" s="2"/>
      <c r="Y12" s="2"/>
    </row>
    <row r="13" spans="1:25" ht="24">
      <c r="A13" s="265" t="s">
        <v>1977</v>
      </c>
      <c r="B13" s="252" t="str">
        <f>INDEX($H$24:$H$27,MATCH($B$4,$A$24:$A$27,0))</f>
        <v>NO_DOCUMENTADA_EN_MATRIZ</v>
      </c>
      <c r="C13" s="253" t="str">
        <f>INDEX($T$24:$T$27,MATCH($B$4,$A$24:$A$27,0))</f>
        <v>NO DOCUMENTADA; control con patrón ±0,2 mm (no equivale a resolución)</v>
      </c>
      <c r="D13" s="266" t="str">
        <f t="shared" si="0"/>
        <v>DIFIERE</v>
      </c>
      <c r="E13" s="2"/>
      <c r="F13" s="2"/>
      <c r="G13" s="2"/>
      <c r="H13" s="2"/>
      <c r="I13" s="2"/>
      <c r="J13" s="2"/>
      <c r="K13" s="2"/>
      <c r="L13" s="2"/>
      <c r="M13" s="2"/>
      <c r="N13" s="2"/>
      <c r="O13" s="2"/>
      <c r="P13" s="2"/>
      <c r="Q13" s="2"/>
      <c r="R13" s="2"/>
      <c r="S13" s="2"/>
      <c r="T13" s="2"/>
      <c r="U13" s="2"/>
      <c r="V13" s="2"/>
      <c r="W13" s="2"/>
      <c r="X13" s="2"/>
      <c r="Y13" s="2"/>
    </row>
    <row r="14" spans="1:25">
      <c r="A14" s="265" t="s">
        <v>1978</v>
      </c>
      <c r="B14" s="252">
        <f>INDEX($I$24:$I$27,MATCH($B$4,$A$24:$A$27,0))</f>
        <v>3</v>
      </c>
      <c r="C14" s="253">
        <f>INDEX($U$24:$U$27,MATCH($B$4,$A$24:$A$27,0))</f>
        <v>2</v>
      </c>
      <c r="D14" s="266" t="str">
        <f t="shared" si="0"/>
        <v>DIFIERE</v>
      </c>
      <c r="E14" s="2"/>
      <c r="F14" s="2"/>
      <c r="G14" s="2"/>
      <c r="H14" s="2"/>
      <c r="I14" s="2"/>
      <c r="J14" s="2"/>
      <c r="K14" s="2"/>
      <c r="L14" s="2"/>
      <c r="M14" s="2"/>
      <c r="N14" s="2"/>
      <c r="O14" s="2"/>
      <c r="P14" s="2"/>
      <c r="Q14" s="2"/>
      <c r="R14" s="2"/>
      <c r="S14" s="2"/>
      <c r="T14" s="2"/>
      <c r="U14" s="2"/>
      <c r="V14" s="2"/>
      <c r="W14" s="2"/>
      <c r="X14" s="2"/>
      <c r="Y14" s="2"/>
    </row>
    <row r="15" spans="1:25">
      <c r="A15" s="265" t="s">
        <v>43</v>
      </c>
      <c r="B15" s="252" t="str">
        <f>INDEX($J$24:$J$27,MATCH($B$4,$A$24:$A$27,0))</f>
        <v>mm</v>
      </c>
      <c r="C15" s="253" t="str">
        <f>INDEX($V$24:$V$27,MATCH($B$4,$A$24:$A$27,0))</f>
        <v>mm</v>
      </c>
      <c r="D15" s="266" t="str">
        <f t="shared" si="0"/>
        <v>COINCIDE</v>
      </c>
      <c r="E15" s="2"/>
      <c r="F15" s="2"/>
      <c r="G15" s="2"/>
      <c r="H15" s="2"/>
      <c r="I15" s="2"/>
      <c r="J15" s="2"/>
      <c r="K15" s="2"/>
      <c r="L15" s="2"/>
      <c r="M15" s="2"/>
      <c r="N15" s="2"/>
      <c r="O15" s="2"/>
      <c r="P15" s="2"/>
      <c r="Q15" s="2"/>
      <c r="R15" s="2"/>
      <c r="S15" s="2"/>
      <c r="T15" s="2"/>
      <c r="U15" s="2"/>
      <c r="V15" s="2"/>
      <c r="W15" s="2"/>
      <c r="X15" s="2"/>
      <c r="Y15" s="2"/>
    </row>
    <row r="16" spans="1:25">
      <c r="A16" s="265" t="s">
        <v>636</v>
      </c>
      <c r="B16" s="252" t="str">
        <f>INDEX($K$24:$K$27,MATCH($B$4,$A$24:$A$27,0))</f>
        <v>Manual UDD 2018 · PRO-14</v>
      </c>
      <c r="C16" s="253" t="str">
        <f>INDEX($W$24:$W$27,MATCH($B$4,$A$24:$A$27,0))</f>
        <v>Protocolos ISAK ya presentes en NMX-28</v>
      </c>
      <c r="D16" s="266" t="str">
        <f t="shared" si="0"/>
        <v>DIFIERE</v>
      </c>
      <c r="E16" s="2"/>
      <c r="F16" s="2"/>
      <c r="G16" s="2"/>
      <c r="H16" s="2"/>
      <c r="I16" s="2"/>
      <c r="J16" s="2"/>
      <c r="K16" s="2"/>
      <c r="L16" s="2"/>
      <c r="M16" s="2"/>
      <c r="N16" s="2"/>
      <c r="O16" s="2"/>
      <c r="P16" s="2"/>
      <c r="Q16" s="2"/>
      <c r="R16" s="2"/>
      <c r="S16" s="2"/>
      <c r="T16" s="2"/>
      <c r="U16" s="2"/>
      <c r="V16" s="2"/>
      <c r="W16" s="2"/>
      <c r="X16" s="2"/>
      <c r="Y16" s="2"/>
    </row>
    <row r="17" spans="1:25">
      <c r="A17" s="265" t="s">
        <v>2065</v>
      </c>
      <c r="B17" s="252" t="str">
        <f>INDEX($L$24:$L$27,MATCH($B$4,$A$24:$A$27,0))</f>
        <v>PDF 34 / impresa 33</v>
      </c>
      <c r="C17" s="253" t="str">
        <f>INDEX($X$24:$X$27,MATCH($B$4,$A$24:$A$27,0))</f>
        <v>M41_TECNICA!A18:D18; M36_PLIEGUES!A3</v>
      </c>
      <c r="D17" s="266" t="str">
        <f t="shared" si="0"/>
        <v>DIFIERE</v>
      </c>
      <c r="E17" s="2"/>
      <c r="F17" s="2"/>
      <c r="G17" s="2"/>
      <c r="H17" s="2"/>
      <c r="I17" s="2"/>
      <c r="J17" s="2"/>
      <c r="K17" s="2"/>
      <c r="L17" s="2"/>
      <c r="M17" s="2"/>
      <c r="N17" s="2"/>
      <c r="O17" s="2"/>
      <c r="P17" s="2"/>
      <c r="Q17" s="2"/>
      <c r="R17" s="2"/>
      <c r="S17" s="2"/>
      <c r="T17" s="2"/>
      <c r="U17" s="2"/>
      <c r="V17" s="2"/>
      <c r="W17" s="2"/>
      <c r="X17" s="2"/>
      <c r="Y17" s="2"/>
    </row>
    <row r="18" spans="1:25">
      <c r="A18" s="267" t="s">
        <v>44</v>
      </c>
      <c r="B18" s="256" t="str">
        <f>INDEX($M$24:$M$27,MATCH($B$4,$A$24:$A$27,0))</f>
        <v>CONFLICTO_PROTOCOLO</v>
      </c>
      <c r="C18" s="257" t="str">
        <f>INDEX($Y$24:$Y$27,MATCH($B$4,$A$24:$A$27,0))</f>
        <v>EXISTENTE_EN_LIBRO</v>
      </c>
      <c r="D18" s="268" t="str">
        <f t="shared" si="0"/>
        <v>DIFIERE</v>
      </c>
      <c r="E18" s="2"/>
      <c r="F18" s="2"/>
      <c r="G18" s="2"/>
      <c r="H18" s="2"/>
      <c r="I18" s="2"/>
      <c r="J18" s="2"/>
      <c r="K18" s="2"/>
      <c r="L18" s="2"/>
      <c r="M18" s="2"/>
      <c r="N18" s="2"/>
      <c r="O18" s="2"/>
      <c r="P18" s="2"/>
      <c r="Q18" s="2"/>
      <c r="R18" s="2"/>
      <c r="S18" s="2"/>
      <c r="T18" s="2"/>
      <c r="U18" s="2"/>
      <c r="V18" s="2"/>
      <c r="W18" s="2"/>
      <c r="X18" s="2"/>
      <c r="Y18" s="2"/>
    </row>
    <row r="19" spans="1:25">
      <c r="A19" s="2"/>
      <c r="B19" s="2"/>
      <c r="C19" s="2"/>
      <c r="D19" s="2"/>
      <c r="E19" s="2"/>
      <c r="F19" s="2"/>
      <c r="G19" s="2"/>
      <c r="H19" s="2"/>
      <c r="I19" s="2"/>
      <c r="J19" s="2"/>
      <c r="K19" s="2"/>
      <c r="L19" s="2"/>
      <c r="M19" s="2"/>
      <c r="N19" s="2"/>
      <c r="O19" s="2"/>
      <c r="P19" s="2"/>
      <c r="Q19" s="2"/>
      <c r="R19" s="2"/>
      <c r="S19" s="2"/>
      <c r="T19" s="2"/>
      <c r="U19" s="2"/>
      <c r="V19" s="2"/>
      <c r="W19" s="2"/>
      <c r="X19" s="2"/>
      <c r="Y19" s="2"/>
    </row>
    <row r="20" spans="1:25">
      <c r="A20" s="486" t="s">
        <v>2066</v>
      </c>
      <c r="B20" s="486"/>
      <c r="C20" s="486"/>
      <c r="D20" s="486"/>
      <c r="E20" s="486"/>
      <c r="F20" s="486"/>
      <c r="G20" s="486"/>
      <c r="H20" s="486"/>
      <c r="I20" s="486"/>
      <c r="J20" s="486"/>
      <c r="K20" s="486"/>
      <c r="L20" s="486"/>
      <c r="M20" s="486"/>
      <c r="N20" s="486"/>
      <c r="O20" s="486"/>
      <c r="P20" s="486"/>
      <c r="Q20" s="486"/>
      <c r="R20" s="486"/>
      <c r="S20" s="486"/>
      <c r="T20" s="486"/>
      <c r="U20" s="486"/>
      <c r="V20" s="486"/>
      <c r="W20" s="486"/>
      <c r="X20" s="486"/>
      <c r="Y20" s="486"/>
    </row>
    <row r="21" spans="1:25">
      <c r="A21" s="2"/>
      <c r="B21" s="2"/>
      <c r="C21" s="2"/>
      <c r="D21" s="2"/>
      <c r="E21" s="2"/>
      <c r="F21" s="2"/>
      <c r="G21" s="2"/>
      <c r="H21" s="2"/>
      <c r="I21" s="2"/>
      <c r="J21" s="2"/>
      <c r="K21" s="2"/>
      <c r="L21" s="2"/>
      <c r="M21" s="2"/>
      <c r="N21" s="2"/>
      <c r="O21" s="2"/>
      <c r="P21" s="2"/>
      <c r="Q21" s="2"/>
      <c r="R21" s="2"/>
      <c r="S21" s="2"/>
      <c r="T21" s="2"/>
      <c r="U21" s="2"/>
      <c r="V21" s="2"/>
      <c r="W21" s="2"/>
      <c r="X21" s="2"/>
      <c r="Y21" s="2"/>
    </row>
    <row r="22" spans="1:25">
      <c r="A22" s="2"/>
      <c r="B22" s="2"/>
      <c r="C22" s="2"/>
      <c r="D22" s="2"/>
      <c r="E22" s="2"/>
      <c r="F22" s="2"/>
      <c r="G22" s="2"/>
      <c r="H22" s="2"/>
      <c r="I22" s="2"/>
      <c r="J22" s="2"/>
      <c r="K22" s="2"/>
      <c r="L22" s="2"/>
      <c r="M22" s="2"/>
      <c r="N22" s="2"/>
      <c r="O22" s="2"/>
      <c r="P22" s="2"/>
      <c r="Q22" s="2"/>
      <c r="R22" s="2"/>
      <c r="S22" s="2"/>
      <c r="T22" s="2"/>
      <c r="U22" s="2"/>
      <c r="V22" s="2"/>
      <c r="W22" s="2"/>
      <c r="X22" s="2"/>
      <c r="Y22" s="2"/>
    </row>
    <row r="23" spans="1:25" ht="42" customHeight="1">
      <c r="A23" s="245" t="s">
        <v>1333</v>
      </c>
      <c r="B23" s="246" t="s">
        <v>2067</v>
      </c>
      <c r="C23" s="246" t="s">
        <v>2068</v>
      </c>
      <c r="D23" s="246" t="s">
        <v>2069</v>
      </c>
      <c r="E23" s="246" t="s">
        <v>2070</v>
      </c>
      <c r="F23" s="246" t="s">
        <v>2071</v>
      </c>
      <c r="G23" s="246" t="s">
        <v>2072</v>
      </c>
      <c r="H23" s="246" t="s">
        <v>2073</v>
      </c>
      <c r="I23" s="246" t="s">
        <v>2074</v>
      </c>
      <c r="J23" s="246" t="s">
        <v>2075</v>
      </c>
      <c r="K23" s="246" t="s">
        <v>2076</v>
      </c>
      <c r="L23" s="246" t="s">
        <v>2077</v>
      </c>
      <c r="M23" s="246" t="s">
        <v>2078</v>
      </c>
      <c r="N23" s="246" t="s">
        <v>2079</v>
      </c>
      <c r="O23" s="246" t="s">
        <v>2080</v>
      </c>
      <c r="P23" s="246" t="s">
        <v>2081</v>
      </c>
      <c r="Q23" s="246" t="s">
        <v>2082</v>
      </c>
      <c r="R23" s="246" t="s">
        <v>2083</v>
      </c>
      <c r="S23" s="246" t="s">
        <v>2084</v>
      </c>
      <c r="T23" s="246" t="s">
        <v>2085</v>
      </c>
      <c r="U23" s="246" t="s">
        <v>2086</v>
      </c>
      <c r="V23" s="246" t="s">
        <v>2087</v>
      </c>
      <c r="W23" s="246" t="s">
        <v>2088</v>
      </c>
      <c r="X23" s="246" t="s">
        <v>2089</v>
      </c>
      <c r="Y23" s="247" t="s">
        <v>2090</v>
      </c>
    </row>
    <row r="24" spans="1:25" ht="24">
      <c r="A24" s="248" t="s">
        <v>2033</v>
      </c>
      <c r="B24" s="249" t="s">
        <v>2032</v>
      </c>
      <c r="C24" s="249" t="s">
        <v>1981</v>
      </c>
      <c r="D24" s="249" t="s">
        <v>2034</v>
      </c>
      <c r="E24" s="249" t="s">
        <v>2035</v>
      </c>
      <c r="F24" s="249" t="s">
        <v>1987</v>
      </c>
      <c r="G24" s="249" t="s">
        <v>2091</v>
      </c>
      <c r="H24" s="249" t="s">
        <v>1987</v>
      </c>
      <c r="I24" s="249">
        <v>3</v>
      </c>
      <c r="J24" s="249" t="s">
        <v>47</v>
      </c>
      <c r="K24" s="249" t="s">
        <v>2036</v>
      </c>
      <c r="L24" s="249" t="s">
        <v>2037</v>
      </c>
      <c r="M24" s="249" t="s">
        <v>2038</v>
      </c>
      <c r="N24" s="249" t="s">
        <v>2092</v>
      </c>
      <c r="O24" s="249" t="s">
        <v>2093</v>
      </c>
      <c r="P24" s="249" t="s">
        <v>397</v>
      </c>
      <c r="Q24" s="249" t="s">
        <v>2041</v>
      </c>
      <c r="R24" s="249" t="s">
        <v>398</v>
      </c>
      <c r="S24" s="249" t="s">
        <v>2094</v>
      </c>
      <c r="T24" s="249" t="s">
        <v>2095</v>
      </c>
      <c r="U24" s="249">
        <v>2</v>
      </c>
      <c r="V24" s="249" t="s">
        <v>47</v>
      </c>
      <c r="W24" s="249" t="s">
        <v>2096</v>
      </c>
      <c r="X24" s="249" t="s">
        <v>2097</v>
      </c>
      <c r="Y24" s="251" t="s">
        <v>2098</v>
      </c>
    </row>
    <row r="25" spans="1:25" ht="24">
      <c r="A25" s="252" t="s">
        <v>1034</v>
      </c>
      <c r="B25" s="253" t="s">
        <v>2039</v>
      </c>
      <c r="C25" s="253" t="s">
        <v>1981</v>
      </c>
      <c r="D25" s="253" t="s">
        <v>2099</v>
      </c>
      <c r="E25" s="253" t="s">
        <v>2041</v>
      </c>
      <c r="F25" s="253" t="s">
        <v>1987</v>
      </c>
      <c r="G25" s="253" t="s">
        <v>2091</v>
      </c>
      <c r="H25" s="253" t="s">
        <v>1987</v>
      </c>
      <c r="I25" s="253">
        <v>3</v>
      </c>
      <c r="J25" s="253" t="s">
        <v>47</v>
      </c>
      <c r="K25" s="253" t="s">
        <v>2042</v>
      </c>
      <c r="L25" s="253" t="s">
        <v>2043</v>
      </c>
      <c r="M25" s="253" t="s">
        <v>2038</v>
      </c>
      <c r="N25" s="253" t="s">
        <v>2100</v>
      </c>
      <c r="O25" s="253" t="s">
        <v>2093</v>
      </c>
      <c r="P25" s="253" t="s">
        <v>394</v>
      </c>
      <c r="Q25" s="253" t="s">
        <v>2041</v>
      </c>
      <c r="R25" s="253" t="s">
        <v>396</v>
      </c>
      <c r="S25" s="253" t="s">
        <v>2094</v>
      </c>
      <c r="T25" s="253" t="s">
        <v>2095</v>
      </c>
      <c r="U25" s="253">
        <v>2</v>
      </c>
      <c r="V25" s="253" t="s">
        <v>47</v>
      </c>
      <c r="W25" s="253" t="s">
        <v>2096</v>
      </c>
      <c r="X25" s="253" t="s">
        <v>2101</v>
      </c>
      <c r="Y25" s="255" t="s">
        <v>2098</v>
      </c>
    </row>
    <row r="26" spans="1:25" ht="24">
      <c r="A26" s="252" t="s">
        <v>1036</v>
      </c>
      <c r="B26" s="253" t="s">
        <v>2044</v>
      </c>
      <c r="C26" s="253" t="s">
        <v>1981</v>
      </c>
      <c r="D26" s="253" t="s">
        <v>2045</v>
      </c>
      <c r="E26" s="253" t="s">
        <v>2007</v>
      </c>
      <c r="F26" s="253" t="s">
        <v>1987</v>
      </c>
      <c r="G26" s="253" t="s">
        <v>2091</v>
      </c>
      <c r="H26" s="253" t="s">
        <v>1987</v>
      </c>
      <c r="I26" s="253">
        <v>3</v>
      </c>
      <c r="J26" s="253" t="s">
        <v>47</v>
      </c>
      <c r="K26" s="253" t="s">
        <v>2046</v>
      </c>
      <c r="L26" s="253" t="s">
        <v>2047</v>
      </c>
      <c r="M26" s="253" t="s">
        <v>2038</v>
      </c>
      <c r="N26" s="253" t="s">
        <v>2102</v>
      </c>
      <c r="O26" s="253" t="s">
        <v>2093</v>
      </c>
      <c r="P26" s="253" t="s">
        <v>399</v>
      </c>
      <c r="Q26" s="253" t="s">
        <v>2041</v>
      </c>
      <c r="R26" s="253" t="s">
        <v>401</v>
      </c>
      <c r="S26" s="253" t="s">
        <v>2094</v>
      </c>
      <c r="T26" s="253" t="s">
        <v>2095</v>
      </c>
      <c r="U26" s="253">
        <v>2</v>
      </c>
      <c r="V26" s="253" t="s">
        <v>47</v>
      </c>
      <c r="W26" s="253" t="s">
        <v>2096</v>
      </c>
      <c r="X26" s="253" t="s">
        <v>2103</v>
      </c>
      <c r="Y26" s="255" t="s">
        <v>2098</v>
      </c>
    </row>
    <row r="27" spans="1:25" ht="24">
      <c r="A27" s="256" t="s">
        <v>2049</v>
      </c>
      <c r="B27" s="257" t="s">
        <v>2048</v>
      </c>
      <c r="C27" s="257" t="s">
        <v>1981</v>
      </c>
      <c r="D27" s="257" t="s">
        <v>2050</v>
      </c>
      <c r="E27" s="257" t="s">
        <v>2035</v>
      </c>
      <c r="F27" s="257" t="s">
        <v>1987</v>
      </c>
      <c r="G27" s="257" t="s">
        <v>2091</v>
      </c>
      <c r="H27" s="257" t="s">
        <v>1987</v>
      </c>
      <c r="I27" s="257">
        <v>3</v>
      </c>
      <c r="J27" s="257" t="s">
        <v>47</v>
      </c>
      <c r="K27" s="257" t="s">
        <v>2051</v>
      </c>
      <c r="L27" s="257" t="s">
        <v>2052</v>
      </c>
      <c r="M27" s="257" t="s">
        <v>2038</v>
      </c>
      <c r="N27" s="257" t="s">
        <v>2104</v>
      </c>
      <c r="O27" s="257" t="s">
        <v>2093</v>
      </c>
      <c r="P27" s="257" t="s">
        <v>391</v>
      </c>
      <c r="Q27" s="257" t="s">
        <v>2041</v>
      </c>
      <c r="R27" s="257" t="s">
        <v>393</v>
      </c>
      <c r="S27" s="257" t="s">
        <v>2094</v>
      </c>
      <c r="T27" s="257" t="s">
        <v>2095</v>
      </c>
      <c r="U27" s="257">
        <v>2</v>
      </c>
      <c r="V27" s="257" t="s">
        <v>47</v>
      </c>
      <c r="W27" s="257" t="s">
        <v>2096</v>
      </c>
      <c r="X27" s="257" t="s">
        <v>2105</v>
      </c>
      <c r="Y27" s="259" t="s">
        <v>2098</v>
      </c>
    </row>
  </sheetData>
  <sheetProtection algorithmName="SHA-512" hashValue="sY3k94RUoKN4CI2tTHj+gXWhwrql62EtmK8kfpvhZz4iiXqezdoNt8lQUoUx61h6Sm1cb3TFBhtBYqb9SzUeqg==" saltValue="iwyR9Y1NwCzLva6CNqsikA==" spinCount="100000" sheet="1" objects="1" scenarios="1"/>
  <mergeCells count="4">
    <mergeCell ref="A1:Y1"/>
    <mergeCell ref="A2:Y2"/>
    <mergeCell ref="D4:H4"/>
    <mergeCell ref="A20:Y20"/>
  </mergeCells>
  <conditionalFormatting sqref="D7:D18">
    <cfRule type="expression" dxfId="10" priority="1">
      <formula>D7="DIFIERE"</formula>
    </cfRule>
    <cfRule type="expression" dxfId="9" priority="2">
      <formula>D7="COINCIDE"</formula>
    </cfRule>
    <cfRule type="expression" dxfId="8" priority="3">
      <formula>D7="NO COMPARABLE"</formula>
    </cfRule>
  </conditionalFormatting>
  <dataValidations count="1">
    <dataValidation type="list" sqref="B4" xr:uid="{00000000-0002-0000-3B00-000000000000}">
      <formula1>"Pliegue bicipital,Pliegue subescapular,Pliegue suprailíaco,Pliegue tricipital"</formula1>
    </dataValidation>
  </dataValidations>
  <hyperlinks>
    <hyperlink ref="A3" location="INICIO!A1" display="◀  VOLVER AL HUB"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61"/>
  <dimension ref="A1:O31"/>
  <sheetViews>
    <sheetView workbookViewId="0"/>
  </sheetViews>
  <sheetFormatPr baseColWidth="10" defaultColWidth="9.140625" defaultRowHeight="15"/>
  <cols>
    <col min="1" max="1" width="16" customWidth="1"/>
    <col min="2" max="2" width="18" customWidth="1"/>
    <col min="3" max="3" width="31" customWidth="1"/>
    <col min="4" max="4" width="20" customWidth="1"/>
    <col min="5" max="5" width="17" customWidth="1"/>
    <col min="6" max="6" width="13" customWidth="1"/>
    <col min="7" max="7" width="28" customWidth="1"/>
    <col min="8" max="8" width="23" customWidth="1"/>
    <col min="9" max="9" width="38" customWidth="1"/>
    <col min="10" max="10" width="20" customWidth="1"/>
    <col min="11" max="11" width="14" customWidth="1"/>
    <col min="12" max="12" width="34" customWidth="1"/>
    <col min="13" max="13" width="18" customWidth="1"/>
    <col min="14" max="14" width="29" customWidth="1"/>
    <col min="15" max="15" width="42" customWidth="1"/>
  </cols>
  <sheetData>
    <row r="1" spans="1:15" ht="27.95" customHeight="1">
      <c r="A1" s="483" t="s">
        <v>2106</v>
      </c>
      <c r="B1" s="483"/>
      <c r="C1" s="483"/>
      <c r="D1" s="483"/>
      <c r="E1" s="483"/>
      <c r="F1" s="483"/>
      <c r="G1" s="483"/>
      <c r="H1" s="483"/>
      <c r="I1" s="483"/>
      <c r="J1" s="483"/>
      <c r="K1" s="483"/>
      <c r="L1" s="483"/>
      <c r="M1" s="483"/>
      <c r="N1" s="483"/>
      <c r="O1" s="483"/>
    </row>
    <row r="2" spans="1:15" ht="21.95" customHeight="1">
      <c r="A2" s="484" t="s">
        <v>2107</v>
      </c>
      <c r="B2" s="484"/>
      <c r="C2" s="484"/>
      <c r="D2" s="484"/>
      <c r="E2" s="484"/>
      <c r="F2" s="484"/>
      <c r="G2" s="484"/>
      <c r="H2" s="484"/>
      <c r="I2" s="484"/>
      <c r="J2" s="484"/>
      <c r="K2" s="484"/>
      <c r="L2" s="484"/>
      <c r="M2" s="484"/>
      <c r="N2" s="484"/>
      <c r="O2" s="484"/>
    </row>
    <row r="3" spans="1:15">
      <c r="A3" s="260" t="s">
        <v>1970</v>
      </c>
      <c r="B3" s="2"/>
      <c r="C3" s="2"/>
      <c r="D3" s="2"/>
      <c r="E3" s="2"/>
      <c r="F3" s="2"/>
      <c r="G3" s="2"/>
      <c r="H3" s="2"/>
      <c r="I3" s="2"/>
      <c r="J3" s="2"/>
      <c r="K3" s="2"/>
      <c r="L3" s="2"/>
      <c r="M3" s="2"/>
      <c r="N3" s="2"/>
      <c r="O3" s="2"/>
    </row>
    <row r="4" spans="1:15" ht="26.25">
      <c r="A4" s="261" t="s">
        <v>633</v>
      </c>
      <c r="B4" s="262" t="s">
        <v>2108</v>
      </c>
      <c r="C4" s="2"/>
      <c r="D4" s="263" t="s">
        <v>2109</v>
      </c>
      <c r="E4" s="269" t="str">
        <f>IF(B4="","",INDEX($C$24:$C$31,MATCH(B4,$A$24:$A$31,0)))</f>
        <v>Talla por altura de rodilla hombre</v>
      </c>
      <c r="F4" s="2"/>
      <c r="G4" s="2"/>
      <c r="H4" s="2"/>
      <c r="I4" s="2"/>
      <c r="J4" s="2"/>
      <c r="K4" s="2"/>
      <c r="L4" s="2"/>
      <c r="M4" s="2"/>
      <c r="N4" s="2"/>
      <c r="O4" s="2"/>
    </row>
    <row r="5" spans="1:15">
      <c r="A5" s="263" t="s">
        <v>22</v>
      </c>
      <c r="B5" s="270" t="s">
        <v>1600</v>
      </c>
      <c r="C5" s="2"/>
      <c r="D5" s="265" t="s">
        <v>2110</v>
      </c>
      <c r="E5" s="271">
        <f>IF(B4="","",IF(B4="UDD-EQ-03",IF(OR(NOT(ISNUMBER(B14)),NOT(ISNUMBER(B15)),B15&lt;=0),"",B14/B15),IF(B4="UDD-EQ-30",IF(COUNT(B7:B10)&lt;4,"",0.98*B7+1.16*B8+1.73*B9+0.37*B10-81.69),IF(B4="UDD-EQ-31",IF(COUNT(B7:B10)&lt;4,"",1.27*B7+0.87*B8+0.98*B9+0.4*B10-62.35),IF(B4="UDD-EQ-32",IF(OR(NOT(ISNUMBER(B6)),NOT(ISNUMBER(B11))),"",64.19-0.04*B6+2.02*B11),IF(B4="UDD-EQ-33",IF(OR(NOT(ISNUMBER(B6)),NOT(ISNUMBER(B11))),"",84.88-0.24*B6+1.83*B11),IF(B4="UDD-EQ-34",IF(OR(NOT(ISNUMBER(B6)),NOT(ISNUMBER(B12))),"",1.121*B12-0.117*B6+119.6),IF(B4="UDD-EQ-35",IF(OR(NOT(ISNUMBER(B6)),NOT(ISNUMBER(B12))),"",1.263*B12-0.159*B6+107.7),IF(B4="UDD-EQ-36",IF(NOT(ISNUMBER(B13)),"",2*B13),"")))))))))</f>
        <v>162.38999999999999</v>
      </c>
      <c r="F5" s="2"/>
      <c r="G5" s="2"/>
      <c r="H5" s="2"/>
      <c r="I5" s="2"/>
      <c r="J5" s="2"/>
      <c r="K5" s="2"/>
      <c r="L5" s="2"/>
      <c r="M5" s="2"/>
      <c r="N5" s="2"/>
      <c r="O5" s="2"/>
    </row>
    <row r="6" spans="1:15">
      <c r="A6" s="265" t="s">
        <v>24</v>
      </c>
      <c r="B6" s="272">
        <v>70</v>
      </c>
      <c r="C6" s="2"/>
      <c r="D6" s="265" t="s">
        <v>43</v>
      </c>
      <c r="E6" s="273" t="str">
        <f>IF(B4="","",INDEX($K$24:$K$31,MATCH(B4,$A$24:$A$31,0)))</f>
        <v>cm</v>
      </c>
      <c r="F6" s="2"/>
      <c r="G6" s="2"/>
      <c r="H6" s="2"/>
      <c r="I6" s="2"/>
      <c r="J6" s="2"/>
      <c r="K6" s="2"/>
      <c r="L6" s="2"/>
      <c r="M6" s="2"/>
      <c r="N6" s="2"/>
      <c r="O6" s="2"/>
    </row>
    <row r="7" spans="1:15" ht="26.25">
      <c r="A7" s="265" t="s">
        <v>2111</v>
      </c>
      <c r="B7" s="272">
        <v>35</v>
      </c>
      <c r="C7" s="2"/>
      <c r="D7" s="265" t="s">
        <v>2112</v>
      </c>
      <c r="E7" s="273" t="str">
        <f>IF(B4="","",INDEX($N$24:$N$31,MATCH(B4,$A$24:$A$31,0)))</f>
        <v>REQUIERE_COTEJO_PRIMARIO</v>
      </c>
      <c r="F7" s="2"/>
      <c r="G7" s="2"/>
      <c r="H7" s="2"/>
      <c r="I7" s="2"/>
      <c r="J7" s="2"/>
      <c r="K7" s="2"/>
      <c r="L7" s="2"/>
      <c r="M7" s="2"/>
      <c r="N7" s="2"/>
      <c r="O7" s="2"/>
    </row>
    <row r="8" spans="1:15" ht="24.75">
      <c r="A8" s="265" t="s">
        <v>2113</v>
      </c>
      <c r="B8" s="272">
        <v>50</v>
      </c>
      <c r="C8" s="2"/>
      <c r="D8" s="267" t="s">
        <v>2114</v>
      </c>
      <c r="E8" s="274" t="str">
        <f>IF(B4="","SELECCIONE ECUACIÓN",IF(OR(B4="UDD-EQ-30",B4="UDD-EQ-32"),IF(B5&lt;&gt;"Masculino","ERROR: SEXO INCOMPATIBLE",IF(OR(B6&lt;60,B6&gt;90),"ERROR: EDAD FUERA DE 60–90","OK DOCUMENTAL")),IF(OR(B4="UDD-EQ-31",B4="UDD-EQ-33"),IF(B5&lt;&gt;"Femenino","ERROR: SEXO INCOMPATIBLE",IF(OR(B6&lt;60,B6&gt;90),"ERROR: EDAD FUERA DE 60–90","OK DOCUMENTAL")),IF(B4="UDD-EQ-34",IF(B5&lt;&gt;"Masculino","ERROR: SEXO INCOMPATIBLE","REVISAR DOMINIO EN FUENTE PRIMARIA"),IF(B4="UDD-EQ-35",IF(B5&lt;&gt;"Femenino","ERROR: SEXO INCOMPATIBLE","REVISAR DOMINIO EN FUENTE PRIMARIA"),IF(B4="UDD-EQ-36","REVISAR POBLACIÓN Y APLICABILIDAD","COTEJO PRIMARIO PENDIENTE"))))))</f>
        <v>OK DOCUMENTAL</v>
      </c>
      <c r="F8" s="2"/>
      <c r="G8" s="2"/>
      <c r="H8" s="2"/>
      <c r="I8" s="2"/>
      <c r="J8" s="2"/>
      <c r="K8" s="2"/>
      <c r="L8" s="2"/>
      <c r="M8" s="2"/>
      <c r="N8" s="2"/>
      <c r="O8" s="2"/>
    </row>
    <row r="9" spans="1:15">
      <c r="A9" s="265" t="s">
        <v>2115</v>
      </c>
      <c r="B9" s="272">
        <v>30</v>
      </c>
      <c r="C9" s="2"/>
      <c r="D9" s="2"/>
      <c r="E9" s="2"/>
      <c r="F9" s="2"/>
      <c r="G9" s="2"/>
      <c r="H9" s="2"/>
      <c r="I9" s="2"/>
      <c r="J9" s="2"/>
      <c r="K9" s="2"/>
      <c r="L9" s="2"/>
      <c r="M9" s="2"/>
      <c r="N9" s="2"/>
      <c r="O9" s="2"/>
    </row>
    <row r="10" spans="1:15" ht="24.75">
      <c r="A10" s="265" t="s">
        <v>2116</v>
      </c>
      <c r="B10" s="272">
        <v>15</v>
      </c>
      <c r="C10" s="2"/>
      <c r="D10" s="2"/>
      <c r="E10" s="2"/>
      <c r="F10" s="2"/>
      <c r="G10" s="2"/>
      <c r="H10" s="2"/>
      <c r="I10" s="2"/>
      <c r="J10" s="2"/>
      <c r="K10" s="2"/>
      <c r="L10" s="2"/>
      <c r="M10" s="2"/>
      <c r="N10" s="2"/>
      <c r="O10" s="2"/>
    </row>
    <row r="11" spans="1:15">
      <c r="A11" s="265" t="s">
        <v>2117</v>
      </c>
      <c r="B11" s="272">
        <v>50</v>
      </c>
      <c r="C11" s="2"/>
      <c r="D11" s="2"/>
      <c r="E11" s="2"/>
      <c r="F11" s="2"/>
      <c r="G11" s="2"/>
      <c r="H11" s="2"/>
      <c r="I11" s="2"/>
      <c r="J11" s="2"/>
      <c r="K11" s="2"/>
      <c r="L11" s="2"/>
      <c r="M11" s="2"/>
      <c r="N11" s="2"/>
      <c r="O11" s="2"/>
    </row>
    <row r="12" spans="1:15" ht="24.75">
      <c r="A12" s="265" t="s">
        <v>2118</v>
      </c>
      <c r="B12" s="272">
        <v>50</v>
      </c>
      <c r="C12" s="2"/>
      <c r="D12" s="2"/>
      <c r="E12" s="2"/>
      <c r="F12" s="2"/>
      <c r="G12" s="2"/>
      <c r="H12" s="2"/>
      <c r="I12" s="2"/>
      <c r="J12" s="2"/>
      <c r="K12" s="2"/>
      <c r="L12" s="2"/>
      <c r="M12" s="2"/>
      <c r="N12" s="2"/>
      <c r="O12" s="2"/>
    </row>
    <row r="13" spans="1:15">
      <c r="A13" s="265" t="s">
        <v>2119</v>
      </c>
      <c r="B13" s="272">
        <v>85</v>
      </c>
      <c r="C13" s="2"/>
      <c r="D13" s="2"/>
      <c r="E13" s="2"/>
      <c r="F13" s="2"/>
      <c r="G13" s="2"/>
      <c r="H13" s="2"/>
      <c r="I13" s="2"/>
      <c r="J13" s="2"/>
      <c r="K13" s="2"/>
      <c r="L13" s="2"/>
      <c r="M13" s="2"/>
      <c r="N13" s="2"/>
      <c r="O13" s="2"/>
    </row>
    <row r="14" spans="1:15">
      <c r="A14" s="265" t="s">
        <v>26</v>
      </c>
      <c r="B14" s="272">
        <v>170</v>
      </c>
      <c r="C14" s="2"/>
      <c r="D14" s="2"/>
      <c r="E14" s="2"/>
      <c r="F14" s="2"/>
      <c r="G14" s="2"/>
      <c r="H14" s="2"/>
      <c r="I14" s="2"/>
      <c r="J14" s="2"/>
      <c r="K14" s="2"/>
      <c r="L14" s="2"/>
      <c r="M14" s="2"/>
      <c r="N14" s="2"/>
      <c r="O14" s="2"/>
    </row>
    <row r="15" spans="1:15">
      <c r="A15" s="267" t="s">
        <v>2120</v>
      </c>
      <c r="B15" s="275">
        <v>17</v>
      </c>
      <c r="C15" s="2"/>
      <c r="D15" s="2"/>
      <c r="E15" s="2"/>
      <c r="F15" s="2"/>
      <c r="G15" s="2"/>
      <c r="H15" s="2"/>
      <c r="I15" s="2"/>
      <c r="J15" s="2"/>
      <c r="K15" s="2"/>
      <c r="L15" s="2"/>
      <c r="M15" s="2"/>
      <c r="N15" s="2"/>
      <c r="O15" s="2"/>
    </row>
    <row r="16" spans="1:15">
      <c r="A16" s="2"/>
      <c r="B16" s="2"/>
      <c r="C16" s="2"/>
      <c r="D16" s="2"/>
      <c r="E16" s="2"/>
      <c r="F16" s="2"/>
      <c r="G16" s="2"/>
      <c r="H16" s="2"/>
      <c r="I16" s="2"/>
      <c r="J16" s="2"/>
      <c r="K16" s="2"/>
      <c r="L16" s="2"/>
      <c r="M16" s="2"/>
      <c r="N16" s="2"/>
      <c r="O16" s="2"/>
    </row>
    <row r="17" spans="1:15">
      <c r="A17" s="2"/>
      <c r="B17" s="2"/>
      <c r="C17" s="2"/>
      <c r="D17" s="2"/>
      <c r="E17" s="2"/>
      <c r="F17" s="2"/>
      <c r="G17" s="2"/>
      <c r="H17" s="2"/>
      <c r="I17" s="2"/>
      <c r="J17" s="2"/>
      <c r="K17" s="2"/>
      <c r="L17" s="2"/>
      <c r="M17" s="2"/>
      <c r="N17" s="2"/>
      <c r="O17" s="2"/>
    </row>
    <row r="18" spans="1:15">
      <c r="A18" s="2"/>
      <c r="B18" s="2"/>
      <c r="C18" s="2"/>
      <c r="D18" s="2"/>
      <c r="E18" s="2"/>
      <c r="F18" s="2"/>
      <c r="G18" s="2"/>
      <c r="H18" s="2"/>
      <c r="I18" s="2"/>
      <c r="J18" s="2"/>
      <c r="K18" s="2"/>
      <c r="L18" s="2"/>
      <c r="M18" s="2"/>
      <c r="N18" s="2"/>
      <c r="O18" s="2"/>
    </row>
    <row r="19" spans="1:15">
      <c r="A19" s="2"/>
      <c r="B19" s="2"/>
      <c r="C19" s="2"/>
      <c r="D19" s="2"/>
      <c r="E19" s="2"/>
      <c r="F19" s="2"/>
      <c r="G19" s="2"/>
      <c r="H19" s="2"/>
      <c r="I19" s="2"/>
      <c r="J19" s="2"/>
      <c r="K19" s="2"/>
      <c r="L19" s="2"/>
      <c r="M19" s="2"/>
      <c r="N19" s="2"/>
      <c r="O19" s="2"/>
    </row>
    <row r="20" spans="1:15">
      <c r="A20" s="486" t="s">
        <v>2121</v>
      </c>
      <c r="B20" s="486"/>
      <c r="C20" s="486"/>
      <c r="D20" s="486"/>
      <c r="E20" s="486"/>
      <c r="F20" s="486"/>
      <c r="G20" s="486"/>
      <c r="H20" s="486"/>
      <c r="I20" s="486"/>
      <c r="J20" s="486"/>
      <c r="K20" s="486"/>
      <c r="L20" s="486"/>
      <c r="M20" s="486"/>
      <c r="N20" s="486"/>
      <c r="O20" s="486"/>
    </row>
    <row r="21" spans="1:15">
      <c r="A21" s="2"/>
      <c r="B21" s="2"/>
      <c r="C21" s="2"/>
      <c r="D21" s="2"/>
      <c r="E21" s="2"/>
      <c r="F21" s="2"/>
      <c r="G21" s="2"/>
      <c r="H21" s="2"/>
      <c r="I21" s="2"/>
      <c r="J21" s="2"/>
      <c r="K21" s="2"/>
      <c r="L21" s="2"/>
      <c r="M21" s="2"/>
      <c r="N21" s="2"/>
      <c r="O21" s="2"/>
    </row>
    <row r="22" spans="1:15">
      <c r="A22" s="2"/>
      <c r="B22" s="2"/>
      <c r="C22" s="2"/>
      <c r="D22" s="2"/>
      <c r="E22" s="2"/>
      <c r="F22" s="2"/>
      <c r="G22" s="2"/>
      <c r="H22" s="2"/>
      <c r="I22" s="2"/>
      <c r="J22" s="2"/>
      <c r="K22" s="2"/>
      <c r="L22" s="2"/>
      <c r="M22" s="2"/>
      <c r="N22" s="2"/>
      <c r="O22" s="2"/>
    </row>
    <row r="23" spans="1:15" ht="39.950000000000003" customHeight="1">
      <c r="A23" s="245" t="s">
        <v>2122</v>
      </c>
      <c r="B23" s="246" t="s">
        <v>1973</v>
      </c>
      <c r="C23" s="246" t="s">
        <v>2109</v>
      </c>
      <c r="D23" s="246" t="s">
        <v>466</v>
      </c>
      <c r="E23" s="246" t="s">
        <v>493</v>
      </c>
      <c r="F23" s="246" t="s">
        <v>22</v>
      </c>
      <c r="G23" s="246" t="s">
        <v>2123</v>
      </c>
      <c r="H23" s="246" t="s">
        <v>2124</v>
      </c>
      <c r="I23" s="246" t="s">
        <v>2125</v>
      </c>
      <c r="J23" s="246" t="s">
        <v>2126</v>
      </c>
      <c r="K23" s="246" t="s">
        <v>2127</v>
      </c>
      <c r="L23" s="246" t="s">
        <v>636</v>
      </c>
      <c r="M23" s="246" t="s">
        <v>1979</v>
      </c>
      <c r="N23" s="246" t="s">
        <v>44</v>
      </c>
      <c r="O23" s="247" t="s">
        <v>45</v>
      </c>
    </row>
    <row r="24" spans="1:15" ht="36">
      <c r="A24" s="248" t="s">
        <v>2128</v>
      </c>
      <c r="B24" s="249" t="s">
        <v>1981</v>
      </c>
      <c r="C24" s="249" t="s">
        <v>2129</v>
      </c>
      <c r="D24" s="249" t="s">
        <v>2130</v>
      </c>
      <c r="E24" s="249" t="s">
        <v>2130</v>
      </c>
      <c r="F24" s="249" t="s">
        <v>2131</v>
      </c>
      <c r="G24" s="249" t="s">
        <v>2132</v>
      </c>
      <c r="H24" s="249" t="s">
        <v>2133</v>
      </c>
      <c r="I24" s="249" t="s">
        <v>2134</v>
      </c>
      <c r="J24" s="249" t="s">
        <v>2135</v>
      </c>
      <c r="K24" s="249" t="s">
        <v>1426</v>
      </c>
      <c r="L24" s="249" t="s">
        <v>2136</v>
      </c>
      <c r="M24" s="249" t="s">
        <v>2057</v>
      </c>
      <c r="N24" s="249" t="s">
        <v>2058</v>
      </c>
      <c r="O24" s="251" t="s">
        <v>2137</v>
      </c>
    </row>
    <row r="25" spans="1:15" ht="24">
      <c r="A25" s="252" t="s">
        <v>2138</v>
      </c>
      <c r="B25" s="253" t="s">
        <v>1981</v>
      </c>
      <c r="C25" s="253" t="s">
        <v>2139</v>
      </c>
      <c r="D25" s="253" t="s">
        <v>2140</v>
      </c>
      <c r="E25" s="253" t="s">
        <v>2141</v>
      </c>
      <c r="F25" s="253" t="s">
        <v>1600</v>
      </c>
      <c r="G25" s="253" t="s">
        <v>2142</v>
      </c>
      <c r="H25" s="253" t="s">
        <v>2143</v>
      </c>
      <c r="I25" s="253" t="s">
        <v>2144</v>
      </c>
      <c r="J25" s="253" t="s">
        <v>2145</v>
      </c>
      <c r="K25" s="253" t="s">
        <v>497</v>
      </c>
      <c r="L25" s="253" t="s">
        <v>2146</v>
      </c>
      <c r="M25" s="253" t="s">
        <v>2147</v>
      </c>
      <c r="N25" s="253" t="s">
        <v>2148</v>
      </c>
      <c r="O25" s="255" t="s">
        <v>2149</v>
      </c>
    </row>
    <row r="26" spans="1:15" ht="24">
      <c r="A26" s="252" t="s">
        <v>2150</v>
      </c>
      <c r="B26" s="253" t="s">
        <v>1981</v>
      </c>
      <c r="C26" s="253" t="s">
        <v>2151</v>
      </c>
      <c r="D26" s="253" t="s">
        <v>2140</v>
      </c>
      <c r="E26" s="253" t="s">
        <v>2141</v>
      </c>
      <c r="F26" s="253" t="s">
        <v>1759</v>
      </c>
      <c r="G26" s="253" t="s">
        <v>2142</v>
      </c>
      <c r="H26" s="253" t="s">
        <v>2143</v>
      </c>
      <c r="I26" s="253" t="s">
        <v>2152</v>
      </c>
      <c r="J26" s="253" t="s">
        <v>2145</v>
      </c>
      <c r="K26" s="253" t="s">
        <v>497</v>
      </c>
      <c r="L26" s="253" t="s">
        <v>2146</v>
      </c>
      <c r="M26" s="253" t="s">
        <v>2147</v>
      </c>
      <c r="N26" s="253" t="s">
        <v>2148</v>
      </c>
      <c r="O26" s="255" t="s">
        <v>2149</v>
      </c>
    </row>
    <row r="27" spans="1:15">
      <c r="A27" s="252" t="s">
        <v>2108</v>
      </c>
      <c r="B27" s="253" t="s">
        <v>1981</v>
      </c>
      <c r="C27" s="253" t="s">
        <v>2153</v>
      </c>
      <c r="D27" s="253" t="s">
        <v>2140</v>
      </c>
      <c r="E27" s="253" t="s">
        <v>2141</v>
      </c>
      <c r="F27" s="253" t="s">
        <v>1600</v>
      </c>
      <c r="G27" s="253" t="s">
        <v>2154</v>
      </c>
      <c r="H27" s="253" t="s">
        <v>2155</v>
      </c>
      <c r="I27" s="253" t="s">
        <v>2156</v>
      </c>
      <c r="J27" s="253" t="s">
        <v>2157</v>
      </c>
      <c r="K27" s="253" t="s">
        <v>56</v>
      </c>
      <c r="L27" s="253" t="s">
        <v>2146</v>
      </c>
      <c r="M27" s="253" t="s">
        <v>2158</v>
      </c>
      <c r="N27" s="253" t="s">
        <v>2058</v>
      </c>
      <c r="O27" s="255" t="s">
        <v>2159</v>
      </c>
    </row>
    <row r="28" spans="1:15">
      <c r="A28" s="252" t="s">
        <v>2160</v>
      </c>
      <c r="B28" s="253" t="s">
        <v>1981</v>
      </c>
      <c r="C28" s="253" t="s">
        <v>2161</v>
      </c>
      <c r="D28" s="253" t="s">
        <v>2140</v>
      </c>
      <c r="E28" s="253" t="s">
        <v>2141</v>
      </c>
      <c r="F28" s="253" t="s">
        <v>1759</v>
      </c>
      <c r="G28" s="253" t="s">
        <v>2154</v>
      </c>
      <c r="H28" s="253" t="s">
        <v>2155</v>
      </c>
      <c r="I28" s="253" t="s">
        <v>2162</v>
      </c>
      <c r="J28" s="253" t="s">
        <v>2157</v>
      </c>
      <c r="K28" s="253" t="s">
        <v>56</v>
      </c>
      <c r="L28" s="253" t="s">
        <v>2146</v>
      </c>
      <c r="M28" s="253" t="s">
        <v>2158</v>
      </c>
      <c r="N28" s="253" t="s">
        <v>2058</v>
      </c>
      <c r="O28" s="255" t="s">
        <v>2159</v>
      </c>
    </row>
    <row r="29" spans="1:15" ht="24">
      <c r="A29" s="252" t="s">
        <v>2163</v>
      </c>
      <c r="B29" s="253" t="s">
        <v>1981</v>
      </c>
      <c r="C29" s="253" t="s">
        <v>2164</v>
      </c>
      <c r="D29" s="253" t="s">
        <v>2140</v>
      </c>
      <c r="E29" s="253" t="s">
        <v>2165</v>
      </c>
      <c r="F29" s="253" t="s">
        <v>1600</v>
      </c>
      <c r="G29" s="253" t="s">
        <v>2166</v>
      </c>
      <c r="H29" s="253" t="s">
        <v>2155</v>
      </c>
      <c r="I29" s="253" t="s">
        <v>2167</v>
      </c>
      <c r="J29" s="253" t="s">
        <v>2157</v>
      </c>
      <c r="K29" s="253" t="s">
        <v>56</v>
      </c>
      <c r="L29" s="253" t="s">
        <v>2168</v>
      </c>
      <c r="M29" s="253" t="s">
        <v>2158</v>
      </c>
      <c r="N29" s="253" t="s">
        <v>2058</v>
      </c>
      <c r="O29" s="255" t="s">
        <v>2169</v>
      </c>
    </row>
    <row r="30" spans="1:15" ht="24">
      <c r="A30" s="252" t="s">
        <v>2170</v>
      </c>
      <c r="B30" s="253" t="s">
        <v>1981</v>
      </c>
      <c r="C30" s="253" t="s">
        <v>2171</v>
      </c>
      <c r="D30" s="253" t="s">
        <v>2140</v>
      </c>
      <c r="E30" s="253" t="s">
        <v>2165</v>
      </c>
      <c r="F30" s="253" t="s">
        <v>1759</v>
      </c>
      <c r="G30" s="253" t="s">
        <v>2166</v>
      </c>
      <c r="H30" s="253" t="s">
        <v>2155</v>
      </c>
      <c r="I30" s="253" t="s">
        <v>2172</v>
      </c>
      <c r="J30" s="253" t="s">
        <v>2157</v>
      </c>
      <c r="K30" s="253" t="s">
        <v>56</v>
      </c>
      <c r="L30" s="253" t="s">
        <v>2168</v>
      </c>
      <c r="M30" s="253" t="s">
        <v>2158</v>
      </c>
      <c r="N30" s="253" t="s">
        <v>2058</v>
      </c>
      <c r="O30" s="255" t="s">
        <v>2169</v>
      </c>
    </row>
    <row r="31" spans="1:15" ht="24">
      <c r="A31" s="256" t="s">
        <v>2173</v>
      </c>
      <c r="B31" s="257" t="s">
        <v>1981</v>
      </c>
      <c r="C31" s="257" t="s">
        <v>2174</v>
      </c>
      <c r="D31" s="257" t="s">
        <v>2140</v>
      </c>
      <c r="E31" s="257" t="s">
        <v>2165</v>
      </c>
      <c r="F31" s="257" t="s">
        <v>2131</v>
      </c>
      <c r="G31" s="257" t="s">
        <v>2175</v>
      </c>
      <c r="H31" s="257" t="s">
        <v>56</v>
      </c>
      <c r="I31" s="257" t="s">
        <v>2176</v>
      </c>
      <c r="J31" s="257" t="s">
        <v>2157</v>
      </c>
      <c r="K31" s="257" t="s">
        <v>56</v>
      </c>
      <c r="L31" s="257" t="s">
        <v>2177</v>
      </c>
      <c r="M31" s="257" t="s">
        <v>2178</v>
      </c>
      <c r="N31" s="257" t="s">
        <v>2058</v>
      </c>
      <c r="O31" s="259" t="s">
        <v>2179</v>
      </c>
    </row>
  </sheetData>
  <sheetProtection algorithmName="SHA-512" hashValue="Y7pkrDc/T6ogtDXuCCF014sxNNERbKDYeM4giiHw5pgitEQ++QSmmeJPtkQQRkPKOrHrpI9C7dUJqZfPgMuKUA==" saltValue="qq3mZLMFGO+xJq25Le8T8g==" spinCount="100000" sheet="1" objects="1" scenarios="1"/>
  <mergeCells count="3">
    <mergeCell ref="A1:O1"/>
    <mergeCell ref="A2:O2"/>
    <mergeCell ref="A20:O20"/>
  </mergeCells>
  <conditionalFormatting sqref="E8">
    <cfRule type="expression" dxfId="7" priority="1">
      <formula>LEFT(E8,5)="ERROR"</formula>
    </cfRule>
    <cfRule type="expression" dxfId="6" priority="2">
      <formula>LEFT(E8,2)="OK"</formula>
    </cfRule>
    <cfRule type="expression" dxfId="5" priority="3">
      <formula>OR(LEFT(E8,7)="REVISAR",LEFT(E8,6)="COTEJO")</formula>
    </cfRule>
  </conditionalFormatting>
  <dataValidations count="2">
    <dataValidation type="list" sqref="B4" xr:uid="{00000000-0002-0000-3C00-000000000000}">
      <formula1>"UDD-EQ-03,UDD-EQ-30,UDD-EQ-31,UDD-EQ-32,UDD-EQ-33,UDD-EQ-34,UDD-EQ-35,UDD-EQ-36"</formula1>
    </dataValidation>
    <dataValidation type="list" sqref="B5" xr:uid="{00000000-0002-0000-3C00-000001000000}">
      <formula1>"Masculino,Femenino,Ambos"</formula1>
    </dataValidation>
  </dataValidations>
  <hyperlinks>
    <hyperlink ref="A3" location="INICIO!A1" display="◀  VOLVER AL HUB"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62"/>
  <dimension ref="A1:J17"/>
  <sheetViews>
    <sheetView workbookViewId="0"/>
  </sheetViews>
  <sheetFormatPr baseColWidth="10" defaultColWidth="9.140625" defaultRowHeight="15"/>
  <cols>
    <col min="1" max="1" width="15" customWidth="1"/>
    <col min="2" max="2" width="16" customWidth="1"/>
    <col min="3" max="3" width="46" customWidth="1"/>
    <col min="4" max="4" width="10" customWidth="1"/>
    <col min="5" max="5" width="24" customWidth="1"/>
    <col min="6" max="6" width="28" customWidth="1"/>
    <col min="7" max="7" width="24" customWidth="1"/>
    <col min="8" max="8" width="31" customWidth="1"/>
    <col min="9" max="9" width="55" customWidth="1"/>
    <col min="10" max="10" width="50" customWidth="1"/>
  </cols>
  <sheetData>
    <row r="1" spans="1:10" ht="27.95" customHeight="1">
      <c r="A1" s="483" t="s">
        <v>2180</v>
      </c>
      <c r="B1" s="483"/>
      <c r="C1" s="483"/>
      <c r="D1" s="483"/>
      <c r="E1" s="483"/>
      <c r="F1" s="483"/>
      <c r="G1" s="483"/>
      <c r="H1" s="483"/>
      <c r="I1" s="483"/>
      <c r="J1" s="483"/>
    </row>
    <row r="2" spans="1:10" ht="21.95" customHeight="1">
      <c r="A2" s="484" t="s">
        <v>2181</v>
      </c>
      <c r="B2" s="484"/>
      <c r="C2" s="484"/>
      <c r="D2" s="484"/>
      <c r="E2" s="484"/>
      <c r="F2" s="484"/>
      <c r="G2" s="484"/>
      <c r="H2" s="484"/>
      <c r="I2" s="484"/>
      <c r="J2" s="484"/>
    </row>
    <row r="3" spans="1:10">
      <c r="A3" s="260" t="s">
        <v>1970</v>
      </c>
      <c r="B3" s="2"/>
      <c r="C3" s="2"/>
      <c r="D3" s="2"/>
      <c r="E3" s="2"/>
      <c r="F3" s="2"/>
      <c r="G3" s="2"/>
      <c r="H3" s="2"/>
      <c r="I3" s="2"/>
      <c r="J3" s="2"/>
    </row>
    <row r="4" spans="1:10">
      <c r="A4" s="2"/>
      <c r="B4" s="2"/>
      <c r="C4" s="2"/>
      <c r="D4" s="2"/>
      <c r="E4" s="2"/>
      <c r="F4" s="2"/>
      <c r="G4" s="2"/>
      <c r="H4" s="2"/>
      <c r="I4" s="2"/>
      <c r="J4" s="2"/>
    </row>
    <row r="5" spans="1:10" ht="38.1" customHeight="1">
      <c r="A5" s="245" t="s">
        <v>2182</v>
      </c>
      <c r="B5" s="246" t="s">
        <v>896</v>
      </c>
      <c r="C5" s="246" t="s">
        <v>2183</v>
      </c>
      <c r="D5" s="246" t="s">
        <v>664</v>
      </c>
      <c r="E5" s="246" t="s">
        <v>1106</v>
      </c>
      <c r="F5" s="246" t="s">
        <v>468</v>
      </c>
      <c r="G5" s="246" t="s">
        <v>2184</v>
      </c>
      <c r="H5" s="246" t="s">
        <v>44</v>
      </c>
      <c r="I5" s="246" t="s">
        <v>2185</v>
      </c>
      <c r="J5" s="247" t="s">
        <v>45</v>
      </c>
    </row>
    <row r="6" spans="1:10" ht="24">
      <c r="A6" s="248" t="s">
        <v>2186</v>
      </c>
      <c r="B6" s="249" t="s">
        <v>2187</v>
      </c>
      <c r="C6" s="249" t="s">
        <v>2188</v>
      </c>
      <c r="D6" s="249">
        <v>2018</v>
      </c>
      <c r="E6" s="249" t="s">
        <v>2189</v>
      </c>
      <c r="F6" s="249" t="s">
        <v>2190</v>
      </c>
      <c r="G6" s="249" t="s">
        <v>2191</v>
      </c>
      <c r="H6" s="249" t="s">
        <v>2192</v>
      </c>
      <c r="I6" s="249" t="s">
        <v>2193</v>
      </c>
      <c r="J6" s="251" t="s">
        <v>2194</v>
      </c>
    </row>
    <row r="7" spans="1:10" ht="24">
      <c r="A7" s="252" t="s">
        <v>2195</v>
      </c>
      <c r="B7" s="253" t="s">
        <v>2196</v>
      </c>
      <c r="C7" s="253" t="s">
        <v>2197</v>
      </c>
      <c r="D7" s="253">
        <v>2018</v>
      </c>
      <c r="E7" s="253" t="s">
        <v>2189</v>
      </c>
      <c r="F7" s="253" t="s">
        <v>2198</v>
      </c>
      <c r="G7" s="253" t="s">
        <v>2199</v>
      </c>
      <c r="H7" s="253" t="s">
        <v>2192</v>
      </c>
      <c r="I7" s="253" t="s">
        <v>2200</v>
      </c>
      <c r="J7" s="255" t="s">
        <v>2201</v>
      </c>
    </row>
    <row r="8" spans="1:10" ht="24">
      <c r="A8" s="252" t="s">
        <v>2202</v>
      </c>
      <c r="B8" s="253" t="s">
        <v>2203</v>
      </c>
      <c r="C8" s="253" t="s">
        <v>2204</v>
      </c>
      <c r="D8" s="253">
        <v>1981</v>
      </c>
      <c r="E8" s="253" t="s">
        <v>2205</v>
      </c>
      <c r="F8" s="253" t="s">
        <v>2206</v>
      </c>
      <c r="G8" s="253" t="s">
        <v>2207</v>
      </c>
      <c r="H8" s="253" t="s">
        <v>2058</v>
      </c>
      <c r="I8" s="253" t="s">
        <v>2208</v>
      </c>
      <c r="J8" s="255" t="s">
        <v>2209</v>
      </c>
    </row>
    <row r="9" spans="1:10" ht="24">
      <c r="A9" s="252" t="s">
        <v>2210</v>
      </c>
      <c r="B9" s="253" t="s">
        <v>2203</v>
      </c>
      <c r="C9" s="253" t="s">
        <v>2211</v>
      </c>
      <c r="D9" s="253">
        <v>1985</v>
      </c>
      <c r="E9" s="253" t="s">
        <v>2205</v>
      </c>
      <c r="F9" s="253" t="s">
        <v>2212</v>
      </c>
      <c r="G9" s="253" t="s">
        <v>2213</v>
      </c>
      <c r="H9" s="253" t="s">
        <v>2214</v>
      </c>
      <c r="I9" s="253" t="s">
        <v>2208</v>
      </c>
      <c r="J9" s="255" t="s">
        <v>2215</v>
      </c>
    </row>
    <row r="10" spans="1:10" ht="24">
      <c r="A10" s="252" t="s">
        <v>2216</v>
      </c>
      <c r="B10" s="253" t="s">
        <v>2203</v>
      </c>
      <c r="C10" s="253" t="s">
        <v>2217</v>
      </c>
      <c r="D10" s="253">
        <v>1995</v>
      </c>
      <c r="E10" s="253" t="s">
        <v>2205</v>
      </c>
      <c r="F10" s="253" t="s">
        <v>2218</v>
      </c>
      <c r="G10" s="253" t="s">
        <v>2219</v>
      </c>
      <c r="H10" s="253" t="s">
        <v>2058</v>
      </c>
      <c r="I10" s="253" t="s">
        <v>2208</v>
      </c>
      <c r="J10" s="255" t="s">
        <v>2220</v>
      </c>
    </row>
    <row r="11" spans="1:10" ht="36">
      <c r="A11" s="252" t="s">
        <v>2221</v>
      </c>
      <c r="B11" s="253" t="s">
        <v>2203</v>
      </c>
      <c r="C11" s="253" t="s">
        <v>2222</v>
      </c>
      <c r="D11" s="253">
        <v>2008</v>
      </c>
      <c r="E11" s="253" t="s">
        <v>2223</v>
      </c>
      <c r="F11" s="253" t="s">
        <v>2174</v>
      </c>
      <c r="G11" s="253" t="s">
        <v>2224</v>
      </c>
      <c r="H11" s="253" t="s">
        <v>2058</v>
      </c>
      <c r="I11" s="253" t="s">
        <v>2208</v>
      </c>
      <c r="J11" s="255" t="s">
        <v>2225</v>
      </c>
    </row>
    <row r="12" spans="1:10" ht="24">
      <c r="A12" s="252" t="s">
        <v>2226</v>
      </c>
      <c r="B12" s="253" t="s">
        <v>2227</v>
      </c>
      <c r="C12" s="253" t="s">
        <v>2228</v>
      </c>
      <c r="D12" s="253"/>
      <c r="E12" s="253" t="s">
        <v>2229</v>
      </c>
      <c r="F12" s="253" t="s">
        <v>2230</v>
      </c>
      <c r="G12" s="253" t="s">
        <v>2231</v>
      </c>
      <c r="H12" s="253" t="s">
        <v>2232</v>
      </c>
      <c r="I12" s="253" t="s">
        <v>2233</v>
      </c>
      <c r="J12" s="255" t="s">
        <v>2234</v>
      </c>
    </row>
    <row r="13" spans="1:10" ht="24">
      <c r="A13" s="252" t="s">
        <v>2235</v>
      </c>
      <c r="B13" s="253" t="s">
        <v>2236</v>
      </c>
      <c r="C13" s="253" t="s">
        <v>2237</v>
      </c>
      <c r="D13" s="253">
        <v>2026</v>
      </c>
      <c r="E13" s="253" t="s">
        <v>2238</v>
      </c>
      <c r="F13" s="253" t="s">
        <v>2239</v>
      </c>
      <c r="G13" s="253" t="s">
        <v>2240</v>
      </c>
      <c r="H13" s="253" t="s">
        <v>2241</v>
      </c>
      <c r="I13" s="253" t="s">
        <v>2242</v>
      </c>
      <c r="J13" s="255" t="s">
        <v>2243</v>
      </c>
    </row>
    <row r="14" spans="1:10" ht="24">
      <c r="A14" s="252" t="s">
        <v>2244</v>
      </c>
      <c r="B14" s="253" t="s">
        <v>2236</v>
      </c>
      <c r="C14" s="253" t="s">
        <v>2245</v>
      </c>
      <c r="D14" s="253">
        <v>2026</v>
      </c>
      <c r="E14" s="253" t="s">
        <v>2238</v>
      </c>
      <c r="F14" s="253" t="s">
        <v>2246</v>
      </c>
      <c r="G14" s="253" t="s">
        <v>2247</v>
      </c>
      <c r="H14" s="253" t="s">
        <v>2241</v>
      </c>
      <c r="I14" s="253" t="s">
        <v>2242</v>
      </c>
      <c r="J14" s="255" t="s">
        <v>2248</v>
      </c>
    </row>
    <row r="15" spans="1:10" ht="24">
      <c r="A15" s="252" t="s">
        <v>2249</v>
      </c>
      <c r="B15" s="253" t="s">
        <v>2236</v>
      </c>
      <c r="C15" s="253" t="s">
        <v>2250</v>
      </c>
      <c r="D15" s="253">
        <v>2026</v>
      </c>
      <c r="E15" s="253" t="s">
        <v>2238</v>
      </c>
      <c r="F15" s="253" t="s">
        <v>2251</v>
      </c>
      <c r="G15" s="253" t="s">
        <v>2252</v>
      </c>
      <c r="H15" s="253" t="s">
        <v>2241</v>
      </c>
      <c r="I15" s="253" t="s">
        <v>2242</v>
      </c>
      <c r="J15" s="255" t="s">
        <v>2253</v>
      </c>
    </row>
    <row r="16" spans="1:10" ht="36">
      <c r="A16" s="252" t="s">
        <v>2254</v>
      </c>
      <c r="B16" s="253" t="s">
        <v>2255</v>
      </c>
      <c r="C16" s="253" t="s">
        <v>2256</v>
      </c>
      <c r="D16" s="253">
        <v>2026</v>
      </c>
      <c r="E16" s="253" t="s">
        <v>2238</v>
      </c>
      <c r="F16" s="253" t="s">
        <v>2257</v>
      </c>
      <c r="G16" s="253" t="s">
        <v>2258</v>
      </c>
      <c r="H16" s="253" t="s">
        <v>2241</v>
      </c>
      <c r="I16" s="253" t="s">
        <v>2242</v>
      </c>
      <c r="J16" s="255" t="s">
        <v>2259</v>
      </c>
    </row>
    <row r="17" spans="1:10" ht="24">
      <c r="A17" s="256" t="s">
        <v>2260</v>
      </c>
      <c r="B17" s="257" t="s">
        <v>2261</v>
      </c>
      <c r="C17" s="257" t="s">
        <v>2262</v>
      </c>
      <c r="D17" s="257">
        <v>2026</v>
      </c>
      <c r="E17" s="257" t="s">
        <v>2238</v>
      </c>
      <c r="F17" s="257" t="s">
        <v>2263</v>
      </c>
      <c r="G17" s="257" t="s">
        <v>2264</v>
      </c>
      <c r="H17" s="257" t="s">
        <v>2241</v>
      </c>
      <c r="I17" s="257" t="s">
        <v>2242</v>
      </c>
      <c r="J17" s="259" t="s">
        <v>2265</v>
      </c>
    </row>
  </sheetData>
  <sheetProtection algorithmName="SHA-512" hashValue="alVuqq/+FPpBHh2Zfe9pxNVMGtM+lATvPKTAnrDBasTQtQDNbaLMw4qpEAjjGu04qE5Re0U7gtoIYQIxiL0PGQ==" saltValue="lG2EbC4rtYrl90yPBw3KgQ==" spinCount="100000" sheet="1" objects="1" scenarios="1"/>
  <mergeCells count="2">
    <mergeCell ref="A1:J1"/>
    <mergeCell ref="A2:J2"/>
  </mergeCells>
  <conditionalFormatting sqref="H6:H17">
    <cfRule type="expression" dxfId="4" priority="1">
      <formula>ISNUMBER(SEARCH("PENDIENTE",H6))</formula>
    </cfRule>
    <cfRule type="expression" dxfId="3" priority="2">
      <formula>ISNUMBER(SEARCH("APORTADA",H6))</formula>
    </cfRule>
  </conditionalFormatting>
  <hyperlinks>
    <hyperlink ref="A3" location="INICIO!A1" display="◀  VOLVER AL HUB"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Hoja63"/>
  <dimension ref="A1:I32"/>
  <sheetViews>
    <sheetView workbookViewId="0"/>
  </sheetViews>
  <sheetFormatPr baseColWidth="10" defaultColWidth="9.140625" defaultRowHeight="15"/>
  <cols>
    <col min="1" max="1" width="16" customWidth="1"/>
    <col min="2" max="2" width="18" customWidth="1"/>
    <col min="3" max="3" width="29" customWidth="1"/>
    <col min="4" max="4" width="37" customWidth="1"/>
    <col min="5" max="5" width="31" customWidth="1"/>
    <col min="6" max="6" width="28" customWidth="1"/>
    <col min="7" max="7" width="24" customWidth="1"/>
    <col min="8" max="8" width="34" customWidth="1"/>
    <col min="9" max="9" width="14" customWidth="1"/>
  </cols>
  <sheetData>
    <row r="1" spans="1:9" ht="27.95" customHeight="1">
      <c r="A1" s="483" t="s">
        <v>2266</v>
      </c>
      <c r="B1" s="483"/>
      <c r="C1" s="483"/>
      <c r="D1" s="483"/>
      <c r="E1" s="483"/>
      <c r="F1" s="483"/>
      <c r="G1" s="483"/>
      <c r="H1" s="483"/>
      <c r="I1" s="483"/>
    </row>
    <row r="2" spans="1:9" ht="21.95" customHeight="1">
      <c r="A2" s="484" t="s">
        <v>2267</v>
      </c>
      <c r="B2" s="484"/>
      <c r="C2" s="484"/>
      <c r="D2" s="484"/>
      <c r="E2" s="484"/>
      <c r="F2" s="484"/>
      <c r="G2" s="484"/>
      <c r="H2" s="484"/>
      <c r="I2" s="484"/>
    </row>
    <row r="3" spans="1:9">
      <c r="A3" s="260" t="s">
        <v>1970</v>
      </c>
      <c r="B3" s="2"/>
      <c r="C3" s="2"/>
      <c r="D3" s="2"/>
      <c r="E3" s="2"/>
      <c r="F3" s="2"/>
      <c r="G3" s="2"/>
      <c r="H3" s="2"/>
      <c r="I3" s="2"/>
    </row>
    <row r="4" spans="1:9">
      <c r="A4" s="2"/>
      <c r="B4" s="2"/>
      <c r="C4" s="2"/>
      <c r="D4" s="2"/>
      <c r="E4" s="2"/>
      <c r="F4" s="2"/>
      <c r="G4" s="2"/>
      <c r="H4" s="2"/>
      <c r="I4" s="2"/>
    </row>
    <row r="5" spans="1:9" ht="36" customHeight="1">
      <c r="A5" s="245" t="s">
        <v>2268</v>
      </c>
      <c r="B5" s="246" t="s">
        <v>980</v>
      </c>
      <c r="C5" s="246" t="s">
        <v>2269</v>
      </c>
      <c r="D5" s="246" t="s">
        <v>242</v>
      </c>
      <c r="E5" s="246" t="s">
        <v>327</v>
      </c>
      <c r="F5" s="246" t="s">
        <v>188</v>
      </c>
      <c r="G5" s="246" t="s">
        <v>44</v>
      </c>
      <c r="H5" s="246" t="s">
        <v>2270</v>
      </c>
      <c r="I5" s="247" t="s">
        <v>19</v>
      </c>
    </row>
    <row r="6" spans="1:9">
      <c r="A6" s="248" t="s">
        <v>2271</v>
      </c>
      <c r="B6" s="249" t="s">
        <v>2272</v>
      </c>
      <c r="C6" s="249" t="s">
        <v>2273</v>
      </c>
      <c r="D6" s="249" t="s">
        <v>2274</v>
      </c>
      <c r="E6" s="249" t="s">
        <v>2275</v>
      </c>
      <c r="F6" s="249" t="s">
        <v>2276</v>
      </c>
      <c r="G6" s="249" t="s">
        <v>2277</v>
      </c>
      <c r="H6" s="249" t="s">
        <v>2278</v>
      </c>
      <c r="I6" s="251" t="s">
        <v>2279</v>
      </c>
    </row>
    <row r="7" spans="1:9">
      <c r="A7" s="252" t="s">
        <v>2280</v>
      </c>
      <c r="B7" s="253" t="s">
        <v>2272</v>
      </c>
      <c r="C7" s="253" t="s">
        <v>2281</v>
      </c>
      <c r="D7" s="253" t="s">
        <v>2282</v>
      </c>
      <c r="E7" s="253" t="s">
        <v>2275</v>
      </c>
      <c r="F7" s="253" t="s">
        <v>2276</v>
      </c>
      <c r="G7" s="253" t="s">
        <v>2277</v>
      </c>
      <c r="H7" s="253" t="s">
        <v>2283</v>
      </c>
      <c r="I7" s="255" t="s">
        <v>2279</v>
      </c>
    </row>
    <row r="8" spans="1:9">
      <c r="A8" s="252" t="s">
        <v>2284</v>
      </c>
      <c r="B8" s="253" t="s">
        <v>2285</v>
      </c>
      <c r="C8" s="253" t="s">
        <v>2286</v>
      </c>
      <c r="D8" s="253" t="s">
        <v>2287</v>
      </c>
      <c r="E8" s="253" t="s">
        <v>2288</v>
      </c>
      <c r="F8" s="253" t="s">
        <v>2288</v>
      </c>
      <c r="G8" s="253" t="s">
        <v>2277</v>
      </c>
      <c r="H8" s="253" t="s">
        <v>2289</v>
      </c>
      <c r="I8" s="255" t="s">
        <v>2279</v>
      </c>
    </row>
    <row r="9" spans="1:9">
      <c r="A9" s="252" t="s">
        <v>2290</v>
      </c>
      <c r="B9" s="253" t="s">
        <v>2291</v>
      </c>
      <c r="C9" s="253" t="s">
        <v>2292</v>
      </c>
      <c r="D9" s="253" t="s">
        <v>2293</v>
      </c>
      <c r="E9" s="253" t="s">
        <v>2294</v>
      </c>
      <c r="F9" s="253" t="s">
        <v>2295</v>
      </c>
      <c r="G9" s="253" t="s">
        <v>2277</v>
      </c>
      <c r="H9" s="253" t="s">
        <v>2296</v>
      </c>
      <c r="I9" s="255" t="s">
        <v>2279</v>
      </c>
    </row>
    <row r="10" spans="1:9">
      <c r="A10" s="252" t="s">
        <v>2297</v>
      </c>
      <c r="B10" s="253" t="s">
        <v>2298</v>
      </c>
      <c r="C10" s="253" t="s">
        <v>2299</v>
      </c>
      <c r="D10" s="253" t="s">
        <v>2300</v>
      </c>
      <c r="E10" s="253" t="s">
        <v>1987</v>
      </c>
      <c r="F10" s="253" t="s">
        <v>1987</v>
      </c>
      <c r="G10" s="253" t="s">
        <v>2277</v>
      </c>
      <c r="H10" s="253" t="s">
        <v>2301</v>
      </c>
      <c r="I10" s="255" t="s">
        <v>2279</v>
      </c>
    </row>
    <row r="11" spans="1:9">
      <c r="A11" s="252" t="s">
        <v>2302</v>
      </c>
      <c r="B11" s="253" t="s">
        <v>2303</v>
      </c>
      <c r="C11" s="253" t="s">
        <v>2304</v>
      </c>
      <c r="D11" s="253" t="s">
        <v>2305</v>
      </c>
      <c r="E11" s="253" t="s">
        <v>2306</v>
      </c>
      <c r="F11" s="253" t="s">
        <v>2307</v>
      </c>
      <c r="G11" s="253" t="s">
        <v>2277</v>
      </c>
      <c r="H11" s="253" t="s">
        <v>2296</v>
      </c>
      <c r="I11" s="255" t="s">
        <v>2279</v>
      </c>
    </row>
    <row r="12" spans="1:9">
      <c r="A12" s="252" t="s">
        <v>2308</v>
      </c>
      <c r="B12" s="253" t="s">
        <v>2309</v>
      </c>
      <c r="C12" s="253" t="s">
        <v>2310</v>
      </c>
      <c r="D12" s="253" t="s">
        <v>1975</v>
      </c>
      <c r="E12" s="253" t="s">
        <v>2311</v>
      </c>
      <c r="F12" s="253" t="s">
        <v>2312</v>
      </c>
      <c r="G12" s="253" t="s">
        <v>2277</v>
      </c>
      <c r="H12" s="253" t="s">
        <v>2313</v>
      </c>
      <c r="I12" s="255" t="s">
        <v>2279</v>
      </c>
    </row>
    <row r="13" spans="1:9" ht="24">
      <c r="A13" s="252" t="s">
        <v>2314</v>
      </c>
      <c r="B13" s="253" t="s">
        <v>2309</v>
      </c>
      <c r="C13" s="253" t="s">
        <v>50</v>
      </c>
      <c r="D13" s="253" t="s">
        <v>2315</v>
      </c>
      <c r="E13" s="253" t="s">
        <v>2316</v>
      </c>
      <c r="F13" s="253" t="s">
        <v>2317</v>
      </c>
      <c r="G13" s="253" t="s">
        <v>2277</v>
      </c>
      <c r="H13" s="253" t="s">
        <v>2313</v>
      </c>
      <c r="I13" s="255" t="s">
        <v>2279</v>
      </c>
    </row>
    <row r="14" spans="1:9">
      <c r="A14" s="252" t="s">
        <v>2318</v>
      </c>
      <c r="B14" s="253" t="s">
        <v>2309</v>
      </c>
      <c r="C14" s="253" t="s">
        <v>52</v>
      </c>
      <c r="D14" s="253" t="s">
        <v>1975</v>
      </c>
      <c r="E14" s="253" t="s">
        <v>2319</v>
      </c>
      <c r="F14" s="253" t="s">
        <v>2320</v>
      </c>
      <c r="G14" s="253" t="s">
        <v>2277</v>
      </c>
      <c r="H14" s="253" t="s">
        <v>2313</v>
      </c>
      <c r="I14" s="255" t="s">
        <v>2279</v>
      </c>
    </row>
    <row r="15" spans="1:9">
      <c r="A15" s="252" t="s">
        <v>2321</v>
      </c>
      <c r="B15" s="253" t="s">
        <v>2322</v>
      </c>
      <c r="C15" s="253" t="s">
        <v>2128</v>
      </c>
      <c r="D15" s="253" t="s">
        <v>2323</v>
      </c>
      <c r="E15" s="253" t="s">
        <v>2324</v>
      </c>
      <c r="F15" s="253" t="s">
        <v>2324</v>
      </c>
      <c r="G15" s="253" t="s">
        <v>2277</v>
      </c>
      <c r="H15" s="253" t="s">
        <v>2325</v>
      </c>
      <c r="I15" s="255" t="s">
        <v>2279</v>
      </c>
    </row>
    <row r="16" spans="1:9">
      <c r="A16" s="252" t="s">
        <v>2326</v>
      </c>
      <c r="B16" s="253" t="s">
        <v>2322</v>
      </c>
      <c r="C16" s="253" t="s">
        <v>2138</v>
      </c>
      <c r="D16" s="253" t="s">
        <v>2327</v>
      </c>
      <c r="E16" s="253" t="s">
        <v>2328</v>
      </c>
      <c r="F16" s="253" t="s">
        <v>2328</v>
      </c>
      <c r="G16" s="253" t="s">
        <v>2277</v>
      </c>
      <c r="H16" s="253" t="s">
        <v>2325</v>
      </c>
      <c r="I16" s="255" t="s">
        <v>2279</v>
      </c>
    </row>
    <row r="17" spans="1:9">
      <c r="A17" s="252" t="s">
        <v>2128</v>
      </c>
      <c r="B17" s="253" t="s">
        <v>2322</v>
      </c>
      <c r="C17" s="253" t="s">
        <v>2150</v>
      </c>
      <c r="D17" s="253" t="s">
        <v>2327</v>
      </c>
      <c r="E17" s="253" t="s">
        <v>2329</v>
      </c>
      <c r="F17" s="253" t="s">
        <v>2329</v>
      </c>
      <c r="G17" s="253" t="s">
        <v>2277</v>
      </c>
      <c r="H17" s="253" t="s">
        <v>2325</v>
      </c>
      <c r="I17" s="255" t="s">
        <v>2279</v>
      </c>
    </row>
    <row r="18" spans="1:9">
      <c r="A18" s="252" t="s">
        <v>2330</v>
      </c>
      <c r="B18" s="253" t="s">
        <v>2322</v>
      </c>
      <c r="C18" s="253" t="s">
        <v>2108</v>
      </c>
      <c r="D18" s="253" t="s">
        <v>2331</v>
      </c>
      <c r="E18" s="253" t="s">
        <v>2332</v>
      </c>
      <c r="F18" s="253" t="s">
        <v>2332</v>
      </c>
      <c r="G18" s="253" t="s">
        <v>2277</v>
      </c>
      <c r="H18" s="253" t="s">
        <v>2325</v>
      </c>
      <c r="I18" s="255" t="s">
        <v>2279</v>
      </c>
    </row>
    <row r="19" spans="1:9">
      <c r="A19" s="252" t="s">
        <v>2333</v>
      </c>
      <c r="B19" s="253" t="s">
        <v>2322</v>
      </c>
      <c r="C19" s="253" t="s">
        <v>2160</v>
      </c>
      <c r="D19" s="253" t="s">
        <v>2331</v>
      </c>
      <c r="E19" s="253" t="s">
        <v>2334</v>
      </c>
      <c r="F19" s="253" t="s">
        <v>2334</v>
      </c>
      <c r="G19" s="253" t="s">
        <v>2277</v>
      </c>
      <c r="H19" s="253" t="s">
        <v>2325</v>
      </c>
      <c r="I19" s="255" t="s">
        <v>2279</v>
      </c>
    </row>
    <row r="20" spans="1:9">
      <c r="A20" s="252" t="s">
        <v>2335</v>
      </c>
      <c r="B20" s="253" t="s">
        <v>2322</v>
      </c>
      <c r="C20" s="253" t="s">
        <v>2163</v>
      </c>
      <c r="D20" s="253" t="s">
        <v>2336</v>
      </c>
      <c r="E20" s="253" t="s">
        <v>2337</v>
      </c>
      <c r="F20" s="253" t="s">
        <v>2337</v>
      </c>
      <c r="G20" s="253" t="s">
        <v>2277</v>
      </c>
      <c r="H20" s="253" t="s">
        <v>2325</v>
      </c>
      <c r="I20" s="255" t="s">
        <v>2279</v>
      </c>
    </row>
    <row r="21" spans="1:9">
      <c r="A21" s="252" t="s">
        <v>2338</v>
      </c>
      <c r="B21" s="253" t="s">
        <v>2322</v>
      </c>
      <c r="C21" s="253" t="s">
        <v>2170</v>
      </c>
      <c r="D21" s="253" t="s">
        <v>2336</v>
      </c>
      <c r="E21" s="253" t="s">
        <v>2339</v>
      </c>
      <c r="F21" s="253" t="s">
        <v>2339</v>
      </c>
      <c r="G21" s="253" t="s">
        <v>2277</v>
      </c>
      <c r="H21" s="253" t="s">
        <v>2325</v>
      </c>
      <c r="I21" s="255" t="s">
        <v>2279</v>
      </c>
    </row>
    <row r="22" spans="1:9">
      <c r="A22" s="252" t="s">
        <v>2340</v>
      </c>
      <c r="B22" s="253" t="s">
        <v>2322</v>
      </c>
      <c r="C22" s="253" t="s">
        <v>2173</v>
      </c>
      <c r="D22" s="253" t="s">
        <v>2341</v>
      </c>
      <c r="E22" s="253" t="s">
        <v>2342</v>
      </c>
      <c r="F22" s="253" t="s">
        <v>2342</v>
      </c>
      <c r="G22" s="253" t="s">
        <v>2277</v>
      </c>
      <c r="H22" s="253" t="s">
        <v>2325</v>
      </c>
      <c r="I22" s="255" t="s">
        <v>2279</v>
      </c>
    </row>
    <row r="23" spans="1:9" ht="36">
      <c r="A23" s="252" t="s">
        <v>2343</v>
      </c>
      <c r="B23" s="253" t="s">
        <v>2344</v>
      </c>
      <c r="C23" s="253" t="s">
        <v>2345</v>
      </c>
      <c r="D23" s="253" t="s">
        <v>2346</v>
      </c>
      <c r="E23" s="253" t="s">
        <v>2347</v>
      </c>
      <c r="F23" s="253" t="s">
        <v>2348</v>
      </c>
      <c r="G23" s="253" t="s">
        <v>2277</v>
      </c>
      <c r="H23" s="253" t="s">
        <v>2349</v>
      </c>
      <c r="I23" s="255" t="s">
        <v>2279</v>
      </c>
    </row>
    <row r="24" spans="1:9">
      <c r="A24" s="252" t="s">
        <v>2350</v>
      </c>
      <c r="B24" s="253" t="s">
        <v>2344</v>
      </c>
      <c r="C24" s="253" t="s">
        <v>2351</v>
      </c>
      <c r="D24" s="253" t="s">
        <v>2352</v>
      </c>
      <c r="E24" s="253" t="s">
        <v>2353</v>
      </c>
      <c r="F24" s="253" t="s">
        <v>2353</v>
      </c>
      <c r="G24" s="253" t="s">
        <v>2277</v>
      </c>
      <c r="H24" s="253" t="s">
        <v>2349</v>
      </c>
      <c r="I24" s="255" t="s">
        <v>2279</v>
      </c>
    </row>
    <row r="25" spans="1:9">
      <c r="A25" s="252" t="s">
        <v>2354</v>
      </c>
      <c r="B25" s="253" t="s">
        <v>2355</v>
      </c>
      <c r="C25" s="253" t="s">
        <v>2356</v>
      </c>
      <c r="D25" s="253" t="s">
        <v>2357</v>
      </c>
      <c r="E25" s="253" t="s">
        <v>846</v>
      </c>
      <c r="F25" s="253" t="s">
        <v>846</v>
      </c>
      <c r="G25" s="253" t="s">
        <v>2277</v>
      </c>
      <c r="H25" s="253" t="s">
        <v>2349</v>
      </c>
      <c r="I25" s="255" t="s">
        <v>2279</v>
      </c>
    </row>
    <row r="26" spans="1:9">
      <c r="A26" s="252" t="s">
        <v>2358</v>
      </c>
      <c r="B26" s="253" t="s">
        <v>2355</v>
      </c>
      <c r="C26" s="253" t="s">
        <v>2359</v>
      </c>
      <c r="D26" s="253" t="s">
        <v>2360</v>
      </c>
      <c r="E26" s="253" t="s">
        <v>846</v>
      </c>
      <c r="F26" s="253" t="s">
        <v>846</v>
      </c>
      <c r="G26" s="253" t="s">
        <v>2277</v>
      </c>
      <c r="H26" s="253" t="s">
        <v>2349</v>
      </c>
      <c r="I26" s="255" t="s">
        <v>2279</v>
      </c>
    </row>
    <row r="27" spans="1:9">
      <c r="A27" s="252" t="s">
        <v>2361</v>
      </c>
      <c r="B27" s="253" t="s">
        <v>2355</v>
      </c>
      <c r="C27" s="253" t="s">
        <v>2362</v>
      </c>
      <c r="D27" s="253" t="s">
        <v>2360</v>
      </c>
      <c r="E27" s="253" t="s">
        <v>846</v>
      </c>
      <c r="F27" s="253" t="s">
        <v>846</v>
      </c>
      <c r="G27" s="253" t="s">
        <v>2277</v>
      </c>
      <c r="H27" s="253" t="s">
        <v>2349</v>
      </c>
      <c r="I27" s="255" t="s">
        <v>2279</v>
      </c>
    </row>
    <row r="28" spans="1:9">
      <c r="A28" s="252" t="s">
        <v>2363</v>
      </c>
      <c r="B28" s="253" t="s">
        <v>2355</v>
      </c>
      <c r="C28" s="253" t="s">
        <v>2364</v>
      </c>
      <c r="D28" s="253" t="s">
        <v>2365</v>
      </c>
      <c r="E28" s="253" t="s">
        <v>846</v>
      </c>
      <c r="F28" s="253" t="s">
        <v>846</v>
      </c>
      <c r="G28" s="253" t="s">
        <v>2277</v>
      </c>
      <c r="H28" s="253" t="s">
        <v>2349</v>
      </c>
      <c r="I28" s="255" t="s">
        <v>2279</v>
      </c>
    </row>
    <row r="29" spans="1:9">
      <c r="A29" s="252" t="s">
        <v>2366</v>
      </c>
      <c r="B29" s="253" t="s">
        <v>2344</v>
      </c>
      <c r="C29" s="253" t="s">
        <v>2367</v>
      </c>
      <c r="D29" s="253" t="s">
        <v>2357</v>
      </c>
      <c r="E29" s="253" t="s">
        <v>2368</v>
      </c>
      <c r="F29" s="253" t="s">
        <v>2368</v>
      </c>
      <c r="G29" s="253" t="s">
        <v>2277</v>
      </c>
      <c r="H29" s="253" t="s">
        <v>2349</v>
      </c>
      <c r="I29" s="255" t="s">
        <v>2279</v>
      </c>
    </row>
    <row r="30" spans="1:9">
      <c r="A30" s="252" t="s">
        <v>2369</v>
      </c>
      <c r="B30" s="253" t="s">
        <v>2344</v>
      </c>
      <c r="C30" s="253" t="s">
        <v>2370</v>
      </c>
      <c r="D30" s="253" t="s">
        <v>2357</v>
      </c>
      <c r="E30" s="253" t="s">
        <v>2371</v>
      </c>
      <c r="F30" s="253" t="s">
        <v>2371</v>
      </c>
      <c r="G30" s="253" t="s">
        <v>2277</v>
      </c>
      <c r="H30" s="253" t="s">
        <v>2349</v>
      </c>
      <c r="I30" s="255" t="s">
        <v>2279</v>
      </c>
    </row>
    <row r="31" spans="1:9" ht="24">
      <c r="A31" s="252" t="s">
        <v>2372</v>
      </c>
      <c r="B31" s="253" t="s">
        <v>2344</v>
      </c>
      <c r="C31" s="253" t="s">
        <v>2373</v>
      </c>
      <c r="D31" s="253" t="s">
        <v>2374</v>
      </c>
      <c r="E31" s="253" t="s">
        <v>2375</v>
      </c>
      <c r="F31" s="253" t="s">
        <v>2376</v>
      </c>
      <c r="G31" s="253" t="s">
        <v>2277</v>
      </c>
      <c r="H31" s="253" t="s">
        <v>2349</v>
      </c>
      <c r="I31" s="255" t="s">
        <v>2279</v>
      </c>
    </row>
    <row r="32" spans="1:9">
      <c r="A32" s="256" t="s">
        <v>2377</v>
      </c>
      <c r="B32" s="257" t="s">
        <v>2355</v>
      </c>
      <c r="C32" s="257" t="s">
        <v>2378</v>
      </c>
      <c r="D32" s="257" t="s">
        <v>2379</v>
      </c>
      <c r="E32" s="257" t="s">
        <v>846</v>
      </c>
      <c r="F32" s="257" t="s">
        <v>846</v>
      </c>
      <c r="G32" s="257" t="s">
        <v>2277</v>
      </c>
      <c r="H32" s="257" t="s">
        <v>2349</v>
      </c>
      <c r="I32" s="259" t="s">
        <v>2279</v>
      </c>
    </row>
  </sheetData>
  <sheetProtection algorithmName="SHA-512" hashValue="Ur3c1rWUzcxi1VpTGzrSBdpLtvnMSG7OzdTVIhhtLdG82/PWcKAyVtPA94kDf/4t9VnkBKjfSHi1rT5quFXK4g==" saltValue="/XJCi9MSoxQBGuwOdC1xsQ==" spinCount="100000" sheet="1" objects="1" scenarios="1"/>
  <mergeCells count="2">
    <mergeCell ref="A1:I1"/>
    <mergeCell ref="A2:I2"/>
  </mergeCells>
  <conditionalFormatting sqref="G6:G32">
    <cfRule type="expression" dxfId="2" priority="1">
      <formula>G6="APROBADO"</formula>
    </cfRule>
    <cfRule type="expression" dxfId="1" priority="2">
      <formula>G6="PENDIENTE"</formula>
    </cfRule>
    <cfRule type="expression" dxfId="0" priority="3">
      <formula>ISNUMBER(SEARCH("OBSERVACIÓN",G6))</formula>
    </cfRule>
  </conditionalFormatting>
  <hyperlinks>
    <hyperlink ref="A3" location="INICIO!A1" display="◀  VOLVER AL HUB" xr:uid="{00000000-0004-0000-3E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63</vt:i4>
      </vt:variant>
      <vt:variant>
        <vt:lpstr>Rangos con nombre</vt:lpstr>
      </vt:variant>
      <vt:variant>
        <vt:i4>328</vt:i4>
      </vt:variant>
    </vt:vector>
  </HeadingPairs>
  <TitlesOfParts>
    <vt:vector size="391" baseType="lpstr">
      <vt:lpstr>INICIO</vt:lpstr>
      <vt:lpstr>DATOS</vt:lpstr>
      <vt:lpstr>MEDICIONES</vt:lpstr>
      <vt:lpstr>SEGUIMIENTO</vt:lpstr>
      <vt:lpstr>CURVAS</vt:lpstr>
      <vt:lpstr>RESULTADOS</vt:lpstr>
      <vt:lpstr>M41_INICIO</vt:lpstr>
      <vt:lpstr>M41_DATOS</vt:lpstr>
      <vt:lpstr>M41_CALIBRACION</vt:lpstr>
      <vt:lpstr>M41_TECNICA</vt:lpstr>
      <vt:lpstr>M41_SEGUIMIENTO</vt:lpstr>
      <vt:lpstr>M41_FIABILIDAD</vt:lpstr>
      <vt:lpstr>M41_FUENTES</vt:lpstr>
      <vt:lpstr>M41_PRUEBAS</vt:lpstr>
      <vt:lpstr>M41_CONFIG</vt:lpstr>
      <vt:lpstr>M41_CHANGELOG</vt:lpstr>
      <vt:lpstr>M36_INICIO</vt:lpstr>
      <vt:lpstr>M36_DATOS</vt:lpstr>
      <vt:lpstr>M36_PLIEGUES</vt:lpstr>
      <vt:lpstr>M36_CALCULOS</vt:lpstr>
      <vt:lpstr>M36_RESULTADOS</vt:lpstr>
      <vt:lpstr>M36_FUENTES</vt:lpstr>
      <vt:lpstr>M36_PRUEBAS</vt:lpstr>
      <vt:lpstr>M36_CONFIG</vt:lpstr>
      <vt:lpstr>M36_CHANGELOG</vt:lpstr>
      <vt:lpstr>M12_INICIO</vt:lpstr>
      <vt:lpstr>M12_DATOS</vt:lpstr>
      <vt:lpstr>M12_CALCULOS</vt:lpstr>
      <vt:lpstr>M12_RESULTADOS</vt:lpstr>
      <vt:lpstr>M12_FUENTES</vt:lpstr>
      <vt:lpstr>M12_PRUEBAS</vt:lpstr>
      <vt:lpstr>M12_CONFIG</vt:lpstr>
      <vt:lpstr>M12_CHANGELOG</vt:lpstr>
      <vt:lpstr>M16_INICIO</vt:lpstr>
      <vt:lpstr>M16_DATOS</vt:lpstr>
      <vt:lpstr>M16_MEDIDAS</vt:lpstr>
      <vt:lpstr>M16_CALCULOS</vt:lpstr>
      <vt:lpstr>M16_RESULTADOS</vt:lpstr>
      <vt:lpstr>M16_FUENTES</vt:lpstr>
      <vt:lpstr>M16_PRUEBAS</vt:lpstr>
      <vt:lpstr>M16_CONFIG</vt:lpstr>
      <vt:lpstr>M16_CHANGELOG</vt:lpstr>
      <vt:lpstr>M34_INICIO</vt:lpstr>
      <vt:lpstr>M34_DATOS</vt:lpstr>
      <vt:lpstr>M34_CALCULO</vt:lpstr>
      <vt:lpstr>M34_SENSIBILIDAD</vt:lpstr>
      <vt:lpstr>M34_INTERPRETACION</vt:lpstr>
      <vt:lpstr>M34_FUENTES</vt:lpstr>
      <vt:lpstr>M34_PRUEBAS</vt:lpstr>
      <vt:lpstr>M34_CONFIG</vt:lpstr>
      <vt:lpstr>M34_CHANGELOG</vt:lpstr>
      <vt:lpstr>MAPA_MODULOS</vt:lpstr>
      <vt:lpstr>FUENTES</vt:lpstr>
      <vt:lpstr>LICENCIAS</vt:lpstr>
      <vt:lpstr>PRUEBAS</vt:lpstr>
      <vt:lpstr>CONFIG</vt:lpstr>
      <vt:lpstr>CHANGELOG</vt:lpstr>
      <vt:lpstr>AUDITORIA_INTEGRACION</vt:lpstr>
      <vt:lpstr>PROTOCOLOS_UDD</vt:lpstr>
      <vt:lpstr>COMPARADOR_PROTOCOLOS</vt:lpstr>
      <vt:lpstr>ECUACIONES_UDD</vt:lpstr>
      <vt:lpstr>FUENTES_UDD</vt:lpstr>
      <vt:lpstr>PRUEBAS_UDD</vt:lpstr>
      <vt:lpstr>DATOS!Área_de_impresión</vt:lpstr>
      <vt:lpstr>INICIO!Área_de_impresión</vt:lpstr>
      <vt:lpstr>MEDICIONES!Área_de_impresión</vt:lpstr>
      <vt:lpstr>RESULTADOS!Área_de_impresión</vt:lpstr>
      <vt:lpstr>M12_AM_C1</vt:lpstr>
      <vt:lpstr>M12_AM_C2</vt:lpstr>
      <vt:lpstr>M12_AM_C3</vt:lpstr>
      <vt:lpstr>M12_BRO_A</vt:lpstr>
      <vt:lpstr>M12_BRO_B</vt:lpstr>
      <vt:lpstr>M12_c_ampl</vt:lpstr>
      <vt:lpstr>M12_c_ClaseGrasa</vt:lpstr>
      <vt:lpstr>M12_c_ClaseIMC</vt:lpstr>
      <vt:lpstr>M12_c_Dens</vt:lpstr>
      <vt:lpstr>M12_c_DWc</vt:lpstr>
      <vt:lpstr>M12_c_DWm</vt:lpstr>
      <vt:lpstr>M12_c_estado</vt:lpstr>
      <vt:lpstr>M12_c_Gate</vt:lpstr>
      <vt:lpstr>M12_c_GrDeu</vt:lpstr>
      <vt:lpstr>M12_c_GrNavy</vt:lpstr>
      <vt:lpstr>M12_c_GrPli</vt:lpstr>
      <vt:lpstr>M12_c_GrRep</vt:lpstr>
      <vt:lpstr>M12_c_ICC</vt:lpstr>
      <vt:lpstr>M12_c_ICE</vt:lpstr>
      <vt:lpstr>M12_c_IMC</vt:lpstr>
      <vt:lpstr>M12_c_IMG</vt:lpstr>
      <vt:lpstr>M12_c_IMLG</vt:lpstr>
      <vt:lpstr>M12_c_max</vt:lpstr>
      <vt:lpstr>M12_c_MG</vt:lpstr>
      <vt:lpstr>M12_c_min</vt:lpstr>
      <vt:lpstr>M12_c_MLG</vt:lpstr>
      <vt:lpstr>M12_c_n</vt:lpstr>
      <vt:lpstr>M12_c_prom</vt:lpstr>
      <vt:lpstr>M12_c_rango</vt:lpstr>
      <vt:lpstr>M12_c_RiesgoCint</vt:lpstr>
      <vt:lpstr>M12_c_RiesgoICC</vt:lpstr>
      <vt:lpstr>M12_c_RiesgoICE</vt:lpstr>
      <vt:lpstr>M12_c_SumPli</vt:lpstr>
      <vt:lpstr>M12_c_TallaM</vt:lpstr>
      <vt:lpstr>M12_CAD_MAX</vt:lpstr>
      <vt:lpstr>M12_CAD_MIN</vt:lpstr>
      <vt:lpstr>M12_CIN_MAX</vt:lpstr>
      <vt:lpstr>M12_CIN_MIN</vt:lpstr>
      <vt:lpstr>M12_CINT_H</vt:lpstr>
      <vt:lpstr>M12_CINT_M</vt:lpstr>
      <vt:lpstr>M12_CUE_MAX</vt:lpstr>
      <vt:lpstr>M12_CUE_MIN</vt:lpstr>
      <vt:lpstr>M12_DEU_CONST</vt:lpstr>
      <vt:lpstr>M12_DEU_EDAD</vt:lpstr>
      <vt:lpstr>M12_DEU_IMC</vt:lpstr>
      <vt:lpstr>M12_DEU_SEXO</vt:lpstr>
      <vt:lpstr>M12_DISP_MAX</vt:lpstr>
      <vt:lpstr>M12_EDAD_AM</vt:lpstr>
      <vt:lpstr>M12_EDAD_MAX</vt:lpstr>
      <vt:lpstr>M12_EDAD_MIN</vt:lpstr>
      <vt:lpstr>M12_EST_MAX</vt:lpstr>
      <vt:lpstr>M12_EST_MIN</vt:lpstr>
      <vt:lpstr>M12_GRASA_MAX</vt:lpstr>
      <vt:lpstr>M12_GRASA_MIN</vt:lpstr>
      <vt:lpstr>M12_ICC_H</vt:lpstr>
      <vt:lpstr>M12_ICC_M</vt:lpstr>
      <vt:lpstr>M12_ICE_R</vt:lpstr>
      <vt:lpstr>M12_IMC_C1</vt:lpstr>
      <vt:lpstr>M12_IMC_C2</vt:lpstr>
      <vt:lpstr>M12_IMC_C3</vt:lpstr>
      <vt:lpstr>M12_IMC_C4</vt:lpstr>
      <vt:lpstr>M12_IMC_C5</vt:lpstr>
      <vt:lpstr>M12_in_Cadera</vt:lpstr>
      <vt:lpstr>M12_in_Cintura</vt:lpstr>
      <vt:lpstr>M12_in_Conv</vt:lpstr>
      <vt:lpstr>M12_in_Cuello</vt:lpstr>
      <vt:lpstr>M12_in_Edad</vt:lpstr>
      <vt:lpstr>M12_in_Est</vt:lpstr>
      <vt:lpstr>M12_in_Fecha</vt:lpstr>
      <vt:lpstr>M12_in_ID</vt:lpstr>
      <vt:lpstr>M12_in_Metodo</vt:lpstr>
      <vt:lpstr>M12_in_Obs</vt:lpstr>
      <vt:lpstr>M12_in_Pac</vt:lpstr>
      <vt:lpstr>M12_in_Peso</vt:lpstr>
      <vt:lpstr>M12_in_PliBi</vt:lpstr>
      <vt:lpstr>M12_in_PliSub</vt:lpstr>
      <vt:lpstr>M12_in_PliSupra</vt:lpstr>
      <vt:lpstr>M12_in_PliTri</vt:lpstr>
      <vt:lpstr>M12_in_Sexo</vt:lpstr>
      <vt:lpstr>M12_LISTA_DEN</vt:lpstr>
      <vt:lpstr>M12_LISTA_MET</vt:lpstr>
      <vt:lpstr>M12_NAVY_H0</vt:lpstr>
      <vt:lpstr>M12_NAVY_H1</vt:lpstr>
      <vt:lpstr>M12_NAVY_H2</vt:lpstr>
      <vt:lpstr>M12_NAVY_M0</vt:lpstr>
      <vt:lpstr>M12_NAVY_M1</vt:lpstr>
      <vt:lpstr>M12_NAVY_M2</vt:lpstr>
      <vt:lpstr>M12_PESO_MAX</vt:lpstr>
      <vt:lpstr>M12_PESO_MIN</vt:lpstr>
      <vt:lpstr>M12_PLI_MAX</vt:lpstr>
      <vt:lpstr>M12_PLI_MIN</vt:lpstr>
      <vt:lpstr>M12_SEXOS</vt:lpstr>
      <vt:lpstr>M12_SINO</vt:lpstr>
      <vt:lpstr>M12_SIRI_A</vt:lpstr>
      <vt:lpstr>M12_SIRI_B</vt:lpstr>
      <vt:lpstr>M12_TOL_FRAC</vt:lpstr>
      <vt:lpstr>M12_TOL_KG</vt:lpstr>
      <vt:lpstr>M16_c_CAG</vt:lpstr>
      <vt:lpstr>M16_c_CCG</vt:lpstr>
      <vt:lpstr>M16_c_Clase</vt:lpstr>
      <vt:lpstr>M16_c_Ecto</vt:lpstr>
      <vt:lpstr>M16_c_Endo</vt:lpstr>
      <vt:lpstr>M16_c_Gate</vt:lpstr>
      <vt:lpstr>M16_c_HWR</vt:lpstr>
      <vt:lpstr>M16_c_Meso</vt:lpstr>
      <vt:lpstr>M16_c_mid</vt:lpstr>
      <vt:lpstr>M16_c_mn</vt:lpstr>
      <vt:lpstr>M16_c_mx</vt:lpstr>
      <vt:lpstr>M16_c_Soma</vt:lpstr>
      <vt:lpstr>M16_c_Sum3</vt:lpstr>
      <vt:lpstr>M16_c_SX</vt:lpstr>
      <vt:lpstr>M16_c_SY</vt:lpstr>
      <vt:lpstr>M16_c_TallaM</vt:lpstr>
      <vt:lpstr>M16_c_Xcorr</vt:lpstr>
      <vt:lpstr>M16_DIA_MAX</vt:lpstr>
      <vt:lpstr>M16_DIA_MIN</vt:lpstr>
      <vt:lpstr>M16_ECTO_A1</vt:lpstr>
      <vt:lpstr>M16_ECTO_A2</vt:lpstr>
      <vt:lpstr>M16_ECTO_B1</vt:lpstr>
      <vt:lpstr>M16_ECTO_B2</vt:lpstr>
      <vt:lpstr>M16_ECTO_T1</vt:lpstr>
      <vt:lpstr>M16_ECTO_T2</vt:lpstr>
      <vt:lpstr>M16_EDAD_MAX</vt:lpstr>
      <vt:lpstr>M16_EDAD_MIN</vt:lpstr>
      <vt:lpstr>M16_ENDO_C0</vt:lpstr>
      <vt:lpstr>M16_ENDO_C1</vt:lpstr>
      <vt:lpstr>M16_ENDO_C2</vt:lpstr>
      <vt:lpstr>M16_ENDO_C3</vt:lpstr>
      <vt:lpstr>M16_ENDO_HREF</vt:lpstr>
      <vt:lpstr>M16_EST_MAX</vt:lpstr>
      <vt:lpstr>M16_EST_MIN</vt:lpstr>
      <vt:lpstr>M16_in_Edad</vt:lpstr>
      <vt:lpstr>M16_in_Est</vt:lpstr>
      <vt:lpstr>M16_in_Eval</vt:lpstr>
      <vt:lpstr>M16_in_Fecha</vt:lpstr>
      <vt:lpstr>M16_in_ID</vt:lpstr>
      <vt:lpstr>M16_in_Obs</vt:lpstr>
      <vt:lpstr>M16_in_Pac</vt:lpstr>
      <vt:lpstr>M16_in_Peso</vt:lpstr>
      <vt:lpstr>M16_in_Sexo</vt:lpstr>
      <vt:lpstr>M16_m_ArmG</vt:lpstr>
      <vt:lpstr>M16_m_Calf</vt:lpstr>
      <vt:lpstr>M16_m_CalfG</vt:lpstr>
      <vt:lpstr>M16_m_Fem</vt:lpstr>
      <vt:lpstr>M16_m_Hum</vt:lpstr>
      <vt:lpstr>M16_m_Sub</vt:lpstr>
      <vt:lpstr>M16_m_Sup</vt:lpstr>
      <vt:lpstr>M16_m_Tri</vt:lpstr>
      <vt:lpstr>M16_MESO_CAG</vt:lpstr>
      <vt:lpstr>M16_MESO_CCG</vt:lpstr>
      <vt:lpstr>M16_MESO_FB</vt:lpstr>
      <vt:lpstr>M16_MESO_H</vt:lpstr>
      <vt:lpstr>M16_MESO_HB</vt:lpstr>
      <vt:lpstr>M16_MESO_K</vt:lpstr>
      <vt:lpstr>M16_MIN_COMP</vt:lpstr>
      <vt:lpstr>M16_PER_MAX</vt:lpstr>
      <vt:lpstr>M16_PER_MIN</vt:lpstr>
      <vt:lpstr>M16_PESO_MAX</vt:lpstr>
      <vt:lpstr>M16_PESO_MIN</vt:lpstr>
      <vt:lpstr>M16_PLI_MAX</vt:lpstr>
      <vt:lpstr>M16_PLI_MIN</vt:lpstr>
      <vt:lpstr>M16_SEXOS</vt:lpstr>
      <vt:lpstr>M16_SINO</vt:lpstr>
      <vt:lpstr>M16_TOL_U</vt:lpstr>
      <vt:lpstr>M34_k_edad</vt:lpstr>
      <vt:lpstr>M34_k_hombre</vt:lpstr>
      <vt:lpstr>M34_k_kmConst</vt:lpstr>
      <vt:lpstr>M34_k_kmFFM</vt:lpstr>
      <vt:lpstr>M34_k_mujer</vt:lpstr>
      <vt:lpstr>M34_k_peso</vt:lpstr>
      <vt:lpstr>M34_k_talla</vt:lpstr>
      <vt:lpstr>M34_k_tol</vt:lpstr>
      <vt:lpstr>M34_lst_metodo</vt:lpstr>
      <vt:lpstr>M34_lst_sexo</vt:lpstr>
      <vt:lpstr>M34_lst_si</vt:lpstr>
      <vt:lpstr>M34_u_edadMax</vt:lpstr>
      <vt:lpstr>M34_u_edadMin</vt:lpstr>
      <vt:lpstr>M34_u_equiv</vt:lpstr>
      <vt:lpstr>M34_u_implaus</vt:lpstr>
      <vt:lpstr>M34_v_base</vt:lpstr>
      <vt:lpstr>M34_v_difEdad</vt:lpstr>
      <vt:lpstr>M34_v_edad</vt:lpstr>
      <vt:lpstr>M34_v_edadMet</vt:lpstr>
      <vt:lpstr>M34_v_grasa</vt:lpstr>
      <vt:lpstr>M34_v_mlg</vt:lpstr>
      <vt:lpstr>M34_v_peso</vt:lpstr>
      <vt:lpstr>M34_v_sexo</vt:lpstr>
      <vt:lpstr>M34_v_talla</vt:lpstr>
      <vt:lpstr>M34_v_tmb</vt:lpstr>
      <vt:lpstr>M34_v_tmbPob</vt:lpstr>
      <vt:lpstr>M36_a_k</vt:lpstr>
      <vt:lpstr>M36_a_MediaG</vt:lpstr>
      <vt:lpstr>M36_a_Sd2</vt:lpstr>
      <vt:lpstr>M36_a_Sum8</vt:lpstr>
      <vt:lpstr>M36_a_TEMabs</vt:lpstr>
      <vt:lpstr>M36_a_TEMrel</vt:lpstr>
      <vt:lpstr>M36_a_TEMver</vt:lpstr>
      <vt:lpstr>M36_BRO_A</vt:lpstr>
      <vt:lpstr>M36_BRO_B</vt:lpstr>
      <vt:lpstr>M36_c_ampl</vt:lpstr>
      <vt:lpstr>M36_c_BDdw</vt:lpstr>
      <vt:lpstr>M36_c_BDjp3</vt:lpstr>
      <vt:lpstr>M36_c_BDjp7</vt:lpstr>
      <vt:lpstr>M36_c_ClaseGrasa</vt:lpstr>
      <vt:lpstr>M36_c_DWc</vt:lpstr>
      <vt:lpstr>M36_c_DWm</vt:lpstr>
      <vt:lpstr>M36_c_estado</vt:lpstr>
      <vt:lpstr>M36_c_Gate</vt:lpstr>
      <vt:lpstr>M36_c_GrDW</vt:lpstr>
      <vt:lpstr>M36_c_GrFaulk</vt:lpstr>
      <vt:lpstr>M36_c_GrJP3</vt:lpstr>
      <vt:lpstr>M36_c_GrJP7</vt:lpstr>
      <vt:lpstr>M36_c_GrRep</vt:lpstr>
      <vt:lpstr>M36_c_IMC</vt:lpstr>
      <vt:lpstr>M36_c_IMG</vt:lpstr>
      <vt:lpstr>M36_c_IMLG</vt:lpstr>
      <vt:lpstr>M36_c_max</vt:lpstr>
      <vt:lpstr>M36_c_MG</vt:lpstr>
      <vt:lpstr>M36_c_min</vt:lpstr>
      <vt:lpstr>M36_c_MLG</vt:lpstr>
      <vt:lpstr>M36_c_n</vt:lpstr>
      <vt:lpstr>M36_c_prom</vt:lpstr>
      <vt:lpstr>M36_c_rango</vt:lpstr>
      <vt:lpstr>M36_c_Sum7</vt:lpstr>
      <vt:lpstr>M36_c_SumDW</vt:lpstr>
      <vt:lpstr>M36_c_SumFaulk</vt:lpstr>
      <vt:lpstr>M36_c_SumJP3</vt:lpstr>
      <vt:lpstr>M36_c_TallaM</vt:lpstr>
      <vt:lpstr>M36_DISP_MAX</vt:lpstr>
      <vt:lpstr>M36_EDAD_MAX</vt:lpstr>
      <vt:lpstr>M36_EDAD_MIN</vt:lpstr>
      <vt:lpstr>M36_EST_MAX</vt:lpstr>
      <vt:lpstr>M36_EST_MIN</vt:lpstr>
      <vt:lpstr>M36_FAULK_A</vt:lpstr>
      <vt:lpstr>M36_FAULK_B</vt:lpstr>
      <vt:lpstr>M36_GRASA_MAX</vt:lpstr>
      <vt:lpstr>M36_GRASA_MIN</vt:lpstr>
      <vt:lpstr>M36_in_Conv</vt:lpstr>
      <vt:lpstr>M36_in_Ecu</vt:lpstr>
      <vt:lpstr>M36_in_Edad</vt:lpstr>
      <vt:lpstr>M36_in_Est</vt:lpstr>
      <vt:lpstr>M36_in_Eval</vt:lpstr>
      <vt:lpstr>M36_in_Fecha</vt:lpstr>
      <vt:lpstr>M36_in_ID</vt:lpstr>
      <vt:lpstr>M36_in_Obs</vt:lpstr>
      <vt:lpstr>M36_in_Pac</vt:lpstr>
      <vt:lpstr>M36_in_Peso</vt:lpstr>
      <vt:lpstr>M36_in_Sexo</vt:lpstr>
      <vt:lpstr>M36_JP3_HA</vt:lpstr>
      <vt:lpstr>M36_JP3_HB1</vt:lpstr>
      <vt:lpstr>M36_JP3_HB2</vt:lpstr>
      <vt:lpstr>M36_JP3_HB3</vt:lpstr>
      <vt:lpstr>M36_JP3_MA</vt:lpstr>
      <vt:lpstr>M36_JP3_MB1</vt:lpstr>
      <vt:lpstr>M36_JP3_MB2</vt:lpstr>
      <vt:lpstr>M36_JP3_MB3</vt:lpstr>
      <vt:lpstr>M36_JP7_HA</vt:lpstr>
      <vt:lpstr>M36_JP7_HB1</vt:lpstr>
      <vt:lpstr>M36_JP7_HB2</vt:lpstr>
      <vt:lpstr>M36_JP7_HB3</vt:lpstr>
      <vt:lpstr>M36_JP7_MA</vt:lpstr>
      <vt:lpstr>M36_JP7_MB1</vt:lpstr>
      <vt:lpstr>M36_JP7_MB2</vt:lpstr>
      <vt:lpstr>M36_JP7_MB3</vt:lpstr>
      <vt:lpstr>M36_LISTA_DEN</vt:lpstr>
      <vt:lpstr>M36_LISTA_ECU</vt:lpstr>
      <vt:lpstr>M36_p_Abd</vt:lpstr>
      <vt:lpstr>M36_p_Axil</vt:lpstr>
      <vt:lpstr>M36_p_Bic</vt:lpstr>
      <vt:lpstr>M36_p_Muslo</vt:lpstr>
      <vt:lpstr>M36_p_Pect</vt:lpstr>
      <vt:lpstr>M36_p_Sub</vt:lpstr>
      <vt:lpstr>M36_p_Supra</vt:lpstr>
      <vt:lpstr>M36_p_Tri</vt:lpstr>
      <vt:lpstr>M36_PESO_MAX</vt:lpstr>
      <vt:lpstr>M36_PESO_MIN</vt:lpstr>
      <vt:lpstr>M36_PLI_MAX</vt:lpstr>
      <vt:lpstr>M36_PLI_MIN</vt:lpstr>
      <vt:lpstr>M36_SEXOS</vt:lpstr>
      <vt:lpstr>M36_SINO</vt:lpstr>
      <vt:lpstr>M36_SIRI_A</vt:lpstr>
      <vt:lpstr>M36_SIRI_B</vt:lpstr>
      <vt:lpstr>M36_TEM_ACC</vt:lpstr>
      <vt:lpstr>M36_TEM_OK</vt:lpstr>
      <vt:lpstr>M36_TOL_FRAC</vt:lpstr>
      <vt:lpstr>M36_TOL_KG</vt:lpstr>
      <vt:lpstr>M36_TOL_MM</vt:lpstr>
      <vt:lpstr>M41_k_nMin</vt:lpstr>
      <vt:lpstr>M41_k_presion</vt:lpstr>
      <vt:lpstr>M41_k_tol</vt:lpstr>
      <vt:lpstr>M41_k_z</vt:lpstr>
      <vt:lpstr>M41_lst_estado</vt:lpstr>
      <vt:lpstr>M41_lst_marca</vt:lpstr>
      <vt:lpstr>M41_lst_nivel</vt:lpstr>
      <vt:lpstr>M41_lst_si</vt:lpstr>
      <vt:lpstr>M41_lst_sitios</vt:lpstr>
      <vt:lpstr>M41_rng_sitios</vt:lpstr>
      <vt:lpstr>M41_u_dif</vt:lpstr>
      <vt:lpstr>M41_u_inter</vt:lpstr>
      <vt:lpstr>M41_u_intra</vt:lpstr>
      <vt:lpstr>M41_u_patron</vt:lpstr>
      <vt:lpstr>M41_u_R</vt:lpstr>
      <vt:lpstr>M41_v_dictamen</vt:lpstr>
      <vt:lpstr>M41_v_etm</vt:lpstr>
      <vt:lpstr>M41_v_mdc</vt:lpstr>
      <vt:lpstr>M41_v_petm</vt:lpstr>
      <vt:lpstr>M41_v_R</vt:lpstr>
      <vt:lpstr>M41_v_resol</vt:lpstr>
      <vt:lpstr>MED_Abd</vt:lpstr>
      <vt:lpstr>MED_Axil</vt:lpstr>
      <vt:lpstr>MED_Bic</vt:lpstr>
      <vt:lpstr>MED_BrazoG</vt:lpstr>
      <vt:lpstr>MED_Cadera</vt:lpstr>
      <vt:lpstr>MED_Cintura</vt:lpstr>
      <vt:lpstr>MED_Cuello</vt:lpstr>
      <vt:lpstr>MED_Fem</vt:lpstr>
      <vt:lpstr>MED_Hum</vt:lpstr>
      <vt:lpstr>MED_Muslo</vt:lpstr>
      <vt:lpstr>MED_Pant</vt:lpstr>
      <vt:lpstr>MED_PantG</vt:lpstr>
      <vt:lpstr>MED_Pect</vt:lpstr>
      <vt:lpstr>MED_Sub</vt:lpstr>
      <vt:lpstr>MED_Supra</vt:lpstr>
      <vt:lpstr>MED_Tri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1</cp:revision>
  <dcterms:created xsi:type="dcterms:W3CDTF">2026-08-03T03:05:03Z</dcterms:created>
  <dcterms:modified xsi:type="dcterms:W3CDTF">2026-08-17T21:36:39Z</dcterms:modified>
  <dc:language>en-US</dc:language>
</cp:coreProperties>
</file>
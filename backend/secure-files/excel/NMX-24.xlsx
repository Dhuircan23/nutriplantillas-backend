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AppData\Local\Temp\Rar$DIa27468.26093\"/>
    </mc:Choice>
  </mc:AlternateContent>
  <xr:revisionPtr revIDLastSave="0" documentId="13_ncr:1_{17E5D1B0-2918-45DE-AE65-7986C0DAF6F0}" xr6:coauthVersionLast="47" xr6:coauthVersionMax="47" xr10:uidLastSave="{00000000-0000-0000-0000-000000000000}"/>
  <bookViews>
    <workbookView xWindow="-120" yWindow="-120" windowWidth="29040" windowHeight="15840" tabRatio="500" activeTab="6" xr2:uid="{00000000-000D-0000-FFFF-FFFF00000000}"/>
  </bookViews>
  <sheets>
    <sheet name="INICIO" sheetId="1" r:id="rId1"/>
    <sheet name="DATOS" sheetId="2" r:id="rId2"/>
    <sheet name="HABITOS" sheetId="3" r:id="rId3"/>
    <sheet name="REGISTRO" sheetId="4" r:id="rId4"/>
    <sheet name="ANALISIS" sheetId="5" r:id="rId5"/>
    <sheet name="PANEL" sheetId="6" r:id="rId6"/>
    <sheet name="FUENTES" sheetId="7" r:id="rId7"/>
    <sheet name="PRUEBAS" sheetId="8" state="hidden" r:id="rId8"/>
    <sheet name="CONFIG" sheetId="9" state="hidden" r:id="rId9"/>
    <sheet name="CHANGELOG" sheetId="10" state="hidden" r:id="rId10"/>
  </sheets>
  <definedNames>
    <definedName name="k_max">CONFIG!$E$12</definedName>
    <definedName name="k_mediana">CONFIG!$E$10</definedName>
    <definedName name="k_min">CONFIG!$E$11</definedName>
    <definedName name="k_tol">CONFIG!$E$14</definedName>
    <definedName name="lst_ambito">CONFIG!$D$22:$D$26</definedName>
    <definedName name="lst_dificultad">CONFIG!$J$22:$J$24</definedName>
    <definedName name="lst_marca">CONFIG!$A$22:$A$23</definedName>
    <definedName name="lst_momento">CONFIG!$G$22:$G$27</definedName>
    <definedName name="lst_si">CONFIG!$M$22:$M$23</definedName>
    <definedName name="u_alta">CONFIG!$E$7</definedName>
    <definedName name="u_maxHab">CONFIG!$E$13</definedName>
    <definedName name="u_media">CONFIG!$E$8</definedName>
    <definedName name="u_seguidos">CONFIG!$E$9</definedName>
    <definedName name="v_dias">DATOS!$C$10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10" l="1"/>
  <c r="A4" i="9"/>
  <c r="C37" i="8"/>
  <c r="E37" i="8" s="1"/>
  <c r="A4" i="8"/>
  <c r="A4" i="7"/>
  <c r="A4" i="6"/>
  <c r="A4" i="5"/>
  <c r="B42" i="4"/>
  <c r="AB42" i="4" s="1"/>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D23" i="4"/>
  <c r="C23" i="4"/>
  <c r="AG22" i="4"/>
  <c r="AF22" i="4"/>
  <c r="B56" i="6" s="1"/>
  <c r="AE22" i="4"/>
  <c r="B55" i="6" s="1"/>
  <c r="AD22" i="4"/>
  <c r="B54" i="6" s="1"/>
  <c r="AC22" i="4"/>
  <c r="B53" i="6" s="1"/>
  <c r="AB22" i="4"/>
  <c r="B52" i="6" s="1"/>
  <c r="AA22" i="4"/>
  <c r="B51" i="6" s="1"/>
  <c r="Z22" i="4"/>
  <c r="B50" i="6" s="1"/>
  <c r="Y22" i="4"/>
  <c r="B49" i="6" s="1"/>
  <c r="X22" i="4"/>
  <c r="B48" i="6" s="1"/>
  <c r="W22" i="4"/>
  <c r="B47" i="6" s="1"/>
  <c r="V22" i="4"/>
  <c r="B46" i="6" s="1"/>
  <c r="U22" i="4"/>
  <c r="B45" i="6" s="1"/>
  <c r="T22" i="4"/>
  <c r="B44" i="6" s="1"/>
  <c r="S22" i="4"/>
  <c r="B43" i="6" s="1"/>
  <c r="R22" i="4"/>
  <c r="B42" i="6" s="1"/>
  <c r="Q22" i="4"/>
  <c r="P22" i="4"/>
  <c r="B40" i="6" s="1"/>
  <c r="O22" i="4"/>
  <c r="B39" i="6" s="1"/>
  <c r="N22" i="4"/>
  <c r="B38" i="6" s="1"/>
  <c r="M22" i="4"/>
  <c r="B37" i="6" s="1"/>
  <c r="L22" i="4"/>
  <c r="B36" i="6" s="1"/>
  <c r="K22" i="4"/>
  <c r="B35" i="6" s="1"/>
  <c r="J22" i="4"/>
  <c r="B34" i="6" s="1"/>
  <c r="I22" i="4"/>
  <c r="B33" i="6" s="1"/>
  <c r="H22" i="4"/>
  <c r="B32" i="6" s="1"/>
  <c r="G22" i="4"/>
  <c r="B31" i="6" s="1"/>
  <c r="F22" i="4"/>
  <c r="B30" i="6" s="1"/>
  <c r="E22" i="4"/>
  <c r="B29" i="6" s="1"/>
  <c r="D22" i="4"/>
  <c r="B28" i="6" s="1"/>
  <c r="C22" i="4"/>
  <c r="B21" i="4"/>
  <c r="B20" i="4"/>
  <c r="B35" i="4" s="1"/>
  <c r="B19" i="4"/>
  <c r="B18" i="4"/>
  <c r="B33" i="4" s="1"/>
  <c r="B17" i="4"/>
  <c r="A13" i="5" s="1"/>
  <c r="A19" i="6" s="1"/>
  <c r="B16" i="4"/>
  <c r="A12" i="5" s="1"/>
  <c r="A18" i="6" s="1"/>
  <c r="B15" i="4"/>
  <c r="A11" i="5" s="1"/>
  <c r="A17" i="6" s="1"/>
  <c r="B14" i="4"/>
  <c r="A10" i="5" s="1"/>
  <c r="A16" i="6" s="1"/>
  <c r="B13" i="4"/>
  <c r="A9" i="5" s="1"/>
  <c r="A15" i="6" s="1"/>
  <c r="B12" i="4"/>
  <c r="A8" i="5" s="1"/>
  <c r="A14" i="6" s="1"/>
  <c r="A4" i="4"/>
  <c r="C26" i="3"/>
  <c r="C25" i="3"/>
  <c r="C24" i="3"/>
  <c r="C27" i="3" s="1"/>
  <c r="C35" i="8" s="1"/>
  <c r="E35" i="8" s="1"/>
  <c r="A4" i="3"/>
  <c r="C27" i="2"/>
  <c r="C36" i="8" s="1"/>
  <c r="E36" i="8" s="1"/>
  <c r="C26" i="2"/>
  <c r="C25" i="2"/>
  <c r="C24" i="2"/>
  <c r="A4" i="2"/>
  <c r="A7" i="1"/>
  <c r="O5" i="1"/>
  <c r="M5" i="1"/>
  <c r="K5" i="1"/>
  <c r="I5" i="1"/>
  <c r="G5" i="1"/>
  <c r="E5" i="1"/>
  <c r="C5" i="1"/>
  <c r="A5" i="1"/>
  <c r="B40" i="4" l="1"/>
  <c r="AE40" i="4" s="1"/>
  <c r="A14" i="5"/>
  <c r="A20" i="6" s="1"/>
  <c r="B46" i="4"/>
  <c r="A15" i="5"/>
  <c r="A21" i="6" s="1"/>
  <c r="B47" i="4"/>
  <c r="A16" i="5"/>
  <c r="A22" i="6" s="1"/>
  <c r="B48" i="4"/>
  <c r="A17" i="5"/>
  <c r="A23" i="6" s="1"/>
  <c r="B49" i="4"/>
  <c r="C26" i="8"/>
  <c r="E26" i="8" s="1"/>
  <c r="C29" i="5"/>
  <c r="B27" i="6"/>
  <c r="C28" i="5"/>
  <c r="C30" i="8" s="1"/>
  <c r="E30" i="8" s="1"/>
  <c r="C27" i="5"/>
  <c r="C29" i="8" s="1"/>
  <c r="E29" i="8" s="1"/>
  <c r="C33" i="4"/>
  <c r="C35" i="4"/>
  <c r="R35" i="4"/>
  <c r="AE35" i="4"/>
  <c r="C40" i="4"/>
  <c r="J40" i="4"/>
  <c r="R40" i="4"/>
  <c r="X40" i="4"/>
  <c r="D42" i="4"/>
  <c r="W42" i="4"/>
  <c r="B44" i="4"/>
  <c r="H33" i="4"/>
  <c r="O33" i="4"/>
  <c r="AG40" i="4"/>
  <c r="Y40" i="4"/>
  <c r="U40" i="4"/>
  <c r="Q40" i="4"/>
  <c r="M40" i="4"/>
  <c r="E40" i="4"/>
  <c r="AF40" i="4"/>
  <c r="AA40" i="4"/>
  <c r="V40" i="4"/>
  <c r="P40" i="4"/>
  <c r="K40" i="4"/>
  <c r="F40" i="4"/>
  <c r="W40" i="4"/>
  <c r="AD40" i="4"/>
  <c r="R42" i="4"/>
  <c r="AH12" i="4"/>
  <c r="AH13" i="4"/>
  <c r="AH14" i="4"/>
  <c r="B10" i="5" s="1"/>
  <c r="AH15" i="4"/>
  <c r="B11" i="5" s="1"/>
  <c r="AH16" i="4"/>
  <c r="B12" i="5" s="1"/>
  <c r="AH17" i="4"/>
  <c r="B13" i="5" s="1"/>
  <c r="AH18" i="4"/>
  <c r="B14" i="5" s="1"/>
  <c r="AH19" i="4"/>
  <c r="AH20" i="4"/>
  <c r="B16" i="5" s="1"/>
  <c r="AH21" i="4"/>
  <c r="B17" i="5" s="1"/>
  <c r="B27" i="4"/>
  <c r="B28" i="4"/>
  <c r="B29" i="4"/>
  <c r="B30" i="4"/>
  <c r="B31" i="4"/>
  <c r="B32" i="4"/>
  <c r="D33" i="4"/>
  <c r="E33" i="4" s="1"/>
  <c r="F33" i="4" s="1"/>
  <c r="B34" i="4"/>
  <c r="D35" i="4"/>
  <c r="S35" i="4"/>
  <c r="B36" i="4"/>
  <c r="D40" i="4"/>
  <c r="L40" i="4"/>
  <c r="S40" i="4"/>
  <c r="Z40" i="4"/>
  <c r="B41" i="4"/>
  <c r="G42" i="4"/>
  <c r="AC33" i="4"/>
  <c r="AD33" i="4" s="1"/>
  <c r="AE33" i="4" s="1"/>
  <c r="AF33" i="4" s="1"/>
  <c r="AG33" i="4" s="1"/>
  <c r="AK18" i="4" s="1"/>
  <c r="U33" i="4"/>
  <c r="Q33" i="4"/>
  <c r="R33" i="4" s="1"/>
  <c r="S33" i="4" s="1"/>
  <c r="T33" i="4" s="1"/>
  <c r="I33" i="4"/>
  <c r="J33" i="4" s="1"/>
  <c r="K33" i="4" s="1"/>
  <c r="L33" i="4" s="1"/>
  <c r="M33" i="4" s="1"/>
  <c r="N33" i="4" s="1"/>
  <c r="V33" i="4"/>
  <c r="P33" i="4"/>
  <c r="W33" i="4"/>
  <c r="X33" i="4" s="1"/>
  <c r="Y33" i="4" s="1"/>
  <c r="Z33" i="4" s="1"/>
  <c r="AA33" i="4" s="1"/>
  <c r="AG35" i="4"/>
  <c r="AK20" i="4" s="1"/>
  <c r="Q35" i="4"/>
  <c r="E35" i="4"/>
  <c r="F35" i="4" s="1"/>
  <c r="G35" i="4" s="1"/>
  <c r="H35" i="4" s="1"/>
  <c r="I35" i="4" s="1"/>
  <c r="J35" i="4" s="1"/>
  <c r="K35" i="4" s="1"/>
  <c r="L35" i="4" s="1"/>
  <c r="M35" i="4" s="1"/>
  <c r="N35" i="4" s="1"/>
  <c r="O35" i="4" s="1"/>
  <c r="P35" i="4" s="1"/>
  <c r="AF35" i="4"/>
  <c r="AC42" i="4"/>
  <c r="Y42" i="4"/>
  <c r="Z42" i="4" s="1"/>
  <c r="U42" i="4"/>
  <c r="Q42" i="4"/>
  <c r="M42" i="4"/>
  <c r="I42" i="4"/>
  <c r="E42" i="4"/>
  <c r="AF42" i="4"/>
  <c r="AG42" i="4" s="1"/>
  <c r="AA42" i="4"/>
  <c r="V42" i="4"/>
  <c r="P42" i="4"/>
  <c r="K42" i="4"/>
  <c r="L42" i="4" s="1"/>
  <c r="F42" i="4"/>
  <c r="AE42" i="4"/>
  <c r="T42" i="4"/>
  <c r="O42" i="4"/>
  <c r="J42" i="4"/>
  <c r="AD42" i="4"/>
  <c r="X42" i="4"/>
  <c r="S42" i="4"/>
  <c r="N42" i="4"/>
  <c r="H42" i="4"/>
  <c r="C42" i="4"/>
  <c r="AI12" i="4"/>
  <c r="AI13" i="4"/>
  <c r="AI14" i="4"/>
  <c r="AI15" i="4"/>
  <c r="AI16" i="4"/>
  <c r="AI17" i="4"/>
  <c r="AI18" i="4"/>
  <c r="AI19" i="4"/>
  <c r="AI20" i="4"/>
  <c r="AI21" i="4"/>
  <c r="B41" i="6"/>
  <c r="C27" i="8"/>
  <c r="E27" i="8" s="1"/>
  <c r="C28" i="8"/>
  <c r="E28" i="8" s="1"/>
  <c r="B57" i="6"/>
  <c r="G33" i="4"/>
  <c r="AB33" i="4"/>
  <c r="T35" i="4"/>
  <c r="U35" i="4" s="1"/>
  <c r="V35" i="4" s="1"/>
  <c r="W35" i="4" s="1"/>
  <c r="X35" i="4" s="1"/>
  <c r="Y35" i="4" s="1"/>
  <c r="Z35" i="4" s="1"/>
  <c r="AA35" i="4" s="1"/>
  <c r="AB35" i="4" s="1"/>
  <c r="AC35" i="4" s="1"/>
  <c r="AD35" i="4" s="1"/>
  <c r="G40" i="4"/>
  <c r="H40" i="4" s="1"/>
  <c r="N40" i="4"/>
  <c r="O40" i="4" s="1"/>
  <c r="T40" i="4"/>
  <c r="AB40" i="4"/>
  <c r="AC40" i="4" s="1"/>
  <c r="B43" i="4"/>
  <c r="B45" i="4"/>
  <c r="AM14" i="4" l="1"/>
  <c r="AL20" i="4"/>
  <c r="G10" i="5"/>
  <c r="AN14" i="4"/>
  <c r="I40" i="4"/>
  <c r="AM12" i="4" s="1"/>
  <c r="AG29" i="4"/>
  <c r="AK14" i="4" s="1"/>
  <c r="E29" i="4"/>
  <c r="F29" i="4" s="1"/>
  <c r="G29" i="4" s="1"/>
  <c r="H29" i="4" s="1"/>
  <c r="I29" i="4" s="1"/>
  <c r="J29" i="4" s="1"/>
  <c r="K29" i="4" s="1"/>
  <c r="S29" i="4"/>
  <c r="T29" i="4" s="1"/>
  <c r="U29" i="4" s="1"/>
  <c r="V29" i="4" s="1"/>
  <c r="W29" i="4" s="1"/>
  <c r="X29" i="4" s="1"/>
  <c r="Y29" i="4" s="1"/>
  <c r="C29" i="4"/>
  <c r="Z29" i="4"/>
  <c r="AA29" i="4" s="1"/>
  <c r="AB29" i="4" s="1"/>
  <c r="AC29" i="4" s="1"/>
  <c r="AD29" i="4" s="1"/>
  <c r="AE29" i="4" s="1"/>
  <c r="AF29" i="4" s="1"/>
  <c r="D29" i="4"/>
  <c r="L29" i="4"/>
  <c r="M29" i="4" s="1"/>
  <c r="N29" i="4" s="1"/>
  <c r="O29" i="4" s="1"/>
  <c r="P29" i="4" s="1"/>
  <c r="Q29" i="4" s="1"/>
  <c r="R29" i="4" s="1"/>
  <c r="C12" i="8"/>
  <c r="E12" i="8" s="1"/>
  <c r="B9" i="5"/>
  <c r="Z49" i="4"/>
  <c r="V49" i="4"/>
  <c r="R49" i="4"/>
  <c r="N49" i="4"/>
  <c r="J49" i="4"/>
  <c r="F49" i="4"/>
  <c r="AE49" i="4"/>
  <c r="Y49" i="4"/>
  <c r="T49" i="4"/>
  <c r="O49" i="4"/>
  <c r="D49" i="4"/>
  <c r="AC49" i="4"/>
  <c r="AD49" i="4" s="1"/>
  <c r="X49" i="4"/>
  <c r="S49" i="4"/>
  <c r="M49" i="4"/>
  <c r="H49" i="4"/>
  <c r="I49" i="4" s="1"/>
  <c r="C49" i="4"/>
  <c r="AF49" i="4"/>
  <c r="U49" i="4"/>
  <c r="K49" i="4"/>
  <c r="AB49" i="4"/>
  <c r="Q49" i="4"/>
  <c r="G49" i="4"/>
  <c r="AA49" i="4"/>
  <c r="P49" i="4"/>
  <c r="E49" i="4"/>
  <c r="AG49" i="4"/>
  <c r="W49" i="4"/>
  <c r="L49" i="4"/>
  <c r="C16" i="5"/>
  <c r="AJ20" i="4"/>
  <c r="D16" i="5" s="1"/>
  <c r="C14" i="5"/>
  <c r="AJ18" i="4"/>
  <c r="D14" i="5" s="1"/>
  <c r="C12" i="5"/>
  <c r="AJ16" i="4"/>
  <c r="D12" i="5" s="1"/>
  <c r="C10" i="5"/>
  <c r="AJ14" i="4"/>
  <c r="D10" i="5" s="1"/>
  <c r="C10" i="8"/>
  <c r="E10" i="8" s="1"/>
  <c r="C8" i="5"/>
  <c r="AI22" i="4"/>
  <c r="AJ22" i="4" s="1"/>
  <c r="AJ12" i="4"/>
  <c r="I36" i="4"/>
  <c r="J36" i="4" s="1"/>
  <c r="K36" i="4" s="1"/>
  <c r="L36" i="4" s="1"/>
  <c r="M36" i="4" s="1"/>
  <c r="N36" i="4" s="1"/>
  <c r="O36" i="4" s="1"/>
  <c r="P36" i="4"/>
  <c r="Q36" i="4" s="1"/>
  <c r="R36" i="4" s="1"/>
  <c r="S36" i="4" s="1"/>
  <c r="T36" i="4" s="1"/>
  <c r="U36" i="4" s="1"/>
  <c r="V36" i="4" s="1"/>
  <c r="C36" i="4"/>
  <c r="D36" i="4" s="1"/>
  <c r="E36" i="4" s="1"/>
  <c r="F36" i="4" s="1"/>
  <c r="G36" i="4" s="1"/>
  <c r="H36" i="4" s="1"/>
  <c r="AD36" i="4"/>
  <c r="AE36" i="4" s="1"/>
  <c r="AF36" i="4" s="1"/>
  <c r="AG36" i="4" s="1"/>
  <c r="AK21" i="4" s="1"/>
  <c r="W36" i="4"/>
  <c r="X36" i="4" s="1"/>
  <c r="Y36" i="4" s="1"/>
  <c r="Z36" i="4" s="1"/>
  <c r="AA36" i="4" s="1"/>
  <c r="AB36" i="4" s="1"/>
  <c r="AC36" i="4" s="1"/>
  <c r="AG34" i="4"/>
  <c r="AK19" i="4" s="1"/>
  <c r="Y34" i="4"/>
  <c r="M34" i="4"/>
  <c r="N34" i="4" s="1"/>
  <c r="O34" i="4" s="1"/>
  <c r="P34" i="4" s="1"/>
  <c r="Q34" i="4" s="1"/>
  <c r="E34" i="4"/>
  <c r="AF34" i="4"/>
  <c r="AA34" i="4"/>
  <c r="AB34" i="4" s="1"/>
  <c r="AC34" i="4" s="1"/>
  <c r="AD34" i="4" s="1"/>
  <c r="AE34" i="4" s="1"/>
  <c r="K34" i="4"/>
  <c r="F34" i="4"/>
  <c r="G34" i="4" s="1"/>
  <c r="H34" i="4" s="1"/>
  <c r="I34" i="4" s="1"/>
  <c r="J34" i="4" s="1"/>
  <c r="R34" i="4"/>
  <c r="C34" i="4"/>
  <c r="Z34" i="4"/>
  <c r="S34" i="4"/>
  <c r="L34" i="4"/>
  <c r="D34" i="4"/>
  <c r="T34" i="4"/>
  <c r="U34" i="4" s="1"/>
  <c r="V34" i="4" s="1"/>
  <c r="W34" i="4" s="1"/>
  <c r="X34" i="4" s="1"/>
  <c r="AC32" i="4"/>
  <c r="I32" i="4"/>
  <c r="J32" i="4" s="1"/>
  <c r="K32" i="4" s="1"/>
  <c r="L32" i="4" s="1"/>
  <c r="M32" i="4" s="1"/>
  <c r="N32" i="4" s="1"/>
  <c r="V32" i="4"/>
  <c r="P32" i="4"/>
  <c r="Q32" i="4" s="1"/>
  <c r="R32" i="4" s="1"/>
  <c r="S32" i="4" s="1"/>
  <c r="T32" i="4" s="1"/>
  <c r="U32" i="4" s="1"/>
  <c r="AE32" i="4"/>
  <c r="AF32" i="4" s="1"/>
  <c r="AG32" i="4" s="1"/>
  <c r="AK17" i="4" s="1"/>
  <c r="C32" i="4"/>
  <c r="D32" i="4" s="1"/>
  <c r="E32" i="4" s="1"/>
  <c r="F32" i="4" s="1"/>
  <c r="G32" i="4" s="1"/>
  <c r="AD32" i="4"/>
  <c r="W32" i="4"/>
  <c r="X32" i="4" s="1"/>
  <c r="Y32" i="4" s="1"/>
  <c r="Z32" i="4" s="1"/>
  <c r="AA32" i="4" s="1"/>
  <c r="AB32" i="4" s="1"/>
  <c r="O32" i="4"/>
  <c r="H32" i="4"/>
  <c r="M28" i="4"/>
  <c r="N28" i="4" s="1"/>
  <c r="O28" i="4" s="1"/>
  <c r="P28" i="4" s="1"/>
  <c r="Q28" i="4" s="1"/>
  <c r="R28" i="4" s="1"/>
  <c r="S28" i="4" s="1"/>
  <c r="C28" i="4"/>
  <c r="D28" i="4" s="1"/>
  <c r="E28" i="4" s="1"/>
  <c r="AB28" i="4"/>
  <c r="AC28" i="4" s="1"/>
  <c r="AD28" i="4" s="1"/>
  <c r="AE28" i="4" s="1"/>
  <c r="AF28" i="4" s="1"/>
  <c r="AG28" i="4" s="1"/>
  <c r="AK13" i="4" s="1"/>
  <c r="T28" i="4"/>
  <c r="U28" i="4" s="1"/>
  <c r="V28" i="4" s="1"/>
  <c r="W28" i="4" s="1"/>
  <c r="X28" i="4" s="1"/>
  <c r="Y28" i="4" s="1"/>
  <c r="Z28" i="4" s="1"/>
  <c r="AA28" i="4"/>
  <c r="F28" i="4"/>
  <c r="G28" i="4" s="1"/>
  <c r="H28" i="4" s="1"/>
  <c r="I28" i="4" s="1"/>
  <c r="J28" i="4" s="1"/>
  <c r="K28" i="4" s="1"/>
  <c r="L28" i="4" s="1"/>
  <c r="AL18" i="4"/>
  <c r="F14" i="5" s="1"/>
  <c r="AG44" i="4"/>
  <c r="AC44" i="4"/>
  <c r="Y44" i="4"/>
  <c r="U44" i="4"/>
  <c r="M44" i="4"/>
  <c r="I44" i="4"/>
  <c r="J44" i="4" s="1"/>
  <c r="E44" i="4"/>
  <c r="AF44" i="4"/>
  <c r="AA44" i="4"/>
  <c r="V44" i="4"/>
  <c r="P44" i="4"/>
  <c r="Q44" i="4" s="1"/>
  <c r="K44" i="4"/>
  <c r="F44" i="4"/>
  <c r="Z44" i="4"/>
  <c r="T44" i="4"/>
  <c r="O44" i="4"/>
  <c r="D44" i="4"/>
  <c r="AD44" i="4"/>
  <c r="AE44" i="4" s="1"/>
  <c r="S44" i="4"/>
  <c r="N44" i="4"/>
  <c r="H44" i="4"/>
  <c r="C44" i="4"/>
  <c r="L44" i="4"/>
  <c r="R44" i="4"/>
  <c r="AB44" i="4"/>
  <c r="G44" i="4"/>
  <c r="W44" i="4"/>
  <c r="X44" i="4" s="1"/>
  <c r="M8" i="6"/>
  <c r="C25" i="8"/>
  <c r="E25" i="8" s="1"/>
  <c r="AD46" i="4"/>
  <c r="Z46" i="4"/>
  <c r="R46" i="4"/>
  <c r="N46" i="4"/>
  <c r="O46" i="4" s="1"/>
  <c r="J46" i="4"/>
  <c r="F46" i="4"/>
  <c r="G46" i="4" s="1"/>
  <c r="H46" i="4" s="1"/>
  <c r="AE46" i="4"/>
  <c r="Y46" i="4"/>
  <c r="T46" i="4"/>
  <c r="I46" i="4"/>
  <c r="D46" i="4"/>
  <c r="X46" i="4"/>
  <c r="S46" i="4"/>
  <c r="M46" i="4"/>
  <c r="C46" i="4"/>
  <c r="AF46" i="4"/>
  <c r="U46" i="4"/>
  <c r="V46" i="4" s="1"/>
  <c r="K46" i="4"/>
  <c r="AB46" i="4"/>
  <c r="AC46" i="4" s="1"/>
  <c r="Q46" i="4"/>
  <c r="AA46" i="4"/>
  <c r="P46" i="4"/>
  <c r="E46" i="4"/>
  <c r="L46" i="4"/>
  <c r="AG46" i="4"/>
  <c r="W46" i="4"/>
  <c r="AG43" i="4"/>
  <c r="AC43" i="4"/>
  <c r="Q43" i="4"/>
  <c r="M43" i="4"/>
  <c r="I43" i="4"/>
  <c r="E43" i="4"/>
  <c r="AA43" i="4"/>
  <c r="AB43" i="4" s="1"/>
  <c r="V43" i="4"/>
  <c r="P43" i="4"/>
  <c r="F43" i="4"/>
  <c r="G43" i="4" s="1"/>
  <c r="AE43" i="4"/>
  <c r="AF43" i="4" s="1"/>
  <c r="Z43" i="4"/>
  <c r="T43" i="4"/>
  <c r="U43" i="4" s="1"/>
  <c r="O43" i="4"/>
  <c r="J43" i="4"/>
  <c r="K43" i="4" s="1"/>
  <c r="AD43" i="4"/>
  <c r="X43" i="4"/>
  <c r="Y43" i="4" s="1"/>
  <c r="S43" i="4"/>
  <c r="N43" i="4"/>
  <c r="H43" i="4"/>
  <c r="C43" i="4"/>
  <c r="W43" i="4"/>
  <c r="R43" i="4"/>
  <c r="L43" i="4"/>
  <c r="AG41" i="4"/>
  <c r="AC41" i="4"/>
  <c r="Y41" i="4"/>
  <c r="U41" i="4"/>
  <c r="Q41" i="4"/>
  <c r="I41" i="4"/>
  <c r="E41" i="4"/>
  <c r="F41" i="4" s="1"/>
  <c r="AF41" i="4"/>
  <c r="V41" i="4"/>
  <c r="P41" i="4"/>
  <c r="K41" i="4"/>
  <c r="AD41" i="4"/>
  <c r="X41" i="4"/>
  <c r="S41" i="4"/>
  <c r="T41" i="4" s="1"/>
  <c r="N41" i="4"/>
  <c r="AE41" i="4"/>
  <c r="J41" i="4"/>
  <c r="C41" i="4"/>
  <c r="AB41" i="4"/>
  <c r="R41" i="4"/>
  <c r="H41" i="4"/>
  <c r="W41" i="4"/>
  <c r="L41" i="4"/>
  <c r="M41" i="4" s="1"/>
  <c r="D41" i="4"/>
  <c r="Z41" i="4"/>
  <c r="AA41" i="4" s="1"/>
  <c r="O41" i="4"/>
  <c r="G41" i="4"/>
  <c r="Q31" i="4"/>
  <c r="X31" i="4"/>
  <c r="Y31" i="4" s="1"/>
  <c r="Z31" i="4" s="1"/>
  <c r="AA31" i="4" s="1"/>
  <c r="AB31" i="4" s="1"/>
  <c r="AC31" i="4" s="1"/>
  <c r="AD31" i="4" s="1"/>
  <c r="C31" i="4"/>
  <c r="AE31" i="4"/>
  <c r="AF31" i="4" s="1"/>
  <c r="AG31" i="4" s="1"/>
  <c r="AK16" i="4" s="1"/>
  <c r="R31" i="4"/>
  <c r="S31" i="4" s="1"/>
  <c r="T31" i="4" s="1"/>
  <c r="U31" i="4" s="1"/>
  <c r="V31" i="4" s="1"/>
  <c r="W31" i="4" s="1"/>
  <c r="J31" i="4"/>
  <c r="K31" i="4" s="1"/>
  <c r="L31" i="4" s="1"/>
  <c r="M31" i="4" s="1"/>
  <c r="N31" i="4" s="1"/>
  <c r="O31" i="4" s="1"/>
  <c r="P31" i="4" s="1"/>
  <c r="O27" i="4"/>
  <c r="P27" i="4" s="1"/>
  <c r="Q27" i="4" s="1"/>
  <c r="R27" i="4" s="1"/>
  <c r="S27" i="4" s="1"/>
  <c r="T27" i="4" s="1"/>
  <c r="U27" i="4" s="1"/>
  <c r="C27" i="4"/>
  <c r="D27" i="4" s="1"/>
  <c r="E27" i="4" s="1"/>
  <c r="F27" i="4" s="1"/>
  <c r="G27" i="4" s="1"/>
  <c r="V27" i="4"/>
  <c r="W27" i="4" s="1"/>
  <c r="X27" i="4" s="1"/>
  <c r="Y27" i="4" s="1"/>
  <c r="Z27" i="4" s="1"/>
  <c r="AA27" i="4" s="1"/>
  <c r="AB27" i="4" s="1"/>
  <c r="H27" i="4"/>
  <c r="AC27" i="4"/>
  <c r="AD27" i="4" s="1"/>
  <c r="AE27" i="4" s="1"/>
  <c r="AF27" i="4" s="1"/>
  <c r="AG27" i="4" s="1"/>
  <c r="AK12" i="4" s="1"/>
  <c r="I27" i="4"/>
  <c r="J27" i="4" s="1"/>
  <c r="K27" i="4" s="1"/>
  <c r="L27" i="4" s="1"/>
  <c r="M27" i="4" s="1"/>
  <c r="N27" i="4" s="1"/>
  <c r="C9" i="8"/>
  <c r="E9" i="8" s="1"/>
  <c r="B8" i="5"/>
  <c r="AH22" i="4"/>
  <c r="AD47" i="4"/>
  <c r="V47" i="4"/>
  <c r="N47" i="4"/>
  <c r="J47" i="4"/>
  <c r="AE47" i="4"/>
  <c r="AF47" i="4" s="1"/>
  <c r="AG47" i="4" s="1"/>
  <c r="O47" i="4"/>
  <c r="I47" i="4"/>
  <c r="AC47" i="4"/>
  <c r="X47" i="4"/>
  <c r="Y47" i="4" s="1"/>
  <c r="Z47" i="4" s="1"/>
  <c r="AA47" i="4" s="1"/>
  <c r="H47" i="4"/>
  <c r="C47" i="4"/>
  <c r="D47" i="4" s="1"/>
  <c r="E47" i="4" s="1"/>
  <c r="F47" i="4" s="1"/>
  <c r="U47" i="4"/>
  <c r="K47" i="4"/>
  <c r="L47" i="4" s="1"/>
  <c r="M47" i="4" s="1"/>
  <c r="AB47" i="4"/>
  <c r="Q47" i="4"/>
  <c r="R47" i="4" s="1"/>
  <c r="S47" i="4" s="1"/>
  <c r="T47" i="4" s="1"/>
  <c r="G47" i="4"/>
  <c r="P47" i="4"/>
  <c r="W47" i="4"/>
  <c r="C13" i="8"/>
  <c r="E13" i="8" s="1"/>
  <c r="B15" i="5"/>
  <c r="AE45" i="4"/>
  <c r="Z45" i="4"/>
  <c r="R45" i="4"/>
  <c r="N45" i="4"/>
  <c r="J45" i="4"/>
  <c r="F45" i="4"/>
  <c r="Y45" i="4"/>
  <c r="U45" i="4"/>
  <c r="V45" i="4" s="1"/>
  <c r="W45" i="4" s="1"/>
  <c r="Q45" i="4"/>
  <c r="M45" i="4"/>
  <c r="E45" i="4"/>
  <c r="AF45" i="4"/>
  <c r="O45" i="4"/>
  <c r="P45" i="4" s="1"/>
  <c r="G45" i="4"/>
  <c r="H45" i="4" s="1"/>
  <c r="I45" i="4" s="1"/>
  <c r="AB45" i="4"/>
  <c r="AC45" i="4" s="1"/>
  <c r="AD45" i="4" s="1"/>
  <c r="T45" i="4"/>
  <c r="L45" i="4"/>
  <c r="D45" i="4"/>
  <c r="AA45" i="4"/>
  <c r="S45" i="4"/>
  <c r="K45" i="4"/>
  <c r="C45" i="4"/>
  <c r="AG45" i="4"/>
  <c r="X45" i="4"/>
  <c r="C17" i="5"/>
  <c r="AJ21" i="4"/>
  <c r="D17" i="5" s="1"/>
  <c r="C15" i="5"/>
  <c r="AJ19" i="4"/>
  <c r="C13" i="5"/>
  <c r="AJ17" i="4"/>
  <c r="D13" i="5" s="1"/>
  <c r="C11" i="5"/>
  <c r="AJ15" i="4"/>
  <c r="D11" i="5" s="1"/>
  <c r="C9" i="5"/>
  <c r="AJ13" i="4"/>
  <c r="D9" i="5" s="1"/>
  <c r="Y30" i="4"/>
  <c r="Z30" i="4" s="1"/>
  <c r="AA30" i="4" s="1"/>
  <c r="U30" i="4"/>
  <c r="V30" i="4" s="1"/>
  <c r="W30" i="4" s="1"/>
  <c r="X30" i="4" s="1"/>
  <c r="C30" i="4"/>
  <c r="D30" i="4"/>
  <c r="E30" i="4" s="1"/>
  <c r="F30" i="4" s="1"/>
  <c r="AB30" i="4"/>
  <c r="AC30" i="4" s="1"/>
  <c r="AD30" i="4" s="1"/>
  <c r="AE30" i="4" s="1"/>
  <c r="R30" i="4"/>
  <c r="S30" i="4" s="1"/>
  <c r="T30" i="4" s="1"/>
  <c r="G30" i="4"/>
  <c r="H30" i="4" s="1"/>
  <c r="I30" i="4" s="1"/>
  <c r="J30" i="4" s="1"/>
  <c r="AF30" i="4"/>
  <c r="AG30" i="4" s="1"/>
  <c r="AK15" i="4" s="1"/>
  <c r="K30" i="4"/>
  <c r="L30" i="4" s="1"/>
  <c r="M30" i="4" s="1"/>
  <c r="N30" i="4" s="1"/>
  <c r="O30" i="4" s="1"/>
  <c r="P30" i="4" s="1"/>
  <c r="Q30" i="4" s="1"/>
  <c r="AD48" i="4"/>
  <c r="AE48" i="4" s="1"/>
  <c r="AF48" i="4" s="1"/>
  <c r="AG48" i="4" s="1"/>
  <c r="Z48" i="4"/>
  <c r="V48" i="4"/>
  <c r="N48" i="4"/>
  <c r="J48" i="4"/>
  <c r="F48" i="4"/>
  <c r="Y48" i="4"/>
  <c r="T48" i="4"/>
  <c r="O48" i="4"/>
  <c r="I48" i="4"/>
  <c r="AC48" i="4"/>
  <c r="X48" i="4"/>
  <c r="M48" i="4"/>
  <c r="H48" i="4"/>
  <c r="C48" i="4"/>
  <c r="D48" i="4" s="1"/>
  <c r="E48" i="4" s="1"/>
  <c r="U48" i="4"/>
  <c r="K48" i="4"/>
  <c r="AB48" i="4"/>
  <c r="Q48" i="4"/>
  <c r="R48" i="4" s="1"/>
  <c r="S48" i="4" s="1"/>
  <c r="G48" i="4"/>
  <c r="AA48" i="4"/>
  <c r="P48" i="4"/>
  <c r="W48" i="4"/>
  <c r="L48" i="4"/>
  <c r="B18" i="5" l="1"/>
  <c r="C22" i="8" s="1"/>
  <c r="E22" i="8" s="1"/>
  <c r="C18" i="8"/>
  <c r="E18" i="8" s="1"/>
  <c r="G8" i="5"/>
  <c r="AN12" i="4"/>
  <c r="AL21" i="4"/>
  <c r="F17" i="5" s="1"/>
  <c r="B15" i="6"/>
  <c r="E9" i="5"/>
  <c r="C34" i="8" s="1"/>
  <c r="E34" i="8" s="1"/>
  <c r="B19" i="6"/>
  <c r="E13" i="5"/>
  <c r="B23" i="6"/>
  <c r="E17" i="5"/>
  <c r="AL12" i="4"/>
  <c r="AM13" i="4"/>
  <c r="AL19" i="4"/>
  <c r="F15" i="5" s="1"/>
  <c r="C18" i="5"/>
  <c r="E12" i="5"/>
  <c r="B18" i="6"/>
  <c r="E16" i="5"/>
  <c r="B22" i="6"/>
  <c r="AL14" i="4"/>
  <c r="F10" i="5" s="1"/>
  <c r="AM16" i="4"/>
  <c r="D43" i="4"/>
  <c r="AM15" i="4" s="1"/>
  <c r="AM18" i="4"/>
  <c r="AL17" i="4"/>
  <c r="F13" i="5" s="1"/>
  <c r="AM19" i="4"/>
  <c r="AL13" i="4"/>
  <c r="F9" i="5" s="1"/>
  <c r="AM20" i="4"/>
  <c r="AL15" i="4"/>
  <c r="B17" i="6"/>
  <c r="E11" i="5"/>
  <c r="C14" i="8"/>
  <c r="E14" i="8" s="1"/>
  <c r="D15" i="5"/>
  <c r="AM17" i="4"/>
  <c r="D31" i="4"/>
  <c r="E31" i="4" s="1"/>
  <c r="F31" i="4" s="1"/>
  <c r="G31" i="4" s="1"/>
  <c r="H31" i="4" s="1"/>
  <c r="I31" i="4" s="1"/>
  <c r="D8" i="5"/>
  <c r="C11" i="8"/>
  <c r="E11" i="8" s="1"/>
  <c r="E10" i="5"/>
  <c r="H10" i="5"/>
  <c r="B16" i="6"/>
  <c r="E14" i="5"/>
  <c r="B20" i="6"/>
  <c r="AM21" i="4"/>
  <c r="C16" i="8"/>
  <c r="E16" i="8" s="1"/>
  <c r="F16" i="5"/>
  <c r="G11" i="5" l="1"/>
  <c r="H11" i="5" s="1"/>
  <c r="AN15" i="4"/>
  <c r="G17" i="5"/>
  <c r="H17" i="5" s="1"/>
  <c r="AN21" i="4"/>
  <c r="C26" i="5"/>
  <c r="C25" i="5"/>
  <c r="H8" i="5"/>
  <c r="E8" i="5"/>
  <c r="B14" i="6"/>
  <c r="G12" i="5"/>
  <c r="H12" i="5" s="1"/>
  <c r="AN16" i="4"/>
  <c r="F8" i="5"/>
  <c r="C15" i="8"/>
  <c r="E15" i="8" s="1"/>
  <c r="G16" i="5"/>
  <c r="H16" i="5" s="1"/>
  <c r="AN20" i="4"/>
  <c r="G14" i="5"/>
  <c r="H14" i="5" s="1"/>
  <c r="AN18" i="4"/>
  <c r="C23" i="8"/>
  <c r="E23" i="8" s="1"/>
  <c r="D18" i="5"/>
  <c r="C17" i="8"/>
  <c r="E17" i="8" s="1"/>
  <c r="F11" i="5"/>
  <c r="G13" i="5"/>
  <c r="H13" i="5" s="1"/>
  <c r="AN17" i="4"/>
  <c r="B21" i="6"/>
  <c r="E15" i="5"/>
  <c r="C33" i="8" s="1"/>
  <c r="E33" i="8" s="1"/>
  <c r="G15" i="5"/>
  <c r="H15" i="5" s="1"/>
  <c r="C19" i="8"/>
  <c r="E19" i="8" s="1"/>
  <c r="AN19" i="4"/>
  <c r="AL16" i="4"/>
  <c r="F12" i="5" s="1"/>
  <c r="C20" i="8"/>
  <c r="E20" i="8" s="1"/>
  <c r="G9" i="5"/>
  <c r="H9" i="5" s="1"/>
  <c r="AN13" i="4"/>
  <c r="C24" i="8" l="1"/>
  <c r="E24" i="8" s="1"/>
  <c r="A8" i="6"/>
  <c r="C32" i="5"/>
  <c r="C24" i="5"/>
  <c r="C22" i="5"/>
  <c r="C21" i="5"/>
  <c r="C23" i="5"/>
  <c r="C31" i="8" l="1"/>
  <c r="E31" i="8" s="1"/>
  <c r="D8" i="6"/>
  <c r="C32" i="8"/>
  <c r="E32" i="8" s="1"/>
  <c r="C39" i="8" s="1"/>
  <c r="E39" i="8" s="1"/>
  <c r="G8" i="6"/>
  <c r="C33" i="5"/>
  <c r="J8" i="6"/>
  <c r="C21" i="8"/>
  <c r="E21" i="8" s="1"/>
  <c r="D39" i="8" s="1"/>
  <c r="C34" i="5"/>
</calcChain>
</file>

<file path=xl/sharedStrings.xml><?xml version="1.0" encoding="utf-8"?>
<sst xmlns="http://schemas.openxmlformats.org/spreadsheetml/2006/main" count="434" uniqueCount="319">
  <si>
    <t>NUTRIMETRÍA  ·  NMX-24</t>
  </si>
  <si>
    <t>Seguimiento mensual de hábitos · versión 1.0 · Fase 6 · planificación</t>
  </si>
  <si>
    <t>Navegación — use las pestañas inferiores del libro</t>
  </si>
  <si>
    <t>Persona y mes</t>
  </si>
  <si>
    <t>Qué se va a seguir</t>
  </si>
  <si>
    <t>Calendario del mes</t>
  </si>
  <si>
    <t>Adherencia y patrones</t>
  </si>
  <si>
    <t>Tablero visual</t>
  </si>
  <si>
    <t>Evidencia y trazabilidad</t>
  </si>
  <si>
    <t>Control de calidad</t>
  </si>
  <si>
    <t>Constantes</t>
  </si>
  <si>
    <t>Historial</t>
  </si>
  <si>
    <t>Código del producto</t>
  </si>
  <si>
    <t>NMX-24</t>
  </si>
  <si>
    <t>Versión</t>
  </si>
  <si>
    <t>1.0</t>
  </si>
  <si>
    <t>Fecha</t>
  </si>
  <si>
    <t>2026-07-23</t>
  </si>
  <si>
    <t>Base de evidencia</t>
  </si>
  <si>
    <t>Lally y cols., European Journal of Social Psychology, 2010</t>
  </si>
  <si>
    <t>Formato</t>
  </si>
  <si>
    <t>.xlsx sin macros · Microsoft 365 (Windows) y Excel 2021 · sin funciones matriciales</t>
  </si>
  <si>
    <t>Responsable</t>
  </si>
  <si>
    <t>Equipo Nutrimetría (completar por el titular)</t>
  </si>
  <si>
    <t>CÓMO ESTÁ PENSADO ESTE SEGUIMIENTO</t>
  </si>
  <si>
    <t>Fallar un día NO rompe el proceso. La investigación muestra que omitir una oportunidad aislada no altera la trayectoria hacia la automaticidad. Por eso este libro registra la racha pero NO la usa como criterio.</t>
  </si>
  <si>
    <t>La señal que sí importa son DOS DÍAS SEGUIDOS sin cumplir: ahí se empieza a consolidar la no ejecución.</t>
  </si>
  <si>
    <t>Una celda vacía significa que no hubo oportunidad y no cuenta en contra. Un día de viaje o de enfermedad no es un incumplimiento.</t>
  </si>
  <si>
    <t>Un mes no forma un hábito: la mediana observada es de 66 días, con un rango de 18 a 254. Este registro acompaña el proceso, no lo certifica.</t>
  </si>
  <si>
    <t>AVISO DE ALCANCE — LÉALO ANTES DE USAR</t>
  </si>
  <si>
    <t>EXACTITUD MATEMÁTICA ≠ VALIDACIÓN CLÍNICA. Este archivo no está validado clínicamente y no constituye diagnóstico ni tratamiento.</t>
  </si>
  <si>
    <t>PRECAUCIÓN: el registro diario de conductas alimentarias puede intensificar la preocupación por la comida y el pensamiento de todo o nada en personas con trastorno de la conducta alimentaria o alto riesgo. Evalúe antes de indicarlo.</t>
  </si>
  <si>
    <t>NUNCA incluya el peso corporal como hábito de registro diario.</t>
  </si>
  <si>
    <t>Los umbrales de 80% y 60% son convenciones de lectura editables, sin significado clínico por sí mismas.</t>
  </si>
  <si>
    <t>Este libro mide CONDUCTAS, no automaticidad: no puede declarar que un hábito se formó.</t>
  </si>
  <si>
    <t>Los resultados describen conductas en un contexto y no califican a la persona. Una adherencia baja informa que el hábito no calzaba con la vida real de ese mes.</t>
  </si>
  <si>
    <t>FLUJO DE USO</t>
  </si>
  <si>
    <t>En DATOS registre a la persona, el mes y los acuerdos, incluido qué hacer ante un día fallido.</t>
  </si>
  <si>
    <t>En HÁBITOS defina dos o tres conductas observables, cada una anclada a una señal concreta del día.</t>
  </si>
  <si>
    <t>Entregue el REGISTRO: se marca 1 si cumplió, 0 si no, y se deja vacío si no hubo oportunidad.</t>
  </si>
  <si>
    <t>El registro se hace cada noche, en menos de un minuto: si toma más, el propio registro se abandona.</t>
  </si>
  <si>
    <t>En ANÁLISIS revise la adherencia de cada hábito y la recomendación de conducta que entrega el libro.</t>
  </si>
  <si>
    <t>En PANEL vea el mes de un vistazo antes de la conversación de control.</t>
  </si>
  <si>
    <t>Cierre con los acuerdos del mes siguiente: qué sigue, qué se retira y qué obstáculo concreto se resuelve.</t>
  </si>
  <si>
    <t>Persona, mes de seguimiento y acuerdos</t>
  </si>
  <si>
    <t>IDENTIFICACIÓN</t>
  </si>
  <si>
    <t>Nombre o identificador</t>
  </si>
  <si>
    <t>Caso de ejemplo</t>
  </si>
  <si>
    <t>Edad (años)</t>
  </si>
  <si>
    <t>Mes de seguimiento</t>
  </si>
  <si>
    <t>Julio 2026</t>
  </si>
  <si>
    <t>Días que tiene el mes</t>
  </si>
  <si>
    <t>Ajuste a 28, 29, 30 o 31</t>
  </si>
  <si>
    <t>Fecha de inicio</t>
  </si>
  <si>
    <t>2026-07-01</t>
  </si>
  <si>
    <t>Profesional que acompaña</t>
  </si>
  <si>
    <t>—</t>
  </si>
  <si>
    <t>Fecha de la revisión</t>
  </si>
  <si>
    <t>2026-08-01</t>
  </si>
  <si>
    <t>ACUERDOS DE ESTE MES</t>
  </si>
  <si>
    <t>Objetivo del mes</t>
  </si>
  <si>
    <t>Sostener una rutina de comidas más ordenada.</t>
  </si>
  <si>
    <t>¿Los hábitos los eligió la persona?</t>
  </si>
  <si>
    <t>Sí</t>
  </si>
  <si>
    <t>Un hábito impuesto rara vez se sostiene</t>
  </si>
  <si>
    <t>¿Se acordó qué hacer ante un día fallido?</t>
  </si>
  <si>
    <t>Clave: retomar al día siguiente, sin compensar</t>
  </si>
  <si>
    <t>Qué se hará si falla un día</t>
  </si>
  <si>
    <t>Retomar al día siguiente. No se compensa ni se castiga.</t>
  </si>
  <si>
    <t>Cómo y cuándo se registrará</t>
  </si>
  <si>
    <t>Cada noche, antes de dormir, en menos de un minuto.</t>
  </si>
  <si>
    <t>Con quién se revisará</t>
  </si>
  <si>
    <t>En el control del 1 de agosto.</t>
  </si>
  <si>
    <t>EXPECTATIVA REALISTA</t>
  </si>
  <si>
    <t>Días de este mes</t>
  </si>
  <si>
    <t>Días de referencia para consolidar un hábito</t>
  </si>
  <si>
    <t>Mediana observada en investigación sobre formación de hábitos</t>
  </si>
  <si>
    <t>Rango observado</t>
  </si>
  <si>
    <t>La variación entre personas y conductas es muy amplia</t>
  </si>
  <si>
    <t>Lectura</t>
  </si>
  <si>
    <t>Un mes de registro no forma un hábito y este libro no debe presentarse como si lo hiciera. Su utilidad real es otra: mostrar cuáles conductas se sostienen solas, cuáles necesitan apoyo y qué circunstancias las interrumpen. Esa información sirve para ajustar el plan, no para calificar a la persona.</t>
  </si>
  <si>
    <t>Definición de los hábitos a seguir</t>
  </si>
  <si>
    <t>Un hábito bien definido es OBSERVABLE y de respuesta binaria: al final del día se puede responder sí o no sin discutir. 'Comer mejor' no sirve; 'incluir verduras en almuerzo y cena' sí. Ancle cada uno a una señal concreta del día: es lo que hace que la conducta se dispare sola.</t>
  </si>
  <si>
    <t>HÁBITOS DEL MES</t>
  </si>
  <si>
    <t>Nº</t>
  </si>
  <si>
    <t>Hábito (redacción observable)</t>
  </si>
  <si>
    <t>Ámbito</t>
  </si>
  <si>
    <t>Señal que lo dispara</t>
  </si>
  <si>
    <t>Momento del día</t>
  </si>
  <si>
    <t>Dificultad</t>
  </si>
  <si>
    <t>¿Lo eligió la persona?</t>
  </si>
  <si>
    <t>Por qué importa para su plan</t>
  </si>
  <si>
    <t>Desayunar dentro de la primera hora</t>
  </si>
  <si>
    <t>Alimentación</t>
  </si>
  <si>
    <t>Apagar el despertador</t>
  </si>
  <si>
    <t>Al despertar</t>
  </si>
  <si>
    <t>Media</t>
  </si>
  <si>
    <t>Ordena el resto del día y evita llegar con hambre extrema al almuerzo.</t>
  </si>
  <si>
    <t>Incluir verduras en almuerzo y cena</t>
  </si>
  <si>
    <t>Servirse el plato</t>
  </si>
  <si>
    <t>Mediodía</t>
  </si>
  <si>
    <t>Fácil</t>
  </si>
  <si>
    <t>Aporte de fibra y micronutrientes; también sacia.</t>
  </si>
  <si>
    <t>Beber al menos 6 vasos de agua</t>
  </si>
  <si>
    <t>Cada vez que se sienta a trabajar</t>
  </si>
  <si>
    <t>Sin hora fija</t>
  </si>
  <si>
    <t>No</t>
  </si>
  <si>
    <t>Hidratación y menos confusión entre sed y hambre.</t>
  </si>
  <si>
    <t>Comer una comida sin pantallas</t>
  </si>
  <si>
    <t>Conciencia</t>
  </si>
  <si>
    <t>Sentarse a la mesa</t>
  </si>
  <si>
    <t>Exigente</t>
  </si>
  <si>
    <t>Permite percibir señales de saciedad.</t>
  </si>
  <si>
    <t>Llevar colación planificada</t>
  </si>
  <si>
    <t>Organización</t>
  </si>
  <si>
    <t>Preparar el bolso</t>
  </si>
  <si>
    <t>Antes del desayuno</t>
  </si>
  <si>
    <t>Evita el picoteo no planificado de la tarde.</t>
  </si>
  <si>
    <t>Caminar 30 minutos</t>
  </si>
  <si>
    <t>Movimiento</t>
  </si>
  <si>
    <t>Terminar la jornada</t>
  </si>
  <si>
    <t>Tarde</t>
  </si>
  <si>
    <t>Actividad sostenible y realista para su rutina.</t>
  </si>
  <si>
    <t>Acostarse antes de las 23:30</t>
  </si>
  <si>
    <t>Descanso</t>
  </si>
  <si>
    <t>Terminar de ordenar la cocina</t>
  </si>
  <si>
    <t>Antes de dormir</t>
  </si>
  <si>
    <t>El sueño insuficiente altera el apetito al día siguiente.</t>
  </si>
  <si>
    <t>Dejar lista la comida del día siguiente</t>
  </si>
  <si>
    <t>Después de cenar</t>
  </si>
  <si>
    <t>Reduce decisiones en el momento de mayor cansancio.</t>
  </si>
  <si>
    <t>Anotar cómo me sentí al comer</t>
  </si>
  <si>
    <t>Terminar de comer</t>
  </si>
  <si>
    <t>Identifica el contexto emocional de las ingestas.</t>
  </si>
  <si>
    <t>Comer sentado a la mesa</t>
  </si>
  <si>
    <t>Estructura las comidas y evita comer de pie o caminando.</t>
  </si>
  <si>
    <t>CONTROL DEL DISEÑO</t>
  </si>
  <si>
    <t>Hábitos definidos</t>
  </si>
  <si>
    <t>Hábitos elegidos por la persona</t>
  </si>
  <si>
    <t>Hábitos calificados como exigentes</t>
  </si>
  <si>
    <t>Lectura del diseño</t>
  </si>
  <si>
    <t>Este ejemplo trae diez hábitos para mostrar el funcionamiento completo del registro, y por eso el propio libro lo marca como demasiados. En la práctica, dos o tres conductas bien elegidas rinden más que diez mal sostenidas: borre las que no correspondan antes de entregarlo.</t>
  </si>
  <si>
    <t>Calendario del mes · marque 1 si cumplió, 0 si no, y deje vacío si no hubo oportunidad</t>
  </si>
  <si>
    <t>Registre cada noche, en menos de un minuto. Una celda VACÍA significa que ese día no hubo oportunidad (viaje, enfermedad, el día no aplicaba) y NO cuenta en contra. Un cero significa que hubo ocasión y no se cumplió: también es información útil, no una falta.</t>
  </si>
  <si>
    <t>REGISTRO DIARIO</t>
  </si>
  <si>
    <t>Hábito</t>
  </si>
  <si>
    <t>Cumplidos</t>
  </si>
  <si>
    <t>Oportunidades</t>
  </si>
  <si>
    <t>Adherencia</t>
  </si>
  <si>
    <t>Racha actual</t>
  </si>
  <si>
    <t>Racha máxima</t>
  </si>
  <si>
    <t>Máx. días seguidos sin cumplir</t>
  </si>
  <si>
    <t>Señal</t>
  </si>
  <si>
    <t>CUMPLIDOS DEL DÍA</t>
  </si>
  <si>
    <t>OPORTUNIDADES DEL DÍA</t>
  </si>
  <si>
    <t>BLOQUE AUXILIAR · racha de cumplimiento acumulada por día (no escribir)</t>
  </si>
  <si>
    <t>Cada celda cuenta cuántos días seguidos lleva cumpliendo hasta ese día. Un día sin oportunidad MANTIENE la racha, no la corta.</t>
  </si>
  <si>
    <t>BLOQUE AUXILIAR · días seguidos SIN cumplir (no escribir)</t>
  </si>
  <si>
    <t>Cuenta cuántos días seguidos lleva sin cumplir. Es la señal que la evidencia identifica como relevante.</t>
  </si>
  <si>
    <t>Adherencia, patrones y lectura del mes</t>
  </si>
  <si>
    <t>RESULTADO POR HÁBITO</t>
  </si>
  <si>
    <t>Nivel</t>
  </si>
  <si>
    <t>Qué hacer con este hábito</t>
  </si>
  <si>
    <t>GLOBAL DEL MES</t>
  </si>
  <si>
    <t>PATRONES DEL MES</t>
  </si>
  <si>
    <t>Hábitos sostenidos</t>
  </si>
  <si>
    <t>Hábitos intermitentes</t>
  </si>
  <si>
    <t>Hábitos con dificultad</t>
  </si>
  <si>
    <t>Hábitos con dos o más días seguidos sin cumplir</t>
  </si>
  <si>
    <t>Hábito de mayor adherencia</t>
  </si>
  <si>
    <t>Hábito de menor adherencia</t>
  </si>
  <si>
    <t>Mejor día del mes (hábitos cumplidos)</t>
  </si>
  <si>
    <t>Día más bajo del mes</t>
  </si>
  <si>
    <t>Promedio de hábitos cumplidos por día</t>
  </si>
  <si>
    <t>LECTURA DEL MES</t>
  </si>
  <si>
    <t>Adherencia global</t>
  </si>
  <si>
    <t>Dónde poner el foco</t>
  </si>
  <si>
    <t>Interrupciones seguidas</t>
  </si>
  <si>
    <t>ACUERDOS PARA EL MES SIGUIENTE</t>
  </si>
  <si>
    <t>Qué hábitos continúan</t>
  </si>
  <si>
    <t>Qué hábitos se retiran o se hacen más pequeños</t>
  </si>
  <si>
    <t>Qué hábito nuevo se incorpora, si corresponde</t>
  </si>
  <si>
    <t>Qué obstáculo concreto se va a resolver</t>
  </si>
  <si>
    <t>Fecha de la próxima revisión</t>
  </si>
  <si>
    <t>Este análisis describe CONDUCTAS, no a la persona. Una adherencia baja informa que el hábito elegido no calzaba con la vida real de ese mes, no que la persona haya fallado. La conducta profesional ante un mes bajo es simplificar el objetivo, no exigir más constancia.</t>
  </si>
  <si>
    <t>Tablero del mes · lectura de un vistazo</t>
  </si>
  <si>
    <t>INDICADORES DEL MES</t>
  </si>
  <si>
    <t>ADHERENCIA GLOBAL</t>
  </si>
  <si>
    <t>HÁBITOS SOSTENIDOS</t>
  </si>
  <si>
    <t>HÁBITOS CON DIFICULTAD</t>
  </si>
  <si>
    <t>CON DOS DÍAS SEGUIDOS</t>
  </si>
  <si>
    <t>PROMEDIO POR DÍA</t>
  </si>
  <si>
    <t>del total de oportunidades</t>
  </si>
  <si>
    <t>con 80% o más</t>
  </si>
  <si>
    <t>bajo el 60%</t>
  </si>
  <si>
    <t>hábitos con la señal</t>
  </si>
  <si>
    <t>hábitos cumplidos al día</t>
  </si>
  <si>
    <t>ADHERENCIA POR HÁBITO</t>
  </si>
  <si>
    <t>CUMPLIMIENTO DÍA A DÍA</t>
  </si>
  <si>
    <t>Día</t>
  </si>
  <si>
    <t>Hábitos cumplidos</t>
  </si>
  <si>
    <t>Ninguna cifra de este tablero califica a la persona: describen conductas en un contexto. Un mes con adherencia baja es información para ajustar el plan, no un motivo de reproche. Evite mostrar este tablero como un puntaje.</t>
  </si>
  <si>
    <t>Evidencia sobre formación de hábitos y trazabilidad</t>
  </si>
  <si>
    <t>BASE DE EVIDENCIA</t>
  </si>
  <si>
    <t>Elemento</t>
  </si>
  <si>
    <t>Referencia y alcance</t>
  </si>
  <si>
    <t>Cuánto demora consolidarse un hábito</t>
  </si>
  <si>
    <t>Lally P, van Jaarsveld CHM, Potts HWW, Wardle J. «How are habits formed: modelling habit formation in the real world». European Journal of Social Psychology, 2010; 40(6): 998-1009. Siguieron a 96 personas durante 12 semanas: la MEDIANA para alcanzar automaticidad fue de 66 días, con un rango observado de 18 a 254 días. Un mes de registro no basta para dar por formado un hábito.</t>
  </si>
  <si>
    <t>El mito de los 21 días</t>
  </si>
  <si>
    <t>La cifra de 21 días no proviene de investigación sobre hábitos: se originó en una observación de Maxwell Maltz (1960) sobre pacientes de cirugía plástica adaptándose a su nueva imagen. No debe usarse como meta ni como promesa a la persona.</t>
  </si>
  <si>
    <t>Fallar un día NO rompe el proceso</t>
  </si>
  <si>
    <t>En los datos de Lally, omitir una sola oportunidad no afectó de forma significativa la trayectoria hacia la automaticidad. Este es el fundamento del diseño de este libro: se registra la racha, pero NO se la usa como criterio, porque la lógica de racha castiga un fallo aislado que la evidencia muestra inocuo.</t>
  </si>
  <si>
    <t>Qué sí es señal</t>
  </si>
  <si>
    <t>Lo relevante es la interrupción SOSTENIDA. La regla práctica derivada de esa literatura es no fallar dos días seguidos, porque la repetición de la no ejecución también se consolida. Por eso el indicador central de este libro es el máximo de días seguidos sin cumplir y no la racha.</t>
  </si>
  <si>
    <t>Automaticidad frente a racha</t>
  </si>
  <si>
    <t>Un hábito está formado cuando la conducta ocurre sin decisión consciente, no cuando se acumulan N días seguidos. Dos personas con la misma racha pueden tener grados de automaticidad muy distintos. La racha es una medida de conteo, no de consolidación.</t>
  </si>
  <si>
    <t>Límite del enfoque de hábitos</t>
  </si>
  <si>
    <t>La misma literatura advierte que las conductas simples y acotadas en contextos estables (beber agua, tomar una fruta) son buenas candidatas a volverse automáticas, mientras que conductas complejas como «alimentarse bien» o «entrenar de forma constante» siguen requiriendo decisión consciente. Redacte hábitos simples y observables.</t>
  </si>
  <si>
    <t>Número de hábitos simultáneos</t>
  </si>
  <si>
    <t>El límite precargado de cinco hábitos a la vez es una convención de trabajo editable, orientada a no dispersar el esfuerzo. No proviene de un punto de corte experimental.</t>
  </si>
  <si>
    <t>Umbrales de adherencia</t>
  </si>
  <si>
    <t>Los cortes de 80% y 60% son convenciones de lectura EDITABLES en CONFIG, útiles para conversar sobre el mes. No son puntos de corte validados ni tienen significado clínico por sí mismos.</t>
  </si>
  <si>
    <t>Precaución clínica</t>
  </si>
  <si>
    <t>El registro diario de conductas alimentarias puede intensificar la preocupación por la comida y el pensamiento de todo o nada en personas con trastorno de la conducta alimentaria o alto riesgo. Evalúe antes de indicarlo y considere una versión sin cuantificación. Nunca incluya el peso corporal como hábito de registro diario.</t>
  </si>
  <si>
    <t>Qué NO hace este libro</t>
  </si>
  <si>
    <t>No mide automaticidad, que requiere un instrumento propio; no diagnostica; no evalúa la ingesta; no reemplaza el acompañamiento profesional; no está validado clínicamente.</t>
  </si>
  <si>
    <t>Control de calidad del motor de cálculo</t>
  </si>
  <si>
    <t>Los valores esperados se calcularon de forma independiente del motor del libro (verificación externa).</t>
  </si>
  <si>
    <t>Bloque</t>
  </si>
  <si>
    <t>Descripción de la prueba</t>
  </si>
  <si>
    <t>Obtenido</t>
  </si>
  <si>
    <t>Esperado</t>
  </si>
  <si>
    <t>Estado</t>
  </si>
  <si>
    <t>A</t>
  </si>
  <si>
    <t>Hábito 1 · días cumplidos</t>
  </si>
  <si>
    <t>Hábito 1 · oportunidades registradas</t>
  </si>
  <si>
    <t>Hábito 1 · adherencia</t>
  </si>
  <si>
    <t>Hábito 2 · días cumplidos</t>
  </si>
  <si>
    <t>Hábito 8 · días cumplidos (el más bajo)</t>
  </si>
  <si>
    <t>Hábito 8 · adherencia</t>
  </si>
  <si>
    <t>B</t>
  </si>
  <si>
    <t>Hábito 1 · racha máxima</t>
  </si>
  <si>
    <t>Hábito 9 · racha máxima (la más larga)</t>
  </si>
  <si>
    <t>Hábito 4 · racha máxima (la más corta)</t>
  </si>
  <si>
    <t>C</t>
  </si>
  <si>
    <t>Hábito 1 · máximo de días seguidos sin cumplir</t>
  </si>
  <si>
    <t>Hábito 8 · máximo de días seguidos sin cumplir</t>
  </si>
  <si>
    <t>Hábito 2 · máximo de días seguidos sin cumplir</t>
  </si>
  <si>
    <t>D</t>
  </si>
  <si>
    <t>Cumplimientos totales del mes</t>
  </si>
  <si>
    <t>Oportunidades totales del mes</t>
  </si>
  <si>
    <t>E</t>
  </si>
  <si>
    <t>Cumplidos del día 1</t>
  </si>
  <si>
    <t>Cumplidos del día 15</t>
  </si>
  <si>
    <t>Cumplidos del día 31</t>
  </si>
  <si>
    <t>Mejor día del mes</t>
  </si>
  <si>
    <t>F</t>
  </si>
  <si>
    <t>Hábitos sostenidos (80% o más)</t>
  </si>
  <si>
    <t>Hábitos con dificultad (bajo 60%)</t>
  </si>
  <si>
    <t>Nivel asignado al hábito 8</t>
  </si>
  <si>
    <t>Con dificultad</t>
  </si>
  <si>
    <t>Nivel asignado al hábito 2</t>
  </si>
  <si>
    <t>Sostenido</t>
  </si>
  <si>
    <t>G</t>
  </si>
  <si>
    <t>El libro advierte que hay demasiados hábitos</t>
  </si>
  <si>
    <t>ADVIERTE</t>
  </si>
  <si>
    <t>Un mes no alcanza para consolidar un hábito</t>
  </si>
  <si>
    <t>H</t>
  </si>
  <si>
    <t>Una celda vacía NO se cuenta como incumplimiento</t>
  </si>
  <si>
    <t>COHERENTE</t>
  </si>
  <si>
    <t>RESUMEN</t>
  </si>
  <si>
    <t>Pruebas aprobadas</t>
  </si>
  <si>
    <t>Configuración · umbrales y listas del seguimiento</t>
  </si>
  <si>
    <t>UMBRALES DE LECTURA</t>
  </si>
  <si>
    <t>Adherencia alta · desde</t>
  </si>
  <si>
    <t>%</t>
  </si>
  <si>
    <t>Adherencia intermedia · desde</t>
  </si>
  <si>
    <t>Días seguidos sin cumplir que activan la señal</t>
  </si>
  <si>
    <t>días</t>
  </si>
  <si>
    <t>Días de referencia para consolidar un hábito (mediana)</t>
  </si>
  <si>
    <t>Rango inferior observado para consolidar</t>
  </si>
  <si>
    <t>Rango superior observado para consolidar</t>
  </si>
  <si>
    <t>Número máximo de hábitos a seguir a la vez</t>
  </si>
  <si>
    <t>hábitos</t>
  </si>
  <si>
    <t>Tolerancia de las pruebas</t>
  </si>
  <si>
    <t>±</t>
  </si>
  <si>
    <t>La señal que importa NO es la racha rota sino DOS DÍAS SEGUIDOS sin cumplir. La evidencia muestra que fallar un día aislado no altera la trayectoria de consolidación; lo que la altera es abandonar después del fallo. Por eso este libro mide días seguidos sin cumplir y no castiga el corte de una racha.</t>
  </si>
  <si>
    <t>LISTAS DESPLEGABLES</t>
  </si>
  <si>
    <t>MARCA</t>
  </si>
  <si>
    <t>AMBITO</t>
  </si>
  <si>
    <t>MOMENTO</t>
  </si>
  <si>
    <t>DIFICULTAD</t>
  </si>
  <si>
    <t>SI</t>
  </si>
  <si>
    <t>1</t>
  </si>
  <si>
    <t>0</t>
  </si>
  <si>
    <t>SIGNIFICADO DE CADA MARCA DEL CALENDARIO</t>
  </si>
  <si>
    <t>Cumplió el hábito ese día</t>
  </si>
  <si>
    <t>No lo cumplió, habiendo tenido la oportunidad</t>
  </si>
  <si>
    <t>(celda vacía)</t>
  </si>
  <si>
    <t>No hubo oportunidad: viaje, enfermedad, el día no aplicaba. NO cuenta en contra.</t>
  </si>
  <si>
    <t>Distinguir la celda vacía del cero es deliberado: un día sin oportunidad no es un incumplimiento. La adherencia se calcula sobre los días en que efectivamente hubo ocasión de cumplir, no sobre los 31 días del mes.</t>
  </si>
  <si>
    <t>Historial de versiones</t>
  </si>
  <si>
    <t>Cambio</t>
  </si>
  <si>
    <t>Versión inicial de NMX-24: seguimiento mensual de hábitos con calendario de 31 días, análisis de adherencia por conducta y tablero visual.</t>
  </si>
  <si>
    <t>Fase 6 · Planificación.</t>
  </si>
  <si>
    <t>El indicador central NO es la racha sino el máximo de días seguidos sin cumplir.</t>
  </si>
  <si>
    <t>La evidencia muestra que fallar un día aislado no altera la trayectoria de consolidación; lo que la altera es encadenar ausencias.</t>
  </si>
  <si>
    <t>La celda vacía se distingue del cero: vacía significa que no hubo oportunidad y no cuenta en contra. La adherencia se calcula sobre oportunidades reales.</t>
  </si>
  <si>
    <t>Mismo principio que el tratamiento de datos ausentes en el resto de la colección: un dato que falta no es un dato en cero.</t>
  </si>
  <si>
    <t>Advertencia automática cuando se siguen más hábitos de los recomendados y cuando el periodo es menor que la mediana de consolidación.</t>
  </si>
  <si>
    <t>Evitar que el libro prometa lo que un mes no puede entregar.</t>
  </si>
  <si>
    <t>Cada hábito recibe una recomendación de conducta profesional según su adherencia e interrupciones.</t>
  </si>
  <si>
    <t>Convertir el registro en decisión clínica y no en un puntaje.</t>
  </si>
  <si>
    <t>Referencias verificadas mediante búsqueda en línea: Lally y cols. 2010, y la aclaración sobre el origen del mito de los 21 días.</t>
  </si>
  <si>
    <t>Asegurar que las cifras citadas sean las correctas.</t>
  </si>
  <si>
    <t>Diseño visual, barra de navegación y enlaces de retorno replicados de NMX-10 aprobado.</t>
  </si>
  <si>
    <t>Unificar la identidad de la colección.</t>
  </si>
  <si>
    <t>1.0.1</t>
  </si>
  <si>
    <t>Actualizados 5 valores esperados obsoletos de PRUEBAS (racha del habito 4, cumplimientos totales, adherencia global, promedio diario y mejor dia), verificados de forma independiente contra la matriz REGISTRO. 29 pruebas aprobadas.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</si>
</sst>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9">
    <font>
      <sz val="11"/>
      <color theme="1"/>
      <name val="Calibri"/>
      <family val="2"/>
      <charset val="1"/>
    </font>
    <font>
      <b/>
      <sz val="20"/>
      <color rgb="FFFFFFFF"/>
      <name val="Arial"/>
      <family val="2"/>
      <charset val="1"/>
    </font>
    <font>
      <b/>
      <sz val="14"/>
      <color rgb="FFFFFFFF"/>
      <name val="Arial"/>
      <family val="2"/>
      <charset val="1"/>
    </font>
    <font>
      <b/>
      <sz val="10"/>
      <color rgb="FFFFFFFF"/>
      <name val="Aptos"/>
      <charset val="1"/>
    </font>
    <font>
      <sz val="11"/>
      <color rgb="FF155E6C"/>
      <name val="Aptos"/>
      <charset val="1"/>
    </font>
    <font>
      <b/>
      <sz val="11"/>
      <color rgb="FF1A1A1A"/>
      <name val="Arial"/>
      <family val="2"/>
      <charset val="1"/>
    </font>
    <font>
      <b/>
      <sz val="10"/>
      <color rgb="FF1A1A1A"/>
      <name val="Arial"/>
      <family val="2"/>
      <charset val="1"/>
    </font>
    <font>
      <b/>
      <sz val="11"/>
      <color rgb="FFFFFFFF"/>
      <name val="Arial"/>
      <family val="2"/>
      <charset val="1"/>
    </font>
    <font>
      <b/>
      <sz val="10"/>
      <color rgb="FF155E6C"/>
      <name val="Arial"/>
      <family val="2"/>
      <charset val="1"/>
    </font>
    <font>
      <b/>
      <sz val="12"/>
      <color rgb="FF1A1A1A"/>
      <name val="Arial"/>
      <family val="2"/>
      <charset val="1"/>
    </font>
    <font>
      <b/>
      <sz val="10"/>
      <color rgb="FF0000CC"/>
      <name val="Arial"/>
      <family val="2"/>
      <charset val="1"/>
    </font>
    <font>
      <b/>
      <u/>
      <sz val="10"/>
      <color rgb="FF5A6B70"/>
      <name val="Arial"/>
      <family val="2"/>
      <charset val="1"/>
    </font>
    <font>
      <sz val="9"/>
      <color rgb="FF5A6B70"/>
      <name val="Arial"/>
      <family val="2"/>
      <charset val="1"/>
    </font>
    <font>
      <b/>
      <sz val="10"/>
      <color rgb="FFB45309"/>
      <name val="Arial"/>
      <family val="2"/>
      <charset val="1"/>
    </font>
    <font>
      <b/>
      <sz val="10"/>
      <color rgb="FFFFFFFF"/>
      <name val="Arial"/>
      <family val="2"/>
      <charset val="1"/>
    </font>
    <font>
      <sz val="10"/>
      <color rgb="FF5A6B70"/>
      <name val="Arial"/>
      <family val="2"/>
      <charset val="1"/>
    </font>
    <font>
      <b/>
      <sz val="9"/>
      <color rgb="FFFFFFFF"/>
      <name val="Arial"/>
      <family val="2"/>
      <charset val="1"/>
    </font>
    <font>
      <sz val="10"/>
      <color rgb="FF1A1A1A"/>
      <name val="Arial"/>
      <family val="2"/>
      <charset val="1"/>
    </font>
    <font>
      <b/>
      <sz val="9"/>
      <color rgb="FFB45309"/>
      <name val="Arial"/>
      <family val="2"/>
      <charset val="1"/>
    </font>
    <font>
      <b/>
      <sz val="10"/>
      <color rgb="FF5A6B70"/>
      <name val="Arial"/>
      <family val="2"/>
      <charset val="1"/>
    </font>
    <font>
      <b/>
      <sz val="11"/>
      <color theme="1"/>
      <name val="Calibri"/>
      <family val="2"/>
      <charset val="1"/>
    </font>
    <font>
      <b/>
      <sz val="10"/>
      <color rgb="FF1C6B72"/>
      <name val="Arial"/>
      <family val="2"/>
      <charset val="1"/>
    </font>
    <font>
      <b/>
      <sz val="24"/>
      <color rgb="FF1C6B72"/>
      <name val="Arial"/>
      <family val="2"/>
      <charset val="1"/>
    </font>
    <font>
      <b/>
      <sz val="24"/>
      <color rgb="FF17324D"/>
      <name val="Arial"/>
      <family val="2"/>
      <charset val="1"/>
    </font>
    <font>
      <b/>
      <sz val="24"/>
      <color rgb="FFB45309"/>
      <name val="Arial"/>
      <family val="2"/>
      <charset val="1"/>
    </font>
    <font>
      <b/>
      <sz val="24"/>
      <color rgb="FF155E6C"/>
      <name val="Arial"/>
      <family val="2"/>
      <charset val="1"/>
    </font>
    <font>
      <sz val="9"/>
      <color rgb="FF1A1A1A"/>
      <name val="Arial"/>
      <family val="2"/>
      <charset val="1"/>
    </font>
    <font>
      <b/>
      <sz val="9"/>
      <color rgb="FF1A1A1A"/>
      <name val="Arial"/>
      <family val="2"/>
      <charset val="1"/>
    </font>
    <font>
      <b/>
      <sz val="11"/>
      <color rgb="FF1C6B72"/>
      <name val="Arial"/>
      <family val="2"/>
      <charset val="1"/>
    </font>
  </fonts>
  <fills count="14">
    <fill>
      <patternFill patternType="none"/>
    </fill>
    <fill>
      <patternFill patternType="gray125"/>
    </fill>
    <fill>
      <patternFill patternType="solid">
        <fgColor rgb="FF0F3B44"/>
        <bgColor rgb="FF17324D"/>
      </patternFill>
    </fill>
    <fill>
      <patternFill patternType="solid">
        <fgColor rgb="FF1C6B72"/>
        <bgColor rgb="FF155E6C"/>
      </patternFill>
    </fill>
    <fill>
      <patternFill patternType="solid">
        <fgColor rgb="FF17324D"/>
        <bgColor rgb="FF0F3B44"/>
      </patternFill>
    </fill>
    <fill>
      <patternFill patternType="solid">
        <fgColor rgb="FFDCEFF1"/>
        <bgColor rgb="FFDFF0E3"/>
      </patternFill>
    </fill>
    <fill>
      <patternFill patternType="solid">
        <fgColor rgb="FFE7E0F5"/>
        <bgColor rgb="FFD8E7E2"/>
      </patternFill>
    </fill>
    <fill>
      <patternFill patternType="solid">
        <fgColor rgb="FFFBE4D5"/>
        <bgColor rgb="FFFCEFCE"/>
      </patternFill>
    </fill>
    <fill>
      <patternFill patternType="solid">
        <fgColor rgb="FFFCEFCE"/>
        <bgColor rgb="FFFBE4D5"/>
      </patternFill>
    </fill>
    <fill>
      <patternFill patternType="solid">
        <fgColor rgb="FFF4F6F7"/>
        <bgColor rgb="FFFFFFFF"/>
      </patternFill>
    </fill>
    <fill>
      <patternFill patternType="solid">
        <fgColor rgb="FFDFF0E3"/>
        <bgColor rgb="FFDCEFF1"/>
      </patternFill>
    </fill>
    <fill>
      <patternFill patternType="solid">
        <fgColor rgb="FFB45309"/>
        <bgColor rgb="FFAB4744"/>
      </patternFill>
    </fill>
    <fill>
      <patternFill patternType="solid">
        <fgColor rgb="FF155E6C"/>
        <bgColor rgb="FF1C6B72"/>
      </patternFill>
    </fill>
    <fill>
      <patternFill patternType="solid">
        <fgColor rgb="FFFFFFFF"/>
        <bgColor rgb="FFF4F6F7"/>
      </patternFill>
    </fill>
  </fills>
  <borders count="12">
    <border>
      <left/>
      <right/>
      <top/>
      <bottom/>
      <diagonal/>
    </border>
    <border>
      <left style="thin">
        <color rgb="FFB7C7CB"/>
      </left>
      <right style="thin">
        <color rgb="FFB7C7CB"/>
      </right>
      <top style="thin">
        <color rgb="FFB7C7CB"/>
      </top>
      <bottom style="thin">
        <color rgb="FFB7C7CB"/>
      </bottom>
      <diagonal/>
    </border>
    <border>
      <left style="thin">
        <color rgb="FFB7C7CB"/>
      </left>
      <right/>
      <top style="thin">
        <color rgb="FFB7C7CB"/>
      </top>
      <bottom style="thin">
        <color rgb="FFB7C7CB"/>
      </bottom>
      <diagonal/>
    </border>
    <border>
      <left style="thin">
        <color auto="1"/>
      </left>
      <right style="thin">
        <color auto="1"/>
      </right>
      <top style="thin">
        <color auto="1"/>
      </top>
      <bottom style="thin">
        <color auto="1"/>
      </bottom>
      <diagonal/>
    </border>
    <border>
      <left style="thin">
        <color rgb="FFB7C7CB"/>
      </left>
      <right/>
      <top style="thin">
        <color rgb="FFB7C7CB"/>
      </top>
      <bottom/>
      <diagonal/>
    </border>
    <border>
      <left style="thin">
        <color rgb="FFB7C7CB"/>
      </left>
      <right/>
      <top/>
      <bottom/>
      <diagonal/>
    </border>
    <border>
      <left/>
      <right/>
      <top style="thin">
        <color rgb="FFB7C7CB"/>
      </top>
      <bottom/>
      <diagonal/>
    </border>
    <border>
      <left/>
      <right style="thin">
        <color rgb="FFB7C7CB"/>
      </right>
      <top style="thin">
        <color rgb="FFB7C7CB"/>
      </top>
      <bottom/>
      <diagonal/>
    </border>
    <border>
      <left/>
      <right style="thin">
        <color rgb="FFB7C7CB"/>
      </right>
      <top/>
      <bottom/>
      <diagonal/>
    </border>
    <border>
      <left style="thin">
        <color rgb="FFB7C7CB"/>
      </left>
      <right/>
      <top/>
      <bottom style="thin">
        <color rgb="FFB7C7CB"/>
      </bottom>
      <diagonal/>
    </border>
    <border>
      <left/>
      <right/>
      <top/>
      <bottom style="thin">
        <color rgb="FFB7C7CB"/>
      </bottom>
      <diagonal/>
    </border>
    <border>
      <left/>
      <right style="thin">
        <color rgb="FFB7C7CB"/>
      </right>
      <top/>
      <bottom style="thin">
        <color rgb="FFB7C7CB"/>
      </bottom>
      <diagonal/>
    </border>
  </borders>
  <cellStyleXfs count="1">
    <xf numFmtId="0" fontId="0" fillId="0" borderId="0"/>
  </cellStyleXfs>
  <cellXfs count="92">
    <xf numFmtId="0" fontId="0" fillId="0" borderId="0" xfId="0"/>
    <xf numFmtId="0" fontId="11" fillId="0" borderId="0" xfId="0" applyFont="1" applyBorder="1" applyAlignment="1">
      <alignment horizontal="left" vertical="center" wrapText="1"/>
    </xf>
    <xf numFmtId="0" fontId="10" fillId="8" borderId="1" xfId="0" applyFont="1" applyFill="1" applyBorder="1" applyAlignment="1">
      <alignment horizontal="left" vertical="center" wrapText="1"/>
    </xf>
    <xf numFmtId="0" fontId="9" fillId="5" borderId="1" xfId="0" applyFont="1" applyFill="1" applyBorder="1" applyAlignment="1">
      <alignment horizontal="center" vertical="center"/>
    </xf>
    <xf numFmtId="0" fontId="6" fillId="7"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3" borderId="1" xfId="0" applyFont="1" applyFill="1" applyBorder="1" applyAlignment="1">
      <alignment horizontal="left" vertical="center"/>
    </xf>
    <xf numFmtId="0" fontId="6" fillId="6" borderId="1" xfId="0" applyFont="1" applyFill="1" applyBorder="1" applyAlignment="1">
      <alignment horizontal="left" vertical="center" wrapText="1"/>
    </xf>
    <xf numFmtId="0" fontId="5" fillId="6" borderId="1" xfId="0" applyFont="1" applyFill="1" applyBorder="1" applyAlignment="1">
      <alignment horizontal="left" vertical="center"/>
    </xf>
    <xf numFmtId="0" fontId="4" fillId="5"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0" xfId="0" applyFont="1" applyFill="1" applyBorder="1" applyAlignment="1">
      <alignment horizontal="left" vertical="center" wrapText="1"/>
    </xf>
    <xf numFmtId="0" fontId="1" fillId="2" borderId="0" xfId="0" applyFont="1" applyFill="1" applyBorder="1" applyAlignment="1">
      <alignment horizontal="left" vertical="center"/>
    </xf>
    <xf numFmtId="0" fontId="0" fillId="0" borderId="0" xfId="0" applyAlignment="1"/>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5" fillId="6" borderId="2" xfId="0" applyFont="1" applyFill="1" applyBorder="1" applyAlignment="1">
      <alignment horizontal="center" vertical="center"/>
    </xf>
    <xf numFmtId="0" fontId="10" fillId="8" borderId="3" xfId="0" applyFont="1" applyFill="1" applyBorder="1" applyAlignment="1">
      <alignment horizontal="left" vertical="center" wrapText="1"/>
    </xf>
    <xf numFmtId="0" fontId="10" fillId="8" borderId="3" xfId="0" applyFont="1" applyFill="1" applyBorder="1" applyAlignment="1">
      <alignment horizontal="center" vertical="center"/>
    </xf>
    <xf numFmtId="0" fontId="16" fillId="3" borderId="1" xfId="0" applyFont="1" applyFill="1" applyBorder="1" applyAlignment="1">
      <alignment horizontal="center" vertical="center" wrapText="1"/>
    </xf>
    <xf numFmtId="0" fontId="12" fillId="6" borderId="1" xfId="0" applyFont="1" applyFill="1" applyBorder="1" applyAlignment="1">
      <alignment horizontal="center" vertical="center"/>
    </xf>
    <xf numFmtId="0" fontId="17" fillId="6" borderId="1" xfId="0" applyFont="1" applyFill="1" applyBorder="1" applyAlignment="1">
      <alignment horizontal="left" vertical="center"/>
    </xf>
    <xf numFmtId="0" fontId="10" fillId="8" borderId="1" xfId="0" applyFont="1" applyFill="1" applyBorder="1" applyAlignment="1">
      <alignment horizontal="center" vertical="center"/>
    </xf>
    <xf numFmtId="0" fontId="17" fillId="9" borderId="1" xfId="0" applyFont="1" applyFill="1" applyBorder="1" applyAlignment="1">
      <alignment horizontal="center" vertical="center"/>
    </xf>
    <xf numFmtId="164" fontId="5" fillId="10" borderId="1" xfId="0" applyNumberFormat="1" applyFont="1" applyFill="1" applyBorder="1" applyAlignment="1">
      <alignment horizontal="center" vertical="center"/>
    </xf>
    <xf numFmtId="0" fontId="18" fillId="7" borderId="1" xfId="0" applyFont="1" applyFill="1" applyBorder="1" applyAlignment="1">
      <alignment horizontal="left" vertical="center"/>
    </xf>
    <xf numFmtId="0" fontId="6" fillId="5" borderId="1" xfId="0" applyFont="1" applyFill="1" applyBorder="1" applyAlignment="1">
      <alignment horizontal="center" vertical="center"/>
    </xf>
    <xf numFmtId="0" fontId="6" fillId="5" borderId="1" xfId="0" applyFont="1" applyFill="1" applyBorder="1" applyAlignment="1">
      <alignment horizontal="left" vertical="center"/>
    </xf>
    <xf numFmtId="0" fontId="12" fillId="9" borderId="1" xfId="0" applyFont="1" applyFill="1" applyBorder="1" applyAlignment="1">
      <alignment horizontal="center" vertical="center"/>
    </xf>
    <xf numFmtId="0" fontId="12" fillId="9" borderId="1" xfId="0" applyFont="1" applyFill="1" applyBorder="1" applyAlignment="1">
      <alignment horizontal="left" vertical="center"/>
    </xf>
    <xf numFmtId="0" fontId="19" fillId="6" borderId="1" xfId="0" applyFont="1" applyFill="1" applyBorder="1" applyAlignment="1">
      <alignment horizontal="center" vertical="center"/>
    </xf>
    <xf numFmtId="0" fontId="20" fillId="0" borderId="0" xfId="0" applyFont="1" applyAlignment="1"/>
    <xf numFmtId="0" fontId="19" fillId="7" borderId="1" xfId="0" applyFont="1" applyFill="1" applyBorder="1" applyAlignment="1">
      <alignment horizontal="center" vertical="center"/>
    </xf>
    <xf numFmtId="0" fontId="17" fillId="6" borderId="1" xfId="0" applyFont="1" applyFill="1" applyBorder="1" applyAlignment="1">
      <alignment horizontal="left" vertical="center" wrapText="1"/>
    </xf>
    <xf numFmtId="0" fontId="21" fillId="5" borderId="1" xfId="0" applyFont="1" applyFill="1" applyBorder="1" applyAlignment="1">
      <alignment horizontal="center" vertical="center"/>
    </xf>
    <xf numFmtId="0" fontId="5" fillId="10" borderId="1" xfId="0" applyFont="1" applyFill="1" applyBorder="1" applyAlignment="1">
      <alignment horizontal="left" vertical="center"/>
    </xf>
    <xf numFmtId="0" fontId="5" fillId="10" borderId="1" xfId="0" applyFont="1" applyFill="1" applyBorder="1" applyAlignment="1">
      <alignment horizontal="center" vertical="center"/>
    </xf>
    <xf numFmtId="164" fontId="9" fillId="10" borderId="1" xfId="0" applyNumberFormat="1" applyFont="1" applyFill="1" applyBorder="1" applyAlignment="1">
      <alignment horizontal="center" vertical="center"/>
    </xf>
    <xf numFmtId="0" fontId="16" fillId="3" borderId="1" xfId="0" applyFont="1" applyFill="1" applyBorder="1" applyAlignment="1">
      <alignment horizontal="center" vertical="center"/>
    </xf>
    <xf numFmtId="0" fontId="17" fillId="9" borderId="1" xfId="0" applyFont="1" applyFill="1" applyBorder="1" applyAlignment="1">
      <alignment horizontal="left" vertical="center"/>
    </xf>
    <xf numFmtId="0" fontId="26" fillId="9" borderId="1" xfId="0" applyFont="1" applyFill="1" applyBorder="1" applyAlignment="1">
      <alignment horizontal="center" vertical="center"/>
    </xf>
    <xf numFmtId="0" fontId="14" fillId="3" borderId="1" xfId="0" applyFont="1" applyFill="1" applyBorder="1" applyAlignment="1">
      <alignment horizontal="center" vertical="center"/>
    </xf>
    <xf numFmtId="0" fontId="27" fillId="9" borderId="1" xfId="0" applyFont="1" applyFill="1" applyBorder="1" applyAlignment="1">
      <alignment horizontal="left" vertical="top" wrapText="1"/>
    </xf>
    <xf numFmtId="0" fontId="26" fillId="9" borderId="1" xfId="0" applyFont="1" applyFill="1" applyBorder="1" applyAlignment="1">
      <alignment horizontal="left" vertical="top" wrapText="1"/>
    </xf>
    <xf numFmtId="0" fontId="12" fillId="0" borderId="0" xfId="0" applyFont="1" applyAlignment="1">
      <alignment horizontal="left" vertical="center"/>
    </xf>
    <xf numFmtId="0" fontId="26" fillId="9" borderId="1" xfId="0" applyFont="1" applyFill="1" applyBorder="1" applyAlignment="1">
      <alignment horizontal="left" vertical="center"/>
    </xf>
    <xf numFmtId="0" fontId="27" fillId="10" borderId="1" xfId="0" applyFont="1" applyFill="1" applyBorder="1" applyAlignment="1">
      <alignment horizontal="center" vertical="center"/>
    </xf>
    <xf numFmtId="164" fontId="26" fillId="9" borderId="1" xfId="0" applyNumberFormat="1" applyFont="1" applyFill="1" applyBorder="1" applyAlignment="1">
      <alignment horizontal="center" vertical="center"/>
    </xf>
    <xf numFmtId="0" fontId="21" fillId="5" borderId="1" xfId="0" applyFont="1" applyFill="1" applyBorder="1" applyAlignment="1">
      <alignment horizontal="left" vertical="center"/>
    </xf>
    <xf numFmtId="9" fontId="10" fillId="8" borderId="1" xfId="0" applyNumberFormat="1" applyFont="1" applyFill="1" applyBorder="1" applyAlignment="1">
      <alignment horizontal="center" vertical="center"/>
    </xf>
    <xf numFmtId="0" fontId="28" fillId="5" borderId="1" xfId="0" applyFont="1" applyFill="1" applyBorder="1" applyAlignment="1">
      <alignment horizontal="center" vertical="center"/>
    </xf>
    <xf numFmtId="0" fontId="26" fillId="9" borderId="1" xfId="0" applyFont="1" applyFill="1" applyBorder="1" applyAlignment="1">
      <alignment horizontal="center" vertical="top"/>
    </xf>
    <xf numFmtId="0" fontId="5" fillId="6"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12" fillId="0" borderId="0" xfId="0" applyFont="1" applyBorder="1" applyAlignment="1">
      <alignment horizontal="left" vertical="center" wrapText="1"/>
    </xf>
    <xf numFmtId="0" fontId="13" fillId="7" borderId="1" xfId="0" applyFont="1" applyFill="1" applyBorder="1" applyAlignment="1">
      <alignment horizontal="left" vertical="center" wrapText="1"/>
    </xf>
    <xf numFmtId="0" fontId="6" fillId="7" borderId="1" xfId="0" applyFont="1" applyFill="1" applyBorder="1" applyAlignment="1">
      <alignment horizontal="left" vertical="top" wrapText="1"/>
    </xf>
    <xf numFmtId="0" fontId="14" fillId="3" borderId="3" xfId="0" applyFont="1" applyFill="1" applyBorder="1" applyAlignment="1">
      <alignment horizontal="center" vertical="center" wrapText="1"/>
    </xf>
    <xf numFmtId="0" fontId="10" fillId="8" borderId="3" xfId="0" applyFont="1" applyFill="1" applyBorder="1" applyAlignment="1">
      <alignment horizontal="left" vertical="center" wrapText="1"/>
    </xf>
    <xf numFmtId="0" fontId="12" fillId="0" borderId="0" xfId="0" applyFont="1" applyBorder="1" applyAlignment="1">
      <alignment horizontal="left" vertical="center"/>
    </xf>
    <xf numFmtId="0" fontId="16" fillId="3" borderId="4" xfId="0" applyFont="1" applyFill="1" applyBorder="1" applyAlignment="1">
      <alignment horizontal="center" vertical="center" wrapText="1"/>
    </xf>
    <xf numFmtId="0" fontId="18" fillId="7" borderId="5" xfId="0" applyFont="1" applyFill="1" applyBorder="1" applyAlignment="1">
      <alignment horizontal="left" vertical="center" wrapText="1"/>
    </xf>
    <xf numFmtId="0" fontId="16" fillId="3"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6" fillId="12" borderId="1" xfId="0" applyFont="1" applyFill="1" applyBorder="1" applyAlignment="1">
      <alignment horizontal="center" vertical="center" wrapText="1"/>
    </xf>
    <xf numFmtId="9" fontId="22" fillId="13" borderId="1" xfId="0" applyNumberFormat="1" applyFont="1" applyFill="1" applyBorder="1" applyAlignment="1">
      <alignment horizontal="center" vertical="center"/>
    </xf>
    <xf numFmtId="1" fontId="23" fillId="13" borderId="1" xfId="0" applyNumberFormat="1" applyFont="1" applyFill="1" applyBorder="1" applyAlignment="1">
      <alignment horizontal="center" vertical="center"/>
    </xf>
    <xf numFmtId="1" fontId="24" fillId="13" borderId="1" xfId="0" applyNumberFormat="1" applyFont="1" applyFill="1" applyBorder="1" applyAlignment="1">
      <alignment horizontal="center" vertical="center"/>
    </xf>
    <xf numFmtId="165" fontId="25" fillId="13" borderId="1" xfId="0" applyNumberFormat="1" applyFont="1" applyFill="1" applyBorder="1" applyAlignment="1">
      <alignment horizontal="center" vertical="center"/>
    </xf>
    <xf numFmtId="0" fontId="12" fillId="5" borderId="1" xfId="0" applyFont="1" applyFill="1" applyBorder="1" applyAlignment="1">
      <alignment horizontal="center" vertical="center"/>
    </xf>
    <xf numFmtId="0" fontId="16" fillId="3" borderId="4" xfId="0" applyFont="1" applyFill="1" applyBorder="1" applyAlignment="1">
      <alignment horizontal="center" vertical="center"/>
    </xf>
    <xf numFmtId="9" fontId="6" fillId="10" borderId="5" xfId="0" applyNumberFormat="1" applyFont="1" applyFill="1" applyBorder="1" applyAlignment="1">
      <alignment horizontal="center" vertical="center"/>
    </xf>
    <xf numFmtId="0" fontId="26" fillId="9" borderId="5" xfId="0" applyFont="1" applyFill="1" applyBorder="1" applyAlignment="1">
      <alignment horizontal="center" vertical="center"/>
    </xf>
    <xf numFmtId="0" fontId="14" fillId="3" borderId="1" xfId="0" applyFont="1" applyFill="1" applyBorder="1" applyAlignment="1">
      <alignment horizontal="center" vertical="center"/>
    </xf>
    <xf numFmtId="0" fontId="26" fillId="9" borderId="1" xfId="0" applyFont="1" applyFill="1" applyBorder="1" applyAlignment="1">
      <alignment horizontal="left" vertical="top" wrapText="1"/>
    </xf>
    <xf numFmtId="0" fontId="17" fillId="9" borderId="1" xfId="0" applyFont="1" applyFill="1" applyBorder="1" applyAlignment="1">
      <alignment horizontal="left" vertical="center"/>
    </xf>
    <xf numFmtId="0" fontId="17" fillId="9" borderId="1" xfId="0" applyFont="1" applyFill="1" applyBorder="1" applyAlignment="1">
      <alignment horizontal="left" vertical="center" wrapText="1"/>
    </xf>
    <xf numFmtId="0" fontId="0" fillId="0" borderId="0" xfId="0" applyBorder="1" applyAlignment="1"/>
    <xf numFmtId="0" fontId="5" fillId="6" borderId="3" xfId="0" applyFont="1" applyFill="1" applyBorder="1" applyAlignment="1">
      <alignment horizontal="left" vertical="center"/>
    </xf>
    <xf numFmtId="0" fontId="6" fillId="6" borderId="3" xfId="0" applyFont="1" applyFill="1" applyBorder="1" applyAlignment="1">
      <alignment horizontal="left" vertical="center" wrapText="1"/>
    </xf>
    <xf numFmtId="0" fontId="5" fillId="7" borderId="1" xfId="0" applyFont="1" applyFill="1" applyBorder="1" applyAlignment="1">
      <alignment horizontal="left" vertical="top" wrapText="1"/>
    </xf>
    <xf numFmtId="0" fontId="9" fillId="7" borderId="4" xfId="0" applyFont="1" applyFill="1" applyBorder="1" applyAlignment="1">
      <alignment horizontal="center" vertical="top" wrapText="1"/>
    </xf>
    <xf numFmtId="0" fontId="9" fillId="7" borderId="6" xfId="0" applyFont="1" applyFill="1" applyBorder="1" applyAlignment="1">
      <alignment horizontal="center" vertical="top" wrapText="1"/>
    </xf>
    <xf numFmtId="0" fontId="9" fillId="7" borderId="7" xfId="0" applyFont="1" applyFill="1" applyBorder="1" applyAlignment="1">
      <alignment horizontal="center" vertical="top" wrapText="1"/>
    </xf>
    <xf numFmtId="0" fontId="9" fillId="7" borderId="5" xfId="0" applyFont="1" applyFill="1" applyBorder="1" applyAlignment="1">
      <alignment horizontal="center" vertical="top" wrapText="1"/>
    </xf>
    <xf numFmtId="0" fontId="9" fillId="7" borderId="0" xfId="0" applyFont="1" applyFill="1" applyBorder="1" applyAlignment="1">
      <alignment horizontal="center" vertical="top" wrapText="1"/>
    </xf>
    <xf numFmtId="0" fontId="9" fillId="7" borderId="8" xfId="0" applyFont="1" applyFill="1" applyBorder="1" applyAlignment="1">
      <alignment horizontal="center" vertical="top" wrapText="1"/>
    </xf>
    <xf numFmtId="0" fontId="9" fillId="7" borderId="9" xfId="0" applyFont="1" applyFill="1" applyBorder="1" applyAlignment="1">
      <alignment horizontal="center" vertical="top" wrapText="1"/>
    </xf>
    <xf numFmtId="0" fontId="9" fillId="7" borderId="10" xfId="0" applyFont="1" applyFill="1" applyBorder="1" applyAlignment="1">
      <alignment horizontal="center" vertical="top" wrapText="1"/>
    </xf>
    <xf numFmtId="0" fontId="9" fillId="7" borderId="1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CC"/>
      <rgbColor rgb="FFFFFF00"/>
      <rgbColor rgb="FFFF00FF"/>
      <rgbColor rgb="FF00FFFF"/>
      <rgbColor rgb="FF800000"/>
      <rgbColor rgb="FF008000"/>
      <rgbColor rgb="FF000080"/>
      <rgbColor rgb="FF8AA64F"/>
      <rgbColor rgb="FF800080"/>
      <rgbColor rgb="FF1C6B72"/>
      <rgbColor rgb="FFB7C7CB"/>
      <rgbColor rgb="FF878787"/>
      <rgbColor rgb="FF93A9CE"/>
      <rgbColor rgb="FFAB4744"/>
      <rgbColor rgb="FFFCEFCE"/>
      <rgbColor rgb="FFDCEFF1"/>
      <rgbColor rgb="FF660066"/>
      <rgbColor rgb="FFDC853E"/>
      <rgbColor rgb="FF4672A8"/>
      <rgbColor rgb="FFD9D9D9"/>
      <rgbColor rgb="FF000080"/>
      <rgbColor rgb="FFFF00FF"/>
      <rgbColor rgb="FFFFFF00"/>
      <rgbColor rgb="FF00FFFF"/>
      <rgbColor rgb="FF800080"/>
      <rgbColor rgb="FF800000"/>
      <rgbColor rgb="FF155E6C"/>
      <rgbColor rgb="FF0000FF"/>
      <rgbColor rgb="FF00CCFF"/>
      <rgbColor rgb="FFD8E7E2"/>
      <rgbColor rgb="FFDFF0E3"/>
      <rgbColor rgb="FFF4F6F7"/>
      <rgbColor rgb="FFB8CD97"/>
      <rgbColor rgb="FFD09493"/>
      <rgbColor rgb="FFE7E0F5"/>
      <rgbColor rgb="FFFBE4D5"/>
      <rgbColor rgb="FF4A7EBB"/>
      <rgbColor rgb="FF4F81BD"/>
      <rgbColor rgb="FF99CC00"/>
      <rgbColor rgb="FFFFCC00"/>
      <rgbColor rgb="FFFF9900"/>
      <rgbColor rgb="FFFF6600"/>
      <rgbColor rgb="FF725990"/>
      <rgbColor rgb="FFA99BBD"/>
      <rgbColor rgb="FF17324D"/>
      <rgbColor rgb="FF4299B0"/>
      <rgbColor rgb="FF003300"/>
      <rgbColor rgb="FF1A1A1A"/>
      <rgbColor rgb="FFB45309"/>
      <rgbColor rgb="FF993366"/>
      <rgbColor rgb="FF5A6B70"/>
      <rgbColor rgb="FF0F3B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800" b="1" strike="noStrike" spc="-1">
                <a:solidFill>
                  <a:srgbClr val="000000"/>
                </a:solidFill>
                <a:latin typeface="Calibri"/>
              </a:defRPr>
            </a:pPr>
            <a:r>
              <a:rPr lang="es-CL" sz="1800" b="1" strike="noStrike" spc="-1">
                <a:solidFill>
                  <a:srgbClr val="000000"/>
                </a:solidFill>
                <a:latin typeface="Calibri"/>
              </a:rPr>
              <a:t>Adherencia por hábito</a:t>
            </a:r>
          </a:p>
        </c:rich>
      </c:tx>
      <c:overlay val="0"/>
      <c:spPr>
        <a:noFill/>
        <a:ln w="0">
          <a:noFill/>
        </a:ln>
      </c:spPr>
    </c:title>
    <c:autoTitleDeleted val="0"/>
    <c:plotArea>
      <c:layout/>
      <c:barChart>
        <c:barDir val="bar"/>
        <c:grouping val="clustered"/>
        <c:varyColors val="1"/>
        <c:ser>
          <c:idx val="0"/>
          <c:order val="0"/>
          <c:tx>
            <c:strRef>
              <c:f>PANEL!$B$13</c:f>
              <c:strCache>
                <c:ptCount val="1"/>
                <c:pt idx="0">
                  <c:v>Adherencia</c:v>
                </c:pt>
              </c:strCache>
            </c:strRef>
          </c:tx>
          <c:spPr>
            <a:solidFill>
              <a:srgbClr val="4F81BD"/>
            </a:solidFill>
            <a:ln w="0">
              <a:noFill/>
            </a:ln>
          </c:spPr>
          <c:invertIfNegative val="0"/>
          <c:dPt>
            <c:idx val="0"/>
            <c:invertIfNegative val="1"/>
            <c:bubble3D val="0"/>
            <c:spPr>
              <a:solidFill>
                <a:srgbClr val="4672A8"/>
              </a:solidFill>
              <a:ln w="0">
                <a:noFill/>
              </a:ln>
            </c:spPr>
            <c:extLst>
              <c:ext xmlns:c16="http://schemas.microsoft.com/office/drawing/2014/chart" uri="{C3380CC4-5D6E-409C-BE32-E72D297353CC}">
                <c16:uniqueId val="{00000001-875C-46F9-8AEF-1C510DC620F9}"/>
              </c:ext>
            </c:extLst>
          </c:dPt>
          <c:dPt>
            <c:idx val="1"/>
            <c:invertIfNegative val="1"/>
            <c:bubble3D val="0"/>
            <c:spPr>
              <a:solidFill>
                <a:srgbClr val="AB4744"/>
              </a:solidFill>
              <a:ln w="0">
                <a:noFill/>
              </a:ln>
            </c:spPr>
            <c:extLst>
              <c:ext xmlns:c16="http://schemas.microsoft.com/office/drawing/2014/chart" uri="{C3380CC4-5D6E-409C-BE32-E72D297353CC}">
                <c16:uniqueId val="{00000003-875C-46F9-8AEF-1C510DC620F9}"/>
              </c:ext>
            </c:extLst>
          </c:dPt>
          <c:dPt>
            <c:idx val="2"/>
            <c:invertIfNegative val="1"/>
            <c:bubble3D val="0"/>
            <c:spPr>
              <a:solidFill>
                <a:srgbClr val="8AA64F"/>
              </a:solidFill>
              <a:ln w="0">
                <a:noFill/>
              </a:ln>
            </c:spPr>
            <c:extLst>
              <c:ext xmlns:c16="http://schemas.microsoft.com/office/drawing/2014/chart" uri="{C3380CC4-5D6E-409C-BE32-E72D297353CC}">
                <c16:uniqueId val="{00000005-875C-46F9-8AEF-1C510DC620F9}"/>
              </c:ext>
            </c:extLst>
          </c:dPt>
          <c:dPt>
            <c:idx val="3"/>
            <c:invertIfNegative val="1"/>
            <c:bubble3D val="0"/>
            <c:spPr>
              <a:solidFill>
                <a:srgbClr val="725990"/>
              </a:solidFill>
              <a:ln w="0">
                <a:noFill/>
              </a:ln>
            </c:spPr>
            <c:extLst>
              <c:ext xmlns:c16="http://schemas.microsoft.com/office/drawing/2014/chart" uri="{C3380CC4-5D6E-409C-BE32-E72D297353CC}">
                <c16:uniqueId val="{00000007-875C-46F9-8AEF-1C510DC620F9}"/>
              </c:ext>
            </c:extLst>
          </c:dPt>
          <c:dPt>
            <c:idx val="4"/>
            <c:invertIfNegative val="1"/>
            <c:bubble3D val="0"/>
            <c:spPr>
              <a:solidFill>
                <a:srgbClr val="4299B0"/>
              </a:solidFill>
              <a:ln w="0">
                <a:noFill/>
              </a:ln>
            </c:spPr>
            <c:extLst>
              <c:ext xmlns:c16="http://schemas.microsoft.com/office/drawing/2014/chart" uri="{C3380CC4-5D6E-409C-BE32-E72D297353CC}">
                <c16:uniqueId val="{00000009-875C-46F9-8AEF-1C510DC620F9}"/>
              </c:ext>
            </c:extLst>
          </c:dPt>
          <c:dPt>
            <c:idx val="5"/>
            <c:invertIfNegative val="1"/>
            <c:bubble3D val="0"/>
            <c:spPr>
              <a:solidFill>
                <a:srgbClr val="DC853E"/>
              </a:solidFill>
              <a:ln w="0">
                <a:noFill/>
              </a:ln>
            </c:spPr>
            <c:extLst>
              <c:ext xmlns:c16="http://schemas.microsoft.com/office/drawing/2014/chart" uri="{C3380CC4-5D6E-409C-BE32-E72D297353CC}">
                <c16:uniqueId val="{0000000B-875C-46F9-8AEF-1C510DC620F9}"/>
              </c:ext>
            </c:extLst>
          </c:dPt>
          <c:dPt>
            <c:idx val="6"/>
            <c:invertIfNegative val="1"/>
            <c:bubble3D val="0"/>
            <c:spPr>
              <a:solidFill>
                <a:srgbClr val="93A9CE"/>
              </a:solidFill>
              <a:ln w="0">
                <a:noFill/>
              </a:ln>
            </c:spPr>
            <c:extLst>
              <c:ext xmlns:c16="http://schemas.microsoft.com/office/drawing/2014/chart" uri="{C3380CC4-5D6E-409C-BE32-E72D297353CC}">
                <c16:uniqueId val="{0000000D-875C-46F9-8AEF-1C510DC620F9}"/>
              </c:ext>
            </c:extLst>
          </c:dPt>
          <c:dPt>
            <c:idx val="7"/>
            <c:invertIfNegative val="1"/>
            <c:bubble3D val="0"/>
            <c:spPr>
              <a:solidFill>
                <a:srgbClr val="D09493"/>
              </a:solidFill>
              <a:ln w="0">
                <a:noFill/>
              </a:ln>
            </c:spPr>
            <c:extLst>
              <c:ext xmlns:c16="http://schemas.microsoft.com/office/drawing/2014/chart" uri="{C3380CC4-5D6E-409C-BE32-E72D297353CC}">
                <c16:uniqueId val="{0000000F-875C-46F9-8AEF-1C510DC620F9}"/>
              </c:ext>
            </c:extLst>
          </c:dPt>
          <c:dPt>
            <c:idx val="8"/>
            <c:invertIfNegative val="1"/>
            <c:bubble3D val="0"/>
            <c:spPr>
              <a:solidFill>
                <a:srgbClr val="B8CD97"/>
              </a:solidFill>
              <a:ln w="0">
                <a:noFill/>
              </a:ln>
            </c:spPr>
            <c:extLst>
              <c:ext xmlns:c16="http://schemas.microsoft.com/office/drawing/2014/chart" uri="{C3380CC4-5D6E-409C-BE32-E72D297353CC}">
                <c16:uniqueId val="{00000011-875C-46F9-8AEF-1C510DC620F9}"/>
              </c:ext>
            </c:extLst>
          </c:dPt>
          <c:dPt>
            <c:idx val="9"/>
            <c:invertIfNegative val="1"/>
            <c:bubble3D val="0"/>
            <c:spPr>
              <a:solidFill>
                <a:srgbClr val="A99BBD"/>
              </a:solidFill>
              <a:ln w="0">
                <a:noFill/>
              </a:ln>
            </c:spPr>
            <c:extLst>
              <c:ext xmlns:c16="http://schemas.microsoft.com/office/drawing/2014/chart" uri="{C3380CC4-5D6E-409C-BE32-E72D297353CC}">
                <c16:uniqueId val="{00000013-875C-46F9-8AEF-1C510DC620F9}"/>
              </c:ext>
            </c:extLst>
          </c:dPt>
          <c:dLbls>
            <c:dLbl>
              <c:idx val="0"/>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1-875C-46F9-8AEF-1C510DC620F9}"/>
                </c:ext>
              </c:extLst>
            </c:dLbl>
            <c:dLbl>
              <c:idx val="1"/>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3-875C-46F9-8AEF-1C510DC620F9}"/>
                </c:ext>
              </c:extLst>
            </c:dLbl>
            <c:dLbl>
              <c:idx val="2"/>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5-875C-46F9-8AEF-1C510DC620F9}"/>
                </c:ext>
              </c:extLst>
            </c:dLbl>
            <c:dLbl>
              <c:idx val="3"/>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7-875C-46F9-8AEF-1C510DC620F9}"/>
                </c:ext>
              </c:extLst>
            </c:dLbl>
            <c:dLbl>
              <c:idx val="4"/>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9-875C-46F9-8AEF-1C510DC620F9}"/>
                </c:ext>
              </c:extLst>
            </c:dLbl>
            <c:dLbl>
              <c:idx val="5"/>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B-875C-46F9-8AEF-1C510DC620F9}"/>
                </c:ext>
              </c:extLst>
            </c:dLbl>
            <c:dLbl>
              <c:idx val="6"/>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D-875C-46F9-8AEF-1C510DC620F9}"/>
                </c:ext>
              </c:extLst>
            </c:dLbl>
            <c:dLbl>
              <c:idx val="7"/>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F-875C-46F9-8AEF-1C510DC620F9}"/>
                </c:ext>
              </c:extLst>
            </c:dLbl>
            <c:dLbl>
              <c:idx val="8"/>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11-875C-46F9-8AEF-1C510DC620F9}"/>
                </c:ext>
              </c:extLst>
            </c:dLbl>
            <c:dLbl>
              <c:idx val="9"/>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13-875C-46F9-8AEF-1C510DC620F9}"/>
                </c:ext>
              </c:extLst>
            </c:dLbl>
            <c:spPr>
              <a:noFill/>
              <a:ln>
                <a:noFill/>
              </a:ln>
              <a:effectLst/>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PANEL!$A$14:$A$23</c:f>
              <c:strCache>
                <c:ptCount val="10"/>
                <c:pt idx="0">
                  <c:v>Desayunar dentro de la primera hora</c:v>
                </c:pt>
                <c:pt idx="1">
                  <c:v>Incluir verduras en almuerzo y cena</c:v>
                </c:pt>
                <c:pt idx="2">
                  <c:v>Beber al menos 6 vasos de agua</c:v>
                </c:pt>
                <c:pt idx="3">
                  <c:v>Comer una comida sin pantallas</c:v>
                </c:pt>
                <c:pt idx="4">
                  <c:v>Llevar colación planificada</c:v>
                </c:pt>
                <c:pt idx="5">
                  <c:v>Caminar 30 minutos</c:v>
                </c:pt>
                <c:pt idx="6">
                  <c:v>Acostarse antes de las 23:30</c:v>
                </c:pt>
                <c:pt idx="7">
                  <c:v>Dejar lista la comida del día siguiente</c:v>
                </c:pt>
                <c:pt idx="8">
                  <c:v>Anotar cómo me sentí al comer</c:v>
                </c:pt>
                <c:pt idx="9">
                  <c:v>Comer sentado a la mesa</c:v>
                </c:pt>
              </c:strCache>
            </c:strRef>
          </c:cat>
          <c:val>
            <c:numRef>
              <c:f>PANEL!$B$14:$B$23</c:f>
              <c:numCache>
                <c:formatCode>0%</c:formatCode>
                <c:ptCount val="10"/>
                <c:pt idx="0">
                  <c:v>0.83870967741935487</c:v>
                </c:pt>
                <c:pt idx="1">
                  <c:v>0.87096774193548387</c:v>
                </c:pt>
                <c:pt idx="2">
                  <c:v>0.83870967741935487</c:v>
                </c:pt>
                <c:pt idx="3">
                  <c:v>0.74193548387096775</c:v>
                </c:pt>
                <c:pt idx="4">
                  <c:v>0.83870967741935487</c:v>
                </c:pt>
                <c:pt idx="5">
                  <c:v>0.74193548387096775</c:v>
                </c:pt>
                <c:pt idx="6">
                  <c:v>0.77419354838709675</c:v>
                </c:pt>
                <c:pt idx="7">
                  <c:v>0.54838709677419351</c:v>
                </c:pt>
                <c:pt idx="8">
                  <c:v>0.70967741935483875</c:v>
                </c:pt>
                <c:pt idx="9">
                  <c:v>0.87096774193548387</c:v>
                </c:pt>
              </c:numCache>
            </c:numRef>
          </c:val>
          <c:extLst>
            <c:ext xmlns:c16="http://schemas.microsoft.com/office/drawing/2014/chart" uri="{C3380CC4-5D6E-409C-BE32-E72D297353CC}">
              <c16:uniqueId val="{00000014-875C-46F9-8AEF-1C510DC620F9}"/>
            </c:ext>
          </c:extLst>
        </c:ser>
        <c:dLbls>
          <c:showLegendKey val="0"/>
          <c:showVal val="0"/>
          <c:showCatName val="0"/>
          <c:showSerName val="0"/>
          <c:showPercent val="0"/>
          <c:showBubbleSize val="0"/>
        </c:dLbls>
        <c:gapWidth val="150"/>
        <c:axId val="79274170"/>
        <c:axId val="5859786"/>
      </c:barChart>
      <c:catAx>
        <c:axId val="79274170"/>
        <c:scaling>
          <c:orientation val="minMax"/>
        </c:scaling>
        <c:delete val="1"/>
        <c:axPos val="l"/>
        <c:title>
          <c:tx>
            <c:rich>
              <a:bodyPr rot="-5400000"/>
              <a:lstStyle/>
              <a:p>
                <a:pPr>
                  <a:defRPr lang="es-CL" sz="1000" b="1" strike="noStrike" spc="-1">
                    <a:solidFill>
                      <a:srgbClr val="000000"/>
                    </a:solidFill>
                    <a:latin typeface="Calibri"/>
                  </a:defRPr>
                </a:pPr>
                <a:r>
                  <a:rPr lang="es-CL" sz="1000" b="1" strike="noStrike" spc="-1">
                    <a:solidFill>
                      <a:srgbClr val="000000"/>
                    </a:solidFill>
                    <a:latin typeface="Calibri"/>
                  </a:rPr>
                  <a:t>proporción de oportunidades cumplidas</a:t>
                </a:r>
              </a:p>
            </c:rich>
          </c:tx>
          <c:overlay val="0"/>
          <c:spPr>
            <a:noFill/>
            <a:ln w="0">
              <a:noFill/>
            </a:ln>
          </c:spPr>
        </c:title>
        <c:numFmt formatCode="General" sourceLinked="1"/>
        <c:majorTickMark val="none"/>
        <c:minorTickMark val="none"/>
        <c:tickLblPos val="nextTo"/>
        <c:crossAx val="5859786"/>
        <c:crosses val="autoZero"/>
        <c:auto val="1"/>
        <c:lblAlgn val="ctr"/>
        <c:lblOffset val="100"/>
        <c:noMultiLvlLbl val="0"/>
      </c:catAx>
      <c:valAx>
        <c:axId val="5859786"/>
        <c:scaling>
          <c:orientation val="minMax"/>
        </c:scaling>
        <c:delete val="1"/>
        <c:axPos val="b"/>
        <c:majorGridlines>
          <c:spPr>
            <a:ln w="9360">
              <a:solidFill>
                <a:srgbClr val="878787"/>
              </a:solidFill>
              <a:round/>
            </a:ln>
          </c:spPr>
        </c:majorGridlines>
        <c:numFmt formatCode="0%" sourceLinked="1"/>
        <c:majorTickMark val="none"/>
        <c:minorTickMark val="none"/>
        <c:tickLblPos val="nextTo"/>
        <c:crossAx val="7927417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s-CL"/>
              <a:t>Hábitos cumplidos cada día del mes</a:t>
            </a:r>
          </a:p>
        </c:rich>
      </c:tx>
      <c:overlay val="0"/>
      <c:spPr>
        <a:noFill/>
        <a:ln>
          <a:noFill/>
        </a:ln>
        <a:effectLst/>
      </c:spPr>
      <c:txPr>
        <a:bodyPr rot="0" spcFirstLastPara="1" vertOverflow="ellipsis"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s-CL"/>
        </a:p>
      </c:txPr>
    </c:title>
    <c:autoTitleDeleted val="0"/>
    <c:plotArea>
      <c:layout/>
      <c:lineChart>
        <c:grouping val="standard"/>
        <c:varyColors val="1"/>
        <c:ser>
          <c:idx val="0"/>
          <c:order val="0"/>
          <c:tx>
            <c:strRef>
              <c:f>PANEL!$B$26</c:f>
              <c:strCache>
                <c:ptCount val="1"/>
                <c:pt idx="0">
                  <c:v>Hábitos cumplidos</c:v>
                </c:pt>
              </c:strCache>
            </c:strRef>
          </c:tx>
          <c:marker>
            <c:symbol val="circle"/>
            <c:size val="17"/>
            <c:spPr>
              <a:solidFill>
                <a:schemeClr val="lt1"/>
              </a:solidFill>
              <a:ln>
                <a:noFill/>
              </a:ln>
              <a:effectLst/>
            </c:spPr>
          </c:marker>
          <c:dPt>
            <c:idx val="0"/>
            <c:marker>
              <c:symbol val="circle"/>
              <c:size val="17"/>
              <c:spPr>
                <a:solidFill>
                  <a:schemeClr val="lt1"/>
                </a:solidFill>
                <a:ln>
                  <a:noFill/>
                </a:ln>
                <a:effectLst/>
              </c:spPr>
            </c:marker>
            <c:bubble3D val="0"/>
            <c:spPr>
              <a:ln w="19050" cap="rnd" cmpd="sng" algn="ctr">
                <a:solidFill>
                  <a:schemeClr val="accent1">
                    <a:shade val="95000"/>
                    <a:satMod val="105000"/>
                  </a:schemeClr>
                </a:solidFill>
                <a:round/>
              </a:ln>
              <a:effectLst/>
            </c:spPr>
            <c:extLst>
              <c:ext xmlns:c16="http://schemas.microsoft.com/office/drawing/2014/chart" uri="{C3380CC4-5D6E-409C-BE32-E72D297353CC}">
                <c16:uniqueId val="{00000001-00CF-4434-AC53-57740E46DC4F}"/>
              </c:ext>
            </c:extLst>
          </c:dPt>
          <c:dPt>
            <c:idx val="1"/>
            <c:marker>
              <c:symbol val="circle"/>
              <c:size val="17"/>
              <c:spPr>
                <a:solidFill>
                  <a:schemeClr val="lt1"/>
                </a:solidFill>
                <a:ln>
                  <a:noFill/>
                </a:ln>
                <a:effectLst/>
              </c:spPr>
            </c:marker>
            <c:bubble3D val="0"/>
            <c:spPr>
              <a:ln w="19050" cap="rnd" cmpd="sng" algn="ctr">
                <a:solidFill>
                  <a:schemeClr val="accent2">
                    <a:shade val="95000"/>
                    <a:satMod val="105000"/>
                  </a:schemeClr>
                </a:solidFill>
                <a:round/>
              </a:ln>
              <a:effectLst/>
            </c:spPr>
            <c:extLst>
              <c:ext xmlns:c16="http://schemas.microsoft.com/office/drawing/2014/chart" uri="{C3380CC4-5D6E-409C-BE32-E72D297353CC}">
                <c16:uniqueId val="{00000003-00CF-4434-AC53-57740E46DC4F}"/>
              </c:ext>
            </c:extLst>
          </c:dPt>
          <c:dPt>
            <c:idx val="2"/>
            <c:marker>
              <c:symbol val="circle"/>
              <c:size val="17"/>
              <c:spPr>
                <a:solidFill>
                  <a:schemeClr val="lt1"/>
                </a:solidFill>
                <a:ln>
                  <a:noFill/>
                </a:ln>
                <a:effectLst/>
              </c:spPr>
            </c:marker>
            <c:bubble3D val="0"/>
            <c:spPr>
              <a:ln w="19050" cap="rnd" cmpd="sng" algn="ctr">
                <a:solidFill>
                  <a:schemeClr val="accent3">
                    <a:shade val="95000"/>
                    <a:satMod val="105000"/>
                  </a:schemeClr>
                </a:solidFill>
                <a:round/>
              </a:ln>
              <a:effectLst/>
            </c:spPr>
            <c:extLst>
              <c:ext xmlns:c16="http://schemas.microsoft.com/office/drawing/2014/chart" uri="{C3380CC4-5D6E-409C-BE32-E72D297353CC}">
                <c16:uniqueId val="{00000005-00CF-4434-AC53-57740E46DC4F}"/>
              </c:ext>
            </c:extLst>
          </c:dPt>
          <c:dPt>
            <c:idx val="3"/>
            <c:marker>
              <c:symbol val="circle"/>
              <c:size val="17"/>
              <c:spPr>
                <a:solidFill>
                  <a:schemeClr val="lt1"/>
                </a:solidFill>
                <a:ln>
                  <a:noFill/>
                </a:ln>
                <a:effectLst/>
              </c:spPr>
            </c:marker>
            <c:bubble3D val="0"/>
            <c:spPr>
              <a:ln w="19050" cap="rnd" cmpd="sng" algn="ctr">
                <a:solidFill>
                  <a:schemeClr val="accent4">
                    <a:shade val="95000"/>
                    <a:satMod val="105000"/>
                  </a:schemeClr>
                </a:solidFill>
                <a:round/>
              </a:ln>
              <a:effectLst/>
            </c:spPr>
            <c:extLst>
              <c:ext xmlns:c16="http://schemas.microsoft.com/office/drawing/2014/chart" uri="{C3380CC4-5D6E-409C-BE32-E72D297353CC}">
                <c16:uniqueId val="{00000007-00CF-4434-AC53-57740E46DC4F}"/>
              </c:ext>
            </c:extLst>
          </c:dPt>
          <c:dPt>
            <c:idx val="4"/>
            <c:marker>
              <c:symbol val="circle"/>
              <c:size val="17"/>
              <c:spPr>
                <a:solidFill>
                  <a:schemeClr val="lt1"/>
                </a:solidFill>
                <a:ln>
                  <a:noFill/>
                </a:ln>
                <a:effectLst/>
              </c:spPr>
            </c:marker>
            <c:bubble3D val="0"/>
            <c:spPr>
              <a:ln w="19050" cap="rnd" cmpd="sng" algn="ctr">
                <a:solidFill>
                  <a:schemeClr val="accent5">
                    <a:shade val="95000"/>
                    <a:satMod val="105000"/>
                  </a:schemeClr>
                </a:solidFill>
                <a:round/>
              </a:ln>
              <a:effectLst/>
            </c:spPr>
            <c:extLst>
              <c:ext xmlns:c16="http://schemas.microsoft.com/office/drawing/2014/chart" uri="{C3380CC4-5D6E-409C-BE32-E72D297353CC}">
                <c16:uniqueId val="{00000009-00CF-4434-AC53-57740E46DC4F}"/>
              </c:ext>
            </c:extLst>
          </c:dPt>
          <c:dPt>
            <c:idx val="5"/>
            <c:marker>
              <c:symbol val="circle"/>
              <c:size val="17"/>
              <c:spPr>
                <a:solidFill>
                  <a:schemeClr val="lt1"/>
                </a:solidFill>
                <a:ln>
                  <a:noFill/>
                </a:ln>
                <a:effectLst/>
              </c:spPr>
            </c:marker>
            <c:bubble3D val="0"/>
            <c:spPr>
              <a:ln w="19050" cap="rnd" cmpd="sng" algn="ctr">
                <a:solidFill>
                  <a:schemeClr val="accent6">
                    <a:shade val="95000"/>
                    <a:satMod val="105000"/>
                  </a:schemeClr>
                </a:solidFill>
                <a:round/>
              </a:ln>
              <a:effectLst/>
            </c:spPr>
            <c:extLst>
              <c:ext xmlns:c16="http://schemas.microsoft.com/office/drawing/2014/chart" uri="{C3380CC4-5D6E-409C-BE32-E72D297353CC}">
                <c16:uniqueId val="{0000000B-00CF-4434-AC53-57740E46DC4F}"/>
              </c:ext>
            </c:extLst>
          </c:dPt>
          <c:dPt>
            <c:idx val="6"/>
            <c:marker>
              <c:symbol val="circle"/>
              <c:size val="17"/>
              <c:spPr>
                <a:solidFill>
                  <a:schemeClr val="lt1"/>
                </a:solidFill>
                <a:ln>
                  <a:noFill/>
                </a:ln>
                <a:effectLst/>
              </c:spPr>
            </c:marker>
            <c:bubble3D val="0"/>
            <c:spPr>
              <a:ln w="19050" cap="rnd" cmpd="sng" algn="ctr">
                <a:solidFill>
                  <a:schemeClr val="accent1">
                    <a:lumMod val="60000"/>
                    <a:shade val="95000"/>
                    <a:satMod val="105000"/>
                  </a:schemeClr>
                </a:solidFill>
                <a:round/>
              </a:ln>
              <a:effectLst/>
            </c:spPr>
            <c:extLst>
              <c:ext xmlns:c16="http://schemas.microsoft.com/office/drawing/2014/chart" uri="{C3380CC4-5D6E-409C-BE32-E72D297353CC}">
                <c16:uniqueId val="{0000000D-00CF-4434-AC53-57740E46DC4F}"/>
              </c:ext>
            </c:extLst>
          </c:dPt>
          <c:dPt>
            <c:idx val="7"/>
            <c:marker>
              <c:symbol val="circle"/>
              <c:size val="17"/>
              <c:spPr>
                <a:solidFill>
                  <a:schemeClr val="lt1"/>
                </a:solidFill>
                <a:ln>
                  <a:noFill/>
                </a:ln>
                <a:effectLst/>
              </c:spPr>
            </c:marker>
            <c:bubble3D val="0"/>
            <c:spPr>
              <a:ln w="19050" cap="rnd" cmpd="sng" algn="ctr">
                <a:solidFill>
                  <a:schemeClr val="accent2">
                    <a:lumMod val="60000"/>
                    <a:shade val="95000"/>
                    <a:satMod val="105000"/>
                  </a:schemeClr>
                </a:solidFill>
                <a:round/>
              </a:ln>
              <a:effectLst/>
            </c:spPr>
            <c:extLst>
              <c:ext xmlns:c16="http://schemas.microsoft.com/office/drawing/2014/chart" uri="{C3380CC4-5D6E-409C-BE32-E72D297353CC}">
                <c16:uniqueId val="{0000000F-00CF-4434-AC53-57740E46DC4F}"/>
              </c:ext>
            </c:extLst>
          </c:dPt>
          <c:dPt>
            <c:idx val="8"/>
            <c:marker>
              <c:symbol val="circle"/>
              <c:size val="17"/>
              <c:spPr>
                <a:solidFill>
                  <a:schemeClr val="lt1"/>
                </a:solidFill>
                <a:ln>
                  <a:noFill/>
                </a:ln>
                <a:effectLst/>
              </c:spPr>
            </c:marker>
            <c:bubble3D val="0"/>
            <c:spPr>
              <a:ln w="19050" cap="rnd" cmpd="sng" algn="ctr">
                <a:solidFill>
                  <a:schemeClr val="accent3">
                    <a:lumMod val="60000"/>
                    <a:shade val="95000"/>
                    <a:satMod val="105000"/>
                  </a:schemeClr>
                </a:solidFill>
                <a:round/>
              </a:ln>
              <a:effectLst/>
            </c:spPr>
            <c:extLst>
              <c:ext xmlns:c16="http://schemas.microsoft.com/office/drawing/2014/chart" uri="{C3380CC4-5D6E-409C-BE32-E72D297353CC}">
                <c16:uniqueId val="{00000011-00CF-4434-AC53-57740E46DC4F}"/>
              </c:ext>
            </c:extLst>
          </c:dPt>
          <c:dPt>
            <c:idx val="9"/>
            <c:marker>
              <c:symbol val="circle"/>
              <c:size val="17"/>
              <c:spPr>
                <a:solidFill>
                  <a:schemeClr val="lt1"/>
                </a:solidFill>
                <a:ln>
                  <a:noFill/>
                </a:ln>
                <a:effectLst/>
              </c:spPr>
            </c:marker>
            <c:bubble3D val="0"/>
            <c:spPr>
              <a:ln w="19050" cap="rnd" cmpd="sng" algn="ctr">
                <a:solidFill>
                  <a:schemeClr val="accent4">
                    <a:lumMod val="60000"/>
                    <a:shade val="95000"/>
                    <a:satMod val="105000"/>
                  </a:schemeClr>
                </a:solidFill>
                <a:round/>
              </a:ln>
              <a:effectLst/>
            </c:spPr>
            <c:extLst>
              <c:ext xmlns:c16="http://schemas.microsoft.com/office/drawing/2014/chart" uri="{C3380CC4-5D6E-409C-BE32-E72D297353CC}">
                <c16:uniqueId val="{00000013-00CF-4434-AC53-57740E46DC4F}"/>
              </c:ext>
            </c:extLst>
          </c:dPt>
          <c:dPt>
            <c:idx val="10"/>
            <c:marker>
              <c:symbol val="circle"/>
              <c:size val="17"/>
              <c:spPr>
                <a:solidFill>
                  <a:schemeClr val="lt1"/>
                </a:solidFill>
                <a:ln>
                  <a:noFill/>
                </a:ln>
                <a:effectLst/>
              </c:spPr>
            </c:marker>
            <c:bubble3D val="0"/>
            <c:spPr>
              <a:ln w="19050" cap="rnd" cmpd="sng" algn="ctr">
                <a:solidFill>
                  <a:schemeClr val="accent5">
                    <a:lumMod val="60000"/>
                    <a:shade val="95000"/>
                    <a:satMod val="105000"/>
                  </a:schemeClr>
                </a:solidFill>
                <a:round/>
              </a:ln>
              <a:effectLst/>
            </c:spPr>
            <c:extLst>
              <c:ext xmlns:c16="http://schemas.microsoft.com/office/drawing/2014/chart" uri="{C3380CC4-5D6E-409C-BE32-E72D297353CC}">
                <c16:uniqueId val="{00000015-00CF-4434-AC53-57740E46DC4F}"/>
              </c:ext>
            </c:extLst>
          </c:dPt>
          <c:dPt>
            <c:idx val="11"/>
            <c:marker>
              <c:symbol val="circle"/>
              <c:size val="17"/>
              <c:spPr>
                <a:solidFill>
                  <a:schemeClr val="lt1"/>
                </a:solidFill>
                <a:ln>
                  <a:noFill/>
                </a:ln>
                <a:effectLst/>
              </c:spPr>
            </c:marker>
            <c:bubble3D val="0"/>
            <c:spPr>
              <a:ln w="19050" cap="rnd" cmpd="sng" algn="ctr">
                <a:solidFill>
                  <a:schemeClr val="accent6">
                    <a:lumMod val="60000"/>
                    <a:shade val="95000"/>
                    <a:satMod val="105000"/>
                  </a:schemeClr>
                </a:solidFill>
                <a:round/>
              </a:ln>
              <a:effectLst/>
            </c:spPr>
            <c:extLst>
              <c:ext xmlns:c16="http://schemas.microsoft.com/office/drawing/2014/chart" uri="{C3380CC4-5D6E-409C-BE32-E72D297353CC}">
                <c16:uniqueId val="{00000017-00CF-4434-AC53-57740E46DC4F}"/>
              </c:ext>
            </c:extLst>
          </c:dPt>
          <c:dPt>
            <c:idx val="12"/>
            <c:marker>
              <c:symbol val="circle"/>
              <c:size val="17"/>
              <c:spPr>
                <a:solidFill>
                  <a:schemeClr val="lt1"/>
                </a:solidFill>
                <a:ln>
                  <a:noFill/>
                </a:ln>
                <a:effectLst/>
              </c:spPr>
            </c:marker>
            <c:bubble3D val="0"/>
            <c:spPr>
              <a:ln w="19050" cap="rnd" cmpd="sng" algn="ctr">
                <a:solidFill>
                  <a:schemeClr val="accent1">
                    <a:lumMod val="80000"/>
                    <a:lumOff val="20000"/>
                    <a:shade val="95000"/>
                    <a:satMod val="105000"/>
                  </a:schemeClr>
                </a:solidFill>
                <a:round/>
              </a:ln>
              <a:effectLst/>
            </c:spPr>
            <c:extLst>
              <c:ext xmlns:c16="http://schemas.microsoft.com/office/drawing/2014/chart" uri="{C3380CC4-5D6E-409C-BE32-E72D297353CC}">
                <c16:uniqueId val="{00000019-00CF-4434-AC53-57740E46DC4F}"/>
              </c:ext>
            </c:extLst>
          </c:dPt>
          <c:dPt>
            <c:idx val="13"/>
            <c:marker>
              <c:symbol val="circle"/>
              <c:size val="17"/>
              <c:spPr>
                <a:solidFill>
                  <a:schemeClr val="lt1"/>
                </a:solidFill>
                <a:ln>
                  <a:noFill/>
                </a:ln>
                <a:effectLst/>
              </c:spPr>
            </c:marker>
            <c:bubble3D val="0"/>
            <c:spPr>
              <a:ln w="19050" cap="rnd" cmpd="sng" algn="ctr">
                <a:solidFill>
                  <a:schemeClr val="accent2">
                    <a:lumMod val="80000"/>
                    <a:lumOff val="20000"/>
                    <a:shade val="95000"/>
                    <a:satMod val="105000"/>
                  </a:schemeClr>
                </a:solidFill>
                <a:round/>
              </a:ln>
              <a:effectLst/>
            </c:spPr>
            <c:extLst>
              <c:ext xmlns:c16="http://schemas.microsoft.com/office/drawing/2014/chart" uri="{C3380CC4-5D6E-409C-BE32-E72D297353CC}">
                <c16:uniqueId val="{0000001B-00CF-4434-AC53-57740E46DC4F}"/>
              </c:ext>
            </c:extLst>
          </c:dPt>
          <c:dPt>
            <c:idx val="14"/>
            <c:marker>
              <c:symbol val="circle"/>
              <c:size val="17"/>
              <c:spPr>
                <a:solidFill>
                  <a:schemeClr val="lt1"/>
                </a:solidFill>
                <a:ln>
                  <a:noFill/>
                </a:ln>
                <a:effectLst/>
              </c:spPr>
            </c:marker>
            <c:bubble3D val="0"/>
            <c:spPr>
              <a:ln w="19050" cap="rnd" cmpd="sng" algn="ctr">
                <a:solidFill>
                  <a:schemeClr val="accent3">
                    <a:lumMod val="80000"/>
                    <a:lumOff val="20000"/>
                    <a:shade val="95000"/>
                    <a:satMod val="105000"/>
                  </a:schemeClr>
                </a:solidFill>
                <a:round/>
              </a:ln>
              <a:effectLst/>
            </c:spPr>
            <c:extLst>
              <c:ext xmlns:c16="http://schemas.microsoft.com/office/drawing/2014/chart" uri="{C3380CC4-5D6E-409C-BE32-E72D297353CC}">
                <c16:uniqueId val="{0000001D-00CF-4434-AC53-57740E46DC4F}"/>
              </c:ext>
            </c:extLst>
          </c:dPt>
          <c:dPt>
            <c:idx val="15"/>
            <c:marker>
              <c:symbol val="circle"/>
              <c:size val="17"/>
              <c:spPr>
                <a:solidFill>
                  <a:schemeClr val="lt1"/>
                </a:solidFill>
                <a:ln>
                  <a:noFill/>
                </a:ln>
                <a:effectLst/>
              </c:spPr>
            </c:marker>
            <c:bubble3D val="0"/>
            <c:spPr>
              <a:ln w="19050" cap="rnd" cmpd="sng" algn="ctr">
                <a:solidFill>
                  <a:schemeClr val="accent4">
                    <a:lumMod val="80000"/>
                    <a:lumOff val="20000"/>
                    <a:shade val="95000"/>
                    <a:satMod val="105000"/>
                  </a:schemeClr>
                </a:solidFill>
                <a:round/>
              </a:ln>
              <a:effectLst/>
            </c:spPr>
            <c:extLst>
              <c:ext xmlns:c16="http://schemas.microsoft.com/office/drawing/2014/chart" uri="{C3380CC4-5D6E-409C-BE32-E72D297353CC}">
                <c16:uniqueId val="{0000001F-00CF-4434-AC53-57740E46DC4F}"/>
              </c:ext>
            </c:extLst>
          </c:dPt>
          <c:dPt>
            <c:idx val="16"/>
            <c:marker>
              <c:symbol val="circle"/>
              <c:size val="17"/>
              <c:spPr>
                <a:solidFill>
                  <a:schemeClr val="lt1"/>
                </a:solidFill>
                <a:ln>
                  <a:noFill/>
                </a:ln>
                <a:effectLst/>
              </c:spPr>
            </c:marker>
            <c:bubble3D val="0"/>
            <c:spPr>
              <a:ln w="19050" cap="rnd" cmpd="sng" algn="ctr">
                <a:solidFill>
                  <a:schemeClr val="accent5">
                    <a:lumMod val="80000"/>
                    <a:lumOff val="20000"/>
                    <a:shade val="95000"/>
                    <a:satMod val="105000"/>
                  </a:schemeClr>
                </a:solidFill>
                <a:round/>
              </a:ln>
              <a:effectLst/>
            </c:spPr>
            <c:extLst>
              <c:ext xmlns:c16="http://schemas.microsoft.com/office/drawing/2014/chart" uri="{C3380CC4-5D6E-409C-BE32-E72D297353CC}">
                <c16:uniqueId val="{00000021-00CF-4434-AC53-57740E46DC4F}"/>
              </c:ext>
            </c:extLst>
          </c:dPt>
          <c:dPt>
            <c:idx val="17"/>
            <c:marker>
              <c:symbol val="circle"/>
              <c:size val="17"/>
              <c:spPr>
                <a:solidFill>
                  <a:schemeClr val="lt1"/>
                </a:solidFill>
                <a:ln>
                  <a:noFill/>
                </a:ln>
                <a:effectLst/>
              </c:spPr>
            </c:marker>
            <c:bubble3D val="0"/>
            <c:spPr>
              <a:ln w="19050" cap="rnd" cmpd="sng" algn="ctr">
                <a:solidFill>
                  <a:schemeClr val="accent6">
                    <a:lumMod val="80000"/>
                    <a:lumOff val="20000"/>
                    <a:shade val="95000"/>
                    <a:satMod val="105000"/>
                  </a:schemeClr>
                </a:solidFill>
                <a:round/>
              </a:ln>
              <a:effectLst/>
            </c:spPr>
            <c:extLst>
              <c:ext xmlns:c16="http://schemas.microsoft.com/office/drawing/2014/chart" uri="{C3380CC4-5D6E-409C-BE32-E72D297353CC}">
                <c16:uniqueId val="{00000023-00CF-4434-AC53-57740E46DC4F}"/>
              </c:ext>
            </c:extLst>
          </c:dPt>
          <c:dPt>
            <c:idx val="18"/>
            <c:marker>
              <c:symbol val="circle"/>
              <c:size val="17"/>
              <c:spPr>
                <a:solidFill>
                  <a:schemeClr val="lt1"/>
                </a:solidFill>
                <a:ln>
                  <a:noFill/>
                </a:ln>
                <a:effectLst/>
              </c:spPr>
            </c:marker>
            <c:bubble3D val="0"/>
            <c:spPr>
              <a:ln w="19050" cap="rnd" cmpd="sng" algn="ctr">
                <a:solidFill>
                  <a:schemeClr val="accent1">
                    <a:lumMod val="80000"/>
                    <a:shade val="95000"/>
                    <a:satMod val="105000"/>
                  </a:schemeClr>
                </a:solidFill>
                <a:round/>
              </a:ln>
              <a:effectLst/>
            </c:spPr>
            <c:extLst>
              <c:ext xmlns:c16="http://schemas.microsoft.com/office/drawing/2014/chart" uri="{C3380CC4-5D6E-409C-BE32-E72D297353CC}">
                <c16:uniqueId val="{00000025-00CF-4434-AC53-57740E46DC4F}"/>
              </c:ext>
            </c:extLst>
          </c:dPt>
          <c:dPt>
            <c:idx val="19"/>
            <c:marker>
              <c:symbol val="circle"/>
              <c:size val="17"/>
              <c:spPr>
                <a:solidFill>
                  <a:schemeClr val="lt1"/>
                </a:solidFill>
                <a:ln>
                  <a:noFill/>
                </a:ln>
                <a:effectLst/>
              </c:spPr>
            </c:marker>
            <c:bubble3D val="0"/>
            <c:spPr>
              <a:ln w="19050" cap="rnd" cmpd="sng" algn="ctr">
                <a:solidFill>
                  <a:schemeClr val="accent2">
                    <a:lumMod val="80000"/>
                    <a:shade val="95000"/>
                    <a:satMod val="105000"/>
                  </a:schemeClr>
                </a:solidFill>
                <a:round/>
              </a:ln>
              <a:effectLst/>
            </c:spPr>
            <c:extLst>
              <c:ext xmlns:c16="http://schemas.microsoft.com/office/drawing/2014/chart" uri="{C3380CC4-5D6E-409C-BE32-E72D297353CC}">
                <c16:uniqueId val="{00000027-00CF-4434-AC53-57740E46DC4F}"/>
              </c:ext>
            </c:extLst>
          </c:dPt>
          <c:dPt>
            <c:idx val="20"/>
            <c:marker>
              <c:symbol val="circle"/>
              <c:size val="17"/>
              <c:spPr>
                <a:solidFill>
                  <a:schemeClr val="lt1"/>
                </a:solidFill>
                <a:ln>
                  <a:noFill/>
                </a:ln>
                <a:effectLst/>
              </c:spPr>
            </c:marker>
            <c:bubble3D val="0"/>
            <c:spPr>
              <a:ln w="19050" cap="rnd" cmpd="sng" algn="ctr">
                <a:solidFill>
                  <a:schemeClr val="accent3">
                    <a:lumMod val="80000"/>
                    <a:shade val="95000"/>
                    <a:satMod val="105000"/>
                  </a:schemeClr>
                </a:solidFill>
                <a:round/>
              </a:ln>
              <a:effectLst/>
            </c:spPr>
            <c:extLst>
              <c:ext xmlns:c16="http://schemas.microsoft.com/office/drawing/2014/chart" uri="{C3380CC4-5D6E-409C-BE32-E72D297353CC}">
                <c16:uniqueId val="{00000029-00CF-4434-AC53-57740E46DC4F}"/>
              </c:ext>
            </c:extLst>
          </c:dPt>
          <c:dPt>
            <c:idx val="21"/>
            <c:marker>
              <c:symbol val="circle"/>
              <c:size val="17"/>
              <c:spPr>
                <a:solidFill>
                  <a:schemeClr val="lt1"/>
                </a:solidFill>
                <a:ln>
                  <a:noFill/>
                </a:ln>
                <a:effectLst/>
              </c:spPr>
            </c:marker>
            <c:bubble3D val="0"/>
            <c:spPr>
              <a:ln w="19050" cap="rnd" cmpd="sng" algn="ctr">
                <a:solidFill>
                  <a:schemeClr val="accent4">
                    <a:lumMod val="80000"/>
                    <a:shade val="95000"/>
                    <a:satMod val="105000"/>
                  </a:schemeClr>
                </a:solidFill>
                <a:round/>
              </a:ln>
              <a:effectLst/>
            </c:spPr>
            <c:extLst>
              <c:ext xmlns:c16="http://schemas.microsoft.com/office/drawing/2014/chart" uri="{C3380CC4-5D6E-409C-BE32-E72D297353CC}">
                <c16:uniqueId val="{0000002B-00CF-4434-AC53-57740E46DC4F}"/>
              </c:ext>
            </c:extLst>
          </c:dPt>
          <c:dPt>
            <c:idx val="22"/>
            <c:marker>
              <c:symbol val="circle"/>
              <c:size val="17"/>
              <c:spPr>
                <a:solidFill>
                  <a:schemeClr val="lt1"/>
                </a:solidFill>
                <a:ln>
                  <a:noFill/>
                </a:ln>
                <a:effectLst/>
              </c:spPr>
            </c:marker>
            <c:bubble3D val="0"/>
            <c:spPr>
              <a:ln w="19050" cap="rnd" cmpd="sng" algn="ctr">
                <a:solidFill>
                  <a:schemeClr val="accent5">
                    <a:lumMod val="80000"/>
                    <a:shade val="95000"/>
                    <a:satMod val="105000"/>
                  </a:schemeClr>
                </a:solidFill>
                <a:round/>
              </a:ln>
              <a:effectLst/>
            </c:spPr>
            <c:extLst>
              <c:ext xmlns:c16="http://schemas.microsoft.com/office/drawing/2014/chart" uri="{C3380CC4-5D6E-409C-BE32-E72D297353CC}">
                <c16:uniqueId val="{0000002D-00CF-4434-AC53-57740E46DC4F}"/>
              </c:ext>
            </c:extLst>
          </c:dPt>
          <c:dPt>
            <c:idx val="23"/>
            <c:marker>
              <c:symbol val="circle"/>
              <c:size val="17"/>
              <c:spPr>
                <a:solidFill>
                  <a:schemeClr val="lt1"/>
                </a:solidFill>
                <a:ln>
                  <a:noFill/>
                </a:ln>
                <a:effectLst/>
              </c:spPr>
            </c:marker>
            <c:bubble3D val="0"/>
            <c:spPr>
              <a:ln w="19050" cap="rnd" cmpd="sng" algn="ctr">
                <a:solidFill>
                  <a:schemeClr val="accent6">
                    <a:lumMod val="80000"/>
                    <a:shade val="95000"/>
                    <a:satMod val="105000"/>
                  </a:schemeClr>
                </a:solidFill>
                <a:round/>
              </a:ln>
              <a:effectLst/>
            </c:spPr>
            <c:extLst>
              <c:ext xmlns:c16="http://schemas.microsoft.com/office/drawing/2014/chart" uri="{C3380CC4-5D6E-409C-BE32-E72D297353CC}">
                <c16:uniqueId val="{0000002F-00CF-4434-AC53-57740E46DC4F}"/>
              </c:ext>
            </c:extLst>
          </c:dPt>
          <c:dPt>
            <c:idx val="24"/>
            <c:marker>
              <c:symbol val="circle"/>
              <c:size val="17"/>
              <c:spPr>
                <a:solidFill>
                  <a:schemeClr val="lt1"/>
                </a:solidFill>
                <a:ln>
                  <a:noFill/>
                </a:ln>
                <a:effectLst/>
              </c:spPr>
            </c:marker>
            <c:bubble3D val="0"/>
            <c:spPr>
              <a:ln w="19050" cap="rnd" cmpd="sng" algn="ctr">
                <a:solidFill>
                  <a:schemeClr val="accent1">
                    <a:lumMod val="60000"/>
                    <a:lumOff val="40000"/>
                    <a:shade val="95000"/>
                    <a:satMod val="105000"/>
                  </a:schemeClr>
                </a:solidFill>
                <a:round/>
              </a:ln>
              <a:effectLst/>
            </c:spPr>
            <c:extLst>
              <c:ext xmlns:c16="http://schemas.microsoft.com/office/drawing/2014/chart" uri="{C3380CC4-5D6E-409C-BE32-E72D297353CC}">
                <c16:uniqueId val="{00000031-00CF-4434-AC53-57740E46DC4F}"/>
              </c:ext>
            </c:extLst>
          </c:dPt>
          <c:dPt>
            <c:idx val="25"/>
            <c:marker>
              <c:symbol val="circle"/>
              <c:size val="17"/>
              <c:spPr>
                <a:solidFill>
                  <a:schemeClr val="lt1"/>
                </a:solidFill>
                <a:ln>
                  <a:noFill/>
                </a:ln>
                <a:effectLst/>
              </c:spPr>
            </c:marker>
            <c:bubble3D val="0"/>
            <c:spPr>
              <a:ln w="19050" cap="rnd" cmpd="sng" algn="ctr">
                <a:solidFill>
                  <a:schemeClr val="accent2">
                    <a:lumMod val="60000"/>
                    <a:lumOff val="40000"/>
                    <a:shade val="95000"/>
                    <a:satMod val="105000"/>
                  </a:schemeClr>
                </a:solidFill>
                <a:round/>
              </a:ln>
              <a:effectLst/>
            </c:spPr>
            <c:extLst>
              <c:ext xmlns:c16="http://schemas.microsoft.com/office/drawing/2014/chart" uri="{C3380CC4-5D6E-409C-BE32-E72D297353CC}">
                <c16:uniqueId val="{00000033-00CF-4434-AC53-57740E46DC4F}"/>
              </c:ext>
            </c:extLst>
          </c:dPt>
          <c:dPt>
            <c:idx val="26"/>
            <c:marker>
              <c:symbol val="circle"/>
              <c:size val="17"/>
              <c:spPr>
                <a:solidFill>
                  <a:schemeClr val="lt1"/>
                </a:solidFill>
                <a:ln>
                  <a:noFill/>
                </a:ln>
                <a:effectLst/>
              </c:spPr>
            </c:marker>
            <c:bubble3D val="0"/>
            <c:spPr>
              <a:ln w="19050" cap="rnd" cmpd="sng" algn="ctr">
                <a:solidFill>
                  <a:schemeClr val="accent3">
                    <a:lumMod val="60000"/>
                    <a:lumOff val="40000"/>
                    <a:shade val="95000"/>
                    <a:satMod val="105000"/>
                  </a:schemeClr>
                </a:solidFill>
                <a:round/>
              </a:ln>
              <a:effectLst/>
            </c:spPr>
            <c:extLst>
              <c:ext xmlns:c16="http://schemas.microsoft.com/office/drawing/2014/chart" uri="{C3380CC4-5D6E-409C-BE32-E72D297353CC}">
                <c16:uniqueId val="{00000035-00CF-4434-AC53-57740E46DC4F}"/>
              </c:ext>
            </c:extLst>
          </c:dPt>
          <c:dPt>
            <c:idx val="27"/>
            <c:marker>
              <c:symbol val="circle"/>
              <c:size val="17"/>
              <c:spPr>
                <a:solidFill>
                  <a:schemeClr val="lt1"/>
                </a:solidFill>
                <a:ln>
                  <a:noFill/>
                </a:ln>
                <a:effectLst/>
              </c:spPr>
            </c:marker>
            <c:bubble3D val="0"/>
            <c:spPr>
              <a:ln w="19050" cap="rnd" cmpd="sng" algn="ctr">
                <a:solidFill>
                  <a:schemeClr val="accent4">
                    <a:lumMod val="60000"/>
                    <a:lumOff val="40000"/>
                    <a:shade val="95000"/>
                    <a:satMod val="105000"/>
                  </a:schemeClr>
                </a:solidFill>
                <a:round/>
              </a:ln>
              <a:effectLst/>
            </c:spPr>
            <c:extLst>
              <c:ext xmlns:c16="http://schemas.microsoft.com/office/drawing/2014/chart" uri="{C3380CC4-5D6E-409C-BE32-E72D297353CC}">
                <c16:uniqueId val="{00000037-00CF-4434-AC53-57740E46DC4F}"/>
              </c:ext>
            </c:extLst>
          </c:dPt>
          <c:dPt>
            <c:idx val="28"/>
            <c:marker>
              <c:symbol val="circle"/>
              <c:size val="17"/>
              <c:spPr>
                <a:solidFill>
                  <a:schemeClr val="lt1"/>
                </a:solidFill>
                <a:ln>
                  <a:noFill/>
                </a:ln>
                <a:effectLst/>
              </c:spPr>
            </c:marker>
            <c:bubble3D val="0"/>
            <c:spPr>
              <a:ln w="19050" cap="rnd" cmpd="sng" algn="ctr">
                <a:solidFill>
                  <a:schemeClr val="accent5">
                    <a:lumMod val="60000"/>
                    <a:lumOff val="40000"/>
                    <a:shade val="95000"/>
                    <a:satMod val="105000"/>
                  </a:schemeClr>
                </a:solidFill>
                <a:round/>
              </a:ln>
              <a:effectLst/>
            </c:spPr>
            <c:extLst>
              <c:ext xmlns:c16="http://schemas.microsoft.com/office/drawing/2014/chart" uri="{C3380CC4-5D6E-409C-BE32-E72D297353CC}">
                <c16:uniqueId val="{00000039-00CF-4434-AC53-57740E46DC4F}"/>
              </c:ext>
            </c:extLst>
          </c:dPt>
          <c:dPt>
            <c:idx val="29"/>
            <c:marker>
              <c:symbol val="circle"/>
              <c:size val="17"/>
              <c:spPr>
                <a:solidFill>
                  <a:schemeClr val="lt1"/>
                </a:solidFill>
                <a:ln>
                  <a:noFill/>
                </a:ln>
                <a:effectLst/>
              </c:spPr>
            </c:marker>
            <c:bubble3D val="0"/>
            <c:spPr>
              <a:ln w="19050" cap="rnd" cmpd="sng" algn="ctr">
                <a:solidFill>
                  <a:schemeClr val="accent6">
                    <a:lumMod val="60000"/>
                    <a:lumOff val="40000"/>
                    <a:shade val="95000"/>
                    <a:satMod val="105000"/>
                  </a:schemeClr>
                </a:solidFill>
                <a:round/>
              </a:ln>
              <a:effectLst/>
            </c:spPr>
            <c:extLst>
              <c:ext xmlns:c16="http://schemas.microsoft.com/office/drawing/2014/chart" uri="{C3380CC4-5D6E-409C-BE32-E72D297353CC}">
                <c16:uniqueId val="{0000003B-00CF-4434-AC53-57740E46DC4F}"/>
              </c:ext>
            </c:extLst>
          </c:dPt>
          <c:dPt>
            <c:idx val="30"/>
            <c:marker>
              <c:symbol val="circle"/>
              <c:size val="17"/>
              <c:spPr>
                <a:solidFill>
                  <a:schemeClr val="lt1"/>
                </a:solidFill>
                <a:ln>
                  <a:noFill/>
                </a:ln>
                <a:effectLst/>
              </c:spPr>
            </c:marker>
            <c:bubble3D val="0"/>
            <c:spPr>
              <a:ln w="19050" cap="rnd" cmpd="sng" algn="ctr">
                <a:solidFill>
                  <a:schemeClr val="accent1">
                    <a:lumMod val="50000"/>
                    <a:shade val="95000"/>
                    <a:satMod val="105000"/>
                  </a:schemeClr>
                </a:solidFill>
                <a:round/>
              </a:ln>
              <a:effectLst/>
            </c:spPr>
            <c:extLst>
              <c:ext xmlns:c16="http://schemas.microsoft.com/office/drawing/2014/chart" uri="{C3380CC4-5D6E-409C-BE32-E72D297353CC}">
                <c16:uniqueId val="{0000003D-00CF-4434-AC53-57740E46DC4F}"/>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1-00CF-4434-AC53-57740E46DC4F}"/>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3-00CF-4434-AC53-57740E46DC4F}"/>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5-00CF-4434-AC53-57740E46DC4F}"/>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7-00CF-4434-AC53-57740E46DC4F}"/>
                </c:ext>
              </c:extLst>
            </c:dLbl>
            <c:dLbl>
              <c:idx val="4"/>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9-00CF-4434-AC53-57740E46DC4F}"/>
                </c:ext>
              </c:extLst>
            </c:dLbl>
            <c:dLbl>
              <c:idx val="5"/>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B-00CF-4434-AC53-57740E46DC4F}"/>
                </c:ext>
              </c:extLst>
            </c:dLbl>
            <c:dLbl>
              <c:idx val="6"/>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6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D-00CF-4434-AC53-57740E46DC4F}"/>
                </c:ext>
              </c:extLst>
            </c:dLbl>
            <c:dLbl>
              <c:idx val="7"/>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6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0F-00CF-4434-AC53-57740E46DC4F}"/>
                </c:ext>
              </c:extLst>
            </c:dLbl>
            <c:dLbl>
              <c:idx val="8"/>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11-00CF-4434-AC53-57740E46DC4F}"/>
                </c:ext>
              </c:extLst>
            </c:dLbl>
            <c:dLbl>
              <c:idx val="9"/>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13-00CF-4434-AC53-57740E46DC4F}"/>
                </c:ext>
              </c:extLst>
            </c:dLbl>
            <c:dLbl>
              <c:idx val="1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6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15-00CF-4434-AC53-57740E46DC4F}"/>
                </c:ext>
              </c:extLst>
            </c:dLbl>
            <c:dLbl>
              <c:idx val="1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6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17-00CF-4434-AC53-57740E46DC4F}"/>
                </c:ext>
              </c:extLst>
            </c:dLbl>
            <c:dLbl>
              <c:idx val="1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80000"/>
                          <a:lumOff val="2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19-00CF-4434-AC53-57740E46DC4F}"/>
                </c:ext>
              </c:extLst>
            </c:dLbl>
            <c:dLbl>
              <c:idx val="1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80000"/>
                          <a:lumOff val="2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1B-00CF-4434-AC53-57740E46DC4F}"/>
                </c:ext>
              </c:extLst>
            </c:dLbl>
            <c:dLbl>
              <c:idx val="14"/>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80000"/>
                          <a:lumOff val="2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1D-00CF-4434-AC53-57740E46DC4F}"/>
                </c:ext>
              </c:extLst>
            </c:dLbl>
            <c:dLbl>
              <c:idx val="15"/>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80000"/>
                          <a:lumOff val="2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1F-00CF-4434-AC53-57740E46DC4F}"/>
                </c:ext>
              </c:extLst>
            </c:dLbl>
            <c:dLbl>
              <c:idx val="16"/>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80000"/>
                          <a:lumOff val="2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21-00CF-4434-AC53-57740E46DC4F}"/>
                </c:ext>
              </c:extLst>
            </c:dLbl>
            <c:dLbl>
              <c:idx val="17"/>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80000"/>
                          <a:lumOff val="2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23-00CF-4434-AC53-57740E46DC4F}"/>
                </c:ext>
              </c:extLst>
            </c:dLbl>
            <c:dLbl>
              <c:idx val="18"/>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8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25-00CF-4434-AC53-57740E46DC4F}"/>
                </c:ext>
              </c:extLst>
            </c:dLbl>
            <c:dLbl>
              <c:idx val="19"/>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8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27-00CF-4434-AC53-57740E46DC4F}"/>
                </c:ext>
              </c:extLst>
            </c:dLbl>
            <c:dLbl>
              <c:idx val="2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8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29-00CF-4434-AC53-57740E46DC4F}"/>
                </c:ext>
              </c:extLst>
            </c:dLbl>
            <c:dLbl>
              <c:idx val="2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8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2B-00CF-4434-AC53-57740E46DC4F}"/>
                </c:ext>
              </c:extLst>
            </c:dLbl>
            <c:dLbl>
              <c:idx val="2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8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2D-00CF-4434-AC53-57740E46DC4F}"/>
                </c:ext>
              </c:extLst>
            </c:dLbl>
            <c:dLbl>
              <c:idx val="2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8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2F-00CF-4434-AC53-57740E46DC4F}"/>
                </c:ext>
              </c:extLst>
            </c:dLbl>
            <c:dLbl>
              <c:idx val="24"/>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60000"/>
                          <a:lumOff val="4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31-00CF-4434-AC53-57740E46DC4F}"/>
                </c:ext>
              </c:extLst>
            </c:dLbl>
            <c:dLbl>
              <c:idx val="25"/>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60000"/>
                          <a:lumOff val="4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33-00CF-4434-AC53-57740E46DC4F}"/>
                </c:ext>
              </c:extLst>
            </c:dLbl>
            <c:dLbl>
              <c:idx val="26"/>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35-00CF-4434-AC53-57740E46DC4F}"/>
                </c:ext>
              </c:extLst>
            </c:dLbl>
            <c:dLbl>
              <c:idx val="27"/>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60000"/>
                          <a:lumOff val="4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37-00CF-4434-AC53-57740E46DC4F}"/>
                </c:ext>
              </c:extLst>
            </c:dLbl>
            <c:dLbl>
              <c:idx val="28"/>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60000"/>
                          <a:lumOff val="4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39-00CF-4434-AC53-57740E46DC4F}"/>
                </c:ext>
              </c:extLst>
            </c:dLbl>
            <c:dLbl>
              <c:idx val="29"/>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60000"/>
                          <a:lumOff val="4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3B-00CF-4434-AC53-57740E46DC4F}"/>
                </c:ext>
              </c:extLst>
            </c:dLbl>
            <c:dLbl>
              <c:idx val="3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s-CL"/>
                </a:p>
              </c:txPr>
              <c:dLblPos val="ctr"/>
              <c:showLegendKey val="0"/>
              <c:showVal val="1"/>
              <c:showCatName val="0"/>
              <c:showSerName val="0"/>
              <c:showPercent val="0"/>
              <c:showBubbleSize val="1"/>
              <c:extLst>
                <c:ext xmlns:c16="http://schemas.microsoft.com/office/drawing/2014/chart" uri="{C3380CC4-5D6E-409C-BE32-E72D297353CC}">
                  <c16:uniqueId val="{0000003D-00CF-4434-AC53-57740E46DC4F}"/>
                </c:ext>
              </c:extLst>
            </c:dLbl>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PANEL!$A$27:$A$57</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PANEL!$B$27:$B$57</c:f>
              <c:numCache>
                <c:formatCode>General</c:formatCode>
                <c:ptCount val="31"/>
                <c:pt idx="0">
                  <c:v>8</c:v>
                </c:pt>
                <c:pt idx="1">
                  <c:v>7</c:v>
                </c:pt>
                <c:pt idx="2">
                  <c:v>7</c:v>
                </c:pt>
                <c:pt idx="3">
                  <c:v>8</c:v>
                </c:pt>
                <c:pt idx="4">
                  <c:v>8</c:v>
                </c:pt>
                <c:pt idx="5">
                  <c:v>7</c:v>
                </c:pt>
                <c:pt idx="6">
                  <c:v>7</c:v>
                </c:pt>
                <c:pt idx="7">
                  <c:v>9</c:v>
                </c:pt>
                <c:pt idx="8">
                  <c:v>8</c:v>
                </c:pt>
                <c:pt idx="9">
                  <c:v>8</c:v>
                </c:pt>
                <c:pt idx="10">
                  <c:v>8</c:v>
                </c:pt>
                <c:pt idx="11">
                  <c:v>10</c:v>
                </c:pt>
                <c:pt idx="12">
                  <c:v>7</c:v>
                </c:pt>
                <c:pt idx="13">
                  <c:v>8</c:v>
                </c:pt>
                <c:pt idx="14">
                  <c:v>8</c:v>
                </c:pt>
                <c:pt idx="15">
                  <c:v>7</c:v>
                </c:pt>
                <c:pt idx="16">
                  <c:v>7</c:v>
                </c:pt>
                <c:pt idx="17">
                  <c:v>8</c:v>
                </c:pt>
                <c:pt idx="18">
                  <c:v>8</c:v>
                </c:pt>
                <c:pt idx="19">
                  <c:v>7</c:v>
                </c:pt>
                <c:pt idx="20">
                  <c:v>8</c:v>
                </c:pt>
                <c:pt idx="21">
                  <c:v>9</c:v>
                </c:pt>
                <c:pt idx="22">
                  <c:v>8</c:v>
                </c:pt>
                <c:pt idx="23">
                  <c:v>8</c:v>
                </c:pt>
                <c:pt idx="24">
                  <c:v>8</c:v>
                </c:pt>
                <c:pt idx="25">
                  <c:v>8</c:v>
                </c:pt>
                <c:pt idx="26">
                  <c:v>7</c:v>
                </c:pt>
                <c:pt idx="27">
                  <c:v>8</c:v>
                </c:pt>
                <c:pt idx="28">
                  <c:v>8</c:v>
                </c:pt>
                <c:pt idx="29">
                  <c:v>7</c:v>
                </c:pt>
                <c:pt idx="30">
                  <c:v>7</c:v>
                </c:pt>
              </c:numCache>
            </c:numRef>
          </c:val>
          <c:smooth val="0"/>
          <c:extLst>
            <c:ext xmlns:c16="http://schemas.microsoft.com/office/drawing/2014/chart" uri="{C3380CC4-5D6E-409C-BE32-E72D297353CC}">
              <c16:uniqueId val="{0000003E-00CF-4434-AC53-57740E46DC4F}"/>
            </c:ext>
          </c:extLst>
        </c:ser>
        <c:dLbls>
          <c:dLblPos val="ctr"/>
          <c:showLegendKey val="0"/>
          <c:showVal val="1"/>
          <c:showCatName val="0"/>
          <c:showSerName val="0"/>
          <c:showPercent val="0"/>
          <c:showBubbleSize val="0"/>
        </c:dLbls>
        <c:hiLowLines>
          <c:spPr>
            <a:ln w="9525">
              <a:solidFill>
                <a:schemeClr val="dk1">
                  <a:lumMod val="35000"/>
                  <a:lumOff val="65000"/>
                </a:schemeClr>
              </a:solidFill>
            </a:ln>
            <a:effectLst/>
          </c:spPr>
        </c:hiLowLines>
        <c:marker val="1"/>
        <c:smooth val="0"/>
        <c:axId val="99795010"/>
        <c:axId val="27116231"/>
      </c:lineChart>
      <c:catAx>
        <c:axId val="99795010"/>
        <c:scaling>
          <c:orientation val="minMax"/>
        </c:scaling>
        <c:delete val="0"/>
        <c:axPos val="b"/>
        <c:title>
          <c:tx>
            <c:rich>
              <a:bodyPr rot="0" spcFirstLastPara="1" vertOverflow="ellipsis" wrap="square" anchor="ctr" anchorCtr="1"/>
              <a:lstStyle/>
              <a:p>
                <a:pPr>
                  <a:defRPr sz="900" b="0" i="0" u="none" strike="noStrike" kern="1200" baseline="0">
                    <a:solidFill>
                      <a:schemeClr val="dk1">
                        <a:lumMod val="65000"/>
                        <a:lumOff val="35000"/>
                      </a:schemeClr>
                    </a:solidFill>
                    <a:latin typeface="+mn-lt"/>
                    <a:ea typeface="+mn-ea"/>
                    <a:cs typeface="+mn-cs"/>
                  </a:defRPr>
                </a:pPr>
                <a:r>
                  <a:rPr lang="es-CL"/>
                  <a:t>día</a:t>
                </a:r>
              </a:p>
            </c:rich>
          </c:tx>
          <c:overlay val="0"/>
          <c:spPr>
            <a:noFill/>
            <a:ln>
              <a:noFill/>
            </a:ln>
            <a:effectLst/>
          </c:spPr>
          <c:txPr>
            <a:bodyPr rot="0" spcFirstLastPara="1" vertOverflow="ellipsis"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s-CL"/>
          </a:p>
        </c:txPr>
        <c:crossAx val="27116231"/>
        <c:crosses val="autoZero"/>
        <c:auto val="1"/>
        <c:lblAlgn val="ctr"/>
        <c:lblOffset val="100"/>
        <c:noMultiLvlLbl val="0"/>
      </c:catAx>
      <c:valAx>
        <c:axId val="27116231"/>
        <c:scaling>
          <c:orientation val="minMax"/>
        </c:scaling>
        <c:delete val="1"/>
        <c:axPos val="l"/>
        <c:title>
          <c:tx>
            <c:rich>
              <a:bodyPr rot="-5400000" spcFirstLastPara="1" vertOverflow="ellipsis" wrap="square" anchor="ctr" anchorCtr="1"/>
              <a:lstStyle/>
              <a:p>
                <a:pPr>
                  <a:defRPr sz="900" b="0" i="0" u="none" strike="noStrike" kern="1200" baseline="0">
                    <a:solidFill>
                      <a:schemeClr val="dk1">
                        <a:lumMod val="65000"/>
                        <a:lumOff val="35000"/>
                      </a:schemeClr>
                    </a:solidFill>
                    <a:latin typeface="+mn-lt"/>
                    <a:ea typeface="+mn-ea"/>
                    <a:cs typeface="+mn-cs"/>
                  </a:defRPr>
                </a:pPr>
                <a:r>
                  <a:rPr lang="es-CL"/>
                  <a:t>hábitos</a:t>
                </a:r>
              </a:p>
            </c:rich>
          </c:tx>
          <c:layout>
            <c:manualLayout>
              <c:xMode val="edge"/>
              <c:yMode val="edge"/>
              <c:x val="1.6669538249483098E-2"/>
              <c:y val="0.50109301177632004"/>
            </c:manualLayout>
          </c:layout>
          <c:overlay val="0"/>
          <c:spPr>
            <a:noFill/>
            <a:ln>
              <a:noFill/>
            </a:ln>
            <a:effectLst/>
          </c:spPr>
          <c:txPr>
            <a:bodyPr rot="-5400000" spcFirstLastPara="1" vertOverflow="ellipsis"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title>
        <c:numFmt formatCode="General" sourceLinked="1"/>
        <c:majorTickMark val="none"/>
        <c:minorTickMark val="none"/>
        <c:tickLblPos val="nextTo"/>
        <c:crossAx val="997950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CL"/>
        </a:p>
      </c:txPr>
    </c:legend>
    <c:plotVisOnly val="1"/>
    <c:dispBlanksAs val="gap"/>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19080</xdr:colOff>
      <xdr:row>13</xdr:row>
      <xdr:rowOff>38160</xdr:rowOff>
    </xdr:from>
    <xdr:to>
      <xdr:col>14</xdr:col>
      <xdr:colOff>341280</xdr:colOff>
      <xdr:row>22</xdr:row>
      <xdr:rowOff>139680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104760</xdr:colOff>
      <xdr:row>26</xdr:row>
      <xdr:rowOff>95400</xdr:rowOff>
    </xdr:from>
    <xdr:to>
      <xdr:col>15</xdr:col>
      <xdr:colOff>34200</xdr:colOff>
      <xdr:row>53</xdr:row>
      <xdr:rowOff>56520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3B44"/>
  </sheetPr>
  <dimension ref="A1:Q38"/>
  <sheetViews>
    <sheetView showGridLines="0" zoomScaleNormal="100" workbookViewId="0">
      <selection activeCell="N11" sqref="N11"/>
    </sheetView>
  </sheetViews>
  <sheetFormatPr baseColWidth="10" defaultColWidth="9.140625" defaultRowHeight="15"/>
  <cols>
    <col min="1" max="1" width="18.5703125" style="14" customWidth="1"/>
    <col min="2" max="2" width="15"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7.75" customHeight="1">
      <c r="A4" s="11" t="s">
        <v>2</v>
      </c>
      <c r="B4" s="11"/>
      <c r="C4" s="11"/>
      <c r="D4" s="11"/>
      <c r="E4" s="11"/>
      <c r="F4" s="11"/>
      <c r="G4" s="11"/>
      <c r="H4" s="11"/>
      <c r="I4" s="11"/>
      <c r="J4" s="11"/>
      <c r="K4" s="11"/>
      <c r="L4" s="11"/>
      <c r="M4" s="11"/>
      <c r="N4" s="11"/>
      <c r="O4" s="11"/>
      <c r="P4" s="11"/>
      <c r="Q4" s="11"/>
    </row>
    <row r="5" spans="1:17" ht="27.75" customHeight="1">
      <c r="A5" s="10" t="str">
        <f>HYPERLINK("#DATOS!A1","▶  DATOS")</f>
        <v>▶  DATOS</v>
      </c>
      <c r="B5" s="10"/>
      <c r="C5" s="10" t="str">
        <f>HYPERLINK("#HABITOS!A1","▶  HABITOS")</f>
        <v>▶  HABITOS</v>
      </c>
      <c r="D5" s="10"/>
      <c r="E5" s="10" t="str">
        <f>HYPERLINK("#REGISTRO!A1","▶  REGISTRO")</f>
        <v>▶  REGISTRO</v>
      </c>
      <c r="F5" s="10"/>
      <c r="G5" s="10" t="str">
        <f>HYPERLINK("#ANALISIS!A1","▶  ANALISIS")</f>
        <v>▶  ANALISIS</v>
      </c>
      <c r="H5" s="10"/>
      <c r="I5" s="10" t="str">
        <f>HYPERLINK("#PANEL!A1","▶  PANEL")</f>
        <v>▶  PANEL</v>
      </c>
      <c r="J5" s="10"/>
      <c r="K5" s="10" t="str">
        <f>HYPERLINK("#FUENTES!A1","▶  FUENTES")</f>
        <v>▶  FUENTES</v>
      </c>
      <c r="L5" s="10"/>
      <c r="M5" s="10" t="str">
        <f>HYPERLINK("#PRUEBAS!A1","▶  PRUEBAS")</f>
        <v>▶  PRUEBAS</v>
      </c>
      <c r="N5" s="10"/>
      <c r="O5" s="10" t="str">
        <f>HYPERLINK("#CONFIG!A1","▶  CONFIG")</f>
        <v>▶  CONFIG</v>
      </c>
      <c r="P5" s="10"/>
      <c r="Q5" s="10"/>
    </row>
    <row r="6" spans="1:17" ht="29.25" customHeight="1">
      <c r="A6" s="9" t="s">
        <v>3</v>
      </c>
      <c r="B6" s="9"/>
      <c r="C6" s="9" t="s">
        <v>4</v>
      </c>
      <c r="D6" s="9"/>
      <c r="E6" s="9" t="s">
        <v>5</v>
      </c>
      <c r="F6" s="9"/>
      <c r="G6" s="9" t="s">
        <v>6</v>
      </c>
      <c r="H6" s="9"/>
      <c r="I6" s="9" t="s">
        <v>7</v>
      </c>
      <c r="J6" s="9"/>
      <c r="K6" s="9" t="s">
        <v>8</v>
      </c>
      <c r="L6" s="9"/>
      <c r="M6" s="9" t="s">
        <v>9</v>
      </c>
      <c r="N6" s="9"/>
      <c r="O6" s="9" t="s">
        <v>10</v>
      </c>
      <c r="P6" s="9"/>
      <c r="Q6" s="9"/>
    </row>
    <row r="7" spans="1:17" ht="27.75" customHeight="1">
      <c r="A7" s="10" t="str">
        <f>HYPERLINK("#CHANGELOG!A1","▶  CHANGELOG")</f>
        <v>▶  CHANGELOG</v>
      </c>
      <c r="B7" s="10"/>
    </row>
    <row r="8" spans="1:17" ht="29.25" customHeight="1">
      <c r="A8" s="9" t="s">
        <v>11</v>
      </c>
      <c r="B8" s="9"/>
    </row>
    <row r="10" spans="1:17" ht="22.5" customHeight="1">
      <c r="A10" s="80" t="s">
        <v>12</v>
      </c>
      <c r="B10" s="80"/>
      <c r="C10" s="81" t="s">
        <v>13</v>
      </c>
      <c r="D10" s="81"/>
      <c r="E10" s="81"/>
      <c r="F10" s="81"/>
      <c r="G10" s="81"/>
      <c r="H10" s="81"/>
      <c r="I10" s="81"/>
      <c r="J10" s="81"/>
      <c r="K10" s="81"/>
    </row>
    <row r="11" spans="1:17" ht="22.5" customHeight="1">
      <c r="A11" s="80" t="s">
        <v>14</v>
      </c>
      <c r="B11" s="80"/>
      <c r="C11" s="81" t="s">
        <v>15</v>
      </c>
      <c r="D11" s="81"/>
      <c r="E11" s="81"/>
      <c r="F11" s="81"/>
      <c r="G11" s="81"/>
      <c r="H11" s="81"/>
      <c r="I11" s="81"/>
      <c r="J11" s="81"/>
      <c r="K11" s="81"/>
    </row>
    <row r="12" spans="1:17" ht="22.5" customHeight="1">
      <c r="A12" s="80" t="s">
        <v>16</v>
      </c>
      <c r="B12" s="80"/>
      <c r="C12" s="81" t="s">
        <v>17</v>
      </c>
      <c r="D12" s="81"/>
      <c r="E12" s="81"/>
      <c r="F12" s="81"/>
      <c r="G12" s="81"/>
      <c r="H12" s="81"/>
      <c r="I12" s="81"/>
      <c r="J12" s="81"/>
      <c r="K12" s="81"/>
    </row>
    <row r="13" spans="1:17" ht="22.5" customHeight="1">
      <c r="A13" s="80" t="s">
        <v>18</v>
      </c>
      <c r="B13" s="80"/>
      <c r="C13" s="81" t="s">
        <v>19</v>
      </c>
      <c r="D13" s="81"/>
      <c r="E13" s="81"/>
      <c r="F13" s="81"/>
      <c r="G13" s="81"/>
      <c r="H13" s="81"/>
      <c r="I13" s="81"/>
      <c r="J13" s="81"/>
      <c r="K13" s="81"/>
    </row>
    <row r="14" spans="1:17" ht="22.5" customHeight="1">
      <c r="A14" s="80" t="s">
        <v>20</v>
      </c>
      <c r="B14" s="80"/>
      <c r="C14" s="81" t="s">
        <v>21</v>
      </c>
      <c r="D14" s="81"/>
      <c r="E14" s="81"/>
      <c r="F14" s="81"/>
      <c r="G14" s="81"/>
      <c r="H14" s="81"/>
      <c r="I14" s="81"/>
      <c r="J14" s="81"/>
      <c r="K14" s="81"/>
    </row>
    <row r="15" spans="1:17" ht="22.5" customHeight="1">
      <c r="A15" s="80" t="s">
        <v>22</v>
      </c>
      <c r="B15" s="80"/>
      <c r="C15" s="81" t="s">
        <v>23</v>
      </c>
      <c r="D15" s="81"/>
      <c r="E15" s="81"/>
      <c r="F15" s="81"/>
      <c r="G15" s="81"/>
      <c r="H15" s="81"/>
      <c r="I15" s="81"/>
      <c r="J15" s="81"/>
      <c r="K15" s="81"/>
    </row>
    <row r="17" spans="1:17" ht="19.5" customHeight="1">
      <c r="A17" s="6" t="s">
        <v>24</v>
      </c>
      <c r="B17" s="6"/>
      <c r="C17" s="6"/>
      <c r="D17" s="6"/>
      <c r="E17" s="6"/>
      <c r="F17" s="6"/>
      <c r="G17" s="6"/>
      <c r="H17" s="6"/>
      <c r="I17" s="6"/>
      <c r="J17" s="6"/>
      <c r="K17" s="6"/>
      <c r="L17" s="6"/>
      <c r="M17" s="6"/>
      <c r="N17" s="6"/>
      <c r="O17" s="6"/>
      <c r="P17" s="6"/>
      <c r="Q17" s="6"/>
    </row>
    <row r="18" spans="1:17" ht="27.75" customHeight="1">
      <c r="A18" s="5" t="s">
        <v>25</v>
      </c>
      <c r="B18" s="5"/>
      <c r="C18" s="5"/>
      <c r="D18" s="5"/>
      <c r="E18" s="5"/>
      <c r="F18" s="5"/>
      <c r="G18" s="5"/>
      <c r="H18" s="5"/>
      <c r="I18" s="5"/>
      <c r="J18" s="5"/>
      <c r="K18" s="5"/>
      <c r="L18" s="5"/>
      <c r="M18" s="5"/>
      <c r="N18" s="5"/>
      <c r="O18" s="5"/>
      <c r="P18" s="5"/>
      <c r="Q18" s="5"/>
    </row>
    <row r="19" spans="1:17" ht="27.75" customHeight="1">
      <c r="A19" s="5" t="s">
        <v>26</v>
      </c>
      <c r="B19" s="5"/>
      <c r="C19" s="5"/>
      <c r="D19" s="5"/>
      <c r="E19" s="5"/>
      <c r="F19" s="5"/>
      <c r="G19" s="5"/>
      <c r="H19" s="5"/>
      <c r="I19" s="5"/>
      <c r="J19" s="5"/>
      <c r="K19" s="5"/>
      <c r="L19" s="5"/>
      <c r="M19" s="5"/>
      <c r="N19" s="5"/>
      <c r="O19" s="5"/>
      <c r="P19" s="5"/>
      <c r="Q19" s="5"/>
    </row>
    <row r="20" spans="1:17" ht="27.75" customHeight="1">
      <c r="A20" s="5" t="s">
        <v>27</v>
      </c>
      <c r="B20" s="5"/>
      <c r="C20" s="5"/>
      <c r="D20" s="5"/>
      <c r="E20" s="5"/>
      <c r="F20" s="5"/>
      <c r="G20" s="5"/>
      <c r="H20" s="5"/>
      <c r="I20" s="5"/>
      <c r="J20" s="5"/>
      <c r="K20" s="5"/>
      <c r="L20" s="5"/>
      <c r="M20" s="5"/>
      <c r="N20" s="5"/>
      <c r="O20" s="5"/>
      <c r="P20" s="5"/>
      <c r="Q20" s="5"/>
    </row>
    <row r="21" spans="1:17" ht="27.75" customHeight="1">
      <c r="A21" s="5" t="s">
        <v>28</v>
      </c>
      <c r="B21" s="5"/>
      <c r="C21" s="5"/>
      <c r="D21" s="5"/>
      <c r="E21" s="5"/>
      <c r="F21" s="5"/>
      <c r="G21" s="5"/>
      <c r="H21" s="5"/>
      <c r="I21" s="5"/>
      <c r="J21" s="5"/>
      <c r="K21" s="5"/>
      <c r="L21" s="5"/>
      <c r="M21" s="5"/>
      <c r="N21" s="5"/>
      <c r="O21" s="5"/>
      <c r="P21" s="5"/>
      <c r="Q21" s="5"/>
    </row>
    <row r="23" spans="1:17" ht="19.5" customHeight="1">
      <c r="A23" s="6" t="s">
        <v>29</v>
      </c>
      <c r="B23" s="6"/>
      <c r="C23" s="6"/>
      <c r="D23" s="6"/>
      <c r="E23" s="6"/>
      <c r="F23" s="6"/>
      <c r="G23" s="6"/>
      <c r="H23" s="6"/>
      <c r="I23" s="6"/>
      <c r="J23" s="6"/>
      <c r="K23" s="6"/>
      <c r="L23" s="6"/>
      <c r="M23" s="6"/>
      <c r="N23" s="6"/>
      <c r="O23" s="6"/>
      <c r="P23" s="6"/>
      <c r="Q23" s="6"/>
    </row>
    <row r="24" spans="1:17" ht="25.5" customHeight="1">
      <c r="A24" s="4" t="s">
        <v>30</v>
      </c>
      <c r="B24" s="4"/>
      <c r="C24" s="4"/>
      <c r="D24" s="4"/>
      <c r="E24" s="4"/>
      <c r="F24" s="4"/>
      <c r="G24" s="4"/>
      <c r="H24" s="4"/>
      <c r="I24" s="4"/>
      <c r="J24" s="4"/>
      <c r="K24" s="4"/>
      <c r="L24" s="4"/>
      <c r="M24" s="4"/>
      <c r="N24" s="4"/>
      <c r="O24" s="4"/>
      <c r="P24" s="4"/>
      <c r="Q24" s="4"/>
    </row>
    <row r="25" spans="1:17" ht="25.5" customHeight="1">
      <c r="A25" s="4" t="s">
        <v>31</v>
      </c>
      <c r="B25" s="4"/>
      <c r="C25" s="4"/>
      <c r="D25" s="4"/>
      <c r="E25" s="4"/>
      <c r="F25" s="4"/>
      <c r="G25" s="4"/>
      <c r="H25" s="4"/>
      <c r="I25" s="4"/>
      <c r="J25" s="4"/>
      <c r="K25" s="4"/>
      <c r="L25" s="4"/>
      <c r="M25" s="4"/>
      <c r="N25" s="4"/>
      <c r="O25" s="4"/>
      <c r="P25" s="4"/>
      <c r="Q25" s="4"/>
    </row>
    <row r="26" spans="1:17" ht="25.5" customHeight="1">
      <c r="A26" s="4" t="s">
        <v>32</v>
      </c>
      <c r="B26" s="4"/>
      <c r="C26" s="4"/>
      <c r="D26" s="4"/>
      <c r="E26" s="4"/>
      <c r="F26" s="4"/>
      <c r="G26" s="4"/>
      <c r="H26" s="4"/>
      <c r="I26" s="4"/>
      <c r="J26" s="4"/>
      <c r="K26" s="4"/>
      <c r="L26" s="4"/>
      <c r="M26" s="4"/>
      <c r="N26" s="4"/>
      <c r="O26" s="4"/>
      <c r="P26" s="4"/>
      <c r="Q26" s="4"/>
    </row>
    <row r="27" spans="1:17" ht="25.5" customHeight="1">
      <c r="A27" s="4" t="s">
        <v>33</v>
      </c>
      <c r="B27" s="4"/>
      <c r="C27" s="4"/>
      <c r="D27" s="4"/>
      <c r="E27" s="4"/>
      <c r="F27" s="4"/>
      <c r="G27" s="4"/>
      <c r="H27" s="4"/>
      <c r="I27" s="4"/>
      <c r="J27" s="4"/>
      <c r="K27" s="4"/>
      <c r="L27" s="4"/>
      <c r="M27" s="4"/>
      <c r="N27" s="4"/>
      <c r="O27" s="4"/>
      <c r="P27" s="4"/>
      <c r="Q27" s="4"/>
    </row>
    <row r="28" spans="1:17" ht="25.5" customHeight="1">
      <c r="A28" s="4" t="s">
        <v>34</v>
      </c>
      <c r="B28" s="4"/>
      <c r="C28" s="4"/>
      <c r="D28" s="4"/>
      <c r="E28" s="4"/>
      <c r="F28" s="4"/>
      <c r="G28" s="4"/>
      <c r="H28" s="4"/>
      <c r="I28" s="4"/>
      <c r="J28" s="4"/>
      <c r="K28" s="4"/>
      <c r="L28" s="4"/>
      <c r="M28" s="4"/>
      <c r="N28" s="4"/>
      <c r="O28" s="4"/>
      <c r="P28" s="4"/>
      <c r="Q28" s="4"/>
    </row>
    <row r="29" spans="1:17" ht="25.5" customHeight="1">
      <c r="A29" s="4" t="s">
        <v>35</v>
      </c>
      <c r="B29" s="4"/>
      <c r="C29" s="4"/>
      <c r="D29" s="4"/>
      <c r="E29" s="4"/>
      <c r="F29" s="4"/>
      <c r="G29" s="4"/>
      <c r="H29" s="4"/>
      <c r="I29" s="4"/>
      <c r="J29" s="4"/>
      <c r="K29" s="4"/>
      <c r="L29" s="4"/>
      <c r="M29" s="4"/>
      <c r="N29" s="4"/>
      <c r="O29" s="4"/>
      <c r="P29" s="4"/>
      <c r="Q29" s="4"/>
    </row>
    <row r="31" spans="1:17" ht="19.5" customHeight="1">
      <c r="A31" s="6" t="s">
        <v>36</v>
      </c>
      <c r="B31" s="6"/>
      <c r="C31" s="6"/>
      <c r="D31" s="6"/>
      <c r="E31" s="6"/>
      <c r="F31" s="6"/>
      <c r="G31" s="6"/>
      <c r="H31" s="6"/>
      <c r="I31" s="6"/>
      <c r="J31" s="6"/>
      <c r="K31" s="6"/>
      <c r="L31" s="6"/>
      <c r="M31" s="6"/>
      <c r="N31" s="6"/>
      <c r="O31" s="6"/>
      <c r="P31" s="6"/>
      <c r="Q31" s="6"/>
    </row>
    <row r="32" spans="1:17" ht="19.5" customHeight="1">
      <c r="A32" s="3">
        <v>1</v>
      </c>
      <c r="B32" s="3"/>
      <c r="C32" s="7" t="s">
        <v>37</v>
      </c>
      <c r="D32" s="7"/>
      <c r="E32" s="7"/>
      <c r="F32" s="7"/>
      <c r="G32" s="7"/>
      <c r="H32" s="7"/>
      <c r="I32" s="7"/>
      <c r="J32" s="7"/>
      <c r="K32" s="7"/>
      <c r="L32" s="7"/>
      <c r="M32" s="7"/>
      <c r="N32" s="7"/>
      <c r="O32" s="7"/>
      <c r="P32" s="7"/>
      <c r="Q32" s="7"/>
    </row>
    <row r="33" spans="1:17" ht="19.5" customHeight="1">
      <c r="A33" s="3">
        <v>2</v>
      </c>
      <c r="B33" s="3"/>
      <c r="C33" s="7" t="s">
        <v>38</v>
      </c>
      <c r="D33" s="7"/>
      <c r="E33" s="7"/>
      <c r="F33" s="7"/>
      <c r="G33" s="7"/>
      <c r="H33" s="7"/>
      <c r="I33" s="7"/>
      <c r="J33" s="7"/>
      <c r="K33" s="7"/>
      <c r="L33" s="7"/>
      <c r="M33" s="7"/>
      <c r="N33" s="7"/>
      <c r="O33" s="7"/>
      <c r="P33" s="7"/>
      <c r="Q33" s="7"/>
    </row>
    <row r="34" spans="1:17" ht="19.5" customHeight="1">
      <c r="A34" s="3">
        <v>3</v>
      </c>
      <c r="B34" s="3"/>
      <c r="C34" s="7" t="s">
        <v>39</v>
      </c>
      <c r="D34" s="7"/>
      <c r="E34" s="7"/>
      <c r="F34" s="7"/>
      <c r="G34" s="7"/>
      <c r="H34" s="7"/>
      <c r="I34" s="7"/>
      <c r="J34" s="7"/>
      <c r="K34" s="7"/>
      <c r="L34" s="7"/>
      <c r="M34" s="7"/>
      <c r="N34" s="7"/>
      <c r="O34" s="7"/>
      <c r="P34" s="7"/>
      <c r="Q34" s="7"/>
    </row>
    <row r="35" spans="1:17" ht="19.5" customHeight="1">
      <c r="A35" s="3">
        <v>4</v>
      </c>
      <c r="B35" s="3"/>
      <c r="C35" s="7" t="s">
        <v>40</v>
      </c>
      <c r="D35" s="7"/>
      <c r="E35" s="7"/>
      <c r="F35" s="7"/>
      <c r="G35" s="7"/>
      <c r="H35" s="7"/>
      <c r="I35" s="7"/>
      <c r="J35" s="7"/>
      <c r="K35" s="7"/>
      <c r="L35" s="7"/>
      <c r="M35" s="7"/>
      <c r="N35" s="7"/>
      <c r="O35" s="7"/>
      <c r="P35" s="7"/>
      <c r="Q35" s="7"/>
    </row>
    <row r="36" spans="1:17" ht="19.5" customHeight="1">
      <c r="A36" s="3">
        <v>5</v>
      </c>
      <c r="B36" s="3"/>
      <c r="C36" s="7" t="s">
        <v>41</v>
      </c>
      <c r="D36" s="7"/>
      <c r="E36" s="7"/>
      <c r="F36" s="7"/>
      <c r="G36" s="7"/>
      <c r="H36" s="7"/>
      <c r="I36" s="7"/>
      <c r="J36" s="7"/>
      <c r="K36" s="7"/>
      <c r="L36" s="7"/>
      <c r="M36" s="7"/>
      <c r="N36" s="7"/>
      <c r="O36" s="7"/>
      <c r="P36" s="7"/>
      <c r="Q36" s="7"/>
    </row>
    <row r="37" spans="1:17" ht="19.5" customHeight="1">
      <c r="A37" s="3">
        <v>6</v>
      </c>
      <c r="B37" s="3"/>
      <c r="C37" s="7" t="s">
        <v>42</v>
      </c>
      <c r="D37" s="7"/>
      <c r="E37" s="7"/>
      <c r="F37" s="7"/>
      <c r="G37" s="7"/>
      <c r="H37" s="7"/>
      <c r="I37" s="7"/>
      <c r="J37" s="7"/>
      <c r="K37" s="7"/>
      <c r="L37" s="7"/>
      <c r="M37" s="7"/>
      <c r="N37" s="7"/>
      <c r="O37" s="7"/>
      <c r="P37" s="7"/>
      <c r="Q37" s="7"/>
    </row>
    <row r="38" spans="1:17" ht="19.5" customHeight="1">
      <c r="A38" s="3">
        <v>7</v>
      </c>
      <c r="B38" s="3"/>
      <c r="C38" s="7" t="s">
        <v>43</v>
      </c>
      <c r="D38" s="7"/>
      <c r="E38" s="7"/>
      <c r="F38" s="7"/>
      <c r="G38" s="7"/>
      <c r="H38" s="7"/>
      <c r="I38" s="7"/>
      <c r="J38" s="7"/>
      <c r="K38" s="7"/>
      <c r="L38" s="7"/>
      <c r="M38" s="7"/>
      <c r="N38" s="7"/>
      <c r="O38" s="7"/>
      <c r="P38" s="7"/>
      <c r="Q38" s="7"/>
    </row>
  </sheetData>
  <sheetProtection algorithmName="SHA-512" hashValue="Nz56aWWtHxjpcS2OdqmjxZeJIE7OAbaRhm3i5CvFpyrcoaRf/jaMTnbfHnZNLuJOI1PezjGs0iz/TxjrRLLsZA==" saltValue="exMlkIebcLbt5bpy/Dzv1g==" spinCount="100000" sheet="1" objects="1" scenarios="1"/>
  <mergeCells count="60">
    <mergeCell ref="A36:B36"/>
    <mergeCell ref="C36:Q36"/>
    <mergeCell ref="A37:B37"/>
    <mergeCell ref="C37:Q37"/>
    <mergeCell ref="A38:B38"/>
    <mergeCell ref="C38:Q38"/>
    <mergeCell ref="A33:B33"/>
    <mergeCell ref="C33:Q33"/>
    <mergeCell ref="A34:B34"/>
    <mergeCell ref="C34:Q34"/>
    <mergeCell ref="A35:B35"/>
    <mergeCell ref="C35:Q35"/>
    <mergeCell ref="A28:Q28"/>
    <mergeCell ref="A29:Q29"/>
    <mergeCell ref="A31:Q31"/>
    <mergeCell ref="A32:B32"/>
    <mergeCell ref="C32:Q32"/>
    <mergeCell ref="A23:Q23"/>
    <mergeCell ref="A24:Q24"/>
    <mergeCell ref="A25:Q25"/>
    <mergeCell ref="A26:Q26"/>
    <mergeCell ref="A27:Q27"/>
    <mergeCell ref="A17:Q17"/>
    <mergeCell ref="A18:Q18"/>
    <mergeCell ref="A19:Q19"/>
    <mergeCell ref="A20:Q20"/>
    <mergeCell ref="A21:Q21"/>
    <mergeCell ref="A13:B13"/>
    <mergeCell ref="C13:K13"/>
    <mergeCell ref="A14:B14"/>
    <mergeCell ref="C14:K14"/>
    <mergeCell ref="A15:B15"/>
    <mergeCell ref="C15:K15"/>
    <mergeCell ref="A10:B10"/>
    <mergeCell ref="C10:K10"/>
    <mergeCell ref="A11:B11"/>
    <mergeCell ref="C11:K11"/>
    <mergeCell ref="A12:B12"/>
    <mergeCell ref="C12:K12"/>
    <mergeCell ref="K6:L6"/>
    <mergeCell ref="M6:N6"/>
    <mergeCell ref="O6:Q6"/>
    <mergeCell ref="A7:B7"/>
    <mergeCell ref="A8:B8"/>
    <mergeCell ref="A6:B6"/>
    <mergeCell ref="C6:D6"/>
    <mergeCell ref="E6:F6"/>
    <mergeCell ref="G6:H6"/>
    <mergeCell ref="I6:J6"/>
    <mergeCell ref="A1:Q1"/>
    <mergeCell ref="A2:Q3"/>
    <mergeCell ref="A4:Q4"/>
    <mergeCell ref="A5:B5"/>
    <mergeCell ref="C5:D5"/>
    <mergeCell ref="E5:F5"/>
    <mergeCell ref="G5:H5"/>
    <mergeCell ref="I5:J5"/>
    <mergeCell ref="K5:L5"/>
    <mergeCell ref="M5:N5"/>
    <mergeCell ref="O5:Q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CEFCE"/>
  </sheetPr>
  <dimension ref="A1:Q31"/>
  <sheetViews>
    <sheetView showGridLines="0" zoomScaleNormal="100" workbookViewId="0">
      <selection activeCell="A29" sqref="A29:Q31"/>
    </sheetView>
  </sheetViews>
  <sheetFormatPr baseColWidth="10" defaultColWidth="9.140625" defaultRowHeight="15"/>
  <cols>
    <col min="1" max="2" width="23.42578125" style="14" customWidth="1"/>
    <col min="3" max="3" width="4.85546875"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44</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45</v>
      </c>
      <c r="B6" s="6"/>
      <c r="C6" s="6"/>
      <c r="D6" s="6"/>
      <c r="E6" s="6"/>
      <c r="F6" s="6"/>
      <c r="G6" s="6"/>
      <c r="H6" s="6"/>
      <c r="I6" s="6"/>
      <c r="J6" s="6"/>
      <c r="K6" s="6"/>
      <c r="L6" s="6"/>
      <c r="M6" s="6"/>
      <c r="N6" s="6"/>
      <c r="O6" s="6"/>
      <c r="P6" s="6"/>
      <c r="Q6" s="6"/>
    </row>
    <row r="7" spans="1:17" ht="18" customHeight="1">
      <c r="A7" s="8" t="s">
        <v>46</v>
      </c>
      <c r="B7" s="8"/>
      <c r="C7" s="2" t="s">
        <v>47</v>
      </c>
      <c r="D7" s="2"/>
      <c r="E7" s="2"/>
      <c r="F7" s="2"/>
      <c r="G7" s="2"/>
      <c r="H7" s="2"/>
      <c r="I7" s="2"/>
      <c r="J7" s="2"/>
      <c r="K7" s="2"/>
    </row>
    <row r="8" spans="1:17" ht="18" customHeight="1">
      <c r="A8" s="8" t="s">
        <v>48</v>
      </c>
      <c r="B8" s="8"/>
      <c r="C8" s="2">
        <v>34</v>
      </c>
      <c r="D8" s="2"/>
      <c r="E8" s="2"/>
      <c r="F8" s="2"/>
      <c r="G8" s="2"/>
      <c r="H8" s="2"/>
      <c r="I8" s="2"/>
      <c r="J8" s="2"/>
      <c r="K8" s="2"/>
    </row>
    <row r="9" spans="1:17" ht="18" customHeight="1">
      <c r="A9" s="8" t="s">
        <v>49</v>
      </c>
      <c r="B9" s="8"/>
      <c r="C9" s="2" t="s">
        <v>50</v>
      </c>
      <c r="D9" s="2"/>
      <c r="E9" s="2"/>
      <c r="F9" s="2"/>
      <c r="G9" s="2"/>
      <c r="H9" s="2"/>
      <c r="I9" s="2"/>
      <c r="J9" s="2"/>
      <c r="K9" s="2"/>
    </row>
    <row r="10" spans="1:17" ht="18" customHeight="1">
      <c r="A10" s="8" t="s">
        <v>51</v>
      </c>
      <c r="B10" s="8"/>
      <c r="C10" s="2">
        <v>31</v>
      </c>
      <c r="D10" s="2"/>
      <c r="E10" s="2"/>
      <c r="F10" s="2"/>
      <c r="G10" s="2"/>
      <c r="H10" s="2"/>
      <c r="I10" s="2"/>
      <c r="J10" s="2"/>
      <c r="K10" s="2"/>
      <c r="L10" s="1" t="s">
        <v>52</v>
      </c>
      <c r="M10" s="1"/>
      <c r="N10" s="1"/>
      <c r="O10" s="1"/>
      <c r="P10" s="1"/>
      <c r="Q10" s="1"/>
    </row>
    <row r="11" spans="1:17" ht="18" customHeight="1">
      <c r="A11" s="8" t="s">
        <v>53</v>
      </c>
      <c r="B11" s="8"/>
      <c r="C11" s="2" t="s">
        <v>54</v>
      </c>
      <c r="D11" s="2"/>
      <c r="E11" s="2"/>
      <c r="F11" s="2"/>
      <c r="G11" s="2"/>
      <c r="H11" s="2"/>
      <c r="I11" s="2"/>
      <c r="J11" s="2"/>
      <c r="K11" s="2"/>
    </row>
    <row r="12" spans="1:17" ht="18" customHeight="1">
      <c r="A12" s="8" t="s">
        <v>55</v>
      </c>
      <c r="B12" s="8"/>
      <c r="C12" s="2" t="s">
        <v>56</v>
      </c>
      <c r="D12" s="2"/>
      <c r="E12" s="2"/>
      <c r="F12" s="2"/>
      <c r="G12" s="2"/>
      <c r="H12" s="2"/>
      <c r="I12" s="2"/>
      <c r="J12" s="2"/>
      <c r="K12" s="2"/>
    </row>
    <row r="13" spans="1:17" ht="18" customHeight="1">
      <c r="A13" s="8" t="s">
        <v>57</v>
      </c>
      <c r="B13" s="8"/>
      <c r="C13" s="2" t="s">
        <v>58</v>
      </c>
      <c r="D13" s="2"/>
      <c r="E13" s="2"/>
      <c r="F13" s="2"/>
      <c r="G13" s="2"/>
      <c r="H13" s="2"/>
      <c r="I13" s="2"/>
      <c r="J13" s="2"/>
      <c r="K13" s="2"/>
    </row>
    <row r="15" spans="1:17" ht="19.5" customHeight="1">
      <c r="A15" s="6" t="s">
        <v>59</v>
      </c>
      <c r="B15" s="6"/>
      <c r="C15" s="6"/>
      <c r="D15" s="6"/>
      <c r="E15" s="6"/>
      <c r="F15" s="6"/>
      <c r="G15" s="6"/>
      <c r="H15" s="6"/>
      <c r="I15" s="6"/>
      <c r="J15" s="6"/>
      <c r="K15" s="6"/>
      <c r="L15" s="6"/>
      <c r="M15" s="6"/>
      <c r="N15" s="6"/>
      <c r="O15" s="6"/>
      <c r="P15" s="6"/>
      <c r="Q15" s="6"/>
    </row>
    <row r="16" spans="1:17" ht="18" customHeight="1">
      <c r="A16" s="8" t="s">
        <v>60</v>
      </c>
      <c r="B16" s="8"/>
      <c r="C16" s="2" t="s">
        <v>61</v>
      </c>
      <c r="D16" s="2"/>
      <c r="E16" s="2"/>
      <c r="F16" s="2"/>
      <c r="G16" s="2"/>
      <c r="H16" s="2"/>
      <c r="I16" s="2"/>
      <c r="J16" s="2"/>
      <c r="K16" s="2"/>
    </row>
    <row r="17" spans="1:17" ht="18" customHeight="1">
      <c r="A17" s="8" t="s">
        <v>62</v>
      </c>
      <c r="B17" s="8"/>
      <c r="C17" s="2" t="s">
        <v>63</v>
      </c>
      <c r="D17" s="2"/>
      <c r="E17" s="2"/>
      <c r="F17" s="2"/>
      <c r="G17" s="2"/>
      <c r="H17" s="2"/>
      <c r="I17" s="2"/>
      <c r="J17" s="2"/>
      <c r="K17" s="2"/>
      <c r="L17" s="1" t="s">
        <v>64</v>
      </c>
      <c r="M17" s="1"/>
      <c r="N17" s="1"/>
      <c r="O17" s="1"/>
      <c r="P17" s="1"/>
      <c r="Q17" s="1"/>
    </row>
    <row r="18" spans="1:17" ht="29.25" customHeight="1">
      <c r="A18" s="53" t="s">
        <v>65</v>
      </c>
      <c r="B18" s="53"/>
      <c r="C18" s="2" t="s">
        <v>63</v>
      </c>
      <c r="D18" s="2"/>
      <c r="E18" s="2"/>
      <c r="F18" s="2"/>
      <c r="G18" s="2"/>
      <c r="H18" s="2"/>
      <c r="I18" s="2"/>
      <c r="J18" s="2"/>
      <c r="K18" s="2"/>
      <c r="L18" s="1" t="s">
        <v>66</v>
      </c>
      <c r="M18" s="1"/>
      <c r="N18" s="1"/>
      <c r="O18" s="1"/>
      <c r="P18" s="1"/>
      <c r="Q18" s="1"/>
    </row>
    <row r="19" spans="1:17" ht="18" customHeight="1">
      <c r="A19" s="8" t="s">
        <v>67</v>
      </c>
      <c r="B19" s="8"/>
      <c r="C19" s="2" t="s">
        <v>68</v>
      </c>
      <c r="D19" s="2"/>
      <c r="E19" s="2"/>
      <c r="F19" s="2"/>
      <c r="G19" s="2"/>
      <c r="H19" s="2"/>
      <c r="I19" s="2"/>
      <c r="J19" s="2"/>
      <c r="K19" s="2"/>
    </row>
    <row r="20" spans="1:17" ht="18" customHeight="1">
      <c r="A20" s="8" t="s">
        <v>69</v>
      </c>
      <c r="B20" s="8"/>
      <c r="C20" s="2" t="s">
        <v>70</v>
      </c>
      <c r="D20" s="2"/>
      <c r="E20" s="2"/>
      <c r="F20" s="2"/>
      <c r="G20" s="2"/>
      <c r="H20" s="2"/>
      <c r="I20" s="2"/>
      <c r="J20" s="2"/>
      <c r="K20" s="2"/>
    </row>
    <row r="21" spans="1:17" ht="18" customHeight="1">
      <c r="A21" s="8" t="s">
        <v>71</v>
      </c>
      <c r="B21" s="8"/>
      <c r="C21" s="2" t="s">
        <v>72</v>
      </c>
      <c r="D21" s="2"/>
      <c r="E21" s="2"/>
      <c r="F21" s="2"/>
      <c r="G21" s="2"/>
      <c r="H21" s="2"/>
      <c r="I21" s="2"/>
      <c r="J21" s="2"/>
      <c r="K21" s="2"/>
    </row>
    <row r="23" spans="1:17" ht="19.5" customHeight="1">
      <c r="A23" s="6" t="s">
        <v>73</v>
      </c>
      <c r="B23" s="6"/>
      <c r="C23" s="6"/>
      <c r="D23" s="6"/>
      <c r="E23" s="6"/>
      <c r="F23" s="6"/>
      <c r="G23" s="6"/>
      <c r="H23" s="6"/>
      <c r="I23" s="6"/>
      <c r="J23" s="6"/>
      <c r="K23" s="6"/>
      <c r="L23" s="6"/>
      <c r="M23" s="6"/>
      <c r="N23" s="6"/>
      <c r="O23" s="6"/>
      <c r="P23" s="6"/>
      <c r="Q23" s="6"/>
    </row>
    <row r="24" spans="1:17" ht="18" customHeight="1">
      <c r="A24" s="8" t="s">
        <v>74</v>
      </c>
      <c r="B24" s="8"/>
      <c r="C24" s="54">
        <f>C10</f>
        <v>31</v>
      </c>
      <c r="D24" s="54"/>
      <c r="E24" s="54"/>
      <c r="F24" s="54"/>
      <c r="G24" s="54"/>
      <c r="H24" s="54"/>
      <c r="I24" s="54"/>
      <c r="J24" s="54"/>
      <c r="K24" s="54"/>
    </row>
    <row r="25" spans="1:17" ht="18" customHeight="1">
      <c r="A25" s="8" t="s">
        <v>75</v>
      </c>
      <c r="B25" s="8"/>
      <c r="C25" s="54">
        <f>k_mediana</f>
        <v>66</v>
      </c>
      <c r="D25" s="54"/>
      <c r="E25" s="54"/>
      <c r="F25" s="54"/>
      <c r="G25" s="54"/>
      <c r="H25" s="54"/>
      <c r="I25" s="54"/>
      <c r="J25" s="54"/>
      <c r="K25" s="54"/>
      <c r="L25" s="55" t="s">
        <v>76</v>
      </c>
      <c r="M25" s="55"/>
      <c r="N25" s="55"/>
      <c r="O25" s="55"/>
      <c r="P25" s="55"/>
      <c r="Q25" s="55"/>
    </row>
    <row r="26" spans="1:17" ht="18" customHeight="1">
      <c r="A26" s="8" t="s">
        <v>77</v>
      </c>
      <c r="B26" s="8"/>
      <c r="C26" s="54" t="str">
        <f>k_min&amp;" a "&amp;k_max&amp;" días"</f>
        <v>18 a 254 días</v>
      </c>
      <c r="D26" s="54"/>
      <c r="E26" s="54"/>
      <c r="F26" s="54"/>
      <c r="G26" s="54"/>
      <c r="H26" s="54"/>
      <c r="I26" s="54"/>
      <c r="J26" s="54"/>
      <c r="K26" s="54"/>
      <c r="L26" s="55" t="s">
        <v>78</v>
      </c>
      <c r="M26" s="55"/>
      <c r="N26" s="55"/>
      <c r="O26" s="55"/>
      <c r="P26" s="55"/>
      <c r="Q26" s="55"/>
    </row>
    <row r="27" spans="1:17" ht="31.5" customHeight="1">
      <c r="A27" s="8" t="s">
        <v>79</v>
      </c>
      <c r="B27" s="8"/>
      <c r="C27" s="56" t="str">
        <f>IF(NOT(ISNUMBER(C10)),"ND",IF(C10&lt;k_mediana,"Un mes NO alcanza para consolidar un hábito: la mediana observada es de "&amp;k_mediana&amp;" días. Este registro sirve para acompañar el proceso y detectar qué se atraviesa, no para declarar un hábito formado.","El periodo cubre la mediana de referencia, pero la consolidación sigue siendo individual."))</f>
        <v>Un mes NO alcanza para consolidar un hábito: la mediana observada es de 66 días. Este registro sirve para acompañar el proceso y detectar qué se atraviesa, no para declarar un hábito formado.</v>
      </c>
      <c r="D27" s="56"/>
      <c r="E27" s="56"/>
      <c r="F27" s="56"/>
      <c r="G27" s="56"/>
      <c r="H27" s="56"/>
      <c r="I27" s="56"/>
      <c r="J27" s="56"/>
      <c r="K27" s="56"/>
    </row>
    <row r="29" spans="1:17" ht="15" customHeight="1">
      <c r="A29" s="82" t="s">
        <v>80</v>
      </c>
      <c r="B29" s="82"/>
      <c r="C29" s="82"/>
      <c r="D29" s="82"/>
      <c r="E29" s="82"/>
      <c r="F29" s="82"/>
      <c r="G29" s="82"/>
      <c r="H29" s="82"/>
      <c r="I29" s="82"/>
      <c r="J29" s="82"/>
      <c r="K29" s="82"/>
      <c r="L29" s="82"/>
      <c r="M29" s="82"/>
      <c r="N29" s="82"/>
      <c r="O29" s="82"/>
      <c r="P29" s="82"/>
      <c r="Q29" s="82"/>
    </row>
    <row r="30" spans="1:17" ht="15" customHeight="1">
      <c r="A30" s="82"/>
      <c r="B30" s="82"/>
      <c r="C30" s="82"/>
      <c r="D30" s="82"/>
      <c r="E30" s="82"/>
      <c r="F30" s="82"/>
      <c r="G30" s="82"/>
      <c r="H30" s="82"/>
      <c r="I30" s="82"/>
      <c r="J30" s="82"/>
      <c r="K30" s="82"/>
      <c r="L30" s="82"/>
      <c r="M30" s="82"/>
      <c r="N30" s="82"/>
      <c r="O30" s="82"/>
      <c r="P30" s="82"/>
      <c r="Q30" s="82"/>
    </row>
    <row r="31" spans="1:17" ht="15" customHeight="1">
      <c r="A31" s="82"/>
      <c r="B31" s="82"/>
      <c r="C31" s="82"/>
      <c r="D31" s="82"/>
      <c r="E31" s="82"/>
      <c r="F31" s="82"/>
      <c r="G31" s="82"/>
      <c r="H31" s="82"/>
      <c r="I31" s="82"/>
      <c r="J31" s="82"/>
      <c r="K31" s="82"/>
      <c r="L31" s="82"/>
      <c r="M31" s="82"/>
      <c r="N31" s="82"/>
      <c r="O31" s="82"/>
      <c r="P31" s="82"/>
      <c r="Q31" s="82"/>
    </row>
  </sheetData>
  <sheetProtection algorithmName="SHA-512" hashValue="itfU56KWPqWkumA+7IfGJyOhXPEBMubIVq0EzS7CNd0EECQ3HDngJKyJP4+iayTL2ZHPMWbkzZruKr71Tg35IA==" saltValue="8I7Da+N6dQxW8fo4GOjJvQ==" spinCount="100000" sheet="1" objects="1" scenarios="1"/>
  <protectedRanges>
    <protectedRange sqref="C16:K21" name="Rango2"/>
    <protectedRange sqref="C7:K13" name="Rango1"/>
  </protectedRanges>
  <mergeCells count="46">
    <mergeCell ref="A29:Q31"/>
    <mergeCell ref="A26:B26"/>
    <mergeCell ref="C26:K26"/>
    <mergeCell ref="L26:Q26"/>
    <mergeCell ref="A27:B27"/>
    <mergeCell ref="C27:K27"/>
    <mergeCell ref="A23:Q23"/>
    <mergeCell ref="A24:B24"/>
    <mergeCell ref="C24:K24"/>
    <mergeCell ref="A25:B25"/>
    <mergeCell ref="C25:K25"/>
    <mergeCell ref="L25:Q25"/>
    <mergeCell ref="A19:B19"/>
    <mergeCell ref="C19:K19"/>
    <mergeCell ref="A20:B20"/>
    <mergeCell ref="C20:K20"/>
    <mergeCell ref="A21:B21"/>
    <mergeCell ref="C21:K21"/>
    <mergeCell ref="A17:B17"/>
    <mergeCell ref="C17:K17"/>
    <mergeCell ref="L17:Q17"/>
    <mergeCell ref="A18:B18"/>
    <mergeCell ref="C18:K18"/>
    <mergeCell ref="L18:Q18"/>
    <mergeCell ref="A13:B13"/>
    <mergeCell ref="C13:K13"/>
    <mergeCell ref="A15:Q15"/>
    <mergeCell ref="A16:B16"/>
    <mergeCell ref="C16:K16"/>
    <mergeCell ref="L10:Q10"/>
    <mergeCell ref="A11:B11"/>
    <mergeCell ref="C11:K11"/>
    <mergeCell ref="A12:B12"/>
    <mergeCell ref="C12:K12"/>
    <mergeCell ref="A8:B8"/>
    <mergeCell ref="C8:K8"/>
    <mergeCell ref="A9:B9"/>
    <mergeCell ref="C9:K9"/>
    <mergeCell ref="A10:B10"/>
    <mergeCell ref="C10:K10"/>
    <mergeCell ref="A1:Q1"/>
    <mergeCell ref="A2:Q3"/>
    <mergeCell ref="A4:B4"/>
    <mergeCell ref="A6:Q6"/>
    <mergeCell ref="A7:B7"/>
    <mergeCell ref="C7:K7"/>
  </mergeCells>
  <dataValidations count="1">
    <dataValidation type="list" allowBlank="1" sqref="C17:C18" xr:uid="{00000000-0002-0000-0100-000000000000}">
      <formula1>lst_si</formula1>
      <formula2>0</formula2>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C6B72"/>
  </sheetPr>
  <dimension ref="A1:Q31"/>
  <sheetViews>
    <sheetView showGridLines="0" topLeftCell="A19" zoomScaleNormal="100" workbookViewId="0">
      <selection activeCell="A29" sqref="A29:Q31"/>
    </sheetView>
  </sheetViews>
  <sheetFormatPr baseColWidth="10" defaultColWidth="9.140625" defaultRowHeight="15"/>
  <cols>
    <col min="1" max="1" width="5" style="14" customWidth="1"/>
    <col min="2" max="2" width="38" style="14" customWidth="1"/>
    <col min="3" max="3" width="16" style="14" customWidth="1"/>
    <col min="4" max="4" width="26" style="14" customWidth="1"/>
    <col min="5" max="5" width="18" style="14" customWidth="1"/>
    <col min="6" max="6" width="13" style="14" customWidth="1"/>
    <col min="7" max="7" width="18" style="14" customWidth="1"/>
    <col min="8" max="8" width="44"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81</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83" t="s">
        <v>82</v>
      </c>
      <c r="B6" s="84"/>
      <c r="C6" s="84"/>
      <c r="D6" s="84"/>
      <c r="E6" s="84"/>
      <c r="F6" s="84"/>
      <c r="G6" s="84"/>
      <c r="H6" s="84"/>
      <c r="I6" s="85"/>
      <c r="J6"/>
      <c r="K6"/>
      <c r="L6"/>
      <c r="M6"/>
      <c r="N6"/>
      <c r="O6"/>
      <c r="P6"/>
      <c r="Q6"/>
    </row>
    <row r="7" spans="1:17" ht="15" customHeight="1">
      <c r="A7" s="86"/>
      <c r="B7" s="87"/>
      <c r="C7" s="87"/>
      <c r="D7" s="87"/>
      <c r="E7" s="87"/>
      <c r="F7" s="87"/>
      <c r="G7" s="87"/>
      <c r="H7" s="87"/>
      <c r="I7" s="88"/>
      <c r="J7"/>
      <c r="K7"/>
      <c r="L7"/>
      <c r="M7"/>
      <c r="N7"/>
      <c r="O7"/>
      <c r="P7"/>
      <c r="Q7"/>
    </row>
    <row r="8" spans="1:17" ht="15" customHeight="1">
      <c r="A8" s="89"/>
      <c r="B8" s="90"/>
      <c r="C8" s="90"/>
      <c r="D8" s="90"/>
      <c r="E8" s="90"/>
      <c r="F8" s="90"/>
      <c r="G8" s="90"/>
      <c r="H8" s="90"/>
      <c r="I8" s="91"/>
      <c r="J8"/>
      <c r="K8"/>
      <c r="L8"/>
      <c r="M8"/>
      <c r="N8"/>
      <c r="O8"/>
      <c r="P8"/>
      <c r="Q8"/>
    </row>
    <row r="10" spans="1:17" ht="19.5" customHeight="1">
      <c r="A10" s="6" t="s">
        <v>83</v>
      </c>
      <c r="B10" s="6"/>
      <c r="C10" s="6"/>
      <c r="D10" s="6"/>
      <c r="E10" s="6"/>
      <c r="F10" s="6"/>
      <c r="G10" s="6"/>
      <c r="H10" s="6"/>
      <c r="I10" s="6"/>
      <c r="J10" s="6"/>
      <c r="K10" s="6"/>
      <c r="L10" s="6"/>
      <c r="M10" s="6"/>
      <c r="N10" s="6"/>
      <c r="O10" s="6"/>
      <c r="P10" s="6"/>
      <c r="Q10" s="6"/>
    </row>
    <row r="11" spans="1:17" ht="39.75" customHeight="1">
      <c r="A11" s="15" t="s">
        <v>84</v>
      </c>
      <c r="B11" s="16" t="s">
        <v>85</v>
      </c>
      <c r="C11" s="16" t="s">
        <v>86</v>
      </c>
      <c r="D11" s="16" t="s">
        <v>87</v>
      </c>
      <c r="E11" s="16" t="s">
        <v>88</v>
      </c>
      <c r="F11" s="16" t="s">
        <v>89</v>
      </c>
      <c r="G11" s="16" t="s">
        <v>90</v>
      </c>
      <c r="H11" s="58" t="s">
        <v>91</v>
      </c>
      <c r="I11" s="58"/>
    </row>
    <row r="12" spans="1:17" ht="29.25" customHeight="1">
      <c r="A12" s="17">
        <v>1</v>
      </c>
      <c r="B12" s="18" t="s">
        <v>92</v>
      </c>
      <c r="C12" s="18" t="s">
        <v>93</v>
      </c>
      <c r="D12" s="18" t="s">
        <v>94</v>
      </c>
      <c r="E12" s="19" t="s">
        <v>95</v>
      </c>
      <c r="F12" s="19" t="s">
        <v>96</v>
      </c>
      <c r="G12" s="19" t="s">
        <v>63</v>
      </c>
      <c r="H12" s="59" t="s">
        <v>97</v>
      </c>
      <c r="I12" s="59"/>
    </row>
    <row r="13" spans="1:17" ht="29.25" customHeight="1">
      <c r="A13" s="17">
        <v>2</v>
      </c>
      <c r="B13" s="18" t="s">
        <v>98</v>
      </c>
      <c r="C13" s="18" t="s">
        <v>93</v>
      </c>
      <c r="D13" s="18" t="s">
        <v>99</v>
      </c>
      <c r="E13" s="19" t="s">
        <v>100</v>
      </c>
      <c r="F13" s="19" t="s">
        <v>101</v>
      </c>
      <c r="G13" s="19" t="s">
        <v>63</v>
      </c>
      <c r="H13" s="59" t="s">
        <v>102</v>
      </c>
      <c r="I13" s="59"/>
    </row>
    <row r="14" spans="1:17" ht="29.25" customHeight="1">
      <c r="A14" s="17">
        <v>3</v>
      </c>
      <c r="B14" s="18" t="s">
        <v>103</v>
      </c>
      <c r="C14" s="18" t="s">
        <v>93</v>
      </c>
      <c r="D14" s="18" t="s">
        <v>104</v>
      </c>
      <c r="E14" s="19" t="s">
        <v>105</v>
      </c>
      <c r="F14" s="19" t="s">
        <v>101</v>
      </c>
      <c r="G14" s="19" t="s">
        <v>106</v>
      </c>
      <c r="H14" s="59" t="s">
        <v>107</v>
      </c>
      <c r="I14" s="59"/>
    </row>
    <row r="15" spans="1:17" ht="29.25" customHeight="1">
      <c r="A15" s="17">
        <v>4</v>
      </c>
      <c r="B15" s="18" t="s">
        <v>108</v>
      </c>
      <c r="C15" s="18" t="s">
        <v>109</v>
      </c>
      <c r="D15" s="18" t="s">
        <v>110</v>
      </c>
      <c r="E15" s="19" t="s">
        <v>100</v>
      </c>
      <c r="F15" s="19" t="s">
        <v>111</v>
      </c>
      <c r="G15" s="19" t="s">
        <v>63</v>
      </c>
      <c r="H15" s="59" t="s">
        <v>112</v>
      </c>
      <c r="I15" s="59"/>
    </row>
    <row r="16" spans="1:17" ht="29.25" customHeight="1">
      <c r="A16" s="17">
        <v>5</v>
      </c>
      <c r="B16" s="18" t="s">
        <v>113</v>
      </c>
      <c r="C16" s="18" t="s">
        <v>114</v>
      </c>
      <c r="D16" s="18" t="s">
        <v>115</v>
      </c>
      <c r="E16" s="19" t="s">
        <v>116</v>
      </c>
      <c r="F16" s="19" t="s">
        <v>96</v>
      </c>
      <c r="G16" s="19" t="s">
        <v>63</v>
      </c>
      <c r="H16" s="59" t="s">
        <v>117</v>
      </c>
      <c r="I16" s="59"/>
    </row>
    <row r="17" spans="1:17" ht="29.25" customHeight="1">
      <c r="A17" s="17">
        <v>6</v>
      </c>
      <c r="B17" s="18" t="s">
        <v>118</v>
      </c>
      <c r="C17" s="18" t="s">
        <v>119</v>
      </c>
      <c r="D17" s="18" t="s">
        <v>120</v>
      </c>
      <c r="E17" s="19" t="s">
        <v>121</v>
      </c>
      <c r="F17" s="19" t="s">
        <v>96</v>
      </c>
      <c r="G17" s="19" t="s">
        <v>63</v>
      </c>
      <c r="H17" s="59" t="s">
        <v>122</v>
      </c>
      <c r="I17" s="59"/>
    </row>
    <row r="18" spans="1:17" ht="29.25" customHeight="1">
      <c r="A18" s="17">
        <v>7</v>
      </c>
      <c r="B18" s="18" t="s">
        <v>123</v>
      </c>
      <c r="C18" s="18" t="s">
        <v>124</v>
      </c>
      <c r="D18" s="18" t="s">
        <v>125</v>
      </c>
      <c r="E18" s="19" t="s">
        <v>126</v>
      </c>
      <c r="F18" s="19" t="s">
        <v>111</v>
      </c>
      <c r="G18" s="19" t="s">
        <v>63</v>
      </c>
      <c r="H18" s="59" t="s">
        <v>127</v>
      </c>
      <c r="I18" s="59"/>
    </row>
    <row r="19" spans="1:17" ht="29.25" customHeight="1">
      <c r="A19" s="17">
        <v>8</v>
      </c>
      <c r="B19" s="18" t="s">
        <v>128</v>
      </c>
      <c r="C19" s="18" t="s">
        <v>114</v>
      </c>
      <c r="D19" s="18" t="s">
        <v>129</v>
      </c>
      <c r="E19" s="19" t="s">
        <v>126</v>
      </c>
      <c r="F19" s="19" t="s">
        <v>111</v>
      </c>
      <c r="G19" s="19" t="s">
        <v>63</v>
      </c>
      <c r="H19" s="59" t="s">
        <v>130</v>
      </c>
      <c r="I19" s="59"/>
    </row>
    <row r="20" spans="1:17" ht="29.25" customHeight="1">
      <c r="A20" s="17">
        <v>9</v>
      </c>
      <c r="B20" s="18" t="s">
        <v>131</v>
      </c>
      <c r="C20" s="18" t="s">
        <v>109</v>
      </c>
      <c r="D20" s="18" t="s">
        <v>132</v>
      </c>
      <c r="E20" s="19" t="s">
        <v>105</v>
      </c>
      <c r="F20" s="19" t="s">
        <v>96</v>
      </c>
      <c r="G20" s="19" t="s">
        <v>63</v>
      </c>
      <c r="H20" s="59" t="s">
        <v>133</v>
      </c>
      <c r="I20" s="59"/>
    </row>
    <row r="21" spans="1:17" ht="29.25" customHeight="1">
      <c r="A21" s="17">
        <v>10</v>
      </c>
      <c r="B21" s="18" t="s">
        <v>134</v>
      </c>
      <c r="C21" s="18" t="s">
        <v>109</v>
      </c>
      <c r="D21" s="18" t="s">
        <v>99</v>
      </c>
      <c r="E21" s="19" t="s">
        <v>105</v>
      </c>
      <c r="F21" s="19" t="s">
        <v>101</v>
      </c>
      <c r="G21" s="19" t="s">
        <v>63</v>
      </c>
      <c r="H21" s="59" t="s">
        <v>135</v>
      </c>
      <c r="I21" s="59"/>
    </row>
    <row r="23" spans="1:17" ht="19.5" customHeight="1">
      <c r="A23" s="6" t="s">
        <v>136</v>
      </c>
      <c r="B23" s="6"/>
      <c r="C23" s="6"/>
      <c r="D23" s="6"/>
      <c r="E23" s="6"/>
      <c r="F23" s="6"/>
      <c r="G23" s="6"/>
      <c r="H23" s="6"/>
      <c r="I23" s="6"/>
      <c r="J23" s="6"/>
      <c r="K23" s="6"/>
      <c r="L23" s="6"/>
      <c r="M23" s="6"/>
      <c r="N23" s="6"/>
      <c r="O23" s="6"/>
      <c r="P23" s="6"/>
      <c r="Q23" s="6"/>
    </row>
    <row r="24" spans="1:17" ht="18" customHeight="1">
      <c r="A24" s="8" t="s">
        <v>137</v>
      </c>
      <c r="B24" s="8"/>
      <c r="C24" s="54">
        <f>COUNTIF(B12:B21,"?*")</f>
        <v>10</v>
      </c>
      <c r="D24" s="54"/>
      <c r="E24" s="54"/>
      <c r="F24" s="54"/>
      <c r="G24" s="54"/>
      <c r="H24" s="54"/>
      <c r="I24" s="54"/>
      <c r="J24" s="54"/>
      <c r="K24" s="54"/>
    </row>
    <row r="25" spans="1:17" ht="18" customHeight="1">
      <c r="A25" s="8" t="s">
        <v>138</v>
      </c>
      <c r="B25" s="8"/>
      <c r="C25" s="54">
        <f>COUNTIF(G12:G21,"Sí")</f>
        <v>9</v>
      </c>
      <c r="D25" s="54"/>
      <c r="E25" s="54"/>
      <c r="F25" s="54"/>
      <c r="G25" s="54"/>
      <c r="H25" s="54"/>
      <c r="I25" s="54"/>
      <c r="J25" s="54"/>
      <c r="K25" s="54"/>
    </row>
    <row r="26" spans="1:17" ht="18" customHeight="1">
      <c r="A26" s="8" t="s">
        <v>139</v>
      </c>
      <c r="B26" s="8"/>
      <c r="C26" s="54">
        <f>COUNTIF(F12:F21,"Exigente")</f>
        <v>3</v>
      </c>
      <c r="D26" s="54"/>
      <c r="E26" s="54"/>
      <c r="F26" s="54"/>
      <c r="G26" s="54"/>
      <c r="H26" s="54"/>
      <c r="I26" s="54"/>
      <c r="J26" s="54"/>
      <c r="K26" s="54"/>
    </row>
    <row r="27" spans="1:17" ht="33.75" customHeight="1">
      <c r="A27" s="8" t="s">
        <v>140</v>
      </c>
      <c r="B27" s="8"/>
      <c r="C27" s="56" t="str">
        <f>IF(C24=0,"Aún no se han definido hábitos.",IF(C24&gt;u_maxHab,"Son "&amp;C24&amp;" hábitos: MÁS de los "&amp;u_maxHab&amp;" recomendados a la vez. Seguir demasiadas conductas al mismo tiempo reduce la probabilidad de sostener cualquiera. Priorice dos o tres.",IF(C26&gt;2,"Hay más de dos hábitos exigentes: considere dejar solo uno exigente y acompañarlo de otros fáciles.","El número y la dificultad de los hábitos son razonables para un mes.")))</f>
        <v>Son 10 hábitos: MÁS de los 5 recomendados a la vez. Seguir demasiadas conductas al mismo tiempo reduce la probabilidad de sostener cualquiera. Priorice dos o tres.</v>
      </c>
      <c r="D27" s="56"/>
      <c r="E27" s="56"/>
      <c r="F27" s="56"/>
      <c r="G27" s="56"/>
      <c r="H27" s="56"/>
      <c r="I27" s="56"/>
      <c r="J27" s="56"/>
      <c r="K27" s="56"/>
    </row>
    <row r="29" spans="1:17" ht="15" customHeight="1">
      <c r="A29" s="57" t="s">
        <v>141</v>
      </c>
      <c r="B29" s="57"/>
      <c r="C29" s="57"/>
      <c r="D29" s="57"/>
      <c r="E29" s="57"/>
      <c r="F29" s="57"/>
      <c r="G29" s="57"/>
      <c r="H29" s="57"/>
      <c r="I29" s="57"/>
      <c r="J29" s="57"/>
      <c r="K29" s="57"/>
      <c r="L29" s="57"/>
      <c r="M29" s="57"/>
      <c r="N29" s="57"/>
      <c r="O29" s="57"/>
      <c r="P29" s="57"/>
      <c r="Q29" s="57"/>
    </row>
    <row r="30" spans="1:17" ht="15" customHeight="1">
      <c r="A30" s="57"/>
      <c r="B30" s="57"/>
      <c r="C30" s="57"/>
      <c r="D30" s="57"/>
      <c r="E30" s="57"/>
      <c r="F30" s="57"/>
      <c r="G30" s="57"/>
      <c r="H30" s="57"/>
      <c r="I30" s="57"/>
      <c r="J30" s="57"/>
      <c r="K30" s="57"/>
      <c r="L30" s="57"/>
      <c r="M30" s="57"/>
      <c r="N30" s="57"/>
      <c r="O30" s="57"/>
      <c r="P30" s="57"/>
      <c r="Q30" s="57"/>
    </row>
    <row r="31" spans="1:17" ht="15" customHeight="1">
      <c r="A31" s="57"/>
      <c r="B31" s="57"/>
      <c r="C31" s="57"/>
      <c r="D31" s="57"/>
      <c r="E31" s="57"/>
      <c r="F31" s="57"/>
      <c r="G31" s="57"/>
      <c r="H31" s="57"/>
      <c r="I31" s="57"/>
      <c r="J31" s="57"/>
      <c r="K31" s="57"/>
      <c r="L31" s="57"/>
      <c r="M31" s="57"/>
      <c r="N31" s="57"/>
      <c r="O31" s="57"/>
      <c r="P31" s="57"/>
      <c r="Q31" s="57"/>
    </row>
  </sheetData>
  <sheetProtection algorithmName="SHA-512" hashValue="GAPK0bbQgQYusFZqPkMn1Gx5Gc4WcoJUC8OUFaj/bFyDxNHLc4M5sbNh2mZm7qJW5d6xNGg/mWJouKussNgmAg==" saltValue="pFtExk3uPHAU/3hzpLe7oA==" spinCount="100000" sheet="1" objects="1" scenarios="1"/>
  <protectedRanges>
    <protectedRange sqref="B12:I21" name="Rango1"/>
  </protectedRanges>
  <mergeCells count="26">
    <mergeCell ref="A26:B26"/>
    <mergeCell ref="C26:K26"/>
    <mergeCell ref="A27:B27"/>
    <mergeCell ref="C27:K27"/>
    <mergeCell ref="A29:Q31"/>
    <mergeCell ref="H21:I21"/>
    <mergeCell ref="A23:Q23"/>
    <mergeCell ref="A24:B24"/>
    <mergeCell ref="C24:K24"/>
    <mergeCell ref="A25:B25"/>
    <mergeCell ref="C25:K25"/>
    <mergeCell ref="H16:I16"/>
    <mergeCell ref="H17:I17"/>
    <mergeCell ref="H18:I18"/>
    <mergeCell ref="H19:I19"/>
    <mergeCell ref="H20:I20"/>
    <mergeCell ref="H11:I11"/>
    <mergeCell ref="H12:I12"/>
    <mergeCell ref="H13:I13"/>
    <mergeCell ref="H14:I14"/>
    <mergeCell ref="H15:I15"/>
    <mergeCell ref="A1:Q1"/>
    <mergeCell ref="A2:Q3"/>
    <mergeCell ref="A4:B4"/>
    <mergeCell ref="A10:Q10"/>
    <mergeCell ref="A6:I8"/>
  </mergeCells>
  <dataValidations count="4">
    <dataValidation type="list" allowBlank="1" sqref="C12:C21" xr:uid="{00000000-0002-0000-0200-000000000000}">
      <formula1>lst_ambito</formula1>
      <formula2>0</formula2>
    </dataValidation>
    <dataValidation type="list" allowBlank="1" sqref="E12:E21" xr:uid="{00000000-0002-0000-0200-000001000000}">
      <formula1>lst_momento</formula1>
      <formula2>0</formula2>
    </dataValidation>
    <dataValidation type="list" allowBlank="1" sqref="F12:F21" xr:uid="{00000000-0002-0000-0200-000002000000}">
      <formula1>lst_dificultad</formula1>
      <formula2>0</formula2>
    </dataValidation>
    <dataValidation type="list" allowBlank="1" sqref="G12:G21" xr:uid="{00000000-0002-0000-0200-000003000000}">
      <formula1>lst_si</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FF0E3"/>
  </sheetPr>
  <dimension ref="A1:AN49"/>
  <sheetViews>
    <sheetView showGridLines="0" zoomScaleNormal="100" workbookViewId="0">
      <pane xSplit="2" ySplit="11" topLeftCell="C12" activePane="bottomRight" state="frozen"/>
      <selection pane="topRight" activeCell="C1" sqref="C1"/>
      <selection pane="bottomLeft" activeCell="A12" sqref="A12"/>
      <selection pane="bottomRight" activeCell="O5" sqref="O5"/>
    </sheetView>
  </sheetViews>
  <sheetFormatPr baseColWidth="10" defaultColWidth="9.140625" defaultRowHeight="15"/>
  <cols>
    <col min="1" max="1" width="4" style="14" customWidth="1"/>
    <col min="2" max="2" width="39.42578125" style="14" customWidth="1"/>
    <col min="3" max="7" width="4.140625" style="14" customWidth="1"/>
    <col min="8" max="9" width="4.28515625" style="14" customWidth="1"/>
    <col min="10" max="33" width="4.7109375" style="14" customWidth="1"/>
    <col min="34" max="34" width="11" style="14" customWidth="1"/>
    <col min="35" max="35" width="13" style="14" customWidth="1"/>
    <col min="36" max="37" width="12" style="14" customWidth="1"/>
    <col min="38" max="39" width="13" style="14" customWidth="1"/>
    <col min="40" max="40" width="34" style="14" customWidth="1"/>
  </cols>
  <sheetData>
    <row r="1" spans="1:40" ht="25.5" customHeight="1">
      <c r="A1" s="13" t="s">
        <v>0</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row>
    <row r="2" spans="1:40" ht="15" customHeight="1">
      <c r="A2" s="12" t="s">
        <v>142</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row>
    <row r="3" spans="1:40" ht="15"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row>
    <row r="4" spans="1:40" ht="24" customHeight="1">
      <c r="A4" s="10" t="str">
        <f>HYPERLINK("#INICIO!A1","▶  VOLVER A INICIO")</f>
        <v>▶  VOLVER A INICIO</v>
      </c>
      <c r="B4" s="10"/>
    </row>
    <row r="6" spans="1:40" ht="15" customHeight="1">
      <c r="A6" s="83" t="s">
        <v>143</v>
      </c>
      <c r="B6" s="84"/>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5"/>
      <c r="AJ6"/>
      <c r="AK6"/>
      <c r="AL6"/>
      <c r="AM6"/>
      <c r="AN6"/>
    </row>
    <row r="7" spans="1:40" ht="15" customHeight="1">
      <c r="A7" s="86"/>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8"/>
      <c r="AJ7"/>
      <c r="AK7"/>
      <c r="AL7"/>
      <c r="AM7"/>
      <c r="AN7"/>
    </row>
    <row r="8" spans="1:40" ht="15" customHeight="1">
      <c r="A8" s="89"/>
      <c r="B8" s="90"/>
      <c r="C8" s="90"/>
      <c r="D8" s="90"/>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1"/>
      <c r="AJ8"/>
      <c r="AK8"/>
      <c r="AL8"/>
      <c r="AM8"/>
      <c r="AN8"/>
    </row>
    <row r="10" spans="1:40" ht="19.5" customHeight="1">
      <c r="A10" s="6" t="s">
        <v>144</v>
      </c>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row>
    <row r="11" spans="1:40" ht="45.75" customHeight="1">
      <c r="A11" s="20" t="s">
        <v>84</v>
      </c>
      <c r="B11" s="20" t="s">
        <v>145</v>
      </c>
      <c r="C11" s="20">
        <v>1</v>
      </c>
      <c r="D11" s="20">
        <v>2</v>
      </c>
      <c r="E11" s="20">
        <v>3</v>
      </c>
      <c r="F11" s="20">
        <v>4</v>
      </c>
      <c r="G11" s="20">
        <v>5</v>
      </c>
      <c r="H11" s="20">
        <v>6</v>
      </c>
      <c r="I11" s="20">
        <v>7</v>
      </c>
      <c r="J11" s="20">
        <v>8</v>
      </c>
      <c r="K11" s="20">
        <v>9</v>
      </c>
      <c r="L11" s="20">
        <v>10</v>
      </c>
      <c r="M11" s="20">
        <v>11</v>
      </c>
      <c r="N11" s="20">
        <v>12</v>
      </c>
      <c r="O11" s="20">
        <v>13</v>
      </c>
      <c r="P11" s="20">
        <v>14</v>
      </c>
      <c r="Q11" s="20">
        <v>15</v>
      </c>
      <c r="R11" s="20">
        <v>16</v>
      </c>
      <c r="S11" s="20">
        <v>17</v>
      </c>
      <c r="T11" s="20">
        <v>18</v>
      </c>
      <c r="U11" s="20">
        <v>19</v>
      </c>
      <c r="V11" s="20">
        <v>20</v>
      </c>
      <c r="W11" s="20">
        <v>21</v>
      </c>
      <c r="X11" s="20">
        <v>22</v>
      </c>
      <c r="Y11" s="20">
        <v>23</v>
      </c>
      <c r="Z11" s="20">
        <v>24</v>
      </c>
      <c r="AA11" s="20">
        <v>25</v>
      </c>
      <c r="AB11" s="20">
        <v>26</v>
      </c>
      <c r="AC11" s="20">
        <v>27</v>
      </c>
      <c r="AD11" s="20">
        <v>28</v>
      </c>
      <c r="AE11" s="20">
        <v>29</v>
      </c>
      <c r="AF11" s="20">
        <v>30</v>
      </c>
      <c r="AG11" s="20">
        <v>31</v>
      </c>
      <c r="AH11" s="20" t="s">
        <v>146</v>
      </c>
      <c r="AI11" s="20" t="s">
        <v>147</v>
      </c>
      <c r="AJ11" s="20" t="s">
        <v>148</v>
      </c>
      <c r="AK11" s="20" t="s">
        <v>149</v>
      </c>
      <c r="AL11" s="20" t="s">
        <v>150</v>
      </c>
      <c r="AM11" s="20" t="s">
        <v>151</v>
      </c>
      <c r="AN11" s="20" t="s">
        <v>152</v>
      </c>
    </row>
    <row r="12" spans="1:40" ht="18.75" customHeight="1">
      <c r="A12" s="21">
        <v>1</v>
      </c>
      <c r="B12" s="22" t="str">
        <f>IF(HABITOS!B12="","",HABITOS!B12)</f>
        <v>Desayunar dentro de la primera hora</v>
      </c>
      <c r="C12" s="23">
        <v>1</v>
      </c>
      <c r="D12" s="23">
        <v>1</v>
      </c>
      <c r="E12" s="23">
        <v>1</v>
      </c>
      <c r="F12" s="23">
        <v>1</v>
      </c>
      <c r="G12" s="23">
        <v>1</v>
      </c>
      <c r="H12" s="23">
        <v>0</v>
      </c>
      <c r="I12" s="23">
        <v>0</v>
      </c>
      <c r="J12" s="23">
        <v>1</v>
      </c>
      <c r="K12" s="23">
        <v>1</v>
      </c>
      <c r="L12" s="23">
        <v>1</v>
      </c>
      <c r="M12" s="23">
        <v>1</v>
      </c>
      <c r="N12" s="23">
        <v>1</v>
      </c>
      <c r="O12" s="23">
        <v>0</v>
      </c>
      <c r="P12" s="23">
        <v>1</v>
      </c>
      <c r="Q12" s="23">
        <v>1</v>
      </c>
      <c r="R12" s="23">
        <v>1</v>
      </c>
      <c r="S12" s="23">
        <v>1</v>
      </c>
      <c r="T12" s="23">
        <v>1</v>
      </c>
      <c r="U12" s="23">
        <v>1</v>
      </c>
      <c r="V12" s="23">
        <v>0</v>
      </c>
      <c r="W12" s="23">
        <v>1</v>
      </c>
      <c r="X12" s="23">
        <v>1</v>
      </c>
      <c r="Y12" s="23">
        <v>1</v>
      </c>
      <c r="Z12" s="23">
        <v>1</v>
      </c>
      <c r="AA12" s="23">
        <v>1</v>
      </c>
      <c r="AB12" s="23">
        <v>1</v>
      </c>
      <c r="AC12" s="23">
        <v>0</v>
      </c>
      <c r="AD12" s="23">
        <v>1</v>
      </c>
      <c r="AE12" s="23">
        <v>1</v>
      </c>
      <c r="AF12" s="23">
        <v>1</v>
      </c>
      <c r="AG12" s="23">
        <v>1</v>
      </c>
      <c r="AH12" s="24">
        <f t="shared" ref="AH12:AH21" si="0">IF($B12="","",COUNTIF(C12:AG12,1))</f>
        <v>26</v>
      </c>
      <c r="AI12" s="24">
        <f t="shared" ref="AI12:AI21" si="1">IF($B12="","",COUNT(C12:AG12))</f>
        <v>31</v>
      </c>
      <c r="AJ12" s="25">
        <f t="shared" ref="AJ12:AJ21" si="2">IF($B12="","",IF(AI12=0,"Sin oportunidades registradas",AH12/AI12))</f>
        <v>0.83870967741935487</v>
      </c>
      <c r="AK12" s="24">
        <f t="shared" ref="AK12:AK21" si="3">IF($B12="","",AG27)</f>
        <v>4</v>
      </c>
      <c r="AL12" s="24">
        <f t="shared" ref="AL12:AL21" si="4">IF($B12="","",MAX(C27:AG27))</f>
        <v>6</v>
      </c>
      <c r="AM12" s="24">
        <f t="shared" ref="AM12:AM21" si="5">IF($B12="","",MAX(C40:AG40))</f>
        <v>2</v>
      </c>
      <c r="AN12" s="26" t="str">
        <f t="shared" ref="AN12:AN21" si="6">IF($B12="","",IF(AM12&gt;=u_seguidos,"Revisar: hubo "&amp;AM12&amp;" días seguidos sin cumplir","Sin interrupciones seguidas"))</f>
        <v>Revisar: hubo 2 días seguidos sin cumplir</v>
      </c>
    </row>
    <row r="13" spans="1:40" ht="18.75" customHeight="1">
      <c r="A13" s="21">
        <v>2</v>
      </c>
      <c r="B13" s="22" t="str">
        <f>IF(HABITOS!B13="","",HABITOS!B13)</f>
        <v>Incluir verduras en almuerzo y cena</v>
      </c>
      <c r="C13" s="23">
        <v>1</v>
      </c>
      <c r="D13" s="23">
        <v>1</v>
      </c>
      <c r="E13" s="23">
        <v>1</v>
      </c>
      <c r="F13" s="23">
        <v>0</v>
      </c>
      <c r="G13" s="23">
        <v>1</v>
      </c>
      <c r="H13" s="23">
        <v>1</v>
      </c>
      <c r="I13" s="23">
        <v>1</v>
      </c>
      <c r="J13" s="23">
        <v>1</v>
      </c>
      <c r="K13" s="23">
        <v>1</v>
      </c>
      <c r="L13" s="23">
        <v>1</v>
      </c>
      <c r="M13" s="23">
        <v>0</v>
      </c>
      <c r="N13" s="23">
        <v>1</v>
      </c>
      <c r="O13" s="23">
        <v>1</v>
      </c>
      <c r="P13" s="23">
        <v>1</v>
      </c>
      <c r="Q13" s="23">
        <v>1</v>
      </c>
      <c r="R13" s="23">
        <v>1</v>
      </c>
      <c r="S13" s="23">
        <v>1</v>
      </c>
      <c r="T13" s="23">
        <v>0</v>
      </c>
      <c r="U13" s="23">
        <v>1</v>
      </c>
      <c r="V13" s="23">
        <v>1</v>
      </c>
      <c r="W13" s="23">
        <v>1</v>
      </c>
      <c r="X13" s="23">
        <v>1</v>
      </c>
      <c r="Y13" s="23">
        <v>1</v>
      </c>
      <c r="Z13" s="23">
        <v>1</v>
      </c>
      <c r="AA13" s="23">
        <v>0</v>
      </c>
      <c r="AB13" s="23">
        <v>1</v>
      </c>
      <c r="AC13" s="23">
        <v>1</v>
      </c>
      <c r="AD13" s="23">
        <v>1</v>
      </c>
      <c r="AE13" s="23">
        <v>1</v>
      </c>
      <c r="AF13" s="23">
        <v>1</v>
      </c>
      <c r="AG13" s="23">
        <v>1</v>
      </c>
      <c r="AH13" s="24">
        <f t="shared" si="0"/>
        <v>27</v>
      </c>
      <c r="AI13" s="24">
        <f t="shared" si="1"/>
        <v>31</v>
      </c>
      <c r="AJ13" s="25">
        <f t="shared" si="2"/>
        <v>0.87096774193548387</v>
      </c>
      <c r="AK13" s="24">
        <f t="shared" si="3"/>
        <v>6</v>
      </c>
      <c r="AL13" s="24">
        <f t="shared" si="4"/>
        <v>6</v>
      </c>
      <c r="AM13" s="24">
        <f t="shared" si="5"/>
        <v>1</v>
      </c>
      <c r="AN13" s="26" t="str">
        <f t="shared" si="6"/>
        <v>Sin interrupciones seguidas</v>
      </c>
    </row>
    <row r="14" spans="1:40" ht="18.75" customHeight="1">
      <c r="A14" s="21">
        <v>3</v>
      </c>
      <c r="B14" s="22" t="str">
        <f>IF(HABITOS!B14="","",HABITOS!B14)</f>
        <v>Beber al menos 6 vasos de agua</v>
      </c>
      <c r="C14" s="23">
        <v>1</v>
      </c>
      <c r="D14" s="23">
        <v>1</v>
      </c>
      <c r="E14" s="23">
        <v>0</v>
      </c>
      <c r="F14" s="23">
        <v>1</v>
      </c>
      <c r="G14" s="23">
        <v>1</v>
      </c>
      <c r="H14" s="23">
        <v>1</v>
      </c>
      <c r="I14" s="23">
        <v>1</v>
      </c>
      <c r="J14" s="23">
        <v>1</v>
      </c>
      <c r="K14" s="23">
        <v>1</v>
      </c>
      <c r="L14" s="23">
        <v>0</v>
      </c>
      <c r="M14" s="23">
        <v>1</v>
      </c>
      <c r="N14" s="23">
        <v>1</v>
      </c>
      <c r="O14" s="23">
        <v>1</v>
      </c>
      <c r="P14" s="23">
        <v>1</v>
      </c>
      <c r="Q14" s="23">
        <v>1</v>
      </c>
      <c r="R14" s="23">
        <v>1</v>
      </c>
      <c r="S14" s="23">
        <v>0</v>
      </c>
      <c r="T14" s="23">
        <v>1</v>
      </c>
      <c r="U14" s="23">
        <v>1</v>
      </c>
      <c r="V14" s="23">
        <v>1</v>
      </c>
      <c r="W14" s="23">
        <v>1</v>
      </c>
      <c r="X14" s="23">
        <v>1</v>
      </c>
      <c r="Y14" s="23">
        <v>1</v>
      </c>
      <c r="Z14" s="23">
        <v>0</v>
      </c>
      <c r="AA14" s="23">
        <v>1</v>
      </c>
      <c r="AB14" s="23">
        <v>1</v>
      </c>
      <c r="AC14" s="23">
        <v>1</v>
      </c>
      <c r="AD14" s="23">
        <v>1</v>
      </c>
      <c r="AE14" s="23">
        <v>1</v>
      </c>
      <c r="AF14" s="23">
        <v>1</v>
      </c>
      <c r="AG14" s="23">
        <v>0</v>
      </c>
      <c r="AH14" s="24">
        <f t="shared" si="0"/>
        <v>26</v>
      </c>
      <c r="AI14" s="24">
        <f t="shared" si="1"/>
        <v>31</v>
      </c>
      <c r="AJ14" s="25">
        <f t="shared" si="2"/>
        <v>0.83870967741935487</v>
      </c>
      <c r="AK14" s="24">
        <f t="shared" si="3"/>
        <v>0</v>
      </c>
      <c r="AL14" s="24">
        <f t="shared" si="4"/>
        <v>6</v>
      </c>
      <c r="AM14" s="24">
        <f t="shared" si="5"/>
        <v>1</v>
      </c>
      <c r="AN14" s="26" t="str">
        <f t="shared" si="6"/>
        <v>Sin interrupciones seguidas</v>
      </c>
    </row>
    <row r="15" spans="1:40" ht="18.75" customHeight="1">
      <c r="A15" s="21">
        <v>4</v>
      </c>
      <c r="B15" s="22" t="str">
        <f>IF(HABITOS!B15="","",HABITOS!B15)</f>
        <v>Comer una comida sin pantallas</v>
      </c>
      <c r="C15" s="23">
        <v>1</v>
      </c>
      <c r="D15" s="23">
        <v>0</v>
      </c>
      <c r="E15" s="23">
        <v>1</v>
      </c>
      <c r="F15" s="23">
        <v>1</v>
      </c>
      <c r="G15" s="23">
        <v>0</v>
      </c>
      <c r="H15" s="23">
        <v>1</v>
      </c>
      <c r="I15" s="23">
        <v>1</v>
      </c>
      <c r="J15" s="23">
        <v>1</v>
      </c>
      <c r="K15" s="23">
        <v>0</v>
      </c>
      <c r="L15" s="23">
        <v>1</v>
      </c>
      <c r="M15" s="23">
        <v>1</v>
      </c>
      <c r="N15" s="23">
        <v>1</v>
      </c>
      <c r="O15" s="23">
        <v>1</v>
      </c>
      <c r="P15" s="23">
        <v>1</v>
      </c>
      <c r="Q15" s="23">
        <v>1</v>
      </c>
      <c r="R15" s="23">
        <v>0</v>
      </c>
      <c r="S15" s="23">
        <v>1</v>
      </c>
      <c r="T15" s="23">
        <v>1</v>
      </c>
      <c r="U15" s="23">
        <v>0</v>
      </c>
      <c r="V15" s="23">
        <v>1</v>
      </c>
      <c r="W15" s="23">
        <v>1</v>
      </c>
      <c r="X15" s="23">
        <v>1</v>
      </c>
      <c r="Y15" s="23">
        <v>0</v>
      </c>
      <c r="Z15" s="23">
        <v>1</v>
      </c>
      <c r="AA15" s="23">
        <v>1</v>
      </c>
      <c r="AB15" s="23">
        <v>0</v>
      </c>
      <c r="AC15" s="23">
        <v>1</v>
      </c>
      <c r="AD15" s="23">
        <v>1</v>
      </c>
      <c r="AE15" s="23">
        <v>1</v>
      </c>
      <c r="AF15" s="23">
        <v>0</v>
      </c>
      <c r="AG15" s="23">
        <v>1</v>
      </c>
      <c r="AH15" s="24">
        <f t="shared" si="0"/>
        <v>23</v>
      </c>
      <c r="AI15" s="24">
        <f t="shared" si="1"/>
        <v>31</v>
      </c>
      <c r="AJ15" s="25">
        <f t="shared" si="2"/>
        <v>0.74193548387096775</v>
      </c>
      <c r="AK15" s="24">
        <f t="shared" si="3"/>
        <v>1</v>
      </c>
      <c r="AL15" s="24">
        <f t="shared" si="4"/>
        <v>6</v>
      </c>
      <c r="AM15" s="24">
        <f t="shared" si="5"/>
        <v>1</v>
      </c>
      <c r="AN15" s="26" t="str">
        <f t="shared" si="6"/>
        <v>Sin interrupciones seguidas</v>
      </c>
    </row>
    <row r="16" spans="1:40" ht="18.75" customHeight="1">
      <c r="A16" s="21">
        <v>5</v>
      </c>
      <c r="B16" s="22" t="str">
        <f>IF(HABITOS!B16="","",HABITOS!B16)</f>
        <v>Llevar colación planificada</v>
      </c>
      <c r="C16" s="23">
        <v>0</v>
      </c>
      <c r="D16" s="23">
        <v>1</v>
      </c>
      <c r="E16" s="23">
        <v>1</v>
      </c>
      <c r="F16" s="23">
        <v>1</v>
      </c>
      <c r="G16" s="23">
        <v>1</v>
      </c>
      <c r="H16" s="23">
        <v>1</v>
      </c>
      <c r="I16" s="23">
        <v>1</v>
      </c>
      <c r="J16" s="23">
        <v>0</v>
      </c>
      <c r="K16" s="23">
        <v>1</v>
      </c>
      <c r="L16" s="23">
        <v>1</v>
      </c>
      <c r="M16" s="23">
        <v>1</v>
      </c>
      <c r="N16" s="23">
        <v>1</v>
      </c>
      <c r="O16" s="23">
        <v>1</v>
      </c>
      <c r="P16" s="23">
        <v>1</v>
      </c>
      <c r="Q16" s="23">
        <v>0</v>
      </c>
      <c r="R16" s="23">
        <v>1</v>
      </c>
      <c r="S16" s="23">
        <v>1</v>
      </c>
      <c r="T16" s="23">
        <v>1</v>
      </c>
      <c r="U16" s="23">
        <v>1</v>
      </c>
      <c r="V16" s="23">
        <v>1</v>
      </c>
      <c r="W16" s="23">
        <v>1</v>
      </c>
      <c r="X16" s="23">
        <v>0</v>
      </c>
      <c r="Y16" s="23">
        <v>1</v>
      </c>
      <c r="Z16" s="23">
        <v>1</v>
      </c>
      <c r="AA16" s="23">
        <v>1</v>
      </c>
      <c r="AB16" s="23">
        <v>1</v>
      </c>
      <c r="AC16" s="23">
        <v>1</v>
      </c>
      <c r="AD16" s="23">
        <v>1</v>
      </c>
      <c r="AE16" s="23">
        <v>0</v>
      </c>
      <c r="AF16" s="23">
        <v>1</v>
      </c>
      <c r="AG16" s="23">
        <v>1</v>
      </c>
      <c r="AH16" s="24">
        <f t="shared" si="0"/>
        <v>26</v>
      </c>
      <c r="AI16" s="24">
        <f t="shared" si="1"/>
        <v>31</v>
      </c>
      <c r="AJ16" s="25">
        <f t="shared" si="2"/>
        <v>0.83870967741935487</v>
      </c>
      <c r="AK16" s="24">
        <f t="shared" si="3"/>
        <v>2</v>
      </c>
      <c r="AL16" s="24">
        <f t="shared" si="4"/>
        <v>6</v>
      </c>
      <c r="AM16" s="24">
        <f t="shared" si="5"/>
        <v>1</v>
      </c>
      <c r="AN16" s="26" t="str">
        <f t="shared" si="6"/>
        <v>Sin interrupciones seguidas</v>
      </c>
    </row>
    <row r="17" spans="1:40" ht="18.75" customHeight="1">
      <c r="A17" s="21">
        <v>6</v>
      </c>
      <c r="B17" s="22" t="str">
        <f>IF(HABITOS!B17="","",HABITOS!B17)</f>
        <v>Caminar 30 minutos</v>
      </c>
      <c r="C17" s="23">
        <v>1</v>
      </c>
      <c r="D17" s="23">
        <v>1</v>
      </c>
      <c r="E17" s="23">
        <v>1</v>
      </c>
      <c r="F17" s="23">
        <v>1</v>
      </c>
      <c r="G17" s="23">
        <v>1</v>
      </c>
      <c r="H17" s="23">
        <v>0</v>
      </c>
      <c r="I17" s="23">
        <v>0</v>
      </c>
      <c r="J17" s="23">
        <v>1</v>
      </c>
      <c r="K17" s="23">
        <v>1</v>
      </c>
      <c r="L17" s="23">
        <v>1</v>
      </c>
      <c r="M17" s="23">
        <v>1</v>
      </c>
      <c r="N17" s="23">
        <v>1</v>
      </c>
      <c r="O17" s="23">
        <v>0</v>
      </c>
      <c r="P17" s="23">
        <v>0</v>
      </c>
      <c r="Q17" s="23">
        <v>1</v>
      </c>
      <c r="R17" s="23">
        <v>1</v>
      </c>
      <c r="S17" s="23">
        <v>1</v>
      </c>
      <c r="T17" s="23">
        <v>1</v>
      </c>
      <c r="U17" s="23">
        <v>1</v>
      </c>
      <c r="V17" s="23">
        <v>0</v>
      </c>
      <c r="W17" s="23">
        <v>0</v>
      </c>
      <c r="X17" s="23">
        <v>1</v>
      </c>
      <c r="Y17" s="23">
        <v>1</v>
      </c>
      <c r="Z17" s="23">
        <v>1</v>
      </c>
      <c r="AA17" s="23">
        <v>1</v>
      </c>
      <c r="AB17" s="23">
        <v>1</v>
      </c>
      <c r="AC17" s="23">
        <v>0</v>
      </c>
      <c r="AD17" s="23">
        <v>0</v>
      </c>
      <c r="AE17" s="23">
        <v>1</v>
      </c>
      <c r="AF17" s="23">
        <v>1</v>
      </c>
      <c r="AG17" s="23">
        <v>1</v>
      </c>
      <c r="AH17" s="24">
        <f t="shared" si="0"/>
        <v>23</v>
      </c>
      <c r="AI17" s="24">
        <f t="shared" si="1"/>
        <v>31</v>
      </c>
      <c r="AJ17" s="25">
        <f t="shared" si="2"/>
        <v>0.74193548387096775</v>
      </c>
      <c r="AK17" s="24">
        <f t="shared" si="3"/>
        <v>3</v>
      </c>
      <c r="AL17" s="24">
        <f t="shared" si="4"/>
        <v>5</v>
      </c>
      <c r="AM17" s="24">
        <f t="shared" si="5"/>
        <v>2</v>
      </c>
      <c r="AN17" s="26" t="str">
        <f t="shared" si="6"/>
        <v>Revisar: hubo 2 días seguidos sin cumplir</v>
      </c>
    </row>
    <row r="18" spans="1:40" ht="18.75" customHeight="1">
      <c r="A18" s="21">
        <v>7</v>
      </c>
      <c r="B18" s="22" t="str">
        <f>IF(HABITOS!B18="","",HABITOS!B18)</f>
        <v>Acostarse antes de las 23:30</v>
      </c>
      <c r="C18" s="23">
        <v>1</v>
      </c>
      <c r="D18" s="23">
        <v>1</v>
      </c>
      <c r="E18" s="23">
        <v>1</v>
      </c>
      <c r="F18" s="23">
        <v>1</v>
      </c>
      <c r="G18" s="23">
        <v>0</v>
      </c>
      <c r="H18" s="23">
        <v>0</v>
      </c>
      <c r="I18" s="23">
        <v>1</v>
      </c>
      <c r="J18" s="23">
        <v>1</v>
      </c>
      <c r="K18" s="23">
        <v>1</v>
      </c>
      <c r="L18" s="23">
        <v>1</v>
      </c>
      <c r="M18" s="23">
        <v>1</v>
      </c>
      <c r="N18" s="23">
        <v>1</v>
      </c>
      <c r="O18" s="23">
        <v>0</v>
      </c>
      <c r="P18" s="23">
        <v>1</v>
      </c>
      <c r="Q18" s="23">
        <v>1</v>
      </c>
      <c r="R18" s="23">
        <v>1</v>
      </c>
      <c r="S18" s="23">
        <v>1</v>
      </c>
      <c r="T18" s="23">
        <v>1</v>
      </c>
      <c r="U18" s="23">
        <v>0</v>
      </c>
      <c r="V18" s="23">
        <v>0</v>
      </c>
      <c r="W18" s="23">
        <v>1</v>
      </c>
      <c r="X18" s="23">
        <v>1</v>
      </c>
      <c r="Y18" s="23">
        <v>1</v>
      </c>
      <c r="Z18" s="23">
        <v>1</v>
      </c>
      <c r="AA18" s="23">
        <v>1</v>
      </c>
      <c r="AB18" s="23">
        <v>0</v>
      </c>
      <c r="AC18" s="23">
        <v>0</v>
      </c>
      <c r="AD18" s="23">
        <v>1</v>
      </c>
      <c r="AE18" s="23">
        <v>1</v>
      </c>
      <c r="AF18" s="23">
        <v>1</v>
      </c>
      <c r="AG18" s="23">
        <v>1</v>
      </c>
      <c r="AH18" s="24">
        <f t="shared" si="0"/>
        <v>24</v>
      </c>
      <c r="AI18" s="24">
        <f t="shared" si="1"/>
        <v>31</v>
      </c>
      <c r="AJ18" s="25">
        <f t="shared" si="2"/>
        <v>0.77419354838709675</v>
      </c>
      <c r="AK18" s="24">
        <f t="shared" si="3"/>
        <v>4</v>
      </c>
      <c r="AL18" s="24">
        <f t="shared" si="4"/>
        <v>6</v>
      </c>
      <c r="AM18" s="24">
        <f t="shared" si="5"/>
        <v>2</v>
      </c>
      <c r="AN18" s="26" t="str">
        <f t="shared" si="6"/>
        <v>Revisar: hubo 2 días seguidos sin cumplir</v>
      </c>
    </row>
    <row r="19" spans="1:40" ht="18.75" customHeight="1">
      <c r="A19" s="21">
        <v>8</v>
      </c>
      <c r="B19" s="22" t="str">
        <f>IF(HABITOS!B19="","",HABITOS!B19)</f>
        <v>Dejar lista la comida del día siguiente</v>
      </c>
      <c r="C19" s="23">
        <v>1</v>
      </c>
      <c r="D19" s="23">
        <v>0</v>
      </c>
      <c r="E19" s="23">
        <v>0</v>
      </c>
      <c r="F19" s="23">
        <v>0</v>
      </c>
      <c r="G19" s="23">
        <v>1</v>
      </c>
      <c r="H19" s="23">
        <v>1</v>
      </c>
      <c r="I19" s="23">
        <v>1</v>
      </c>
      <c r="J19" s="23">
        <v>1</v>
      </c>
      <c r="K19" s="23">
        <v>0</v>
      </c>
      <c r="L19" s="23">
        <v>0</v>
      </c>
      <c r="M19" s="23">
        <v>0</v>
      </c>
      <c r="N19" s="23">
        <v>1</v>
      </c>
      <c r="O19" s="23">
        <v>1</v>
      </c>
      <c r="P19" s="23">
        <v>1</v>
      </c>
      <c r="Q19" s="23">
        <v>1</v>
      </c>
      <c r="R19" s="23">
        <v>0</v>
      </c>
      <c r="S19" s="23">
        <v>0</v>
      </c>
      <c r="T19" s="23">
        <v>0</v>
      </c>
      <c r="U19" s="23">
        <v>1</v>
      </c>
      <c r="V19" s="23">
        <v>1</v>
      </c>
      <c r="W19" s="23">
        <v>1</v>
      </c>
      <c r="X19" s="23">
        <v>1</v>
      </c>
      <c r="Y19" s="23">
        <v>0</v>
      </c>
      <c r="Z19" s="23">
        <v>0</v>
      </c>
      <c r="AA19" s="23">
        <v>0</v>
      </c>
      <c r="AB19" s="23">
        <v>1</v>
      </c>
      <c r="AC19" s="23">
        <v>1</v>
      </c>
      <c r="AD19" s="23">
        <v>1</v>
      </c>
      <c r="AE19" s="23">
        <v>1</v>
      </c>
      <c r="AF19" s="23">
        <v>0</v>
      </c>
      <c r="AG19" s="23">
        <v>0</v>
      </c>
      <c r="AH19" s="24">
        <f t="shared" si="0"/>
        <v>17</v>
      </c>
      <c r="AI19" s="24">
        <f t="shared" si="1"/>
        <v>31</v>
      </c>
      <c r="AJ19" s="25">
        <f t="shared" si="2"/>
        <v>0.54838709677419351</v>
      </c>
      <c r="AK19" s="24">
        <f t="shared" si="3"/>
        <v>0</v>
      </c>
      <c r="AL19" s="24">
        <f t="shared" si="4"/>
        <v>4</v>
      </c>
      <c r="AM19" s="24">
        <f t="shared" si="5"/>
        <v>3</v>
      </c>
      <c r="AN19" s="26" t="str">
        <f t="shared" si="6"/>
        <v>Revisar: hubo 3 días seguidos sin cumplir</v>
      </c>
    </row>
    <row r="20" spans="1:40" ht="18.75" customHeight="1">
      <c r="A20" s="21">
        <v>9</v>
      </c>
      <c r="B20" s="22" t="str">
        <f>IF(HABITOS!B20="","",HABITOS!B20)</f>
        <v>Anotar cómo me sentí al comer</v>
      </c>
      <c r="C20" s="23">
        <v>0</v>
      </c>
      <c r="D20" s="23">
        <v>0</v>
      </c>
      <c r="E20" s="23">
        <v>0</v>
      </c>
      <c r="F20" s="23">
        <v>1</v>
      </c>
      <c r="G20" s="23">
        <v>1</v>
      </c>
      <c r="H20" s="23">
        <v>1</v>
      </c>
      <c r="I20" s="23">
        <v>1</v>
      </c>
      <c r="J20" s="23">
        <v>1</v>
      </c>
      <c r="K20" s="23">
        <v>1</v>
      </c>
      <c r="L20" s="23">
        <v>1</v>
      </c>
      <c r="M20" s="23">
        <v>1</v>
      </c>
      <c r="N20" s="23">
        <v>1</v>
      </c>
      <c r="O20" s="23">
        <v>1</v>
      </c>
      <c r="P20" s="23">
        <v>1</v>
      </c>
      <c r="Q20" s="23">
        <v>0</v>
      </c>
      <c r="R20" s="23">
        <v>0</v>
      </c>
      <c r="S20" s="23">
        <v>0</v>
      </c>
      <c r="T20" s="23">
        <v>1</v>
      </c>
      <c r="U20" s="23">
        <v>1</v>
      </c>
      <c r="V20" s="23">
        <v>1</v>
      </c>
      <c r="W20" s="23">
        <v>1</v>
      </c>
      <c r="X20" s="23">
        <v>1</v>
      </c>
      <c r="Y20" s="23">
        <v>1</v>
      </c>
      <c r="Z20" s="23">
        <v>1</v>
      </c>
      <c r="AA20" s="23">
        <v>1</v>
      </c>
      <c r="AB20" s="23">
        <v>1</v>
      </c>
      <c r="AC20" s="23">
        <v>1</v>
      </c>
      <c r="AD20" s="23">
        <v>1</v>
      </c>
      <c r="AE20" s="23">
        <v>0</v>
      </c>
      <c r="AF20" s="23">
        <v>0</v>
      </c>
      <c r="AG20" s="23">
        <v>0</v>
      </c>
      <c r="AH20" s="24">
        <f t="shared" si="0"/>
        <v>22</v>
      </c>
      <c r="AI20" s="24">
        <f t="shared" si="1"/>
        <v>31</v>
      </c>
      <c r="AJ20" s="25">
        <f t="shared" si="2"/>
        <v>0.70967741935483875</v>
      </c>
      <c r="AK20" s="24">
        <f t="shared" si="3"/>
        <v>0</v>
      </c>
      <c r="AL20" s="24">
        <f t="shared" si="4"/>
        <v>11</v>
      </c>
      <c r="AM20" s="24">
        <f t="shared" si="5"/>
        <v>3</v>
      </c>
      <c r="AN20" s="26" t="str">
        <f t="shared" si="6"/>
        <v>Revisar: hubo 3 días seguidos sin cumplir</v>
      </c>
    </row>
    <row r="21" spans="1:40" ht="18.75" customHeight="1">
      <c r="A21" s="21">
        <v>10</v>
      </c>
      <c r="B21" s="22" t="str">
        <f>IF(HABITOS!B21="","",HABITOS!B21)</f>
        <v>Comer sentado a la mesa</v>
      </c>
      <c r="C21" s="23">
        <v>1</v>
      </c>
      <c r="D21" s="23">
        <v>1</v>
      </c>
      <c r="E21" s="23">
        <v>1</v>
      </c>
      <c r="F21" s="23">
        <v>1</v>
      </c>
      <c r="G21" s="23">
        <v>1</v>
      </c>
      <c r="H21" s="23">
        <v>1</v>
      </c>
      <c r="I21" s="23">
        <v>0</v>
      </c>
      <c r="J21" s="23">
        <v>1</v>
      </c>
      <c r="K21" s="23">
        <v>1</v>
      </c>
      <c r="L21" s="23">
        <v>1</v>
      </c>
      <c r="M21" s="23">
        <v>1</v>
      </c>
      <c r="N21" s="23">
        <v>1</v>
      </c>
      <c r="O21" s="23">
        <v>1</v>
      </c>
      <c r="P21" s="23">
        <v>0</v>
      </c>
      <c r="Q21" s="23">
        <v>1</v>
      </c>
      <c r="R21" s="23">
        <v>1</v>
      </c>
      <c r="S21" s="23">
        <v>1</v>
      </c>
      <c r="T21" s="23">
        <v>1</v>
      </c>
      <c r="U21" s="23">
        <v>1</v>
      </c>
      <c r="V21" s="23">
        <v>1</v>
      </c>
      <c r="W21" s="23">
        <v>0</v>
      </c>
      <c r="X21" s="23">
        <v>1</v>
      </c>
      <c r="Y21" s="23">
        <v>1</v>
      </c>
      <c r="Z21" s="23">
        <v>1</v>
      </c>
      <c r="AA21" s="23">
        <v>1</v>
      </c>
      <c r="AB21" s="23">
        <v>1</v>
      </c>
      <c r="AC21" s="23">
        <v>1</v>
      </c>
      <c r="AD21" s="23">
        <v>0</v>
      </c>
      <c r="AE21" s="23">
        <v>1</v>
      </c>
      <c r="AF21" s="23">
        <v>1</v>
      </c>
      <c r="AG21" s="23">
        <v>1</v>
      </c>
      <c r="AH21" s="24">
        <f t="shared" si="0"/>
        <v>27</v>
      </c>
      <c r="AI21" s="24">
        <f t="shared" si="1"/>
        <v>31</v>
      </c>
      <c r="AJ21" s="25">
        <f t="shared" si="2"/>
        <v>0.87096774193548387</v>
      </c>
      <c r="AK21" s="24">
        <f t="shared" si="3"/>
        <v>3</v>
      </c>
      <c r="AL21" s="24">
        <f t="shared" si="4"/>
        <v>6</v>
      </c>
      <c r="AM21" s="24">
        <f t="shared" si="5"/>
        <v>1</v>
      </c>
      <c r="AN21" s="26" t="str">
        <f t="shared" si="6"/>
        <v>Sin interrupciones seguidas</v>
      </c>
    </row>
    <row r="22" spans="1:40" ht="18.75" customHeight="1">
      <c r="A22" s="27"/>
      <c r="B22" s="28" t="s">
        <v>153</v>
      </c>
      <c r="C22" s="27">
        <f t="shared" ref="C22:AG22" si="7">IF(COUNT(C12:C21)=0,"",COUNTIF(C12:C21,1))</f>
        <v>8</v>
      </c>
      <c r="D22" s="27">
        <f t="shared" si="7"/>
        <v>7</v>
      </c>
      <c r="E22" s="27">
        <f t="shared" si="7"/>
        <v>7</v>
      </c>
      <c r="F22" s="27">
        <f t="shared" si="7"/>
        <v>8</v>
      </c>
      <c r="G22" s="27">
        <f t="shared" si="7"/>
        <v>8</v>
      </c>
      <c r="H22" s="27">
        <f t="shared" si="7"/>
        <v>7</v>
      </c>
      <c r="I22" s="27">
        <f t="shared" si="7"/>
        <v>7</v>
      </c>
      <c r="J22" s="27">
        <f t="shared" si="7"/>
        <v>9</v>
      </c>
      <c r="K22" s="27">
        <f t="shared" si="7"/>
        <v>8</v>
      </c>
      <c r="L22" s="27">
        <f t="shared" si="7"/>
        <v>8</v>
      </c>
      <c r="M22" s="27">
        <f t="shared" si="7"/>
        <v>8</v>
      </c>
      <c r="N22" s="27">
        <f t="shared" si="7"/>
        <v>10</v>
      </c>
      <c r="O22" s="27">
        <f t="shared" si="7"/>
        <v>7</v>
      </c>
      <c r="P22" s="27">
        <f t="shared" si="7"/>
        <v>8</v>
      </c>
      <c r="Q22" s="27">
        <f t="shared" si="7"/>
        <v>8</v>
      </c>
      <c r="R22" s="27">
        <f t="shared" si="7"/>
        <v>7</v>
      </c>
      <c r="S22" s="27">
        <f t="shared" si="7"/>
        <v>7</v>
      </c>
      <c r="T22" s="27">
        <f t="shared" si="7"/>
        <v>8</v>
      </c>
      <c r="U22" s="27">
        <f t="shared" si="7"/>
        <v>8</v>
      </c>
      <c r="V22" s="27">
        <f t="shared" si="7"/>
        <v>7</v>
      </c>
      <c r="W22" s="27">
        <f t="shared" si="7"/>
        <v>8</v>
      </c>
      <c r="X22" s="27">
        <f t="shared" si="7"/>
        <v>9</v>
      </c>
      <c r="Y22" s="27">
        <f t="shared" si="7"/>
        <v>8</v>
      </c>
      <c r="Z22" s="27">
        <f t="shared" si="7"/>
        <v>8</v>
      </c>
      <c r="AA22" s="27">
        <f t="shared" si="7"/>
        <v>8</v>
      </c>
      <c r="AB22" s="27">
        <f t="shared" si="7"/>
        <v>8</v>
      </c>
      <c r="AC22" s="27">
        <f t="shared" si="7"/>
        <v>7</v>
      </c>
      <c r="AD22" s="27">
        <f t="shared" si="7"/>
        <v>8</v>
      </c>
      <c r="AE22" s="27">
        <f t="shared" si="7"/>
        <v>8</v>
      </c>
      <c r="AF22" s="27">
        <f t="shared" si="7"/>
        <v>7</v>
      </c>
      <c r="AG22" s="27">
        <f t="shared" si="7"/>
        <v>7</v>
      </c>
      <c r="AH22" s="27">
        <f>SUM(AH12:AH21)</f>
        <v>241</v>
      </c>
      <c r="AI22" s="27">
        <f>SUM(AI12:AI21)</f>
        <v>310</v>
      </c>
      <c r="AJ22" s="25">
        <f>IF(AI22=0,"ND",AH22/AI22)</f>
        <v>0.77741935483870972</v>
      </c>
      <c r="AK22" s="27"/>
      <c r="AL22" s="27"/>
      <c r="AM22" s="27"/>
      <c r="AN22" s="27"/>
    </row>
    <row r="23" spans="1:40" ht="18.75" customHeight="1">
      <c r="A23" s="29"/>
      <c r="B23" s="30" t="s">
        <v>154</v>
      </c>
      <c r="C23" s="29">
        <f t="shared" ref="C23:AG23" si="8">IF(COUNT(C12:C21)=0,"",COUNT(C12:C21))</f>
        <v>10</v>
      </c>
      <c r="D23" s="29">
        <f t="shared" si="8"/>
        <v>10</v>
      </c>
      <c r="E23" s="29">
        <f t="shared" si="8"/>
        <v>10</v>
      </c>
      <c r="F23" s="29">
        <f t="shared" si="8"/>
        <v>10</v>
      </c>
      <c r="G23" s="29">
        <f t="shared" si="8"/>
        <v>10</v>
      </c>
      <c r="H23" s="29">
        <f t="shared" si="8"/>
        <v>10</v>
      </c>
      <c r="I23" s="29">
        <f t="shared" si="8"/>
        <v>10</v>
      </c>
      <c r="J23" s="29">
        <f t="shared" si="8"/>
        <v>10</v>
      </c>
      <c r="K23" s="29">
        <f t="shared" si="8"/>
        <v>10</v>
      </c>
      <c r="L23" s="29">
        <f t="shared" si="8"/>
        <v>10</v>
      </c>
      <c r="M23" s="29">
        <f t="shared" si="8"/>
        <v>10</v>
      </c>
      <c r="N23" s="29">
        <f t="shared" si="8"/>
        <v>10</v>
      </c>
      <c r="O23" s="29">
        <f t="shared" si="8"/>
        <v>10</v>
      </c>
      <c r="P23" s="29">
        <f t="shared" si="8"/>
        <v>10</v>
      </c>
      <c r="Q23" s="29">
        <f t="shared" si="8"/>
        <v>10</v>
      </c>
      <c r="R23" s="29">
        <f t="shared" si="8"/>
        <v>10</v>
      </c>
      <c r="S23" s="29">
        <f t="shared" si="8"/>
        <v>10</v>
      </c>
      <c r="T23" s="29">
        <f t="shared" si="8"/>
        <v>10</v>
      </c>
      <c r="U23" s="29">
        <f t="shared" si="8"/>
        <v>10</v>
      </c>
      <c r="V23" s="29">
        <f t="shared" si="8"/>
        <v>10</v>
      </c>
      <c r="W23" s="29">
        <f t="shared" si="8"/>
        <v>10</v>
      </c>
      <c r="X23" s="29">
        <f t="shared" si="8"/>
        <v>10</v>
      </c>
      <c r="Y23" s="29">
        <f t="shared" si="8"/>
        <v>10</v>
      </c>
      <c r="Z23" s="29">
        <f t="shared" si="8"/>
        <v>10</v>
      </c>
      <c r="AA23" s="29">
        <f t="shared" si="8"/>
        <v>10</v>
      </c>
      <c r="AB23" s="29">
        <f t="shared" si="8"/>
        <v>10</v>
      </c>
      <c r="AC23" s="29">
        <f t="shared" si="8"/>
        <v>10</v>
      </c>
      <c r="AD23" s="29">
        <f t="shared" si="8"/>
        <v>10</v>
      </c>
      <c r="AE23" s="29">
        <f t="shared" si="8"/>
        <v>10</v>
      </c>
      <c r="AF23" s="29">
        <f t="shared" si="8"/>
        <v>10</v>
      </c>
      <c r="AG23" s="29">
        <f t="shared" si="8"/>
        <v>10</v>
      </c>
      <c r="AH23" s="29"/>
      <c r="AI23" s="29"/>
      <c r="AJ23" s="29"/>
      <c r="AK23" s="29"/>
      <c r="AL23" s="29"/>
      <c r="AM23" s="29"/>
      <c r="AN23" s="29"/>
    </row>
    <row r="24" spans="1:40" ht="18.75" customHeight="1"/>
    <row r="25" spans="1:40" ht="19.5" customHeight="1">
      <c r="A25" s="6" t="s">
        <v>155</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row>
    <row r="26" spans="1:40" ht="15" customHeight="1">
      <c r="B26" s="60" t="s">
        <v>156</v>
      </c>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row>
    <row r="27" spans="1:40" ht="31.5" customHeight="1">
      <c r="B27" s="31" t="str">
        <f>$B$12</f>
        <v>Desayunar dentro de la primera hora</v>
      </c>
      <c r="C27" s="31">
        <f t="shared" ref="C27:C36" si="9">IF($B27="","",IF(C12="",0,IF(C12=1,0+1,0)))</f>
        <v>1</v>
      </c>
      <c r="D27" s="31">
        <f t="shared" ref="D27:AG27" si="10">IF($B27="","",IF(D12="",C27,IF(D12=1,C27+1,0)))</f>
        <v>2</v>
      </c>
      <c r="E27" s="31">
        <f t="shared" si="10"/>
        <v>3</v>
      </c>
      <c r="F27" s="31">
        <f t="shared" si="10"/>
        <v>4</v>
      </c>
      <c r="G27" s="31">
        <f t="shared" si="10"/>
        <v>5</v>
      </c>
      <c r="H27" s="31">
        <f t="shared" si="10"/>
        <v>0</v>
      </c>
      <c r="I27" s="31">
        <f t="shared" si="10"/>
        <v>0</v>
      </c>
      <c r="J27" s="31">
        <f t="shared" si="10"/>
        <v>1</v>
      </c>
      <c r="K27" s="31">
        <f t="shared" si="10"/>
        <v>2</v>
      </c>
      <c r="L27" s="31">
        <f t="shared" si="10"/>
        <v>3</v>
      </c>
      <c r="M27" s="31">
        <f t="shared" si="10"/>
        <v>4</v>
      </c>
      <c r="N27" s="31">
        <f t="shared" si="10"/>
        <v>5</v>
      </c>
      <c r="O27" s="31">
        <f t="shared" si="10"/>
        <v>0</v>
      </c>
      <c r="P27" s="31">
        <f t="shared" si="10"/>
        <v>1</v>
      </c>
      <c r="Q27" s="31">
        <f t="shared" si="10"/>
        <v>2</v>
      </c>
      <c r="R27" s="31">
        <f t="shared" si="10"/>
        <v>3</v>
      </c>
      <c r="S27" s="31">
        <f t="shared" si="10"/>
        <v>4</v>
      </c>
      <c r="T27" s="31">
        <f t="shared" si="10"/>
        <v>5</v>
      </c>
      <c r="U27" s="31">
        <f t="shared" si="10"/>
        <v>6</v>
      </c>
      <c r="V27" s="31">
        <f t="shared" si="10"/>
        <v>0</v>
      </c>
      <c r="W27" s="31">
        <f t="shared" si="10"/>
        <v>1</v>
      </c>
      <c r="X27" s="31">
        <f t="shared" si="10"/>
        <v>2</v>
      </c>
      <c r="Y27" s="31">
        <f t="shared" si="10"/>
        <v>3</v>
      </c>
      <c r="Z27" s="31">
        <f t="shared" si="10"/>
        <v>4</v>
      </c>
      <c r="AA27" s="31">
        <f t="shared" si="10"/>
        <v>5</v>
      </c>
      <c r="AB27" s="31">
        <f t="shared" si="10"/>
        <v>6</v>
      </c>
      <c r="AC27" s="31">
        <f t="shared" si="10"/>
        <v>0</v>
      </c>
      <c r="AD27" s="31">
        <f t="shared" si="10"/>
        <v>1</v>
      </c>
      <c r="AE27" s="31">
        <f t="shared" si="10"/>
        <v>2</v>
      </c>
      <c r="AF27" s="31">
        <f t="shared" si="10"/>
        <v>3</v>
      </c>
      <c r="AG27" s="31">
        <f t="shared" si="10"/>
        <v>4</v>
      </c>
    </row>
    <row r="28" spans="1:40" ht="31.5" customHeight="1">
      <c r="B28" s="31" t="str">
        <f>$B$13</f>
        <v>Incluir verduras en almuerzo y cena</v>
      </c>
      <c r="C28" s="31">
        <f t="shared" si="9"/>
        <v>1</v>
      </c>
      <c r="D28" s="31">
        <f t="shared" ref="D28:AG28" si="11">IF($B28="","",IF(D13="",C28,IF(D13=1,C28+1,0)))</f>
        <v>2</v>
      </c>
      <c r="E28" s="31">
        <f t="shared" si="11"/>
        <v>3</v>
      </c>
      <c r="F28" s="31">
        <f t="shared" si="11"/>
        <v>0</v>
      </c>
      <c r="G28" s="31">
        <f t="shared" si="11"/>
        <v>1</v>
      </c>
      <c r="H28" s="31">
        <f t="shared" si="11"/>
        <v>2</v>
      </c>
      <c r="I28" s="31">
        <f t="shared" si="11"/>
        <v>3</v>
      </c>
      <c r="J28" s="31">
        <f t="shared" si="11"/>
        <v>4</v>
      </c>
      <c r="K28" s="31">
        <f t="shared" si="11"/>
        <v>5</v>
      </c>
      <c r="L28" s="31">
        <f t="shared" si="11"/>
        <v>6</v>
      </c>
      <c r="M28" s="31">
        <f t="shared" si="11"/>
        <v>0</v>
      </c>
      <c r="N28" s="31">
        <f t="shared" si="11"/>
        <v>1</v>
      </c>
      <c r="O28" s="31">
        <f t="shared" si="11"/>
        <v>2</v>
      </c>
      <c r="P28" s="31">
        <f t="shared" si="11"/>
        <v>3</v>
      </c>
      <c r="Q28" s="31">
        <f t="shared" si="11"/>
        <v>4</v>
      </c>
      <c r="R28" s="31">
        <f t="shared" si="11"/>
        <v>5</v>
      </c>
      <c r="S28" s="31">
        <f t="shared" si="11"/>
        <v>6</v>
      </c>
      <c r="T28" s="31">
        <f t="shared" si="11"/>
        <v>0</v>
      </c>
      <c r="U28" s="31">
        <f t="shared" si="11"/>
        <v>1</v>
      </c>
      <c r="V28" s="31">
        <f t="shared" si="11"/>
        <v>2</v>
      </c>
      <c r="W28" s="31">
        <f t="shared" si="11"/>
        <v>3</v>
      </c>
      <c r="X28" s="31">
        <f t="shared" si="11"/>
        <v>4</v>
      </c>
      <c r="Y28" s="31">
        <f t="shared" si="11"/>
        <v>5</v>
      </c>
      <c r="Z28" s="31">
        <f t="shared" si="11"/>
        <v>6</v>
      </c>
      <c r="AA28" s="31">
        <f t="shared" si="11"/>
        <v>0</v>
      </c>
      <c r="AB28" s="31">
        <f t="shared" si="11"/>
        <v>1</v>
      </c>
      <c r="AC28" s="31">
        <f t="shared" si="11"/>
        <v>2</v>
      </c>
      <c r="AD28" s="31">
        <f t="shared" si="11"/>
        <v>3</v>
      </c>
      <c r="AE28" s="31">
        <f t="shared" si="11"/>
        <v>4</v>
      </c>
      <c r="AF28" s="31">
        <f t="shared" si="11"/>
        <v>5</v>
      </c>
      <c r="AG28" s="31">
        <f t="shared" si="11"/>
        <v>6</v>
      </c>
    </row>
    <row r="29" spans="1:40" ht="31.5" customHeight="1">
      <c r="B29" s="31" t="str">
        <f>$B$14</f>
        <v>Beber al menos 6 vasos de agua</v>
      </c>
      <c r="C29" s="31">
        <f t="shared" si="9"/>
        <v>1</v>
      </c>
      <c r="D29" s="31">
        <f t="shared" ref="D29:AG29" si="12">IF($B29="","",IF(D14="",C29,IF(D14=1,C29+1,0)))</f>
        <v>2</v>
      </c>
      <c r="E29" s="31">
        <f t="shared" si="12"/>
        <v>0</v>
      </c>
      <c r="F29" s="31">
        <f t="shared" si="12"/>
        <v>1</v>
      </c>
      <c r="G29" s="31">
        <f t="shared" si="12"/>
        <v>2</v>
      </c>
      <c r="H29" s="31">
        <f t="shared" si="12"/>
        <v>3</v>
      </c>
      <c r="I29" s="31">
        <f t="shared" si="12"/>
        <v>4</v>
      </c>
      <c r="J29" s="31">
        <f t="shared" si="12"/>
        <v>5</v>
      </c>
      <c r="K29" s="31">
        <f t="shared" si="12"/>
        <v>6</v>
      </c>
      <c r="L29" s="31">
        <f t="shared" si="12"/>
        <v>0</v>
      </c>
      <c r="M29" s="31">
        <f t="shared" si="12"/>
        <v>1</v>
      </c>
      <c r="N29" s="31">
        <f t="shared" si="12"/>
        <v>2</v>
      </c>
      <c r="O29" s="31">
        <f t="shared" si="12"/>
        <v>3</v>
      </c>
      <c r="P29" s="31">
        <f t="shared" si="12"/>
        <v>4</v>
      </c>
      <c r="Q29" s="31">
        <f t="shared" si="12"/>
        <v>5</v>
      </c>
      <c r="R29" s="31">
        <f t="shared" si="12"/>
        <v>6</v>
      </c>
      <c r="S29" s="31">
        <f t="shared" si="12"/>
        <v>0</v>
      </c>
      <c r="T29" s="31">
        <f t="shared" si="12"/>
        <v>1</v>
      </c>
      <c r="U29" s="31">
        <f t="shared" si="12"/>
        <v>2</v>
      </c>
      <c r="V29" s="31">
        <f t="shared" si="12"/>
        <v>3</v>
      </c>
      <c r="W29" s="31">
        <f t="shared" si="12"/>
        <v>4</v>
      </c>
      <c r="X29" s="31">
        <f t="shared" si="12"/>
        <v>5</v>
      </c>
      <c r="Y29" s="31">
        <f t="shared" si="12"/>
        <v>6</v>
      </c>
      <c r="Z29" s="31">
        <f t="shared" si="12"/>
        <v>0</v>
      </c>
      <c r="AA29" s="31">
        <f t="shared" si="12"/>
        <v>1</v>
      </c>
      <c r="AB29" s="31">
        <f t="shared" si="12"/>
        <v>2</v>
      </c>
      <c r="AC29" s="31">
        <f t="shared" si="12"/>
        <v>3</v>
      </c>
      <c r="AD29" s="31">
        <f t="shared" si="12"/>
        <v>4</v>
      </c>
      <c r="AE29" s="31">
        <f t="shared" si="12"/>
        <v>5</v>
      </c>
      <c r="AF29" s="31">
        <f t="shared" si="12"/>
        <v>6</v>
      </c>
      <c r="AG29" s="31">
        <f t="shared" si="12"/>
        <v>0</v>
      </c>
    </row>
    <row r="30" spans="1:40" ht="31.5" customHeight="1">
      <c r="B30" s="31" t="str">
        <f>$B$15</f>
        <v>Comer una comida sin pantallas</v>
      </c>
      <c r="C30" s="31">
        <f t="shared" si="9"/>
        <v>1</v>
      </c>
      <c r="D30" s="31">
        <f t="shared" ref="D30:AG30" si="13">IF($B30="","",IF(D15="",C30,IF(D15=1,C30+1,0)))</f>
        <v>0</v>
      </c>
      <c r="E30" s="31">
        <f t="shared" si="13"/>
        <v>1</v>
      </c>
      <c r="F30" s="31">
        <f t="shared" si="13"/>
        <v>2</v>
      </c>
      <c r="G30" s="31">
        <f t="shared" si="13"/>
        <v>0</v>
      </c>
      <c r="H30" s="31">
        <f t="shared" si="13"/>
        <v>1</v>
      </c>
      <c r="I30" s="31">
        <f t="shared" si="13"/>
        <v>2</v>
      </c>
      <c r="J30" s="31">
        <f t="shared" si="13"/>
        <v>3</v>
      </c>
      <c r="K30" s="31">
        <f t="shared" si="13"/>
        <v>0</v>
      </c>
      <c r="L30" s="31">
        <f t="shared" si="13"/>
        <v>1</v>
      </c>
      <c r="M30" s="31">
        <f t="shared" si="13"/>
        <v>2</v>
      </c>
      <c r="N30" s="31">
        <f t="shared" si="13"/>
        <v>3</v>
      </c>
      <c r="O30" s="31">
        <f t="shared" si="13"/>
        <v>4</v>
      </c>
      <c r="P30" s="31">
        <f t="shared" si="13"/>
        <v>5</v>
      </c>
      <c r="Q30" s="31">
        <f t="shared" si="13"/>
        <v>6</v>
      </c>
      <c r="R30" s="31">
        <f t="shared" si="13"/>
        <v>0</v>
      </c>
      <c r="S30" s="31">
        <f t="shared" si="13"/>
        <v>1</v>
      </c>
      <c r="T30" s="31">
        <f t="shared" si="13"/>
        <v>2</v>
      </c>
      <c r="U30" s="31">
        <f t="shared" si="13"/>
        <v>0</v>
      </c>
      <c r="V30" s="31">
        <f t="shared" si="13"/>
        <v>1</v>
      </c>
      <c r="W30" s="31">
        <f t="shared" si="13"/>
        <v>2</v>
      </c>
      <c r="X30" s="31">
        <f t="shared" si="13"/>
        <v>3</v>
      </c>
      <c r="Y30" s="31">
        <f t="shared" si="13"/>
        <v>0</v>
      </c>
      <c r="Z30" s="31">
        <f t="shared" si="13"/>
        <v>1</v>
      </c>
      <c r="AA30" s="31">
        <f t="shared" si="13"/>
        <v>2</v>
      </c>
      <c r="AB30" s="31">
        <f t="shared" si="13"/>
        <v>0</v>
      </c>
      <c r="AC30" s="31">
        <f t="shared" si="13"/>
        <v>1</v>
      </c>
      <c r="AD30" s="31">
        <f t="shared" si="13"/>
        <v>2</v>
      </c>
      <c r="AE30" s="31">
        <f t="shared" si="13"/>
        <v>3</v>
      </c>
      <c r="AF30" s="31">
        <f t="shared" si="13"/>
        <v>0</v>
      </c>
      <c r="AG30" s="31">
        <f t="shared" si="13"/>
        <v>1</v>
      </c>
    </row>
    <row r="31" spans="1:40" ht="31.5" customHeight="1">
      <c r="B31" s="31" t="str">
        <f>$B$16</f>
        <v>Llevar colación planificada</v>
      </c>
      <c r="C31" s="31">
        <f t="shared" si="9"/>
        <v>0</v>
      </c>
      <c r="D31" s="31">
        <f t="shared" ref="D31:AG31" si="14">IF($B31="","",IF(D16="",C31,IF(D16=1,C31+1,0)))</f>
        <v>1</v>
      </c>
      <c r="E31" s="31">
        <f t="shared" si="14"/>
        <v>2</v>
      </c>
      <c r="F31" s="31">
        <f t="shared" si="14"/>
        <v>3</v>
      </c>
      <c r="G31" s="31">
        <f t="shared" si="14"/>
        <v>4</v>
      </c>
      <c r="H31" s="31">
        <f t="shared" si="14"/>
        <v>5</v>
      </c>
      <c r="I31" s="31">
        <f t="shared" si="14"/>
        <v>6</v>
      </c>
      <c r="J31" s="31">
        <f t="shared" si="14"/>
        <v>0</v>
      </c>
      <c r="K31" s="31">
        <f t="shared" si="14"/>
        <v>1</v>
      </c>
      <c r="L31" s="31">
        <f t="shared" si="14"/>
        <v>2</v>
      </c>
      <c r="M31" s="31">
        <f t="shared" si="14"/>
        <v>3</v>
      </c>
      <c r="N31" s="31">
        <f t="shared" si="14"/>
        <v>4</v>
      </c>
      <c r="O31" s="31">
        <f t="shared" si="14"/>
        <v>5</v>
      </c>
      <c r="P31" s="31">
        <f t="shared" si="14"/>
        <v>6</v>
      </c>
      <c r="Q31" s="31">
        <f t="shared" si="14"/>
        <v>0</v>
      </c>
      <c r="R31" s="31">
        <f t="shared" si="14"/>
        <v>1</v>
      </c>
      <c r="S31" s="31">
        <f t="shared" si="14"/>
        <v>2</v>
      </c>
      <c r="T31" s="31">
        <f t="shared" si="14"/>
        <v>3</v>
      </c>
      <c r="U31" s="31">
        <f t="shared" si="14"/>
        <v>4</v>
      </c>
      <c r="V31" s="31">
        <f t="shared" si="14"/>
        <v>5</v>
      </c>
      <c r="W31" s="31">
        <f t="shared" si="14"/>
        <v>6</v>
      </c>
      <c r="X31" s="31">
        <f t="shared" si="14"/>
        <v>0</v>
      </c>
      <c r="Y31" s="31">
        <f t="shared" si="14"/>
        <v>1</v>
      </c>
      <c r="Z31" s="31">
        <f t="shared" si="14"/>
        <v>2</v>
      </c>
      <c r="AA31" s="31">
        <f t="shared" si="14"/>
        <v>3</v>
      </c>
      <c r="AB31" s="31">
        <f t="shared" si="14"/>
        <v>4</v>
      </c>
      <c r="AC31" s="31">
        <f t="shared" si="14"/>
        <v>5</v>
      </c>
      <c r="AD31" s="31">
        <f t="shared" si="14"/>
        <v>6</v>
      </c>
      <c r="AE31" s="31">
        <f t="shared" si="14"/>
        <v>0</v>
      </c>
      <c r="AF31" s="31">
        <f t="shared" si="14"/>
        <v>1</v>
      </c>
      <c r="AG31" s="31">
        <f t="shared" si="14"/>
        <v>2</v>
      </c>
    </row>
    <row r="32" spans="1:40" ht="31.5" customHeight="1">
      <c r="B32" s="31" t="str">
        <f>$B$17</f>
        <v>Caminar 30 minutos</v>
      </c>
      <c r="C32" s="31">
        <f t="shared" si="9"/>
        <v>1</v>
      </c>
      <c r="D32" s="31">
        <f t="shared" ref="D32:AG32" si="15">IF($B32="","",IF(D17="",C32,IF(D17=1,C32+1,0)))</f>
        <v>2</v>
      </c>
      <c r="E32" s="31">
        <f t="shared" si="15"/>
        <v>3</v>
      </c>
      <c r="F32" s="31">
        <f t="shared" si="15"/>
        <v>4</v>
      </c>
      <c r="G32" s="31">
        <f t="shared" si="15"/>
        <v>5</v>
      </c>
      <c r="H32" s="31">
        <f t="shared" si="15"/>
        <v>0</v>
      </c>
      <c r="I32" s="31">
        <f t="shared" si="15"/>
        <v>0</v>
      </c>
      <c r="J32" s="31">
        <f t="shared" si="15"/>
        <v>1</v>
      </c>
      <c r="K32" s="31">
        <f t="shared" si="15"/>
        <v>2</v>
      </c>
      <c r="L32" s="31">
        <f t="shared" si="15"/>
        <v>3</v>
      </c>
      <c r="M32" s="31">
        <f t="shared" si="15"/>
        <v>4</v>
      </c>
      <c r="N32" s="31">
        <f t="shared" si="15"/>
        <v>5</v>
      </c>
      <c r="O32" s="31">
        <f t="shared" si="15"/>
        <v>0</v>
      </c>
      <c r="P32" s="31">
        <f t="shared" si="15"/>
        <v>0</v>
      </c>
      <c r="Q32" s="31">
        <f t="shared" si="15"/>
        <v>1</v>
      </c>
      <c r="R32" s="31">
        <f t="shared" si="15"/>
        <v>2</v>
      </c>
      <c r="S32" s="31">
        <f t="shared" si="15"/>
        <v>3</v>
      </c>
      <c r="T32" s="31">
        <f t="shared" si="15"/>
        <v>4</v>
      </c>
      <c r="U32" s="31">
        <f t="shared" si="15"/>
        <v>5</v>
      </c>
      <c r="V32" s="31">
        <f t="shared" si="15"/>
        <v>0</v>
      </c>
      <c r="W32" s="31">
        <f t="shared" si="15"/>
        <v>0</v>
      </c>
      <c r="X32" s="31">
        <f t="shared" si="15"/>
        <v>1</v>
      </c>
      <c r="Y32" s="31">
        <f t="shared" si="15"/>
        <v>2</v>
      </c>
      <c r="Z32" s="31">
        <f t="shared" si="15"/>
        <v>3</v>
      </c>
      <c r="AA32" s="31">
        <f t="shared" si="15"/>
        <v>4</v>
      </c>
      <c r="AB32" s="31">
        <f t="shared" si="15"/>
        <v>5</v>
      </c>
      <c r="AC32" s="31">
        <f t="shared" si="15"/>
        <v>0</v>
      </c>
      <c r="AD32" s="31">
        <f t="shared" si="15"/>
        <v>0</v>
      </c>
      <c r="AE32" s="31">
        <f t="shared" si="15"/>
        <v>1</v>
      </c>
      <c r="AF32" s="31">
        <f t="shared" si="15"/>
        <v>2</v>
      </c>
      <c r="AG32" s="31">
        <f t="shared" si="15"/>
        <v>3</v>
      </c>
    </row>
    <row r="33" spans="1:40" ht="31.5" customHeight="1">
      <c r="B33" s="31" t="str">
        <f>$B$18</f>
        <v>Acostarse antes de las 23:30</v>
      </c>
      <c r="C33" s="31">
        <f t="shared" si="9"/>
        <v>1</v>
      </c>
      <c r="D33" s="31">
        <f t="shared" ref="D33:AG33" si="16">IF($B33="","",IF(D18="",C33,IF(D18=1,C33+1,0)))</f>
        <v>2</v>
      </c>
      <c r="E33" s="31">
        <f t="shared" si="16"/>
        <v>3</v>
      </c>
      <c r="F33" s="31">
        <f t="shared" si="16"/>
        <v>4</v>
      </c>
      <c r="G33" s="31">
        <f t="shared" si="16"/>
        <v>0</v>
      </c>
      <c r="H33" s="31">
        <f t="shared" si="16"/>
        <v>0</v>
      </c>
      <c r="I33" s="31">
        <f t="shared" si="16"/>
        <v>1</v>
      </c>
      <c r="J33" s="31">
        <f t="shared" si="16"/>
        <v>2</v>
      </c>
      <c r="K33" s="31">
        <f t="shared" si="16"/>
        <v>3</v>
      </c>
      <c r="L33" s="31">
        <f t="shared" si="16"/>
        <v>4</v>
      </c>
      <c r="M33" s="31">
        <f t="shared" si="16"/>
        <v>5</v>
      </c>
      <c r="N33" s="31">
        <f t="shared" si="16"/>
        <v>6</v>
      </c>
      <c r="O33" s="31">
        <f t="shared" si="16"/>
        <v>0</v>
      </c>
      <c r="P33" s="31">
        <f t="shared" si="16"/>
        <v>1</v>
      </c>
      <c r="Q33" s="31">
        <f t="shared" si="16"/>
        <v>2</v>
      </c>
      <c r="R33" s="31">
        <f t="shared" si="16"/>
        <v>3</v>
      </c>
      <c r="S33" s="31">
        <f t="shared" si="16"/>
        <v>4</v>
      </c>
      <c r="T33" s="31">
        <f t="shared" si="16"/>
        <v>5</v>
      </c>
      <c r="U33" s="31">
        <f t="shared" si="16"/>
        <v>0</v>
      </c>
      <c r="V33" s="31">
        <f t="shared" si="16"/>
        <v>0</v>
      </c>
      <c r="W33" s="31">
        <f t="shared" si="16"/>
        <v>1</v>
      </c>
      <c r="X33" s="31">
        <f t="shared" si="16"/>
        <v>2</v>
      </c>
      <c r="Y33" s="31">
        <f t="shared" si="16"/>
        <v>3</v>
      </c>
      <c r="Z33" s="31">
        <f t="shared" si="16"/>
        <v>4</v>
      </c>
      <c r="AA33" s="31">
        <f t="shared" si="16"/>
        <v>5</v>
      </c>
      <c r="AB33" s="31">
        <f t="shared" si="16"/>
        <v>0</v>
      </c>
      <c r="AC33" s="31">
        <f t="shared" si="16"/>
        <v>0</v>
      </c>
      <c r="AD33" s="31">
        <f t="shared" si="16"/>
        <v>1</v>
      </c>
      <c r="AE33" s="31">
        <f t="shared" si="16"/>
        <v>2</v>
      </c>
      <c r="AF33" s="31">
        <f t="shared" si="16"/>
        <v>3</v>
      </c>
      <c r="AG33" s="31">
        <f t="shared" si="16"/>
        <v>4</v>
      </c>
    </row>
    <row r="34" spans="1:40" ht="31.5" customHeight="1">
      <c r="B34" s="31" t="str">
        <f>$B$19</f>
        <v>Dejar lista la comida del día siguiente</v>
      </c>
      <c r="C34" s="31">
        <f t="shared" si="9"/>
        <v>1</v>
      </c>
      <c r="D34" s="31">
        <f t="shared" ref="D34:AG34" si="17">IF($B34="","",IF(D19="",C34,IF(D19=1,C34+1,0)))</f>
        <v>0</v>
      </c>
      <c r="E34" s="31">
        <f t="shared" si="17"/>
        <v>0</v>
      </c>
      <c r="F34" s="31">
        <f t="shared" si="17"/>
        <v>0</v>
      </c>
      <c r="G34" s="31">
        <f t="shared" si="17"/>
        <v>1</v>
      </c>
      <c r="H34" s="31">
        <f t="shared" si="17"/>
        <v>2</v>
      </c>
      <c r="I34" s="31">
        <f t="shared" si="17"/>
        <v>3</v>
      </c>
      <c r="J34" s="31">
        <f t="shared" si="17"/>
        <v>4</v>
      </c>
      <c r="K34" s="31">
        <f t="shared" si="17"/>
        <v>0</v>
      </c>
      <c r="L34" s="31">
        <f t="shared" si="17"/>
        <v>0</v>
      </c>
      <c r="M34" s="31">
        <f t="shared" si="17"/>
        <v>0</v>
      </c>
      <c r="N34" s="31">
        <f t="shared" si="17"/>
        <v>1</v>
      </c>
      <c r="O34" s="31">
        <f t="shared" si="17"/>
        <v>2</v>
      </c>
      <c r="P34" s="31">
        <f t="shared" si="17"/>
        <v>3</v>
      </c>
      <c r="Q34" s="31">
        <f t="shared" si="17"/>
        <v>4</v>
      </c>
      <c r="R34" s="31">
        <f t="shared" si="17"/>
        <v>0</v>
      </c>
      <c r="S34" s="31">
        <f t="shared" si="17"/>
        <v>0</v>
      </c>
      <c r="T34" s="31">
        <f t="shared" si="17"/>
        <v>0</v>
      </c>
      <c r="U34" s="31">
        <f t="shared" si="17"/>
        <v>1</v>
      </c>
      <c r="V34" s="31">
        <f t="shared" si="17"/>
        <v>2</v>
      </c>
      <c r="W34" s="31">
        <f t="shared" si="17"/>
        <v>3</v>
      </c>
      <c r="X34" s="31">
        <f t="shared" si="17"/>
        <v>4</v>
      </c>
      <c r="Y34" s="31">
        <f t="shared" si="17"/>
        <v>0</v>
      </c>
      <c r="Z34" s="31">
        <f t="shared" si="17"/>
        <v>0</v>
      </c>
      <c r="AA34" s="31">
        <f t="shared" si="17"/>
        <v>0</v>
      </c>
      <c r="AB34" s="31">
        <f t="shared" si="17"/>
        <v>1</v>
      </c>
      <c r="AC34" s="31">
        <f t="shared" si="17"/>
        <v>2</v>
      </c>
      <c r="AD34" s="31">
        <f t="shared" si="17"/>
        <v>3</v>
      </c>
      <c r="AE34" s="31">
        <f t="shared" si="17"/>
        <v>4</v>
      </c>
      <c r="AF34" s="31">
        <f t="shared" si="17"/>
        <v>0</v>
      </c>
      <c r="AG34" s="31">
        <f t="shared" si="17"/>
        <v>0</v>
      </c>
    </row>
    <row r="35" spans="1:40" ht="31.5" customHeight="1">
      <c r="B35" s="31" t="str">
        <f>$B$20</f>
        <v>Anotar cómo me sentí al comer</v>
      </c>
      <c r="C35" s="31">
        <f t="shared" si="9"/>
        <v>0</v>
      </c>
      <c r="D35" s="31">
        <f t="shared" ref="D35:AG35" si="18">IF($B35="","",IF(D20="",C35,IF(D20=1,C35+1,0)))</f>
        <v>0</v>
      </c>
      <c r="E35" s="31">
        <f t="shared" si="18"/>
        <v>0</v>
      </c>
      <c r="F35" s="31">
        <f t="shared" si="18"/>
        <v>1</v>
      </c>
      <c r="G35" s="31">
        <f t="shared" si="18"/>
        <v>2</v>
      </c>
      <c r="H35" s="31">
        <f t="shared" si="18"/>
        <v>3</v>
      </c>
      <c r="I35" s="31">
        <f t="shared" si="18"/>
        <v>4</v>
      </c>
      <c r="J35" s="31">
        <f t="shared" si="18"/>
        <v>5</v>
      </c>
      <c r="K35" s="31">
        <f t="shared" si="18"/>
        <v>6</v>
      </c>
      <c r="L35" s="31">
        <f t="shared" si="18"/>
        <v>7</v>
      </c>
      <c r="M35" s="31">
        <f t="shared" si="18"/>
        <v>8</v>
      </c>
      <c r="N35" s="31">
        <f t="shared" si="18"/>
        <v>9</v>
      </c>
      <c r="O35" s="31">
        <f t="shared" si="18"/>
        <v>10</v>
      </c>
      <c r="P35" s="31">
        <f t="shared" si="18"/>
        <v>11</v>
      </c>
      <c r="Q35" s="31">
        <f t="shared" si="18"/>
        <v>0</v>
      </c>
      <c r="R35" s="31">
        <f t="shared" si="18"/>
        <v>0</v>
      </c>
      <c r="S35" s="31">
        <f t="shared" si="18"/>
        <v>0</v>
      </c>
      <c r="T35" s="31">
        <f t="shared" si="18"/>
        <v>1</v>
      </c>
      <c r="U35" s="31">
        <f t="shared" si="18"/>
        <v>2</v>
      </c>
      <c r="V35" s="31">
        <f t="shared" si="18"/>
        <v>3</v>
      </c>
      <c r="W35" s="31">
        <f t="shared" si="18"/>
        <v>4</v>
      </c>
      <c r="X35" s="31">
        <f t="shared" si="18"/>
        <v>5</v>
      </c>
      <c r="Y35" s="31">
        <f t="shared" si="18"/>
        <v>6</v>
      </c>
      <c r="Z35" s="31">
        <f t="shared" si="18"/>
        <v>7</v>
      </c>
      <c r="AA35" s="31">
        <f t="shared" si="18"/>
        <v>8</v>
      </c>
      <c r="AB35" s="31">
        <f t="shared" si="18"/>
        <v>9</v>
      </c>
      <c r="AC35" s="31">
        <f t="shared" si="18"/>
        <v>10</v>
      </c>
      <c r="AD35" s="31">
        <f t="shared" si="18"/>
        <v>11</v>
      </c>
      <c r="AE35" s="31">
        <f t="shared" si="18"/>
        <v>0</v>
      </c>
      <c r="AF35" s="31">
        <f t="shared" si="18"/>
        <v>0</v>
      </c>
      <c r="AG35" s="31">
        <f t="shared" si="18"/>
        <v>0</v>
      </c>
    </row>
    <row r="36" spans="1:40" ht="31.5" customHeight="1">
      <c r="B36" s="31" t="str">
        <f>$B$21</f>
        <v>Comer sentado a la mesa</v>
      </c>
      <c r="C36" s="31">
        <f t="shared" si="9"/>
        <v>1</v>
      </c>
      <c r="D36" s="31">
        <f t="shared" ref="D36:AG36" si="19">IF($B36="","",IF(D21="",C36,IF(D21=1,C36+1,0)))</f>
        <v>2</v>
      </c>
      <c r="E36" s="31">
        <f t="shared" si="19"/>
        <v>3</v>
      </c>
      <c r="F36" s="31">
        <f t="shared" si="19"/>
        <v>4</v>
      </c>
      <c r="G36" s="31">
        <f t="shared" si="19"/>
        <v>5</v>
      </c>
      <c r="H36" s="31">
        <f t="shared" si="19"/>
        <v>6</v>
      </c>
      <c r="I36" s="31">
        <f t="shared" si="19"/>
        <v>0</v>
      </c>
      <c r="J36" s="31">
        <f t="shared" si="19"/>
        <v>1</v>
      </c>
      <c r="K36" s="31">
        <f t="shared" si="19"/>
        <v>2</v>
      </c>
      <c r="L36" s="31">
        <f t="shared" si="19"/>
        <v>3</v>
      </c>
      <c r="M36" s="31">
        <f t="shared" si="19"/>
        <v>4</v>
      </c>
      <c r="N36" s="31">
        <f t="shared" si="19"/>
        <v>5</v>
      </c>
      <c r="O36" s="31">
        <f t="shared" si="19"/>
        <v>6</v>
      </c>
      <c r="P36" s="31">
        <f t="shared" si="19"/>
        <v>0</v>
      </c>
      <c r="Q36" s="31">
        <f t="shared" si="19"/>
        <v>1</v>
      </c>
      <c r="R36" s="31">
        <f t="shared" si="19"/>
        <v>2</v>
      </c>
      <c r="S36" s="31">
        <f t="shared" si="19"/>
        <v>3</v>
      </c>
      <c r="T36" s="31">
        <f t="shared" si="19"/>
        <v>4</v>
      </c>
      <c r="U36" s="31">
        <f t="shared" si="19"/>
        <v>5</v>
      </c>
      <c r="V36" s="31">
        <f t="shared" si="19"/>
        <v>6</v>
      </c>
      <c r="W36" s="31">
        <f t="shared" si="19"/>
        <v>0</v>
      </c>
      <c r="X36" s="31">
        <f t="shared" si="19"/>
        <v>1</v>
      </c>
      <c r="Y36" s="31">
        <f t="shared" si="19"/>
        <v>2</v>
      </c>
      <c r="Z36" s="31">
        <f t="shared" si="19"/>
        <v>3</v>
      </c>
      <c r="AA36" s="31">
        <f t="shared" si="19"/>
        <v>4</v>
      </c>
      <c r="AB36" s="31">
        <f t="shared" si="19"/>
        <v>5</v>
      </c>
      <c r="AC36" s="31">
        <f t="shared" si="19"/>
        <v>6</v>
      </c>
      <c r="AD36" s="31">
        <f t="shared" si="19"/>
        <v>0</v>
      </c>
      <c r="AE36" s="31">
        <f t="shared" si="19"/>
        <v>1</v>
      </c>
      <c r="AF36" s="31">
        <f t="shared" si="19"/>
        <v>2</v>
      </c>
      <c r="AG36" s="31">
        <f t="shared" si="19"/>
        <v>3</v>
      </c>
    </row>
    <row r="38" spans="1:40" ht="19.5" customHeight="1">
      <c r="A38" s="6" t="s">
        <v>157</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row>
    <row r="39" spans="1:40" ht="15" customHeight="1">
      <c r="B39" s="60" t="s">
        <v>158</v>
      </c>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row>
    <row r="40" spans="1:40" s="32" customFormat="1" ht="33" customHeight="1">
      <c r="B40" s="33" t="str">
        <f>$B$12</f>
        <v>Desayunar dentro de la primera hora</v>
      </c>
      <c r="C40" s="33">
        <f t="shared" ref="C40:C49" si="20">IF($B40="","",IF(C12="",0,IF(C12=0,0+1,0)))</f>
        <v>0</v>
      </c>
      <c r="D40" s="33">
        <f t="shared" ref="D40:AG40" si="21">IF($B40="","",IF(D12="",C40,IF(D12=0,C40+1,0)))</f>
        <v>0</v>
      </c>
      <c r="E40" s="33">
        <f t="shared" si="21"/>
        <v>0</v>
      </c>
      <c r="F40" s="33">
        <f t="shared" si="21"/>
        <v>0</v>
      </c>
      <c r="G40" s="33">
        <f t="shared" si="21"/>
        <v>0</v>
      </c>
      <c r="H40" s="33">
        <f t="shared" si="21"/>
        <v>1</v>
      </c>
      <c r="I40" s="33">
        <f t="shared" si="21"/>
        <v>2</v>
      </c>
      <c r="J40" s="33">
        <f t="shared" si="21"/>
        <v>0</v>
      </c>
      <c r="K40" s="33">
        <f t="shared" si="21"/>
        <v>0</v>
      </c>
      <c r="L40" s="33">
        <f t="shared" si="21"/>
        <v>0</v>
      </c>
      <c r="M40" s="33">
        <f t="shared" si="21"/>
        <v>0</v>
      </c>
      <c r="N40" s="33">
        <f t="shared" si="21"/>
        <v>0</v>
      </c>
      <c r="O40" s="33">
        <f t="shared" si="21"/>
        <v>1</v>
      </c>
      <c r="P40" s="33">
        <f t="shared" si="21"/>
        <v>0</v>
      </c>
      <c r="Q40" s="33">
        <f t="shared" si="21"/>
        <v>0</v>
      </c>
      <c r="R40" s="33">
        <f t="shared" si="21"/>
        <v>0</v>
      </c>
      <c r="S40" s="33">
        <f t="shared" si="21"/>
        <v>0</v>
      </c>
      <c r="T40" s="33">
        <f t="shared" si="21"/>
        <v>0</v>
      </c>
      <c r="U40" s="33">
        <f t="shared" si="21"/>
        <v>0</v>
      </c>
      <c r="V40" s="33">
        <f t="shared" si="21"/>
        <v>1</v>
      </c>
      <c r="W40" s="33">
        <f t="shared" si="21"/>
        <v>0</v>
      </c>
      <c r="X40" s="33">
        <f t="shared" si="21"/>
        <v>0</v>
      </c>
      <c r="Y40" s="33">
        <f t="shared" si="21"/>
        <v>0</v>
      </c>
      <c r="Z40" s="33">
        <f t="shared" si="21"/>
        <v>0</v>
      </c>
      <c r="AA40" s="33">
        <f t="shared" si="21"/>
        <v>0</v>
      </c>
      <c r="AB40" s="33">
        <f t="shared" si="21"/>
        <v>0</v>
      </c>
      <c r="AC40" s="33">
        <f t="shared" si="21"/>
        <v>1</v>
      </c>
      <c r="AD40" s="33">
        <f t="shared" si="21"/>
        <v>0</v>
      </c>
      <c r="AE40" s="33">
        <f t="shared" si="21"/>
        <v>0</v>
      </c>
      <c r="AF40" s="33">
        <f t="shared" si="21"/>
        <v>0</v>
      </c>
      <c r="AG40" s="33">
        <f t="shared" si="21"/>
        <v>0</v>
      </c>
    </row>
    <row r="41" spans="1:40" s="32" customFormat="1" ht="33" customHeight="1">
      <c r="B41" s="33" t="str">
        <f>$B$13</f>
        <v>Incluir verduras en almuerzo y cena</v>
      </c>
      <c r="C41" s="33">
        <f t="shared" si="20"/>
        <v>0</v>
      </c>
      <c r="D41" s="33">
        <f t="shared" ref="D41:AG41" si="22">IF($B41="","",IF(D13="",C41,IF(D13=0,C41+1,0)))</f>
        <v>0</v>
      </c>
      <c r="E41" s="33">
        <f t="shared" si="22"/>
        <v>0</v>
      </c>
      <c r="F41" s="33">
        <f t="shared" si="22"/>
        <v>1</v>
      </c>
      <c r="G41" s="33">
        <f t="shared" si="22"/>
        <v>0</v>
      </c>
      <c r="H41" s="33">
        <f t="shared" si="22"/>
        <v>0</v>
      </c>
      <c r="I41" s="33">
        <f t="shared" si="22"/>
        <v>0</v>
      </c>
      <c r="J41" s="33">
        <f t="shared" si="22"/>
        <v>0</v>
      </c>
      <c r="K41" s="33">
        <f t="shared" si="22"/>
        <v>0</v>
      </c>
      <c r="L41" s="33">
        <f t="shared" si="22"/>
        <v>0</v>
      </c>
      <c r="M41" s="33">
        <f t="shared" si="22"/>
        <v>1</v>
      </c>
      <c r="N41" s="33">
        <f t="shared" si="22"/>
        <v>0</v>
      </c>
      <c r="O41" s="33">
        <f t="shared" si="22"/>
        <v>0</v>
      </c>
      <c r="P41" s="33">
        <f t="shared" si="22"/>
        <v>0</v>
      </c>
      <c r="Q41" s="33">
        <f t="shared" si="22"/>
        <v>0</v>
      </c>
      <c r="R41" s="33">
        <f t="shared" si="22"/>
        <v>0</v>
      </c>
      <c r="S41" s="33">
        <f t="shared" si="22"/>
        <v>0</v>
      </c>
      <c r="T41" s="33">
        <f t="shared" si="22"/>
        <v>1</v>
      </c>
      <c r="U41" s="33">
        <f t="shared" si="22"/>
        <v>0</v>
      </c>
      <c r="V41" s="33">
        <f t="shared" si="22"/>
        <v>0</v>
      </c>
      <c r="W41" s="33">
        <f t="shared" si="22"/>
        <v>0</v>
      </c>
      <c r="X41" s="33">
        <f t="shared" si="22"/>
        <v>0</v>
      </c>
      <c r="Y41" s="33">
        <f t="shared" si="22"/>
        <v>0</v>
      </c>
      <c r="Z41" s="33">
        <f t="shared" si="22"/>
        <v>0</v>
      </c>
      <c r="AA41" s="33">
        <f t="shared" si="22"/>
        <v>1</v>
      </c>
      <c r="AB41" s="33">
        <f t="shared" si="22"/>
        <v>0</v>
      </c>
      <c r="AC41" s="33">
        <f t="shared" si="22"/>
        <v>0</v>
      </c>
      <c r="AD41" s="33">
        <f t="shared" si="22"/>
        <v>0</v>
      </c>
      <c r="AE41" s="33">
        <f t="shared" si="22"/>
        <v>0</v>
      </c>
      <c r="AF41" s="33">
        <f t="shared" si="22"/>
        <v>0</v>
      </c>
      <c r="AG41" s="33">
        <f t="shared" si="22"/>
        <v>0</v>
      </c>
    </row>
    <row r="42" spans="1:40" s="32" customFormat="1" ht="33" customHeight="1">
      <c r="B42" s="33" t="str">
        <f>$B$14</f>
        <v>Beber al menos 6 vasos de agua</v>
      </c>
      <c r="C42" s="33">
        <f t="shared" si="20"/>
        <v>0</v>
      </c>
      <c r="D42" s="33">
        <f t="shared" ref="D42:AG42" si="23">IF($B42="","",IF(D14="",C42,IF(D14=0,C42+1,0)))</f>
        <v>0</v>
      </c>
      <c r="E42" s="33">
        <f t="shared" si="23"/>
        <v>1</v>
      </c>
      <c r="F42" s="33">
        <f t="shared" si="23"/>
        <v>0</v>
      </c>
      <c r="G42" s="33">
        <f t="shared" si="23"/>
        <v>0</v>
      </c>
      <c r="H42" s="33">
        <f t="shared" si="23"/>
        <v>0</v>
      </c>
      <c r="I42" s="33">
        <f t="shared" si="23"/>
        <v>0</v>
      </c>
      <c r="J42" s="33">
        <f t="shared" si="23"/>
        <v>0</v>
      </c>
      <c r="K42" s="33">
        <f t="shared" si="23"/>
        <v>0</v>
      </c>
      <c r="L42" s="33">
        <f t="shared" si="23"/>
        <v>1</v>
      </c>
      <c r="M42" s="33">
        <f t="shared" si="23"/>
        <v>0</v>
      </c>
      <c r="N42" s="33">
        <f t="shared" si="23"/>
        <v>0</v>
      </c>
      <c r="O42" s="33">
        <f t="shared" si="23"/>
        <v>0</v>
      </c>
      <c r="P42" s="33">
        <f t="shared" si="23"/>
        <v>0</v>
      </c>
      <c r="Q42" s="33">
        <f t="shared" si="23"/>
        <v>0</v>
      </c>
      <c r="R42" s="33">
        <f t="shared" si="23"/>
        <v>0</v>
      </c>
      <c r="S42" s="33">
        <f t="shared" si="23"/>
        <v>1</v>
      </c>
      <c r="T42" s="33">
        <f t="shared" si="23"/>
        <v>0</v>
      </c>
      <c r="U42" s="33">
        <f t="shared" si="23"/>
        <v>0</v>
      </c>
      <c r="V42" s="33">
        <f t="shared" si="23"/>
        <v>0</v>
      </c>
      <c r="W42" s="33">
        <f t="shared" si="23"/>
        <v>0</v>
      </c>
      <c r="X42" s="33">
        <f t="shared" si="23"/>
        <v>0</v>
      </c>
      <c r="Y42" s="33">
        <f t="shared" si="23"/>
        <v>0</v>
      </c>
      <c r="Z42" s="33">
        <f t="shared" si="23"/>
        <v>1</v>
      </c>
      <c r="AA42" s="33">
        <f t="shared" si="23"/>
        <v>0</v>
      </c>
      <c r="AB42" s="33">
        <f t="shared" si="23"/>
        <v>0</v>
      </c>
      <c r="AC42" s="33">
        <f t="shared" si="23"/>
        <v>0</v>
      </c>
      <c r="AD42" s="33">
        <f t="shared" si="23"/>
        <v>0</v>
      </c>
      <c r="AE42" s="33">
        <f t="shared" si="23"/>
        <v>0</v>
      </c>
      <c r="AF42" s="33">
        <f t="shared" si="23"/>
        <v>0</v>
      </c>
      <c r="AG42" s="33">
        <f t="shared" si="23"/>
        <v>1</v>
      </c>
    </row>
    <row r="43" spans="1:40" s="32" customFormat="1" ht="33" customHeight="1">
      <c r="B43" s="33" t="str">
        <f>$B$15</f>
        <v>Comer una comida sin pantallas</v>
      </c>
      <c r="C43" s="33">
        <f t="shared" si="20"/>
        <v>0</v>
      </c>
      <c r="D43" s="33">
        <f t="shared" ref="D43:AG43" si="24">IF($B43="","",IF(D15="",C43,IF(D15=0,C43+1,0)))</f>
        <v>1</v>
      </c>
      <c r="E43" s="33">
        <f t="shared" si="24"/>
        <v>0</v>
      </c>
      <c r="F43" s="33">
        <f t="shared" si="24"/>
        <v>0</v>
      </c>
      <c r="G43" s="33">
        <f t="shared" si="24"/>
        <v>1</v>
      </c>
      <c r="H43" s="33">
        <f t="shared" si="24"/>
        <v>0</v>
      </c>
      <c r="I43" s="33">
        <f t="shared" si="24"/>
        <v>0</v>
      </c>
      <c r="J43" s="33">
        <f t="shared" si="24"/>
        <v>0</v>
      </c>
      <c r="K43" s="33">
        <f t="shared" si="24"/>
        <v>1</v>
      </c>
      <c r="L43" s="33">
        <f t="shared" si="24"/>
        <v>0</v>
      </c>
      <c r="M43" s="33">
        <f t="shared" si="24"/>
        <v>0</v>
      </c>
      <c r="N43" s="33">
        <f t="shared" si="24"/>
        <v>0</v>
      </c>
      <c r="O43" s="33">
        <f t="shared" si="24"/>
        <v>0</v>
      </c>
      <c r="P43" s="33">
        <f t="shared" si="24"/>
        <v>0</v>
      </c>
      <c r="Q43" s="33">
        <f t="shared" si="24"/>
        <v>0</v>
      </c>
      <c r="R43" s="33">
        <f t="shared" si="24"/>
        <v>1</v>
      </c>
      <c r="S43" s="33">
        <f t="shared" si="24"/>
        <v>0</v>
      </c>
      <c r="T43" s="33">
        <f t="shared" si="24"/>
        <v>0</v>
      </c>
      <c r="U43" s="33">
        <f t="shared" si="24"/>
        <v>1</v>
      </c>
      <c r="V43" s="33">
        <f t="shared" si="24"/>
        <v>0</v>
      </c>
      <c r="W43" s="33">
        <f t="shared" si="24"/>
        <v>0</v>
      </c>
      <c r="X43" s="33">
        <f t="shared" si="24"/>
        <v>0</v>
      </c>
      <c r="Y43" s="33">
        <f t="shared" si="24"/>
        <v>1</v>
      </c>
      <c r="Z43" s="33">
        <f t="shared" si="24"/>
        <v>0</v>
      </c>
      <c r="AA43" s="33">
        <f t="shared" si="24"/>
        <v>0</v>
      </c>
      <c r="AB43" s="33">
        <f t="shared" si="24"/>
        <v>1</v>
      </c>
      <c r="AC43" s="33">
        <f t="shared" si="24"/>
        <v>0</v>
      </c>
      <c r="AD43" s="33">
        <f t="shared" si="24"/>
        <v>0</v>
      </c>
      <c r="AE43" s="33">
        <f t="shared" si="24"/>
        <v>0</v>
      </c>
      <c r="AF43" s="33">
        <f t="shared" si="24"/>
        <v>1</v>
      </c>
      <c r="AG43" s="33">
        <f t="shared" si="24"/>
        <v>0</v>
      </c>
    </row>
    <row r="44" spans="1:40" s="32" customFormat="1" ht="33" customHeight="1">
      <c r="B44" s="33" t="str">
        <f>$B$16</f>
        <v>Llevar colación planificada</v>
      </c>
      <c r="C44" s="33">
        <f t="shared" si="20"/>
        <v>1</v>
      </c>
      <c r="D44" s="33">
        <f t="shared" ref="D44:AG44" si="25">IF($B44="","",IF(D16="",C44,IF(D16=0,C44+1,0)))</f>
        <v>0</v>
      </c>
      <c r="E44" s="33">
        <f t="shared" si="25"/>
        <v>0</v>
      </c>
      <c r="F44" s="33">
        <f t="shared" si="25"/>
        <v>0</v>
      </c>
      <c r="G44" s="33">
        <f t="shared" si="25"/>
        <v>0</v>
      </c>
      <c r="H44" s="33">
        <f t="shared" si="25"/>
        <v>0</v>
      </c>
      <c r="I44" s="33">
        <f t="shared" si="25"/>
        <v>0</v>
      </c>
      <c r="J44" s="33">
        <f t="shared" si="25"/>
        <v>1</v>
      </c>
      <c r="K44" s="33">
        <f t="shared" si="25"/>
        <v>0</v>
      </c>
      <c r="L44" s="33">
        <f t="shared" si="25"/>
        <v>0</v>
      </c>
      <c r="M44" s="33">
        <f t="shared" si="25"/>
        <v>0</v>
      </c>
      <c r="N44" s="33">
        <f t="shared" si="25"/>
        <v>0</v>
      </c>
      <c r="O44" s="33">
        <f t="shared" si="25"/>
        <v>0</v>
      </c>
      <c r="P44" s="33">
        <f t="shared" si="25"/>
        <v>0</v>
      </c>
      <c r="Q44" s="33">
        <f t="shared" si="25"/>
        <v>1</v>
      </c>
      <c r="R44" s="33">
        <f t="shared" si="25"/>
        <v>0</v>
      </c>
      <c r="S44" s="33">
        <f t="shared" si="25"/>
        <v>0</v>
      </c>
      <c r="T44" s="33">
        <f t="shared" si="25"/>
        <v>0</v>
      </c>
      <c r="U44" s="33">
        <f t="shared" si="25"/>
        <v>0</v>
      </c>
      <c r="V44" s="33">
        <f t="shared" si="25"/>
        <v>0</v>
      </c>
      <c r="W44" s="33">
        <f t="shared" si="25"/>
        <v>0</v>
      </c>
      <c r="X44" s="33">
        <f t="shared" si="25"/>
        <v>1</v>
      </c>
      <c r="Y44" s="33">
        <f t="shared" si="25"/>
        <v>0</v>
      </c>
      <c r="Z44" s="33">
        <f t="shared" si="25"/>
        <v>0</v>
      </c>
      <c r="AA44" s="33">
        <f t="shared" si="25"/>
        <v>0</v>
      </c>
      <c r="AB44" s="33">
        <f t="shared" si="25"/>
        <v>0</v>
      </c>
      <c r="AC44" s="33">
        <f t="shared" si="25"/>
        <v>0</v>
      </c>
      <c r="AD44" s="33">
        <f t="shared" si="25"/>
        <v>0</v>
      </c>
      <c r="AE44" s="33">
        <f t="shared" si="25"/>
        <v>1</v>
      </c>
      <c r="AF44" s="33">
        <f t="shared" si="25"/>
        <v>0</v>
      </c>
      <c r="AG44" s="33">
        <f t="shared" si="25"/>
        <v>0</v>
      </c>
    </row>
    <row r="45" spans="1:40" s="32" customFormat="1" ht="33" customHeight="1">
      <c r="B45" s="33" t="str">
        <f>$B$17</f>
        <v>Caminar 30 minutos</v>
      </c>
      <c r="C45" s="33">
        <f t="shared" si="20"/>
        <v>0</v>
      </c>
      <c r="D45" s="33">
        <f t="shared" ref="D45:AG45" si="26">IF($B45="","",IF(D17="",C45,IF(D17=0,C45+1,0)))</f>
        <v>0</v>
      </c>
      <c r="E45" s="33">
        <f t="shared" si="26"/>
        <v>0</v>
      </c>
      <c r="F45" s="33">
        <f t="shared" si="26"/>
        <v>0</v>
      </c>
      <c r="G45" s="33">
        <f t="shared" si="26"/>
        <v>0</v>
      </c>
      <c r="H45" s="33">
        <f t="shared" si="26"/>
        <v>1</v>
      </c>
      <c r="I45" s="33">
        <f t="shared" si="26"/>
        <v>2</v>
      </c>
      <c r="J45" s="33">
        <f t="shared" si="26"/>
        <v>0</v>
      </c>
      <c r="K45" s="33">
        <f t="shared" si="26"/>
        <v>0</v>
      </c>
      <c r="L45" s="33">
        <f t="shared" si="26"/>
        <v>0</v>
      </c>
      <c r="M45" s="33">
        <f t="shared" si="26"/>
        <v>0</v>
      </c>
      <c r="N45" s="33">
        <f t="shared" si="26"/>
        <v>0</v>
      </c>
      <c r="O45" s="33">
        <f t="shared" si="26"/>
        <v>1</v>
      </c>
      <c r="P45" s="33">
        <f t="shared" si="26"/>
        <v>2</v>
      </c>
      <c r="Q45" s="33">
        <f t="shared" si="26"/>
        <v>0</v>
      </c>
      <c r="R45" s="33">
        <f t="shared" si="26"/>
        <v>0</v>
      </c>
      <c r="S45" s="33">
        <f t="shared" si="26"/>
        <v>0</v>
      </c>
      <c r="T45" s="33">
        <f t="shared" si="26"/>
        <v>0</v>
      </c>
      <c r="U45" s="33">
        <f t="shared" si="26"/>
        <v>0</v>
      </c>
      <c r="V45" s="33">
        <f t="shared" si="26"/>
        <v>1</v>
      </c>
      <c r="W45" s="33">
        <f t="shared" si="26"/>
        <v>2</v>
      </c>
      <c r="X45" s="33">
        <f t="shared" si="26"/>
        <v>0</v>
      </c>
      <c r="Y45" s="33">
        <f t="shared" si="26"/>
        <v>0</v>
      </c>
      <c r="Z45" s="33">
        <f t="shared" si="26"/>
        <v>0</v>
      </c>
      <c r="AA45" s="33">
        <f t="shared" si="26"/>
        <v>0</v>
      </c>
      <c r="AB45" s="33">
        <f t="shared" si="26"/>
        <v>0</v>
      </c>
      <c r="AC45" s="33">
        <f t="shared" si="26"/>
        <v>1</v>
      </c>
      <c r="AD45" s="33">
        <f t="shared" si="26"/>
        <v>2</v>
      </c>
      <c r="AE45" s="33">
        <f t="shared" si="26"/>
        <v>0</v>
      </c>
      <c r="AF45" s="33">
        <f t="shared" si="26"/>
        <v>0</v>
      </c>
      <c r="AG45" s="33">
        <f t="shared" si="26"/>
        <v>0</v>
      </c>
    </row>
    <row r="46" spans="1:40" s="32" customFormat="1" ht="33" customHeight="1">
      <c r="B46" s="33" t="str">
        <f>$B$18</f>
        <v>Acostarse antes de las 23:30</v>
      </c>
      <c r="C46" s="33">
        <f t="shared" si="20"/>
        <v>0</v>
      </c>
      <c r="D46" s="33">
        <f t="shared" ref="D46:AG46" si="27">IF($B46="","",IF(D18="",C46,IF(D18=0,C46+1,0)))</f>
        <v>0</v>
      </c>
      <c r="E46" s="33">
        <f t="shared" si="27"/>
        <v>0</v>
      </c>
      <c r="F46" s="33">
        <f t="shared" si="27"/>
        <v>0</v>
      </c>
      <c r="G46" s="33">
        <f t="shared" si="27"/>
        <v>1</v>
      </c>
      <c r="H46" s="33">
        <f t="shared" si="27"/>
        <v>2</v>
      </c>
      <c r="I46" s="33">
        <f t="shared" si="27"/>
        <v>0</v>
      </c>
      <c r="J46" s="33">
        <f t="shared" si="27"/>
        <v>0</v>
      </c>
      <c r="K46" s="33">
        <f t="shared" si="27"/>
        <v>0</v>
      </c>
      <c r="L46" s="33">
        <f t="shared" si="27"/>
        <v>0</v>
      </c>
      <c r="M46" s="33">
        <f t="shared" si="27"/>
        <v>0</v>
      </c>
      <c r="N46" s="33">
        <f t="shared" si="27"/>
        <v>0</v>
      </c>
      <c r="O46" s="33">
        <f t="shared" si="27"/>
        <v>1</v>
      </c>
      <c r="P46" s="33">
        <f t="shared" si="27"/>
        <v>0</v>
      </c>
      <c r="Q46" s="33">
        <f t="shared" si="27"/>
        <v>0</v>
      </c>
      <c r="R46" s="33">
        <f t="shared" si="27"/>
        <v>0</v>
      </c>
      <c r="S46" s="33">
        <f t="shared" si="27"/>
        <v>0</v>
      </c>
      <c r="T46" s="33">
        <f t="shared" si="27"/>
        <v>0</v>
      </c>
      <c r="U46" s="33">
        <f t="shared" si="27"/>
        <v>1</v>
      </c>
      <c r="V46" s="33">
        <f t="shared" si="27"/>
        <v>2</v>
      </c>
      <c r="W46" s="33">
        <f t="shared" si="27"/>
        <v>0</v>
      </c>
      <c r="X46" s="33">
        <f t="shared" si="27"/>
        <v>0</v>
      </c>
      <c r="Y46" s="33">
        <f t="shared" si="27"/>
        <v>0</v>
      </c>
      <c r="Z46" s="33">
        <f t="shared" si="27"/>
        <v>0</v>
      </c>
      <c r="AA46" s="33">
        <f t="shared" si="27"/>
        <v>0</v>
      </c>
      <c r="AB46" s="33">
        <f t="shared" si="27"/>
        <v>1</v>
      </c>
      <c r="AC46" s="33">
        <f t="shared" si="27"/>
        <v>2</v>
      </c>
      <c r="AD46" s="33">
        <f t="shared" si="27"/>
        <v>0</v>
      </c>
      <c r="AE46" s="33">
        <f t="shared" si="27"/>
        <v>0</v>
      </c>
      <c r="AF46" s="33">
        <f t="shared" si="27"/>
        <v>0</v>
      </c>
      <c r="AG46" s="33">
        <f t="shared" si="27"/>
        <v>0</v>
      </c>
    </row>
    <row r="47" spans="1:40" s="32" customFormat="1" ht="33" customHeight="1">
      <c r="B47" s="33" t="str">
        <f>$B$19</f>
        <v>Dejar lista la comida del día siguiente</v>
      </c>
      <c r="C47" s="33">
        <f t="shared" si="20"/>
        <v>0</v>
      </c>
      <c r="D47" s="33">
        <f t="shared" ref="D47:AG47" si="28">IF($B47="","",IF(D19="",C47,IF(D19=0,C47+1,0)))</f>
        <v>1</v>
      </c>
      <c r="E47" s="33">
        <f t="shared" si="28"/>
        <v>2</v>
      </c>
      <c r="F47" s="33">
        <f t="shared" si="28"/>
        <v>3</v>
      </c>
      <c r="G47" s="33">
        <f t="shared" si="28"/>
        <v>0</v>
      </c>
      <c r="H47" s="33">
        <f t="shared" si="28"/>
        <v>0</v>
      </c>
      <c r="I47" s="33">
        <f t="shared" si="28"/>
        <v>0</v>
      </c>
      <c r="J47" s="33">
        <f t="shared" si="28"/>
        <v>0</v>
      </c>
      <c r="K47" s="33">
        <f t="shared" si="28"/>
        <v>1</v>
      </c>
      <c r="L47" s="33">
        <f t="shared" si="28"/>
        <v>2</v>
      </c>
      <c r="M47" s="33">
        <f t="shared" si="28"/>
        <v>3</v>
      </c>
      <c r="N47" s="33">
        <f t="shared" si="28"/>
        <v>0</v>
      </c>
      <c r="O47" s="33">
        <f t="shared" si="28"/>
        <v>0</v>
      </c>
      <c r="P47" s="33">
        <f t="shared" si="28"/>
        <v>0</v>
      </c>
      <c r="Q47" s="33">
        <f t="shared" si="28"/>
        <v>0</v>
      </c>
      <c r="R47" s="33">
        <f t="shared" si="28"/>
        <v>1</v>
      </c>
      <c r="S47" s="33">
        <f t="shared" si="28"/>
        <v>2</v>
      </c>
      <c r="T47" s="33">
        <f t="shared" si="28"/>
        <v>3</v>
      </c>
      <c r="U47" s="33">
        <f t="shared" si="28"/>
        <v>0</v>
      </c>
      <c r="V47" s="33">
        <f t="shared" si="28"/>
        <v>0</v>
      </c>
      <c r="W47" s="33">
        <f t="shared" si="28"/>
        <v>0</v>
      </c>
      <c r="X47" s="33">
        <f t="shared" si="28"/>
        <v>0</v>
      </c>
      <c r="Y47" s="33">
        <f t="shared" si="28"/>
        <v>1</v>
      </c>
      <c r="Z47" s="33">
        <f t="shared" si="28"/>
        <v>2</v>
      </c>
      <c r="AA47" s="33">
        <f t="shared" si="28"/>
        <v>3</v>
      </c>
      <c r="AB47" s="33">
        <f t="shared" si="28"/>
        <v>0</v>
      </c>
      <c r="AC47" s="33">
        <f t="shared" si="28"/>
        <v>0</v>
      </c>
      <c r="AD47" s="33">
        <f t="shared" si="28"/>
        <v>0</v>
      </c>
      <c r="AE47" s="33">
        <f t="shared" si="28"/>
        <v>0</v>
      </c>
      <c r="AF47" s="33">
        <f t="shared" si="28"/>
        <v>1</v>
      </c>
      <c r="AG47" s="33">
        <f t="shared" si="28"/>
        <v>2</v>
      </c>
    </row>
    <row r="48" spans="1:40" s="32" customFormat="1" ht="33" customHeight="1">
      <c r="B48" s="33" t="str">
        <f>$B$20</f>
        <v>Anotar cómo me sentí al comer</v>
      </c>
      <c r="C48" s="33">
        <f t="shared" si="20"/>
        <v>1</v>
      </c>
      <c r="D48" s="33">
        <f t="shared" ref="D48:AG48" si="29">IF($B48="","",IF(D20="",C48,IF(D20=0,C48+1,0)))</f>
        <v>2</v>
      </c>
      <c r="E48" s="33">
        <f t="shared" si="29"/>
        <v>3</v>
      </c>
      <c r="F48" s="33">
        <f t="shared" si="29"/>
        <v>0</v>
      </c>
      <c r="G48" s="33">
        <f t="shared" si="29"/>
        <v>0</v>
      </c>
      <c r="H48" s="33">
        <f t="shared" si="29"/>
        <v>0</v>
      </c>
      <c r="I48" s="33">
        <f t="shared" si="29"/>
        <v>0</v>
      </c>
      <c r="J48" s="33">
        <f t="shared" si="29"/>
        <v>0</v>
      </c>
      <c r="K48" s="33">
        <f t="shared" si="29"/>
        <v>0</v>
      </c>
      <c r="L48" s="33">
        <f t="shared" si="29"/>
        <v>0</v>
      </c>
      <c r="M48" s="33">
        <f t="shared" si="29"/>
        <v>0</v>
      </c>
      <c r="N48" s="33">
        <f t="shared" si="29"/>
        <v>0</v>
      </c>
      <c r="O48" s="33">
        <f t="shared" si="29"/>
        <v>0</v>
      </c>
      <c r="P48" s="33">
        <f t="shared" si="29"/>
        <v>0</v>
      </c>
      <c r="Q48" s="33">
        <f t="shared" si="29"/>
        <v>1</v>
      </c>
      <c r="R48" s="33">
        <f t="shared" si="29"/>
        <v>2</v>
      </c>
      <c r="S48" s="33">
        <f t="shared" si="29"/>
        <v>3</v>
      </c>
      <c r="T48" s="33">
        <f t="shared" si="29"/>
        <v>0</v>
      </c>
      <c r="U48" s="33">
        <f t="shared" si="29"/>
        <v>0</v>
      </c>
      <c r="V48" s="33">
        <f t="shared" si="29"/>
        <v>0</v>
      </c>
      <c r="W48" s="33">
        <f t="shared" si="29"/>
        <v>0</v>
      </c>
      <c r="X48" s="33">
        <f t="shared" si="29"/>
        <v>0</v>
      </c>
      <c r="Y48" s="33">
        <f t="shared" si="29"/>
        <v>0</v>
      </c>
      <c r="Z48" s="33">
        <f t="shared" si="29"/>
        <v>0</v>
      </c>
      <c r="AA48" s="33">
        <f t="shared" si="29"/>
        <v>0</v>
      </c>
      <c r="AB48" s="33">
        <f t="shared" si="29"/>
        <v>0</v>
      </c>
      <c r="AC48" s="33">
        <f t="shared" si="29"/>
        <v>0</v>
      </c>
      <c r="AD48" s="33">
        <f t="shared" si="29"/>
        <v>0</v>
      </c>
      <c r="AE48" s="33">
        <f t="shared" si="29"/>
        <v>1</v>
      </c>
      <c r="AF48" s="33">
        <f t="shared" si="29"/>
        <v>2</v>
      </c>
      <c r="AG48" s="33">
        <f t="shared" si="29"/>
        <v>3</v>
      </c>
    </row>
    <row r="49" spans="2:33" s="32" customFormat="1" ht="33" customHeight="1">
      <c r="B49" s="33" t="str">
        <f>$B$21</f>
        <v>Comer sentado a la mesa</v>
      </c>
      <c r="C49" s="33">
        <f t="shared" si="20"/>
        <v>0</v>
      </c>
      <c r="D49" s="33">
        <f t="shared" ref="D49:AG49" si="30">IF($B49="","",IF(D21="",C49,IF(D21=0,C49+1,0)))</f>
        <v>0</v>
      </c>
      <c r="E49" s="33">
        <f t="shared" si="30"/>
        <v>0</v>
      </c>
      <c r="F49" s="33">
        <f t="shared" si="30"/>
        <v>0</v>
      </c>
      <c r="G49" s="33">
        <f t="shared" si="30"/>
        <v>0</v>
      </c>
      <c r="H49" s="33">
        <f t="shared" si="30"/>
        <v>0</v>
      </c>
      <c r="I49" s="33">
        <f t="shared" si="30"/>
        <v>1</v>
      </c>
      <c r="J49" s="33">
        <f t="shared" si="30"/>
        <v>0</v>
      </c>
      <c r="K49" s="33">
        <f t="shared" si="30"/>
        <v>0</v>
      </c>
      <c r="L49" s="33">
        <f t="shared" si="30"/>
        <v>0</v>
      </c>
      <c r="M49" s="33">
        <f t="shared" si="30"/>
        <v>0</v>
      </c>
      <c r="N49" s="33">
        <f t="shared" si="30"/>
        <v>0</v>
      </c>
      <c r="O49" s="33">
        <f t="shared" si="30"/>
        <v>0</v>
      </c>
      <c r="P49" s="33">
        <f t="shared" si="30"/>
        <v>1</v>
      </c>
      <c r="Q49" s="33">
        <f t="shared" si="30"/>
        <v>0</v>
      </c>
      <c r="R49" s="33">
        <f t="shared" si="30"/>
        <v>0</v>
      </c>
      <c r="S49" s="33">
        <f t="shared" si="30"/>
        <v>0</v>
      </c>
      <c r="T49" s="33">
        <f t="shared" si="30"/>
        <v>0</v>
      </c>
      <c r="U49" s="33">
        <f t="shared" si="30"/>
        <v>0</v>
      </c>
      <c r="V49" s="33">
        <f t="shared" si="30"/>
        <v>0</v>
      </c>
      <c r="W49" s="33">
        <f t="shared" si="30"/>
        <v>1</v>
      </c>
      <c r="X49" s="33">
        <f t="shared" si="30"/>
        <v>0</v>
      </c>
      <c r="Y49" s="33">
        <f t="shared" si="30"/>
        <v>0</v>
      </c>
      <c r="Z49" s="33">
        <f t="shared" si="30"/>
        <v>0</v>
      </c>
      <c r="AA49" s="33">
        <f t="shared" si="30"/>
        <v>0</v>
      </c>
      <c r="AB49" s="33">
        <f t="shared" si="30"/>
        <v>0</v>
      </c>
      <c r="AC49" s="33">
        <f t="shared" si="30"/>
        <v>0</v>
      </c>
      <c r="AD49" s="33">
        <f t="shared" si="30"/>
        <v>1</v>
      </c>
      <c r="AE49" s="33">
        <f t="shared" si="30"/>
        <v>0</v>
      </c>
      <c r="AF49" s="33">
        <f t="shared" si="30"/>
        <v>0</v>
      </c>
      <c r="AG49" s="33">
        <f t="shared" si="30"/>
        <v>0</v>
      </c>
    </row>
  </sheetData>
  <sheetProtection algorithmName="SHA-512" hashValue="UA3SQrYePdwFAqtsXLG6FI7spx33nYO1jlrZTAnYgw3EB8rJzMkhXj5zdR4VpQB8fz5BwPasbtD8QEJ7HPJ6wg==" saltValue="YSZNE4CXxplSC6U73H44yA==" spinCount="100000" sheet="1" objects="1" scenarios="1"/>
  <protectedRanges>
    <protectedRange sqref="C12:AG21" name="Rango1"/>
  </protectedRanges>
  <mergeCells count="9">
    <mergeCell ref="A25:AN25"/>
    <mergeCell ref="B26:AN26"/>
    <mergeCell ref="A38:AN38"/>
    <mergeCell ref="B39:AN39"/>
    <mergeCell ref="A6:AI8"/>
    <mergeCell ref="A1:AN1"/>
    <mergeCell ref="A2:AN3"/>
    <mergeCell ref="A4:B4"/>
    <mergeCell ref="A10:AN10"/>
  </mergeCells>
  <dataValidations count="1">
    <dataValidation type="list" allowBlank="1" sqref="C12:AG21" xr:uid="{00000000-0002-0000-0300-000000000000}">
      <formula1>"1,0"</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CEFF1"/>
  </sheetPr>
  <dimension ref="A1:Q45"/>
  <sheetViews>
    <sheetView showGridLines="0" zoomScaleNormal="100" workbookViewId="0">
      <selection activeCell="L16" sqref="L16"/>
    </sheetView>
  </sheetViews>
  <sheetFormatPr baseColWidth="10" defaultColWidth="9.140625" defaultRowHeight="15"/>
  <cols>
    <col min="1" max="1" width="36" style="14" customWidth="1"/>
    <col min="2" max="2" width="12" style="14" customWidth="1"/>
    <col min="3" max="3" width="14" style="14" customWidth="1"/>
    <col min="4" max="4" width="13" style="14" customWidth="1"/>
    <col min="5" max="5" width="15" style="14" customWidth="1"/>
    <col min="6" max="6" width="13" style="14" customWidth="1"/>
    <col min="7" max="7" width="16" style="14" customWidth="1"/>
    <col min="8" max="8" width="50"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159</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160</v>
      </c>
      <c r="B6" s="6"/>
      <c r="C6" s="6"/>
      <c r="D6" s="6"/>
      <c r="E6" s="6"/>
      <c r="F6" s="6"/>
      <c r="G6" s="6"/>
      <c r="H6" s="6"/>
      <c r="I6" s="6"/>
      <c r="J6" s="6"/>
      <c r="K6" s="6"/>
      <c r="L6" s="6"/>
      <c r="M6" s="6"/>
      <c r="N6" s="6"/>
      <c r="O6" s="6"/>
      <c r="P6" s="6"/>
      <c r="Q6" s="6"/>
    </row>
    <row r="7" spans="1:17" ht="42" customHeight="1">
      <c r="A7" s="20" t="s">
        <v>145</v>
      </c>
      <c r="B7" s="20" t="s">
        <v>146</v>
      </c>
      <c r="C7" s="20" t="s">
        <v>147</v>
      </c>
      <c r="D7" s="20" t="s">
        <v>148</v>
      </c>
      <c r="E7" s="20" t="s">
        <v>161</v>
      </c>
      <c r="F7" s="20" t="s">
        <v>150</v>
      </c>
      <c r="G7" s="20" t="s">
        <v>151</v>
      </c>
      <c r="H7" s="61" t="s">
        <v>162</v>
      </c>
      <c r="I7" s="61"/>
      <c r="J7" s="61"/>
    </row>
    <row r="8" spans="1:17" ht="30" customHeight="1">
      <c r="A8" s="34" t="str">
        <f>REGISTRO!B12</f>
        <v>Desayunar dentro de la primera hora</v>
      </c>
      <c r="B8" s="24">
        <f>REGISTRO!AH12</f>
        <v>26</v>
      </c>
      <c r="C8" s="24">
        <f>REGISTRO!AI12</f>
        <v>31</v>
      </c>
      <c r="D8" s="25">
        <f>REGISTRO!AJ12</f>
        <v>0.83870967741935487</v>
      </c>
      <c r="E8" s="35" t="str">
        <f t="shared" ref="E8:E17" si="0">IF(NOT(ISNUMBER(D8)),"ND",IF(D8&gt;=u_alta,"Sostenido",IF(D8&gt;=u_media,"Intermitente","Con dificultad")))</f>
        <v>Sostenido</v>
      </c>
      <c r="F8" s="24">
        <f>REGISTRO!AL12</f>
        <v>6</v>
      </c>
      <c r="G8" s="24">
        <f>REGISTRO!AM12</f>
        <v>2</v>
      </c>
      <c r="H8" s="62" t="str">
        <f t="shared" ref="H8:H17" si="1">IF(NOT(ISNUMBER(D8)),"ND",IF(AND(D8&gt;=u_alta,G8&lt;u_seguidos),"Se está sosteniendo solo: puede dejar de registrarse.",IF(D8&gt;=u_alta,"Se cumple casi siempre, pero hubo interrupciones seguidas: revise qué las causó.",IF(D8&gt;=u_media,"Se cumple a ratos: revise si la señal que lo dispara es clara y está a la vista.","Cuesta sostenerlo: probablemente sea demasiado exigente. Divídalo en algo más pequeño o déjelo para otro mes."))))</f>
        <v>Se cumple casi siempre, pero hubo interrupciones seguidas: revise qué las causó.</v>
      </c>
      <c r="I8" s="62"/>
      <c r="J8" s="62"/>
    </row>
    <row r="9" spans="1:17" ht="30" customHeight="1">
      <c r="A9" s="34" t="str">
        <f>REGISTRO!B13</f>
        <v>Incluir verduras en almuerzo y cena</v>
      </c>
      <c r="B9" s="24">
        <f>REGISTRO!AH13</f>
        <v>27</v>
      </c>
      <c r="C9" s="24">
        <f>REGISTRO!AI13</f>
        <v>31</v>
      </c>
      <c r="D9" s="25">
        <f>REGISTRO!AJ13</f>
        <v>0.87096774193548387</v>
      </c>
      <c r="E9" s="35" t="str">
        <f t="shared" si="0"/>
        <v>Sostenido</v>
      </c>
      <c r="F9" s="24">
        <f>REGISTRO!AL13</f>
        <v>6</v>
      </c>
      <c r="G9" s="24">
        <f>REGISTRO!AM13</f>
        <v>1</v>
      </c>
      <c r="H9" s="62" t="str">
        <f t="shared" si="1"/>
        <v>Se está sosteniendo solo: puede dejar de registrarse.</v>
      </c>
      <c r="I9" s="62"/>
      <c r="J9" s="62"/>
    </row>
    <row r="10" spans="1:17" ht="30" customHeight="1">
      <c r="A10" s="34" t="str">
        <f>REGISTRO!B14</f>
        <v>Beber al menos 6 vasos de agua</v>
      </c>
      <c r="B10" s="24">
        <f>REGISTRO!AH14</f>
        <v>26</v>
      </c>
      <c r="C10" s="24">
        <f>REGISTRO!AI14</f>
        <v>31</v>
      </c>
      <c r="D10" s="25">
        <f>REGISTRO!AJ14</f>
        <v>0.83870967741935487</v>
      </c>
      <c r="E10" s="35" t="str">
        <f t="shared" si="0"/>
        <v>Sostenido</v>
      </c>
      <c r="F10" s="24">
        <f>REGISTRO!AL14</f>
        <v>6</v>
      </c>
      <c r="G10" s="24">
        <f>REGISTRO!AM14</f>
        <v>1</v>
      </c>
      <c r="H10" s="62" t="str">
        <f t="shared" si="1"/>
        <v>Se está sosteniendo solo: puede dejar de registrarse.</v>
      </c>
      <c r="I10" s="62"/>
      <c r="J10" s="62"/>
    </row>
    <row r="11" spans="1:17" ht="30" customHeight="1">
      <c r="A11" s="34" t="str">
        <f>REGISTRO!B15</f>
        <v>Comer una comida sin pantallas</v>
      </c>
      <c r="B11" s="24">
        <f>REGISTRO!AH15</f>
        <v>23</v>
      </c>
      <c r="C11" s="24">
        <f>REGISTRO!AI15</f>
        <v>31</v>
      </c>
      <c r="D11" s="25">
        <f>REGISTRO!AJ15</f>
        <v>0.74193548387096775</v>
      </c>
      <c r="E11" s="35" t="str">
        <f t="shared" si="0"/>
        <v>Intermitente</v>
      </c>
      <c r="F11" s="24">
        <f>REGISTRO!AL15</f>
        <v>6</v>
      </c>
      <c r="G11" s="24">
        <f>REGISTRO!AM15</f>
        <v>1</v>
      </c>
      <c r="H11" s="62" t="str">
        <f t="shared" si="1"/>
        <v>Se cumple a ratos: revise si la señal que lo dispara es clara y está a la vista.</v>
      </c>
      <c r="I11" s="62"/>
      <c r="J11" s="62"/>
    </row>
    <row r="12" spans="1:17" ht="30" customHeight="1">
      <c r="A12" s="34" t="str">
        <f>REGISTRO!B16</f>
        <v>Llevar colación planificada</v>
      </c>
      <c r="B12" s="24">
        <f>REGISTRO!AH16</f>
        <v>26</v>
      </c>
      <c r="C12" s="24">
        <f>REGISTRO!AI16</f>
        <v>31</v>
      </c>
      <c r="D12" s="25">
        <f>REGISTRO!AJ16</f>
        <v>0.83870967741935487</v>
      </c>
      <c r="E12" s="35" t="str">
        <f t="shared" si="0"/>
        <v>Sostenido</v>
      </c>
      <c r="F12" s="24">
        <f>REGISTRO!AL16</f>
        <v>6</v>
      </c>
      <c r="G12" s="24">
        <f>REGISTRO!AM16</f>
        <v>1</v>
      </c>
      <c r="H12" s="62" t="str">
        <f t="shared" si="1"/>
        <v>Se está sosteniendo solo: puede dejar de registrarse.</v>
      </c>
      <c r="I12" s="62"/>
      <c r="J12" s="62"/>
    </row>
    <row r="13" spans="1:17" ht="30" customHeight="1">
      <c r="A13" s="34" t="str">
        <f>REGISTRO!B17</f>
        <v>Caminar 30 minutos</v>
      </c>
      <c r="B13" s="24">
        <f>REGISTRO!AH17</f>
        <v>23</v>
      </c>
      <c r="C13" s="24">
        <f>REGISTRO!AI17</f>
        <v>31</v>
      </c>
      <c r="D13" s="25">
        <f>REGISTRO!AJ17</f>
        <v>0.74193548387096775</v>
      </c>
      <c r="E13" s="35" t="str">
        <f t="shared" si="0"/>
        <v>Intermitente</v>
      </c>
      <c r="F13" s="24">
        <f>REGISTRO!AL17</f>
        <v>5</v>
      </c>
      <c r="G13" s="24">
        <f>REGISTRO!AM17</f>
        <v>2</v>
      </c>
      <c r="H13" s="62" t="str">
        <f t="shared" si="1"/>
        <v>Se cumple a ratos: revise si la señal que lo dispara es clara y está a la vista.</v>
      </c>
      <c r="I13" s="62"/>
      <c r="J13" s="62"/>
    </row>
    <row r="14" spans="1:17" ht="30" customHeight="1">
      <c r="A14" s="34" t="str">
        <f>REGISTRO!B18</f>
        <v>Acostarse antes de las 23:30</v>
      </c>
      <c r="B14" s="24">
        <f>REGISTRO!AH18</f>
        <v>24</v>
      </c>
      <c r="C14" s="24">
        <f>REGISTRO!AI18</f>
        <v>31</v>
      </c>
      <c r="D14" s="25">
        <f>REGISTRO!AJ18</f>
        <v>0.77419354838709675</v>
      </c>
      <c r="E14" s="35" t="str">
        <f t="shared" si="0"/>
        <v>Intermitente</v>
      </c>
      <c r="F14" s="24">
        <f>REGISTRO!AL18</f>
        <v>6</v>
      </c>
      <c r="G14" s="24">
        <f>REGISTRO!AM18</f>
        <v>2</v>
      </c>
      <c r="H14" s="62" t="str">
        <f t="shared" si="1"/>
        <v>Se cumple a ratos: revise si la señal que lo dispara es clara y está a la vista.</v>
      </c>
      <c r="I14" s="62"/>
      <c r="J14" s="62"/>
    </row>
    <row r="15" spans="1:17" ht="30" customHeight="1">
      <c r="A15" s="34" t="str">
        <f>REGISTRO!B19</f>
        <v>Dejar lista la comida del día siguiente</v>
      </c>
      <c r="B15" s="24">
        <f>REGISTRO!AH19</f>
        <v>17</v>
      </c>
      <c r="C15" s="24">
        <f>REGISTRO!AI19</f>
        <v>31</v>
      </c>
      <c r="D15" s="25">
        <f>REGISTRO!AJ19</f>
        <v>0.54838709677419351</v>
      </c>
      <c r="E15" s="35" t="str">
        <f t="shared" si="0"/>
        <v>Con dificultad</v>
      </c>
      <c r="F15" s="24">
        <f>REGISTRO!AL19</f>
        <v>4</v>
      </c>
      <c r="G15" s="24">
        <f>REGISTRO!AM19</f>
        <v>3</v>
      </c>
      <c r="H15" s="62" t="str">
        <f t="shared" si="1"/>
        <v>Cuesta sostenerlo: probablemente sea demasiado exigente. Divídalo en algo más pequeño o déjelo para otro mes.</v>
      </c>
      <c r="I15" s="62"/>
      <c r="J15" s="62"/>
    </row>
    <row r="16" spans="1:17" ht="30" customHeight="1">
      <c r="A16" s="34" t="str">
        <f>REGISTRO!B20</f>
        <v>Anotar cómo me sentí al comer</v>
      </c>
      <c r="B16" s="24">
        <f>REGISTRO!AH20</f>
        <v>22</v>
      </c>
      <c r="C16" s="24">
        <f>REGISTRO!AI20</f>
        <v>31</v>
      </c>
      <c r="D16" s="25">
        <f>REGISTRO!AJ20</f>
        <v>0.70967741935483875</v>
      </c>
      <c r="E16" s="35" t="str">
        <f t="shared" si="0"/>
        <v>Intermitente</v>
      </c>
      <c r="F16" s="24">
        <f>REGISTRO!AL20</f>
        <v>11</v>
      </c>
      <c r="G16" s="24">
        <f>REGISTRO!AM20</f>
        <v>3</v>
      </c>
      <c r="H16" s="62" t="str">
        <f t="shared" si="1"/>
        <v>Se cumple a ratos: revise si la señal que lo dispara es clara y está a la vista.</v>
      </c>
      <c r="I16" s="62"/>
      <c r="J16" s="62"/>
      <c r="L16" s="24"/>
    </row>
    <row r="17" spans="1:17" ht="30" customHeight="1">
      <c r="A17" s="34" t="str">
        <f>REGISTRO!B21</f>
        <v>Comer sentado a la mesa</v>
      </c>
      <c r="B17" s="24">
        <f>REGISTRO!AH21</f>
        <v>27</v>
      </c>
      <c r="C17" s="24">
        <f>REGISTRO!AI21</f>
        <v>31</v>
      </c>
      <c r="D17" s="25">
        <f>REGISTRO!AJ21</f>
        <v>0.87096774193548387</v>
      </c>
      <c r="E17" s="35" t="str">
        <f t="shared" si="0"/>
        <v>Sostenido</v>
      </c>
      <c r="F17" s="24">
        <f>REGISTRO!AL21</f>
        <v>6</v>
      </c>
      <c r="G17" s="24">
        <f>REGISTRO!AM21</f>
        <v>1</v>
      </c>
      <c r="H17" s="62" t="str">
        <f t="shared" si="1"/>
        <v>Se está sosteniendo solo: puede dejar de registrarse.</v>
      </c>
      <c r="I17" s="62"/>
      <c r="J17" s="62"/>
    </row>
    <row r="18" spans="1:17" ht="15.75" customHeight="1">
      <c r="A18" s="36" t="s">
        <v>163</v>
      </c>
      <c r="B18" s="37">
        <f>SUM(B8:B17)</f>
        <v>241</v>
      </c>
      <c r="C18" s="37">
        <f>SUM(C8:C17)</f>
        <v>310</v>
      </c>
      <c r="D18" s="38">
        <f>IF(C18=0,"ND",B18/C18)</f>
        <v>0.77741935483870972</v>
      </c>
      <c r="E18" s="24"/>
      <c r="F18" s="24"/>
      <c r="G18" s="24"/>
      <c r="H18" s="24"/>
      <c r="I18" s="24"/>
      <c r="J18" s="24"/>
    </row>
    <row r="20" spans="1:17" ht="19.5" customHeight="1">
      <c r="A20" s="6" t="s">
        <v>164</v>
      </c>
      <c r="B20" s="6"/>
      <c r="C20" s="6"/>
      <c r="D20" s="6"/>
      <c r="E20" s="6"/>
      <c r="F20" s="6"/>
      <c r="G20" s="6"/>
      <c r="H20" s="6"/>
      <c r="I20" s="6"/>
      <c r="J20" s="6"/>
      <c r="K20" s="6"/>
      <c r="L20" s="6"/>
      <c r="M20" s="6"/>
      <c r="N20" s="6"/>
      <c r="O20" s="6"/>
      <c r="P20" s="6"/>
      <c r="Q20" s="6"/>
    </row>
    <row r="21" spans="1:17" ht="18" customHeight="1">
      <c r="A21" s="8" t="s">
        <v>165</v>
      </c>
      <c r="B21" s="8"/>
      <c r="C21" s="54">
        <f>COUNTIF(E8:E17,"Sostenido")</f>
        <v>5</v>
      </c>
      <c r="D21" s="54"/>
      <c r="E21" s="54"/>
      <c r="F21" s="54"/>
      <c r="G21" s="54"/>
      <c r="H21" s="54"/>
      <c r="I21" s="54"/>
      <c r="J21" s="54"/>
      <c r="K21" s="54"/>
    </row>
    <row r="22" spans="1:17" ht="18" customHeight="1">
      <c r="A22" s="8" t="s">
        <v>166</v>
      </c>
      <c r="B22" s="8"/>
      <c r="C22" s="54">
        <f>COUNTIF(E8:E17,"Intermitente")</f>
        <v>4</v>
      </c>
      <c r="D22" s="54"/>
      <c r="E22" s="54"/>
      <c r="F22" s="54"/>
      <c r="G22" s="54"/>
      <c r="H22" s="54"/>
      <c r="I22" s="54"/>
      <c r="J22" s="54"/>
      <c r="K22" s="54"/>
    </row>
    <row r="23" spans="1:17" ht="18" customHeight="1">
      <c r="A23" s="8" t="s">
        <v>167</v>
      </c>
      <c r="B23" s="8"/>
      <c r="C23" s="54">
        <f>COUNTIF(E8:E17,"Con dificultad")</f>
        <v>1</v>
      </c>
      <c r="D23" s="54"/>
      <c r="E23" s="54"/>
      <c r="F23" s="54"/>
      <c r="G23" s="54"/>
      <c r="H23" s="54"/>
      <c r="I23" s="54"/>
      <c r="J23" s="54"/>
      <c r="K23" s="54"/>
    </row>
    <row r="24" spans="1:17" ht="18" customHeight="1">
      <c r="A24" s="8" t="s">
        <v>168</v>
      </c>
      <c r="B24" s="8"/>
      <c r="C24" s="54">
        <f>COUNTIF(G8:G17,"&gt;="&amp;u_seguidos)</f>
        <v>5</v>
      </c>
      <c r="D24" s="54"/>
      <c r="E24" s="54"/>
      <c r="F24" s="54"/>
      <c r="G24" s="54"/>
      <c r="H24" s="54"/>
      <c r="I24" s="54"/>
      <c r="J24" s="54"/>
      <c r="K24" s="54"/>
    </row>
    <row r="25" spans="1:17" ht="18" customHeight="1">
      <c r="A25" s="8" t="s">
        <v>169</v>
      </c>
      <c r="B25" s="8"/>
      <c r="C25" s="54" t="str">
        <f>IF(COUNT(D8:D17)=0,"ND",INDEX(A8:A17,MATCH(MAX(D8:D17),D8:D17,0)))</f>
        <v>Incluir verduras en almuerzo y cena</v>
      </c>
      <c r="D25" s="54"/>
      <c r="E25" s="54"/>
      <c r="F25" s="54"/>
      <c r="G25" s="54"/>
      <c r="H25" s="54"/>
      <c r="I25" s="54"/>
      <c r="J25" s="54"/>
      <c r="K25" s="54"/>
    </row>
    <row r="26" spans="1:17" ht="18" customHeight="1">
      <c r="A26" s="8" t="s">
        <v>170</v>
      </c>
      <c r="B26" s="8"/>
      <c r="C26" s="54" t="str">
        <f>IF(COUNT(D8:D17)=0,"ND",INDEX(A8:A17,MATCH(MIN(D8:D17),D8:D17,0)))</f>
        <v>Dejar lista la comida del día siguiente</v>
      </c>
      <c r="D26" s="54"/>
      <c r="E26" s="54"/>
      <c r="F26" s="54"/>
      <c r="G26" s="54"/>
      <c r="H26" s="54"/>
      <c r="I26" s="54"/>
      <c r="J26" s="54"/>
      <c r="K26" s="54"/>
    </row>
    <row r="27" spans="1:17" ht="18" customHeight="1">
      <c r="A27" s="8" t="s">
        <v>171</v>
      </c>
      <c r="B27" s="8"/>
      <c r="C27" s="54">
        <f>MAX(REGISTRO!C22:AG22)</f>
        <v>10</v>
      </c>
      <c r="D27" s="54"/>
      <c r="E27" s="54"/>
      <c r="F27" s="54"/>
      <c r="G27" s="54"/>
      <c r="H27" s="54"/>
      <c r="I27" s="54"/>
      <c r="J27" s="54"/>
      <c r="K27" s="54"/>
    </row>
    <row r="28" spans="1:17" ht="18" customHeight="1">
      <c r="A28" s="8" t="s">
        <v>172</v>
      </c>
      <c r="B28" s="8"/>
      <c r="C28" s="54">
        <f>MIN(REGISTRO!C22:AG22)</f>
        <v>7</v>
      </c>
      <c r="D28" s="54"/>
      <c r="E28" s="54"/>
      <c r="F28" s="54"/>
      <c r="G28" s="54"/>
      <c r="H28" s="54"/>
      <c r="I28" s="54"/>
      <c r="J28" s="54"/>
      <c r="K28" s="54"/>
    </row>
    <row r="29" spans="1:17" ht="18" customHeight="1">
      <c r="A29" s="8" t="s">
        <v>173</v>
      </c>
      <c r="B29" s="8"/>
      <c r="C29" s="54">
        <f>IF(COUNT(REGISTRO!C22:AG22)=0,"ND",AVERAGE(REGISTRO!C22:AG22))</f>
        <v>7.774193548387097</v>
      </c>
      <c r="D29" s="54"/>
      <c r="E29" s="54"/>
      <c r="F29" s="54"/>
      <c r="G29" s="54"/>
      <c r="H29" s="54"/>
      <c r="I29" s="54"/>
      <c r="J29" s="54"/>
      <c r="K29" s="54"/>
    </row>
    <row r="31" spans="1:17" ht="19.5" customHeight="1">
      <c r="A31" s="6" t="s">
        <v>174</v>
      </c>
      <c r="B31" s="6"/>
      <c r="C31" s="6"/>
      <c r="D31" s="6"/>
      <c r="E31" s="6"/>
      <c r="F31" s="6"/>
      <c r="G31" s="6"/>
      <c r="H31" s="6"/>
      <c r="I31" s="6"/>
      <c r="J31" s="6"/>
      <c r="K31" s="6"/>
      <c r="L31" s="6"/>
      <c r="M31" s="6"/>
      <c r="N31" s="6"/>
      <c r="O31" s="6"/>
      <c r="P31" s="6"/>
      <c r="Q31" s="6"/>
    </row>
    <row r="32" spans="1:17" ht="30" customHeight="1">
      <c r="A32" s="8" t="s">
        <v>175</v>
      </c>
      <c r="B32" s="8"/>
      <c r="C32" s="56" t="str">
        <f>IF(NOT(ISNUMBER(D18)),"ND",IF(D18&gt;=u_alta,"La mayoría de los hábitos se sostuvo la mayor parte del mes.",IF(D18&gt;=u_media,"El cumplimiento fue parcial: hay conductas que se sostienen y otras que no.","El cumplimiento fue bajo. Antes de insistir, revise si los hábitos elegidos eran realistas para este mes.")))</f>
        <v>El cumplimiento fue parcial: hay conductas que se sostienen y otras que no.</v>
      </c>
      <c r="D32" s="56"/>
      <c r="E32" s="56"/>
      <c r="F32" s="56"/>
      <c r="G32" s="56"/>
      <c r="H32" s="56"/>
      <c r="I32" s="56"/>
      <c r="J32" s="56"/>
      <c r="K32" s="56"/>
    </row>
    <row r="33" spans="1:17" ht="30" customHeight="1">
      <c r="A33" s="8" t="s">
        <v>176</v>
      </c>
      <c r="B33" s="8"/>
      <c r="C33" s="56" t="str">
        <f>IF(C23=0,"Ningún hábito quedó en dificultad: puede incorporar uno nuevo el próximo mes.","Hay "&amp;C23&amp;" hábito(s) con dificultad. Conviene retirarlos o hacerlos más pequeños antes de agregar cualquier conducta nueva.")</f>
        <v>Hay 1 hábito(s) con dificultad. Conviene retirarlos o hacerlos más pequeños antes de agregar cualquier conducta nueva.</v>
      </c>
      <c r="D33" s="56"/>
      <c r="E33" s="56"/>
      <c r="F33" s="56"/>
      <c r="G33" s="56"/>
      <c r="H33" s="56"/>
      <c r="I33" s="56"/>
      <c r="J33" s="56"/>
      <c r="K33" s="56"/>
    </row>
    <row r="34" spans="1:17" ht="30" customHeight="1">
      <c r="A34" s="8" t="s">
        <v>177</v>
      </c>
      <c r="B34" s="8"/>
      <c r="C34" s="56" t="str">
        <f>IF(C24=0,"No hubo interrupciones de dos días seguidos.","En "&amp;C24&amp;" hábito(s) hubo dos o más días seguidos sin cumplir. Esa es la señal a conversar: no el día aislado, sino qué ocurrió para que se encadenaran.")</f>
        <v>En 5 hábito(s) hubo dos o más días seguidos sin cumplir. Esa es la señal a conversar: no el día aislado, sino qué ocurrió para que se encadenaran.</v>
      </c>
      <c r="D34" s="56"/>
      <c r="E34" s="56"/>
      <c r="F34" s="56"/>
      <c r="G34" s="56"/>
      <c r="H34" s="56"/>
      <c r="I34" s="56"/>
      <c r="J34" s="56"/>
      <c r="K34" s="56"/>
    </row>
    <row r="36" spans="1:17" ht="19.5" customHeight="1">
      <c r="A36" s="6" t="s">
        <v>178</v>
      </c>
      <c r="B36" s="6"/>
      <c r="C36" s="6"/>
      <c r="D36" s="6"/>
      <c r="E36" s="6"/>
      <c r="F36" s="6"/>
      <c r="G36" s="6"/>
      <c r="H36" s="6"/>
      <c r="I36" s="6"/>
      <c r="J36" s="6"/>
      <c r="K36" s="6"/>
      <c r="L36" s="6"/>
      <c r="M36" s="6"/>
      <c r="N36" s="6"/>
      <c r="O36" s="6"/>
      <c r="P36" s="6"/>
      <c r="Q36" s="6"/>
    </row>
    <row r="37" spans="1:17" ht="25.5" customHeight="1">
      <c r="A37" s="8" t="s">
        <v>179</v>
      </c>
      <c r="B37" s="8"/>
      <c r="C37" s="2" t="s">
        <v>56</v>
      </c>
      <c r="D37" s="2"/>
      <c r="E37" s="2"/>
      <c r="F37" s="2"/>
      <c r="G37" s="2"/>
      <c r="H37" s="2"/>
      <c r="I37" s="2"/>
      <c r="J37" s="2"/>
      <c r="K37" s="2"/>
    </row>
    <row r="38" spans="1:17" ht="25.5" customHeight="1">
      <c r="A38" s="8" t="s">
        <v>180</v>
      </c>
      <c r="B38" s="8"/>
      <c r="C38" s="2" t="s">
        <v>56</v>
      </c>
      <c r="D38" s="2"/>
      <c r="E38" s="2"/>
      <c r="F38" s="2"/>
      <c r="G38" s="2"/>
      <c r="H38" s="2"/>
      <c r="I38" s="2"/>
      <c r="J38" s="2"/>
      <c r="K38" s="2"/>
    </row>
    <row r="39" spans="1:17" ht="25.5" customHeight="1">
      <c r="A39" s="8" t="s">
        <v>181</v>
      </c>
      <c r="B39" s="8"/>
      <c r="C39" s="2" t="s">
        <v>56</v>
      </c>
      <c r="D39" s="2"/>
      <c r="E39" s="2"/>
      <c r="F39" s="2"/>
      <c r="G39" s="2"/>
      <c r="H39" s="2"/>
      <c r="I39" s="2"/>
      <c r="J39" s="2"/>
      <c r="K39" s="2"/>
    </row>
    <row r="40" spans="1:17" ht="25.5" customHeight="1">
      <c r="A40" s="8" t="s">
        <v>182</v>
      </c>
      <c r="B40" s="8"/>
      <c r="C40" s="2" t="s">
        <v>56</v>
      </c>
      <c r="D40" s="2"/>
      <c r="E40" s="2"/>
      <c r="F40" s="2"/>
      <c r="G40" s="2"/>
      <c r="H40" s="2"/>
      <c r="I40" s="2"/>
      <c r="J40" s="2"/>
      <c r="K40" s="2"/>
    </row>
    <row r="41" spans="1:17" ht="25.5" customHeight="1">
      <c r="A41" s="8" t="s">
        <v>183</v>
      </c>
      <c r="B41" s="8"/>
      <c r="C41" s="2" t="s">
        <v>56</v>
      </c>
      <c r="D41" s="2"/>
      <c r="E41" s="2"/>
      <c r="F41" s="2"/>
      <c r="G41" s="2"/>
      <c r="H41" s="2"/>
      <c r="I41" s="2"/>
      <c r="J41" s="2"/>
      <c r="K41" s="2"/>
    </row>
    <row r="43" spans="1:17" ht="15" customHeight="1">
      <c r="A43" s="57" t="s">
        <v>184</v>
      </c>
      <c r="B43" s="57"/>
      <c r="C43" s="57"/>
      <c r="D43" s="57"/>
      <c r="E43" s="57"/>
      <c r="F43" s="57"/>
      <c r="G43" s="57"/>
      <c r="H43" s="57"/>
      <c r="I43" s="57"/>
      <c r="J43" s="57"/>
      <c r="K43" s="57"/>
      <c r="L43" s="57"/>
      <c r="M43" s="57"/>
      <c r="N43" s="57"/>
      <c r="O43" s="57"/>
      <c r="P43" s="57"/>
      <c r="Q43" s="57"/>
    </row>
    <row r="44" spans="1:17" ht="15" customHeight="1">
      <c r="A44" s="57"/>
      <c r="B44" s="57"/>
      <c r="C44" s="57"/>
      <c r="D44" s="57"/>
      <c r="E44" s="57"/>
      <c r="F44" s="57"/>
      <c r="G44" s="57"/>
      <c r="H44" s="57"/>
      <c r="I44" s="57"/>
      <c r="J44" s="57"/>
      <c r="K44" s="57"/>
      <c r="L44" s="57"/>
      <c r="M44" s="57"/>
      <c r="N44" s="57"/>
      <c r="O44" s="57"/>
      <c r="P44" s="57"/>
      <c r="Q44" s="57"/>
    </row>
    <row r="45" spans="1:17" ht="15" customHeight="1">
      <c r="A45" s="57"/>
      <c r="B45" s="57"/>
      <c r="C45" s="57"/>
      <c r="D45" s="57"/>
      <c r="E45" s="57"/>
      <c r="F45" s="57"/>
      <c r="G45" s="57"/>
      <c r="H45" s="57"/>
      <c r="I45" s="57"/>
      <c r="J45" s="57"/>
      <c r="K45" s="57"/>
      <c r="L45" s="57"/>
      <c r="M45" s="57"/>
      <c r="N45" s="57"/>
      <c r="O45" s="57"/>
      <c r="P45" s="57"/>
      <c r="Q45" s="57"/>
    </row>
  </sheetData>
  <sheetProtection algorithmName="SHA-512" hashValue="XWIf93IAAOQrmVA2eSdJJ6A/za3XvUu1rybq45IFZSl9Qla3YM71oACEG3RxmMS+5BQERZ9It4+7cbjozynV0Q==" saltValue="ixSFDbURoPahUGapfXA58g==" spinCount="100000" sheet="1" objects="1" scenarios="1"/>
  <mergeCells count="53">
    <mergeCell ref="A40:B40"/>
    <mergeCell ref="C40:K40"/>
    <mergeCell ref="A41:B41"/>
    <mergeCell ref="C41:K41"/>
    <mergeCell ref="A43:Q45"/>
    <mergeCell ref="A37:B37"/>
    <mergeCell ref="C37:K37"/>
    <mergeCell ref="A38:B38"/>
    <mergeCell ref="C38:K38"/>
    <mergeCell ref="A39:B39"/>
    <mergeCell ref="C39:K39"/>
    <mergeCell ref="A33:B33"/>
    <mergeCell ref="C33:K33"/>
    <mergeCell ref="A34:B34"/>
    <mergeCell ref="C34:K34"/>
    <mergeCell ref="A36:Q36"/>
    <mergeCell ref="A29:B29"/>
    <mergeCell ref="C29:K29"/>
    <mergeCell ref="A31:Q31"/>
    <mergeCell ref="A32:B32"/>
    <mergeCell ref="C32:K32"/>
    <mergeCell ref="A26:B26"/>
    <mergeCell ref="C26:K26"/>
    <mergeCell ref="A27:B27"/>
    <mergeCell ref="C27:K27"/>
    <mergeCell ref="A28:B28"/>
    <mergeCell ref="C28:K28"/>
    <mergeCell ref="A23:B23"/>
    <mergeCell ref="C23:K23"/>
    <mergeCell ref="A24:B24"/>
    <mergeCell ref="C24:K24"/>
    <mergeCell ref="A25:B25"/>
    <mergeCell ref="C25:K25"/>
    <mergeCell ref="A20:Q20"/>
    <mergeCell ref="A21:B21"/>
    <mergeCell ref="C21:K21"/>
    <mergeCell ref="A22:B22"/>
    <mergeCell ref="C22:K22"/>
    <mergeCell ref="H13:J13"/>
    <mergeCell ref="H14:J14"/>
    <mergeCell ref="H15:J15"/>
    <mergeCell ref="H16:J16"/>
    <mergeCell ref="H17:J17"/>
    <mergeCell ref="H8:J8"/>
    <mergeCell ref="H9:J9"/>
    <mergeCell ref="H10:J10"/>
    <mergeCell ref="H11:J11"/>
    <mergeCell ref="H12:J12"/>
    <mergeCell ref="A1:Q1"/>
    <mergeCell ref="A2:Q3"/>
    <mergeCell ref="A4:B4"/>
    <mergeCell ref="A6:Q6"/>
    <mergeCell ref="H7:J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7324D"/>
  </sheetPr>
  <dimension ref="A1:Q61"/>
  <sheetViews>
    <sheetView showGridLines="0" zoomScaleNormal="100" workbookViewId="0">
      <selection activeCell="D34" sqref="D34"/>
    </sheetView>
  </sheetViews>
  <sheetFormatPr baseColWidth="10" defaultColWidth="9.140625" defaultRowHeight="15"/>
  <cols>
    <col min="1" max="1" width="34" style="14" customWidth="1"/>
    <col min="2" max="2" width="14"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185</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186</v>
      </c>
      <c r="B6" s="6"/>
      <c r="C6" s="6"/>
      <c r="D6" s="6"/>
      <c r="E6" s="6"/>
      <c r="F6" s="6"/>
      <c r="G6" s="6"/>
      <c r="H6" s="6"/>
      <c r="I6" s="6"/>
      <c r="J6" s="6"/>
      <c r="K6" s="6"/>
      <c r="L6" s="6"/>
      <c r="M6" s="6"/>
      <c r="N6" s="6"/>
      <c r="O6" s="6"/>
      <c r="P6" s="6"/>
      <c r="Q6" s="6"/>
    </row>
    <row r="7" spans="1:17" ht="21.75" customHeight="1">
      <c r="A7" s="63" t="s">
        <v>187</v>
      </c>
      <c r="B7" s="63"/>
      <c r="C7" s="63"/>
      <c r="D7" s="64" t="s">
        <v>188</v>
      </c>
      <c r="E7" s="64"/>
      <c r="F7" s="64"/>
      <c r="G7" s="65" t="s">
        <v>189</v>
      </c>
      <c r="H7" s="65"/>
      <c r="I7" s="65"/>
      <c r="J7" s="65" t="s">
        <v>190</v>
      </c>
      <c r="K7" s="65"/>
      <c r="L7" s="65"/>
      <c r="M7" s="66" t="s">
        <v>191</v>
      </c>
      <c r="N7" s="66"/>
      <c r="O7" s="66"/>
    </row>
    <row r="8" spans="1:17" ht="18" customHeight="1">
      <c r="A8" s="67">
        <f>ANALISIS!D18</f>
        <v>0.77741935483870972</v>
      </c>
      <c r="B8" s="67"/>
      <c r="C8" s="67"/>
      <c r="D8" s="68">
        <f>ANALISIS!C21</f>
        <v>5</v>
      </c>
      <c r="E8" s="68"/>
      <c r="F8" s="68"/>
      <c r="G8" s="69">
        <f>ANALISIS!C23</f>
        <v>1</v>
      </c>
      <c r="H8" s="69"/>
      <c r="I8" s="69"/>
      <c r="J8" s="69">
        <f>ANALISIS!C24</f>
        <v>5</v>
      </c>
      <c r="K8" s="69"/>
      <c r="L8" s="69"/>
      <c r="M8" s="70">
        <f>ANALISIS!C29</f>
        <v>7.774193548387097</v>
      </c>
      <c r="N8" s="70"/>
      <c r="O8" s="70"/>
    </row>
    <row r="9" spans="1:17" ht="18" customHeight="1">
      <c r="A9" s="67"/>
      <c r="B9" s="67"/>
      <c r="C9" s="67"/>
      <c r="D9" s="68"/>
      <c r="E9" s="68"/>
      <c r="F9" s="68"/>
      <c r="G9" s="69"/>
      <c r="H9" s="69"/>
      <c r="I9" s="69"/>
      <c r="J9" s="69"/>
      <c r="K9" s="69"/>
      <c r="L9" s="69"/>
      <c r="M9" s="70"/>
      <c r="N9" s="70"/>
      <c r="O9" s="70"/>
    </row>
    <row r="10" spans="1:17" ht="15.75" customHeight="1">
      <c r="A10" s="71" t="s">
        <v>192</v>
      </c>
      <c r="B10" s="71"/>
      <c r="C10" s="71"/>
      <c r="D10" s="71" t="s">
        <v>193</v>
      </c>
      <c r="E10" s="71"/>
      <c r="F10" s="71"/>
      <c r="G10" s="71" t="s">
        <v>194</v>
      </c>
      <c r="H10" s="71"/>
      <c r="I10" s="71"/>
      <c r="J10" s="71" t="s">
        <v>195</v>
      </c>
      <c r="K10" s="71"/>
      <c r="L10" s="71"/>
      <c r="M10" s="71" t="s">
        <v>196</v>
      </c>
      <c r="N10" s="71"/>
      <c r="O10" s="71"/>
    </row>
    <row r="12" spans="1:17" ht="19.5" customHeight="1">
      <c r="A12" s="6" t="s">
        <v>197</v>
      </c>
      <c r="B12" s="6"/>
      <c r="C12" s="6"/>
      <c r="D12" s="6"/>
      <c r="E12" s="6"/>
      <c r="F12" s="6"/>
      <c r="G12" s="6"/>
      <c r="H12" s="6"/>
      <c r="I12" s="6"/>
      <c r="J12" s="6"/>
      <c r="K12" s="6"/>
      <c r="L12" s="6"/>
      <c r="M12" s="6"/>
      <c r="N12" s="6"/>
      <c r="O12" s="6"/>
      <c r="P12" s="6"/>
      <c r="Q12" s="6"/>
    </row>
    <row r="13" spans="1:17" ht="23.25" customHeight="1">
      <c r="A13" s="39" t="s">
        <v>145</v>
      </c>
      <c r="B13" s="72" t="s">
        <v>148</v>
      </c>
      <c r="C13" s="72"/>
    </row>
    <row r="14" spans="1:17" ht="33.75" customHeight="1">
      <c r="A14" s="40" t="str">
        <f>ANALISIS!A8</f>
        <v>Desayunar dentro de la primera hora</v>
      </c>
      <c r="B14" s="73">
        <f>ANALISIS!D8</f>
        <v>0.83870967741935487</v>
      </c>
      <c r="C14" s="73"/>
    </row>
    <row r="15" spans="1:17" ht="33.75" customHeight="1">
      <c r="A15" s="40" t="str">
        <f>ANALISIS!A9</f>
        <v>Incluir verduras en almuerzo y cena</v>
      </c>
      <c r="B15" s="73">
        <f>ANALISIS!D9</f>
        <v>0.87096774193548387</v>
      </c>
      <c r="C15" s="73"/>
    </row>
    <row r="16" spans="1:17" ht="33.75" customHeight="1">
      <c r="A16" s="40" t="str">
        <f>ANALISIS!A10</f>
        <v>Beber al menos 6 vasos de agua</v>
      </c>
      <c r="B16" s="73">
        <f>ANALISIS!D10</f>
        <v>0.83870967741935487</v>
      </c>
      <c r="C16" s="73"/>
    </row>
    <row r="17" spans="1:17" ht="33.75" customHeight="1">
      <c r="A17" s="40" t="str">
        <f>ANALISIS!A11</f>
        <v>Comer una comida sin pantallas</v>
      </c>
      <c r="B17" s="73">
        <f>ANALISIS!D11</f>
        <v>0.74193548387096775</v>
      </c>
      <c r="C17" s="73"/>
    </row>
    <row r="18" spans="1:17" ht="33.75" customHeight="1">
      <c r="A18" s="40" t="str">
        <f>ANALISIS!A12</f>
        <v>Llevar colación planificada</v>
      </c>
      <c r="B18" s="73">
        <f>ANALISIS!D12</f>
        <v>0.83870967741935487</v>
      </c>
      <c r="C18" s="73"/>
    </row>
    <row r="19" spans="1:17" ht="33.75" customHeight="1">
      <c r="A19" s="40" t="str">
        <f>ANALISIS!A13</f>
        <v>Caminar 30 minutos</v>
      </c>
      <c r="B19" s="73">
        <f>ANALISIS!D13</f>
        <v>0.74193548387096775</v>
      </c>
      <c r="C19" s="73"/>
    </row>
    <row r="20" spans="1:17" ht="33.75" customHeight="1">
      <c r="A20" s="40" t="str">
        <f>ANALISIS!A14</f>
        <v>Acostarse antes de las 23:30</v>
      </c>
      <c r="B20" s="73">
        <f>ANALISIS!D14</f>
        <v>0.77419354838709675</v>
      </c>
      <c r="C20" s="73"/>
    </row>
    <row r="21" spans="1:17" ht="33.75" customHeight="1">
      <c r="A21" s="40" t="str">
        <f>ANALISIS!A15</f>
        <v>Dejar lista la comida del día siguiente</v>
      </c>
      <c r="B21" s="73">
        <f>ANALISIS!D15</f>
        <v>0.54838709677419351</v>
      </c>
      <c r="C21" s="73"/>
    </row>
    <row r="22" spans="1:17" ht="33.75" customHeight="1">
      <c r="A22" s="40" t="str">
        <f>ANALISIS!A16</f>
        <v>Anotar cómo me sentí al comer</v>
      </c>
      <c r="B22" s="73">
        <f>ANALISIS!D16</f>
        <v>0.70967741935483875</v>
      </c>
      <c r="C22" s="73"/>
    </row>
    <row r="23" spans="1:17" ht="33.75" customHeight="1">
      <c r="A23" s="40" t="str">
        <f>ANALISIS!A17</f>
        <v>Comer sentado a la mesa</v>
      </c>
      <c r="B23" s="73">
        <f>ANALISIS!D17</f>
        <v>0.87096774193548387</v>
      </c>
      <c r="C23" s="73"/>
    </row>
    <row r="24" spans="1:17" ht="15" customHeight="1"/>
    <row r="25" spans="1:17" ht="19.5" customHeight="1">
      <c r="A25" s="6" t="s">
        <v>198</v>
      </c>
      <c r="B25" s="6"/>
      <c r="C25" s="6"/>
      <c r="D25" s="6"/>
      <c r="E25" s="6"/>
      <c r="F25" s="6"/>
      <c r="G25" s="6"/>
      <c r="H25" s="6"/>
      <c r="I25" s="6"/>
      <c r="J25" s="6"/>
      <c r="K25" s="6"/>
      <c r="L25" s="6"/>
      <c r="M25" s="6"/>
      <c r="N25" s="6"/>
      <c r="O25" s="6"/>
      <c r="P25" s="6"/>
      <c r="Q25" s="6"/>
    </row>
    <row r="26" spans="1:17" ht="15" customHeight="1">
      <c r="A26" s="39" t="s">
        <v>199</v>
      </c>
      <c r="B26" s="72" t="s">
        <v>200</v>
      </c>
      <c r="C26" s="72"/>
    </row>
    <row r="27" spans="1:17" ht="15" customHeight="1">
      <c r="A27" s="41">
        <v>1</v>
      </c>
      <c r="B27" s="74">
        <f>REGISTRO!C22</f>
        <v>8</v>
      </c>
      <c r="C27" s="74"/>
    </row>
    <row r="28" spans="1:17" ht="15" customHeight="1">
      <c r="A28" s="41">
        <v>2</v>
      </c>
      <c r="B28" s="74">
        <f>REGISTRO!D22</f>
        <v>7</v>
      </c>
      <c r="C28" s="74"/>
    </row>
    <row r="29" spans="1:17" ht="15" customHeight="1">
      <c r="A29" s="41">
        <v>3</v>
      </c>
      <c r="B29" s="74">
        <f>REGISTRO!E22</f>
        <v>7</v>
      </c>
      <c r="C29" s="74"/>
    </row>
    <row r="30" spans="1:17" ht="15" customHeight="1">
      <c r="A30" s="41">
        <v>4</v>
      </c>
      <c r="B30" s="74">
        <f>REGISTRO!F22</f>
        <v>8</v>
      </c>
      <c r="C30" s="74"/>
    </row>
    <row r="31" spans="1:17" ht="15" customHeight="1">
      <c r="A31" s="41">
        <v>5</v>
      </c>
      <c r="B31" s="74">
        <f>REGISTRO!G22</f>
        <v>8</v>
      </c>
      <c r="C31" s="74"/>
    </row>
    <row r="32" spans="1:17" ht="15" customHeight="1">
      <c r="A32" s="41">
        <v>6</v>
      </c>
      <c r="B32" s="74">
        <f>REGISTRO!H22</f>
        <v>7</v>
      </c>
      <c r="C32" s="74"/>
    </row>
    <row r="33" spans="1:3" ht="15" customHeight="1">
      <c r="A33" s="41">
        <v>7</v>
      </c>
      <c r="B33" s="74">
        <f>REGISTRO!I22</f>
        <v>7</v>
      </c>
      <c r="C33" s="74"/>
    </row>
    <row r="34" spans="1:3" ht="15" customHeight="1">
      <c r="A34" s="41">
        <v>8</v>
      </c>
      <c r="B34" s="74">
        <f>REGISTRO!J22</f>
        <v>9</v>
      </c>
      <c r="C34" s="74"/>
    </row>
    <row r="35" spans="1:3" ht="15" customHeight="1">
      <c r="A35" s="41">
        <v>9</v>
      </c>
      <c r="B35" s="74">
        <f>REGISTRO!K22</f>
        <v>8</v>
      </c>
      <c r="C35" s="74"/>
    </row>
    <row r="36" spans="1:3" ht="15" customHeight="1">
      <c r="A36" s="41">
        <v>10</v>
      </c>
      <c r="B36" s="74">
        <f>REGISTRO!L22</f>
        <v>8</v>
      </c>
      <c r="C36" s="74"/>
    </row>
    <row r="37" spans="1:3" ht="15" customHeight="1">
      <c r="A37" s="41">
        <v>11</v>
      </c>
      <c r="B37" s="74">
        <f>REGISTRO!M22</f>
        <v>8</v>
      </c>
      <c r="C37" s="74"/>
    </row>
    <row r="38" spans="1:3" ht="15" customHeight="1">
      <c r="A38" s="41">
        <v>12</v>
      </c>
      <c r="B38" s="74">
        <f>REGISTRO!N22</f>
        <v>10</v>
      </c>
      <c r="C38" s="74"/>
    </row>
    <row r="39" spans="1:3" ht="15" customHeight="1">
      <c r="A39" s="41">
        <v>13</v>
      </c>
      <c r="B39" s="74">
        <f>REGISTRO!O22</f>
        <v>7</v>
      </c>
      <c r="C39" s="74"/>
    </row>
    <row r="40" spans="1:3" ht="15" customHeight="1">
      <c r="A40" s="41">
        <v>14</v>
      </c>
      <c r="B40" s="74">
        <f>REGISTRO!P22</f>
        <v>8</v>
      </c>
      <c r="C40" s="74"/>
    </row>
    <row r="41" spans="1:3" ht="15" customHeight="1">
      <c r="A41" s="41">
        <v>15</v>
      </c>
      <c r="B41" s="74">
        <f>REGISTRO!Q22</f>
        <v>8</v>
      </c>
      <c r="C41" s="74"/>
    </row>
    <row r="42" spans="1:3" ht="15" customHeight="1">
      <c r="A42" s="41">
        <v>16</v>
      </c>
      <c r="B42" s="74">
        <f>REGISTRO!R22</f>
        <v>7</v>
      </c>
      <c r="C42" s="74"/>
    </row>
    <row r="43" spans="1:3" ht="15" customHeight="1">
      <c r="A43" s="41">
        <v>17</v>
      </c>
      <c r="B43" s="74">
        <f>REGISTRO!S22</f>
        <v>7</v>
      </c>
      <c r="C43" s="74"/>
    </row>
    <row r="44" spans="1:3" ht="15" customHeight="1">
      <c r="A44" s="41">
        <v>18</v>
      </c>
      <c r="B44" s="74">
        <f>REGISTRO!T22</f>
        <v>8</v>
      </c>
      <c r="C44" s="74"/>
    </row>
    <row r="45" spans="1:3" ht="15" customHeight="1">
      <c r="A45" s="41">
        <v>19</v>
      </c>
      <c r="B45" s="74">
        <f>REGISTRO!U22</f>
        <v>8</v>
      </c>
      <c r="C45" s="74"/>
    </row>
    <row r="46" spans="1:3" ht="15" customHeight="1">
      <c r="A46" s="41">
        <v>20</v>
      </c>
      <c r="B46" s="74">
        <f>REGISTRO!V22</f>
        <v>7</v>
      </c>
      <c r="C46" s="74"/>
    </row>
    <row r="47" spans="1:3" ht="15" customHeight="1">
      <c r="A47" s="41">
        <v>21</v>
      </c>
      <c r="B47" s="74">
        <f>REGISTRO!W22</f>
        <v>8</v>
      </c>
      <c r="C47" s="74"/>
    </row>
    <row r="48" spans="1:3" ht="15" customHeight="1">
      <c r="A48" s="41">
        <v>22</v>
      </c>
      <c r="B48" s="74">
        <f>REGISTRO!X22</f>
        <v>9</v>
      </c>
      <c r="C48" s="74"/>
    </row>
    <row r="49" spans="1:17" ht="15" customHeight="1">
      <c r="A49" s="41">
        <v>23</v>
      </c>
      <c r="B49" s="74">
        <f>REGISTRO!Y22</f>
        <v>8</v>
      </c>
      <c r="C49" s="74"/>
    </row>
    <row r="50" spans="1:17" ht="15" customHeight="1">
      <c r="A50" s="41">
        <v>24</v>
      </c>
      <c r="B50" s="74">
        <f>REGISTRO!Z22</f>
        <v>8</v>
      </c>
      <c r="C50" s="74"/>
    </row>
    <row r="51" spans="1:17" ht="15" customHeight="1">
      <c r="A51" s="41">
        <v>25</v>
      </c>
      <c r="B51" s="74">
        <f>REGISTRO!AA22</f>
        <v>8</v>
      </c>
      <c r="C51" s="74"/>
    </row>
    <row r="52" spans="1:17" ht="15" customHeight="1">
      <c r="A52" s="41">
        <v>26</v>
      </c>
      <c r="B52" s="74">
        <f>REGISTRO!AB22</f>
        <v>8</v>
      </c>
      <c r="C52" s="74"/>
    </row>
    <row r="53" spans="1:17" ht="15" customHeight="1">
      <c r="A53" s="41">
        <v>27</v>
      </c>
      <c r="B53" s="74">
        <f>REGISTRO!AC22</f>
        <v>7</v>
      </c>
      <c r="C53" s="74"/>
    </row>
    <row r="54" spans="1:17" ht="15" customHeight="1">
      <c r="A54" s="41">
        <v>28</v>
      </c>
      <c r="B54" s="74">
        <f>REGISTRO!AD22</f>
        <v>8</v>
      </c>
      <c r="C54" s="74"/>
    </row>
    <row r="55" spans="1:17" ht="15" customHeight="1">
      <c r="A55" s="41">
        <v>29</v>
      </c>
      <c r="B55" s="74">
        <f>REGISTRO!AE22</f>
        <v>8</v>
      </c>
      <c r="C55" s="74"/>
    </row>
    <row r="56" spans="1:17" ht="15" customHeight="1">
      <c r="A56" s="41">
        <v>30</v>
      </c>
      <c r="B56" s="74">
        <f>REGISTRO!AF22</f>
        <v>7</v>
      </c>
      <c r="C56" s="74"/>
    </row>
    <row r="57" spans="1:17" ht="15" customHeight="1">
      <c r="A57" s="41">
        <v>31</v>
      </c>
      <c r="B57" s="74">
        <f>REGISTRO!AG22</f>
        <v>7</v>
      </c>
      <c r="C57" s="74"/>
    </row>
    <row r="59" spans="1:17" ht="15" customHeight="1">
      <c r="A59" s="57" t="s">
        <v>201</v>
      </c>
      <c r="B59" s="57"/>
      <c r="C59" s="57"/>
      <c r="D59" s="57"/>
      <c r="E59" s="57"/>
      <c r="F59" s="57"/>
      <c r="G59" s="57"/>
      <c r="H59" s="57"/>
      <c r="I59" s="57"/>
      <c r="J59" s="57"/>
      <c r="K59" s="57"/>
      <c r="L59" s="57"/>
      <c r="M59" s="57"/>
      <c r="N59" s="57"/>
      <c r="O59" s="57"/>
      <c r="P59" s="57"/>
      <c r="Q59" s="57"/>
    </row>
    <row r="60" spans="1:17" ht="15" customHeight="1">
      <c r="A60" s="57"/>
      <c r="B60" s="57"/>
      <c r="C60" s="57"/>
      <c r="D60" s="57"/>
      <c r="E60" s="57"/>
      <c r="F60" s="57"/>
      <c r="G60" s="57"/>
      <c r="H60" s="57"/>
      <c r="I60" s="57"/>
      <c r="J60" s="57"/>
      <c r="K60" s="57"/>
      <c r="L60" s="57"/>
      <c r="M60" s="57"/>
      <c r="N60" s="57"/>
      <c r="O60" s="57"/>
      <c r="P60" s="57"/>
      <c r="Q60" s="57"/>
    </row>
    <row r="61" spans="1:17" ht="15" customHeight="1">
      <c r="A61" s="57"/>
      <c r="B61" s="57"/>
      <c r="C61" s="57"/>
      <c r="D61" s="57"/>
      <c r="E61" s="57"/>
      <c r="F61" s="57"/>
      <c r="G61" s="57"/>
      <c r="H61" s="57"/>
      <c r="I61" s="57"/>
      <c r="J61" s="57"/>
      <c r="K61" s="57"/>
      <c r="L61" s="57"/>
      <c r="M61" s="57"/>
      <c r="N61" s="57"/>
      <c r="O61" s="57"/>
      <c r="P61" s="57"/>
      <c r="Q61" s="57"/>
    </row>
  </sheetData>
  <sheetProtection algorithmName="SHA-512" hashValue="hLtWyzByYxbHsLWkjcjgfvogtJOfkc5V5MXT7JcgP9t/JVvnhPx8sKNFw2k1QeoMSE0byRmvZu0uvOro2PI9jQ==" saltValue="YuAHYJa4Gk0znEf4FDVJRA==" spinCount="100000" sheet="1" objects="1" scenarios="1"/>
  <mergeCells count="65">
    <mergeCell ref="A59:Q61"/>
    <mergeCell ref="B53:C53"/>
    <mergeCell ref="B54:C54"/>
    <mergeCell ref="B55:C55"/>
    <mergeCell ref="B56:C56"/>
    <mergeCell ref="B57:C57"/>
    <mergeCell ref="B48:C48"/>
    <mergeCell ref="B49:C49"/>
    <mergeCell ref="B50:C50"/>
    <mergeCell ref="B51:C51"/>
    <mergeCell ref="B52:C52"/>
    <mergeCell ref="B43:C43"/>
    <mergeCell ref="B44:C44"/>
    <mergeCell ref="B45:C45"/>
    <mergeCell ref="B46:C46"/>
    <mergeCell ref="B47:C47"/>
    <mergeCell ref="B38:C38"/>
    <mergeCell ref="B39:C39"/>
    <mergeCell ref="B40:C40"/>
    <mergeCell ref="B41:C41"/>
    <mergeCell ref="B42:C42"/>
    <mergeCell ref="B33:C33"/>
    <mergeCell ref="B34:C34"/>
    <mergeCell ref="B35:C35"/>
    <mergeCell ref="B36:C36"/>
    <mergeCell ref="B37:C37"/>
    <mergeCell ref="B28:C28"/>
    <mergeCell ref="B29:C29"/>
    <mergeCell ref="B30:C30"/>
    <mergeCell ref="B31:C31"/>
    <mergeCell ref="B32:C32"/>
    <mergeCell ref="B22:C22"/>
    <mergeCell ref="B23:C23"/>
    <mergeCell ref="A25:Q25"/>
    <mergeCell ref="B26:C26"/>
    <mergeCell ref="B27:C27"/>
    <mergeCell ref="B17:C17"/>
    <mergeCell ref="B18:C18"/>
    <mergeCell ref="B19:C19"/>
    <mergeCell ref="B20:C20"/>
    <mergeCell ref="B21:C21"/>
    <mergeCell ref="A12:Q12"/>
    <mergeCell ref="B13:C13"/>
    <mergeCell ref="B14:C14"/>
    <mergeCell ref="B15:C15"/>
    <mergeCell ref="B16:C16"/>
    <mergeCell ref="A10:C10"/>
    <mergeCell ref="D10:F10"/>
    <mergeCell ref="G10:I10"/>
    <mergeCell ref="J10:L10"/>
    <mergeCell ref="M10:O10"/>
    <mergeCell ref="A8:C9"/>
    <mergeCell ref="D8:F9"/>
    <mergeCell ref="G8:I9"/>
    <mergeCell ref="J8:L9"/>
    <mergeCell ref="M8:O9"/>
    <mergeCell ref="A1:Q1"/>
    <mergeCell ref="A2:Q3"/>
    <mergeCell ref="A4:B4"/>
    <mergeCell ref="A6:Q6"/>
    <mergeCell ref="A7:C7"/>
    <mergeCell ref="D7:F7"/>
    <mergeCell ref="G7:I7"/>
    <mergeCell ref="J7:L7"/>
    <mergeCell ref="M7:O7"/>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8E7E2"/>
  </sheetPr>
  <dimension ref="A1:Q17"/>
  <sheetViews>
    <sheetView showGridLines="0" tabSelected="1" zoomScaleNormal="100" workbookViewId="0">
      <selection sqref="A1:Q1"/>
    </sheetView>
  </sheetViews>
  <sheetFormatPr baseColWidth="10" defaultColWidth="9.140625" defaultRowHeight="15"/>
  <cols>
    <col min="1" max="1" width="34" style="14" customWidth="1"/>
    <col min="2" max="2" width="15"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202</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203</v>
      </c>
      <c r="B6" s="6"/>
      <c r="C6" s="6"/>
      <c r="D6" s="6"/>
      <c r="E6" s="6"/>
      <c r="F6" s="6"/>
      <c r="G6" s="6"/>
      <c r="H6" s="6"/>
      <c r="I6" s="6"/>
      <c r="J6" s="6"/>
      <c r="K6" s="6"/>
      <c r="L6" s="6"/>
      <c r="M6" s="6"/>
      <c r="N6" s="6"/>
      <c r="O6" s="6"/>
      <c r="P6" s="6"/>
      <c r="Q6" s="6"/>
    </row>
    <row r="7" spans="1:17" ht="15" customHeight="1">
      <c r="A7" s="42" t="s">
        <v>204</v>
      </c>
      <c r="B7" s="75" t="s">
        <v>205</v>
      </c>
      <c r="C7" s="75"/>
      <c r="D7" s="75"/>
      <c r="E7" s="75"/>
      <c r="F7" s="75"/>
      <c r="G7" s="75"/>
      <c r="H7" s="75"/>
      <c r="I7" s="75"/>
      <c r="J7" s="75"/>
      <c r="K7" s="75"/>
      <c r="L7" s="75"/>
      <c r="M7" s="75"/>
      <c r="N7" s="75"/>
      <c r="O7" s="75"/>
      <c r="P7" s="75"/>
      <c r="Q7" s="75"/>
    </row>
    <row r="8" spans="1:17" ht="55.5" customHeight="1">
      <c r="A8" s="43" t="s">
        <v>206</v>
      </c>
      <c r="B8" s="76" t="s">
        <v>207</v>
      </c>
      <c r="C8" s="76"/>
      <c r="D8" s="76"/>
      <c r="E8" s="76"/>
      <c r="F8" s="76"/>
      <c r="G8" s="76"/>
      <c r="H8" s="76"/>
      <c r="I8" s="76"/>
      <c r="J8" s="76"/>
      <c r="K8" s="76"/>
      <c r="L8" s="76"/>
      <c r="M8" s="76"/>
      <c r="N8" s="76"/>
      <c r="O8" s="76"/>
      <c r="P8" s="76"/>
      <c r="Q8" s="76"/>
    </row>
    <row r="9" spans="1:17" ht="55.5" customHeight="1">
      <c r="A9" s="43" t="s">
        <v>208</v>
      </c>
      <c r="B9" s="76" t="s">
        <v>209</v>
      </c>
      <c r="C9" s="76"/>
      <c r="D9" s="76"/>
      <c r="E9" s="76"/>
      <c r="F9" s="76"/>
      <c r="G9" s="76"/>
      <c r="H9" s="76"/>
      <c r="I9" s="76"/>
      <c r="J9" s="76"/>
      <c r="K9" s="76"/>
      <c r="L9" s="76"/>
      <c r="M9" s="76"/>
      <c r="N9" s="76"/>
      <c r="O9" s="76"/>
      <c r="P9" s="76"/>
      <c r="Q9" s="76"/>
    </row>
    <row r="10" spans="1:17" ht="55.5" customHeight="1">
      <c r="A10" s="43" t="s">
        <v>210</v>
      </c>
      <c r="B10" s="76" t="s">
        <v>211</v>
      </c>
      <c r="C10" s="76"/>
      <c r="D10" s="76"/>
      <c r="E10" s="76"/>
      <c r="F10" s="76"/>
      <c r="G10" s="76"/>
      <c r="H10" s="76"/>
      <c r="I10" s="76"/>
      <c r="J10" s="76"/>
      <c r="K10" s="76"/>
      <c r="L10" s="76"/>
      <c r="M10" s="76"/>
      <c r="N10" s="76"/>
      <c r="O10" s="76"/>
      <c r="P10" s="76"/>
      <c r="Q10" s="76"/>
    </row>
    <row r="11" spans="1:17" ht="55.5" customHeight="1">
      <c r="A11" s="43" t="s">
        <v>212</v>
      </c>
      <c r="B11" s="76" t="s">
        <v>213</v>
      </c>
      <c r="C11" s="76"/>
      <c r="D11" s="76"/>
      <c r="E11" s="76"/>
      <c r="F11" s="76"/>
      <c r="G11" s="76"/>
      <c r="H11" s="76"/>
      <c r="I11" s="76"/>
      <c r="J11" s="76"/>
      <c r="K11" s="76"/>
      <c r="L11" s="76"/>
      <c r="M11" s="76"/>
      <c r="N11" s="76"/>
      <c r="O11" s="76"/>
      <c r="P11" s="76"/>
      <c r="Q11" s="76"/>
    </row>
    <row r="12" spans="1:17" ht="55.5" customHeight="1">
      <c r="A12" s="43" t="s">
        <v>214</v>
      </c>
      <c r="B12" s="76" t="s">
        <v>215</v>
      </c>
      <c r="C12" s="76"/>
      <c r="D12" s="76"/>
      <c r="E12" s="76"/>
      <c r="F12" s="76"/>
      <c r="G12" s="76"/>
      <c r="H12" s="76"/>
      <c r="I12" s="76"/>
      <c r="J12" s="76"/>
      <c r="K12" s="76"/>
      <c r="L12" s="76"/>
      <c r="M12" s="76"/>
      <c r="N12" s="76"/>
      <c r="O12" s="76"/>
      <c r="P12" s="76"/>
      <c r="Q12" s="76"/>
    </row>
    <row r="13" spans="1:17" ht="55.5" customHeight="1">
      <c r="A13" s="43" t="s">
        <v>216</v>
      </c>
      <c r="B13" s="76" t="s">
        <v>217</v>
      </c>
      <c r="C13" s="76"/>
      <c r="D13" s="76"/>
      <c r="E13" s="76"/>
      <c r="F13" s="76"/>
      <c r="G13" s="76"/>
      <c r="H13" s="76"/>
      <c r="I13" s="76"/>
      <c r="J13" s="76"/>
      <c r="K13" s="76"/>
      <c r="L13" s="76"/>
      <c r="M13" s="76"/>
      <c r="N13" s="76"/>
      <c r="O13" s="76"/>
      <c r="P13" s="76"/>
      <c r="Q13" s="76"/>
    </row>
    <row r="14" spans="1:17" ht="55.5" customHeight="1">
      <c r="A14" s="43" t="s">
        <v>218</v>
      </c>
      <c r="B14" s="76" t="s">
        <v>219</v>
      </c>
      <c r="C14" s="76"/>
      <c r="D14" s="76"/>
      <c r="E14" s="76"/>
      <c r="F14" s="76"/>
      <c r="G14" s="76"/>
      <c r="H14" s="76"/>
      <c r="I14" s="76"/>
      <c r="J14" s="76"/>
      <c r="K14" s="76"/>
      <c r="L14" s="76"/>
      <c r="M14" s="76"/>
      <c r="N14" s="76"/>
      <c r="O14" s="76"/>
      <c r="P14" s="76"/>
      <c r="Q14" s="76"/>
    </row>
    <row r="15" spans="1:17" ht="55.5" customHeight="1">
      <c r="A15" s="43" t="s">
        <v>220</v>
      </c>
      <c r="B15" s="76" t="s">
        <v>221</v>
      </c>
      <c r="C15" s="76"/>
      <c r="D15" s="76"/>
      <c r="E15" s="76"/>
      <c r="F15" s="76"/>
      <c r="G15" s="76"/>
      <c r="H15" s="76"/>
      <c r="I15" s="76"/>
      <c r="J15" s="76"/>
      <c r="K15" s="76"/>
      <c r="L15" s="76"/>
      <c r="M15" s="76"/>
      <c r="N15" s="76"/>
      <c r="O15" s="76"/>
      <c r="P15" s="76"/>
      <c r="Q15" s="76"/>
    </row>
    <row r="16" spans="1:17" ht="55.5" customHeight="1">
      <c r="A16" s="43" t="s">
        <v>222</v>
      </c>
      <c r="B16" s="76" t="s">
        <v>223</v>
      </c>
      <c r="C16" s="76"/>
      <c r="D16" s="76"/>
      <c r="E16" s="76"/>
      <c r="F16" s="76"/>
      <c r="G16" s="76"/>
      <c r="H16" s="76"/>
      <c r="I16" s="76"/>
      <c r="J16" s="76"/>
      <c r="K16" s="76"/>
      <c r="L16" s="76"/>
      <c r="M16" s="76"/>
      <c r="N16" s="76"/>
      <c r="O16" s="76"/>
      <c r="P16" s="76"/>
      <c r="Q16" s="76"/>
    </row>
    <row r="17" spans="1:17" ht="55.5" customHeight="1">
      <c r="A17" s="43" t="s">
        <v>224</v>
      </c>
      <c r="B17" s="76" t="s">
        <v>225</v>
      </c>
      <c r="C17" s="76"/>
      <c r="D17" s="76"/>
      <c r="E17" s="76"/>
      <c r="F17" s="76"/>
      <c r="G17" s="76"/>
      <c r="H17" s="76"/>
      <c r="I17" s="76"/>
      <c r="J17" s="76"/>
      <c r="K17" s="76"/>
      <c r="L17" s="76"/>
      <c r="M17" s="76"/>
      <c r="N17" s="76"/>
      <c r="O17" s="76"/>
      <c r="P17" s="76"/>
      <c r="Q17" s="76"/>
    </row>
  </sheetData>
  <sheetProtection algorithmName="SHA-512" hashValue="0JO6MCvwKPSkT3GClmhgYppGHb+kzeIxfa9Etgy6qY91jzRNqxAnkbx+PnGCz+pBzyutQ3jR3OUsbTiULL7k+Q==" saltValue="TOojA6dqpDd3m+RWpPkawA==" spinCount="100000" sheet="1" objects="1" scenarios="1"/>
  <mergeCells count="15">
    <mergeCell ref="B13:Q13"/>
    <mergeCell ref="B14:Q14"/>
    <mergeCell ref="B15:Q15"/>
    <mergeCell ref="B16:Q16"/>
    <mergeCell ref="B17:Q17"/>
    <mergeCell ref="B8:Q8"/>
    <mergeCell ref="B9:Q9"/>
    <mergeCell ref="B10:Q10"/>
    <mergeCell ref="B11:Q11"/>
    <mergeCell ref="B12:Q12"/>
    <mergeCell ref="A1:Q1"/>
    <mergeCell ref="A2:Q3"/>
    <mergeCell ref="A4:B4"/>
    <mergeCell ref="A6:Q6"/>
    <mergeCell ref="B7:Q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BE4D5"/>
  </sheetPr>
  <dimension ref="A1:Q39"/>
  <sheetViews>
    <sheetView showGridLines="0" zoomScaleNormal="100" workbookViewId="0"/>
  </sheetViews>
  <sheetFormatPr baseColWidth="10" defaultColWidth="9.140625" defaultRowHeight="15"/>
  <cols>
    <col min="1" max="1" width="18.5703125" style="14" customWidth="1"/>
    <col min="2" max="2" width="54" style="14" customWidth="1"/>
    <col min="3" max="5" width="20"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226</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45" t="s">
        <v>227</v>
      </c>
    </row>
    <row r="8" spans="1:17" ht="15" customHeight="1">
      <c r="A8" s="42" t="s">
        <v>228</v>
      </c>
      <c r="B8" s="42" t="s">
        <v>229</v>
      </c>
      <c r="C8" s="42" t="s">
        <v>230</v>
      </c>
      <c r="D8" s="42" t="s">
        <v>231</v>
      </c>
      <c r="E8" s="42" t="s">
        <v>232</v>
      </c>
    </row>
    <row r="9" spans="1:17" ht="15" customHeight="1">
      <c r="A9" s="41" t="s">
        <v>233</v>
      </c>
      <c r="B9" s="46" t="s">
        <v>234</v>
      </c>
      <c r="C9" s="41">
        <f>REGISTRO!AH12</f>
        <v>26</v>
      </c>
      <c r="D9" s="41">
        <v>26</v>
      </c>
      <c r="E9" s="47" t="str">
        <f t="shared" ref="E9:E37" si="0">IF(AND(ISNUMBER(C9),ISNUMBER(D9)),IF(ABS(C9-D9)&lt;=0.001,"APROBADO","REVISAR"),IF(EXACT(C9&amp;"",D9&amp;""),"APROBADO","REVISAR"))</f>
        <v>APROBADO</v>
      </c>
    </row>
    <row r="10" spans="1:17" ht="15" customHeight="1">
      <c r="A10" s="41" t="s">
        <v>233</v>
      </c>
      <c r="B10" s="46" t="s">
        <v>235</v>
      </c>
      <c r="C10" s="41">
        <f>REGISTRO!AI12</f>
        <v>31</v>
      </c>
      <c r="D10" s="41">
        <v>31</v>
      </c>
      <c r="E10" s="47" t="str">
        <f t="shared" si="0"/>
        <v>APROBADO</v>
      </c>
    </row>
    <row r="11" spans="1:17" ht="15" customHeight="1">
      <c r="A11" s="41" t="s">
        <v>233</v>
      </c>
      <c r="B11" s="46" t="s">
        <v>236</v>
      </c>
      <c r="C11" s="48">
        <f>REGISTRO!AJ12</f>
        <v>0.83870967741935487</v>
      </c>
      <c r="D11" s="41">
        <v>0.83870967699999999</v>
      </c>
      <c r="E11" s="47" t="str">
        <f t="shared" si="0"/>
        <v>APROBADO</v>
      </c>
    </row>
    <row r="12" spans="1:17" ht="15" customHeight="1">
      <c r="A12" s="41" t="s">
        <v>233</v>
      </c>
      <c r="B12" s="46" t="s">
        <v>237</v>
      </c>
      <c r="C12" s="41">
        <f>REGISTRO!AH13</f>
        <v>27</v>
      </c>
      <c r="D12" s="41">
        <v>27</v>
      </c>
      <c r="E12" s="47" t="str">
        <f t="shared" si="0"/>
        <v>APROBADO</v>
      </c>
    </row>
    <row r="13" spans="1:17" ht="15" customHeight="1">
      <c r="A13" s="41" t="s">
        <v>233</v>
      </c>
      <c r="B13" s="46" t="s">
        <v>238</v>
      </c>
      <c r="C13" s="41">
        <f>REGISTRO!AH19</f>
        <v>17</v>
      </c>
      <c r="D13" s="41">
        <v>17</v>
      </c>
      <c r="E13" s="47" t="str">
        <f t="shared" si="0"/>
        <v>APROBADO</v>
      </c>
    </row>
    <row r="14" spans="1:17" ht="15" customHeight="1">
      <c r="A14" s="41" t="s">
        <v>233</v>
      </c>
      <c r="B14" s="46" t="s">
        <v>239</v>
      </c>
      <c r="C14" s="48">
        <f>REGISTRO!AJ19</f>
        <v>0.54838709677419351</v>
      </c>
      <c r="D14" s="41">
        <v>0.54838709699999999</v>
      </c>
      <c r="E14" s="47" t="str">
        <f t="shared" si="0"/>
        <v>APROBADO</v>
      </c>
    </row>
    <row r="15" spans="1:17" ht="15" customHeight="1">
      <c r="A15" s="41" t="s">
        <v>240</v>
      </c>
      <c r="B15" s="46" t="s">
        <v>241</v>
      </c>
      <c r="C15" s="41">
        <f>REGISTRO!AL12</f>
        <v>6</v>
      </c>
      <c r="D15" s="41">
        <v>6</v>
      </c>
      <c r="E15" s="47" t="str">
        <f t="shared" si="0"/>
        <v>APROBADO</v>
      </c>
    </row>
    <row r="16" spans="1:17" ht="15" customHeight="1">
      <c r="A16" s="41" t="s">
        <v>240</v>
      </c>
      <c r="B16" s="46" t="s">
        <v>242</v>
      </c>
      <c r="C16" s="41">
        <f>REGISTRO!AL20</f>
        <v>11</v>
      </c>
      <c r="D16" s="41">
        <v>11</v>
      </c>
      <c r="E16" s="47" t="str">
        <f t="shared" si="0"/>
        <v>APROBADO</v>
      </c>
    </row>
    <row r="17" spans="1:5" ht="15" customHeight="1">
      <c r="A17" s="41" t="s">
        <v>240</v>
      </c>
      <c r="B17" s="46" t="s">
        <v>243</v>
      </c>
      <c r="C17" s="41">
        <f>REGISTRO!AL15</f>
        <v>6</v>
      </c>
      <c r="D17" s="41">
        <v>6</v>
      </c>
      <c r="E17" s="47" t="str">
        <f t="shared" si="0"/>
        <v>APROBADO</v>
      </c>
    </row>
    <row r="18" spans="1:5" ht="15" customHeight="1">
      <c r="A18" s="41" t="s">
        <v>244</v>
      </c>
      <c r="B18" s="46" t="s">
        <v>245</v>
      </c>
      <c r="C18" s="41">
        <f>REGISTRO!AM12</f>
        <v>2</v>
      </c>
      <c r="D18" s="41">
        <v>2</v>
      </c>
      <c r="E18" s="47" t="str">
        <f t="shared" si="0"/>
        <v>APROBADO</v>
      </c>
    </row>
    <row r="19" spans="1:5" ht="15" customHeight="1">
      <c r="A19" s="41" t="s">
        <v>244</v>
      </c>
      <c r="B19" s="46" t="s">
        <v>246</v>
      </c>
      <c r="C19" s="41">
        <f>REGISTRO!AM19</f>
        <v>3</v>
      </c>
      <c r="D19" s="41">
        <v>3</v>
      </c>
      <c r="E19" s="47" t="str">
        <f t="shared" si="0"/>
        <v>APROBADO</v>
      </c>
    </row>
    <row r="20" spans="1:5" ht="15" customHeight="1">
      <c r="A20" s="41" t="s">
        <v>244</v>
      </c>
      <c r="B20" s="46" t="s">
        <v>247</v>
      </c>
      <c r="C20" s="41">
        <f>REGISTRO!AM13</f>
        <v>1</v>
      </c>
      <c r="D20" s="41">
        <v>1</v>
      </c>
      <c r="E20" s="47" t="str">
        <f t="shared" si="0"/>
        <v>APROBADO</v>
      </c>
    </row>
    <row r="21" spans="1:5" ht="15" customHeight="1">
      <c r="A21" s="41" t="s">
        <v>244</v>
      </c>
      <c r="B21" s="46" t="s">
        <v>168</v>
      </c>
      <c r="C21" s="41">
        <f>ANALISIS!C24</f>
        <v>5</v>
      </c>
      <c r="D21" s="41">
        <v>5</v>
      </c>
      <c r="E21" s="47" t="str">
        <f t="shared" si="0"/>
        <v>APROBADO</v>
      </c>
    </row>
    <row r="22" spans="1:5" ht="15" customHeight="1">
      <c r="A22" s="41" t="s">
        <v>248</v>
      </c>
      <c r="B22" s="46" t="s">
        <v>249</v>
      </c>
      <c r="C22" s="41">
        <f>ANALISIS!B18</f>
        <v>241</v>
      </c>
      <c r="D22" s="41">
        <v>241</v>
      </c>
      <c r="E22" s="47" t="str">
        <f t="shared" si="0"/>
        <v>APROBADO</v>
      </c>
    </row>
    <row r="23" spans="1:5" ht="15" customHeight="1">
      <c r="A23" s="41" t="s">
        <v>248</v>
      </c>
      <c r="B23" s="46" t="s">
        <v>250</v>
      </c>
      <c r="C23" s="41">
        <f>ANALISIS!C18</f>
        <v>310</v>
      </c>
      <c r="D23" s="41">
        <v>310</v>
      </c>
      <c r="E23" s="47" t="str">
        <f t="shared" si="0"/>
        <v>APROBADO</v>
      </c>
    </row>
    <row r="24" spans="1:5" ht="15" customHeight="1">
      <c r="A24" s="41" t="s">
        <v>248</v>
      </c>
      <c r="B24" s="46" t="s">
        <v>187</v>
      </c>
      <c r="C24" s="48">
        <f>ANALISIS!D18</f>
        <v>0.77741935483870972</v>
      </c>
      <c r="D24" s="41">
        <v>0.77741935500000003</v>
      </c>
      <c r="E24" s="47" t="str">
        <f t="shared" si="0"/>
        <v>APROBADO</v>
      </c>
    </row>
    <row r="25" spans="1:5" ht="15" customHeight="1">
      <c r="A25" s="41" t="s">
        <v>248</v>
      </c>
      <c r="B25" s="46" t="s">
        <v>173</v>
      </c>
      <c r="C25" s="41">
        <f>ANALISIS!C29</f>
        <v>7.774193548387097</v>
      </c>
      <c r="D25" s="41">
        <v>7.7741935480000004</v>
      </c>
      <c r="E25" s="47" t="str">
        <f t="shared" si="0"/>
        <v>APROBADO</v>
      </c>
    </row>
    <row r="26" spans="1:5" ht="15" customHeight="1">
      <c r="A26" s="41" t="s">
        <v>251</v>
      </c>
      <c r="B26" s="46" t="s">
        <v>252</v>
      </c>
      <c r="C26" s="41">
        <f>REGISTRO!C22</f>
        <v>8</v>
      </c>
      <c r="D26" s="41">
        <v>8</v>
      </c>
      <c r="E26" s="47" t="str">
        <f t="shared" si="0"/>
        <v>APROBADO</v>
      </c>
    </row>
    <row r="27" spans="1:5" ht="15" customHeight="1">
      <c r="A27" s="41" t="s">
        <v>251</v>
      </c>
      <c r="B27" s="46" t="s">
        <v>253</v>
      </c>
      <c r="C27" s="41">
        <f>REGISTRO!Q22</f>
        <v>8</v>
      </c>
      <c r="D27" s="41">
        <v>8</v>
      </c>
      <c r="E27" s="47" t="str">
        <f t="shared" si="0"/>
        <v>APROBADO</v>
      </c>
    </row>
    <row r="28" spans="1:5" ht="15" customHeight="1">
      <c r="A28" s="41" t="s">
        <v>251</v>
      </c>
      <c r="B28" s="46" t="s">
        <v>254</v>
      </c>
      <c r="C28" s="41">
        <f>REGISTRO!AG22</f>
        <v>7</v>
      </c>
      <c r="D28" s="41">
        <v>7</v>
      </c>
      <c r="E28" s="47" t="str">
        <f t="shared" si="0"/>
        <v>APROBADO</v>
      </c>
    </row>
    <row r="29" spans="1:5" ht="15" customHeight="1">
      <c r="A29" s="41" t="s">
        <v>251</v>
      </c>
      <c r="B29" s="46" t="s">
        <v>255</v>
      </c>
      <c r="C29" s="41">
        <f>ANALISIS!C27</f>
        <v>10</v>
      </c>
      <c r="D29" s="41">
        <v>10</v>
      </c>
      <c r="E29" s="47" t="str">
        <f t="shared" si="0"/>
        <v>APROBADO</v>
      </c>
    </row>
    <row r="30" spans="1:5" ht="15" customHeight="1">
      <c r="A30" s="41" t="s">
        <v>251</v>
      </c>
      <c r="B30" s="46" t="s">
        <v>172</v>
      </c>
      <c r="C30" s="41">
        <f>ANALISIS!C28</f>
        <v>7</v>
      </c>
      <c r="D30" s="41">
        <v>7</v>
      </c>
      <c r="E30" s="47" t="str">
        <f t="shared" si="0"/>
        <v>APROBADO</v>
      </c>
    </row>
    <row r="31" spans="1:5" ht="15" customHeight="1">
      <c r="A31" s="41" t="s">
        <v>256</v>
      </c>
      <c r="B31" s="46" t="s">
        <v>257</v>
      </c>
      <c r="C31" s="41">
        <f>ANALISIS!C21</f>
        <v>5</v>
      </c>
      <c r="D31" s="41">
        <v>5</v>
      </c>
      <c r="E31" s="47" t="str">
        <f t="shared" si="0"/>
        <v>APROBADO</v>
      </c>
    </row>
    <row r="32" spans="1:5" ht="15" customHeight="1">
      <c r="A32" s="41" t="s">
        <v>256</v>
      </c>
      <c r="B32" s="46" t="s">
        <v>258</v>
      </c>
      <c r="C32" s="41">
        <f>ANALISIS!C23</f>
        <v>1</v>
      </c>
      <c r="D32" s="41">
        <v>1</v>
      </c>
      <c r="E32" s="47" t="str">
        <f t="shared" si="0"/>
        <v>APROBADO</v>
      </c>
    </row>
    <row r="33" spans="1:5" ht="15" customHeight="1">
      <c r="A33" s="41" t="s">
        <v>256</v>
      </c>
      <c r="B33" s="46" t="s">
        <v>259</v>
      </c>
      <c r="C33" s="41" t="str">
        <f>ANALISIS!E15</f>
        <v>Con dificultad</v>
      </c>
      <c r="D33" s="41" t="s">
        <v>260</v>
      </c>
      <c r="E33" s="47" t="str">
        <f t="shared" si="0"/>
        <v>APROBADO</v>
      </c>
    </row>
    <row r="34" spans="1:5" ht="15" customHeight="1">
      <c r="A34" s="41" t="s">
        <v>256</v>
      </c>
      <c r="B34" s="46" t="s">
        <v>261</v>
      </c>
      <c r="C34" s="41" t="str">
        <f>ANALISIS!E9</f>
        <v>Sostenido</v>
      </c>
      <c r="D34" s="41" t="s">
        <v>262</v>
      </c>
      <c r="E34" s="47" t="str">
        <f t="shared" si="0"/>
        <v>APROBADO</v>
      </c>
    </row>
    <row r="35" spans="1:5" ht="15" customHeight="1">
      <c r="A35" s="41" t="s">
        <v>263</v>
      </c>
      <c r="B35" s="46" t="s">
        <v>264</v>
      </c>
      <c r="C35" s="41" t="str">
        <f>IF(ISNUMBER(SEARCH("MÁS de los",HABITOS!C27)),"ADVIERTE","NO ADVIERTE")</f>
        <v>ADVIERTE</v>
      </c>
      <c r="D35" s="41" t="s">
        <v>265</v>
      </c>
      <c r="E35" s="47" t="str">
        <f t="shared" si="0"/>
        <v>APROBADO</v>
      </c>
    </row>
    <row r="36" spans="1:5" ht="15" customHeight="1">
      <c r="A36" s="41" t="s">
        <v>263</v>
      </c>
      <c r="B36" s="46" t="s">
        <v>266</v>
      </c>
      <c r="C36" s="41" t="str">
        <f>IF(ISNUMBER(SEARCH("NO alcanza",DATOS!C27)),"ADVIERTE","NO ADVIERTE")</f>
        <v>ADVIERTE</v>
      </c>
      <c r="D36" s="41" t="s">
        <v>265</v>
      </c>
      <c r="E36" s="47" t="str">
        <f t="shared" si="0"/>
        <v>APROBADO</v>
      </c>
    </row>
    <row r="37" spans="1:5" ht="15" customHeight="1">
      <c r="A37" s="41" t="s">
        <v>267</v>
      </c>
      <c r="B37" s="46" t="s">
        <v>268</v>
      </c>
      <c r="C37" s="41" t="str">
        <f>IF(COUNT(REGISTRO!C12:AG12)=COUNTA(REGISTRO!C12:AG12),"COHERENTE","REVISAR")</f>
        <v>COHERENTE</v>
      </c>
      <c r="D37" s="41" t="s">
        <v>269</v>
      </c>
      <c r="E37" s="47" t="str">
        <f t="shared" si="0"/>
        <v>APROBADO</v>
      </c>
    </row>
    <row r="39" spans="1:5" ht="15" customHeight="1">
      <c r="A39" s="35" t="s">
        <v>270</v>
      </c>
      <c r="B39" s="49" t="s">
        <v>271</v>
      </c>
      <c r="C39" s="35">
        <f>COUNTIF(E9:E37,"APROBADO")</f>
        <v>29</v>
      </c>
      <c r="D39" s="35">
        <f>COUNTA(E9:E37)</f>
        <v>29</v>
      </c>
      <c r="E39" s="35" t="str">
        <f>IF(C39=D39,"TODAS APROBADAS","HAY PRUEBAS POR REVISAR")</f>
        <v>TODAS APROBADAS</v>
      </c>
    </row>
  </sheetData>
  <mergeCells count="3">
    <mergeCell ref="A1:Q1"/>
    <mergeCell ref="A2:Q3"/>
    <mergeCell ref="A4:B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A6B70"/>
  </sheetPr>
  <dimension ref="A1:Q35"/>
  <sheetViews>
    <sheetView showGridLines="0" zoomScaleNormal="100" workbookViewId="0">
      <selection activeCell="E14" sqref="E14"/>
    </sheetView>
  </sheetViews>
  <sheetFormatPr baseColWidth="10" defaultColWidth="9.140625" defaultRowHeight="15"/>
  <cols>
    <col min="1" max="1" width="44" style="14" customWidth="1"/>
    <col min="2" max="2" width="15"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272</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273</v>
      </c>
      <c r="B6" s="6"/>
      <c r="C6" s="6"/>
      <c r="D6" s="6"/>
      <c r="E6" s="6"/>
      <c r="F6" s="6"/>
      <c r="G6" s="6"/>
      <c r="H6" s="6"/>
      <c r="I6" s="6"/>
      <c r="J6" s="6"/>
      <c r="K6" s="6"/>
      <c r="L6" s="6"/>
      <c r="M6" s="6"/>
      <c r="N6" s="6"/>
      <c r="O6" s="6"/>
      <c r="P6" s="6"/>
      <c r="Q6" s="6"/>
    </row>
    <row r="7" spans="1:17" ht="15" customHeight="1">
      <c r="A7" s="77" t="s">
        <v>274</v>
      </c>
      <c r="B7" s="77"/>
      <c r="C7" s="77"/>
      <c r="D7" s="29" t="s">
        <v>275</v>
      </c>
      <c r="E7" s="50">
        <v>0.8</v>
      </c>
    </row>
    <row r="8" spans="1:17" ht="15" customHeight="1">
      <c r="A8" s="77" t="s">
        <v>276</v>
      </c>
      <c r="B8" s="77"/>
      <c r="C8" s="77"/>
      <c r="D8" s="29" t="s">
        <v>275</v>
      </c>
      <c r="E8" s="50">
        <v>0.6</v>
      </c>
    </row>
    <row r="9" spans="1:17" ht="15" customHeight="1">
      <c r="A9" s="77" t="s">
        <v>277</v>
      </c>
      <c r="B9" s="77"/>
      <c r="C9" s="77"/>
      <c r="D9" s="29" t="s">
        <v>278</v>
      </c>
      <c r="E9" s="23">
        <v>2</v>
      </c>
    </row>
    <row r="10" spans="1:17" ht="15" customHeight="1">
      <c r="A10" s="77" t="s">
        <v>279</v>
      </c>
      <c r="B10" s="77"/>
      <c r="C10" s="77"/>
      <c r="D10" s="29" t="s">
        <v>278</v>
      </c>
      <c r="E10" s="23">
        <v>66</v>
      </c>
    </row>
    <row r="11" spans="1:17" ht="15" customHeight="1">
      <c r="A11" s="77" t="s">
        <v>280</v>
      </c>
      <c r="B11" s="77"/>
      <c r="C11" s="77"/>
      <c r="D11" s="29" t="s">
        <v>278</v>
      </c>
      <c r="E11" s="23">
        <v>18</v>
      </c>
    </row>
    <row r="12" spans="1:17" ht="15" customHeight="1">
      <c r="A12" s="77" t="s">
        <v>281</v>
      </c>
      <c r="B12" s="77"/>
      <c r="C12" s="77"/>
      <c r="D12" s="29" t="s">
        <v>278</v>
      </c>
      <c r="E12" s="23">
        <v>254</v>
      </c>
    </row>
    <row r="13" spans="1:17" ht="15" customHeight="1">
      <c r="A13" s="77" t="s">
        <v>282</v>
      </c>
      <c r="B13" s="77"/>
      <c r="C13" s="77"/>
      <c r="D13" s="29" t="s">
        <v>283</v>
      </c>
      <c r="E13" s="23">
        <v>5</v>
      </c>
    </row>
    <row r="14" spans="1:17" ht="15" customHeight="1">
      <c r="A14" s="77" t="s">
        <v>284</v>
      </c>
      <c r="B14" s="77"/>
      <c r="C14" s="77"/>
      <c r="D14" s="29" t="s">
        <v>285</v>
      </c>
      <c r="E14" s="23">
        <v>1E-4</v>
      </c>
    </row>
    <row r="15" spans="1:17" ht="15" customHeight="1">
      <c r="A15" s="57" t="s">
        <v>286</v>
      </c>
      <c r="B15" s="57"/>
      <c r="C15" s="57"/>
      <c r="D15" s="57"/>
      <c r="E15" s="57"/>
      <c r="F15" s="57"/>
      <c r="G15" s="57"/>
      <c r="H15" s="57"/>
      <c r="I15" s="57"/>
      <c r="J15" s="57"/>
      <c r="K15" s="57"/>
      <c r="L15" s="57"/>
      <c r="M15" s="57"/>
      <c r="N15" s="57"/>
      <c r="O15" s="57"/>
      <c r="P15" s="57"/>
      <c r="Q15" s="57"/>
    </row>
    <row r="16" spans="1:17" ht="15" customHeight="1">
      <c r="A16" s="57"/>
      <c r="B16" s="57"/>
      <c r="C16" s="57"/>
      <c r="D16" s="57"/>
      <c r="E16" s="57"/>
      <c r="F16" s="57"/>
      <c r="G16" s="57"/>
      <c r="H16" s="57"/>
      <c r="I16" s="57"/>
      <c r="J16" s="57"/>
      <c r="K16" s="57"/>
      <c r="L16" s="57"/>
      <c r="M16" s="57"/>
      <c r="N16" s="57"/>
      <c r="O16" s="57"/>
      <c r="P16" s="57"/>
      <c r="Q16" s="57"/>
    </row>
    <row r="17" spans="1:17" ht="15" customHeight="1">
      <c r="A17" s="57"/>
      <c r="B17" s="57"/>
      <c r="C17" s="57"/>
      <c r="D17" s="57"/>
      <c r="E17" s="57"/>
      <c r="F17" s="57"/>
      <c r="G17" s="57"/>
      <c r="H17" s="57"/>
      <c r="I17" s="57"/>
      <c r="J17" s="57"/>
      <c r="K17" s="57"/>
      <c r="L17" s="57"/>
      <c r="M17" s="57"/>
      <c r="N17" s="57"/>
      <c r="O17" s="57"/>
      <c r="P17" s="57"/>
      <c r="Q17" s="57"/>
    </row>
    <row r="18" spans="1:17" ht="15" customHeight="1">
      <c r="A18" s="57"/>
      <c r="B18" s="57"/>
      <c r="C18" s="57"/>
      <c r="D18" s="57"/>
      <c r="E18" s="57"/>
      <c r="F18" s="57"/>
      <c r="G18" s="57"/>
      <c r="H18" s="57"/>
      <c r="I18" s="57"/>
      <c r="J18" s="57"/>
      <c r="K18" s="57"/>
      <c r="L18" s="57"/>
      <c r="M18" s="57"/>
      <c r="N18" s="57"/>
      <c r="O18" s="57"/>
      <c r="P18" s="57"/>
      <c r="Q18" s="57"/>
    </row>
    <row r="20" spans="1:17" ht="19.5" customHeight="1">
      <c r="A20" s="6" t="s">
        <v>287</v>
      </c>
      <c r="B20" s="6"/>
      <c r="C20" s="6"/>
      <c r="D20" s="6"/>
      <c r="E20" s="6"/>
      <c r="F20" s="6"/>
      <c r="G20" s="6"/>
      <c r="H20" s="6"/>
      <c r="I20" s="6"/>
      <c r="J20" s="6"/>
      <c r="K20" s="6"/>
      <c r="L20" s="6"/>
      <c r="M20" s="6"/>
      <c r="N20" s="6"/>
      <c r="O20" s="6"/>
      <c r="P20" s="6"/>
      <c r="Q20" s="6"/>
    </row>
    <row r="21" spans="1:17" ht="15" customHeight="1">
      <c r="A21" s="42" t="s">
        <v>288</v>
      </c>
      <c r="D21" s="42" t="s">
        <v>289</v>
      </c>
      <c r="G21" s="42" t="s">
        <v>290</v>
      </c>
      <c r="J21" s="42" t="s">
        <v>291</v>
      </c>
      <c r="M21" s="42" t="s">
        <v>292</v>
      </c>
    </row>
    <row r="22" spans="1:17" ht="15" customHeight="1">
      <c r="A22" s="40" t="s">
        <v>293</v>
      </c>
      <c r="D22" s="40" t="s">
        <v>93</v>
      </c>
      <c r="G22" s="40" t="s">
        <v>95</v>
      </c>
      <c r="J22" s="40" t="s">
        <v>101</v>
      </c>
      <c r="M22" s="40" t="s">
        <v>63</v>
      </c>
    </row>
    <row r="23" spans="1:17" ht="15" customHeight="1">
      <c r="A23" s="40" t="s">
        <v>294</v>
      </c>
      <c r="D23" s="40" t="s">
        <v>119</v>
      </c>
      <c r="G23" s="40" t="s">
        <v>116</v>
      </c>
      <c r="J23" s="40" t="s">
        <v>96</v>
      </c>
      <c r="M23" s="40" t="s">
        <v>106</v>
      </c>
    </row>
    <row r="24" spans="1:17" ht="15" customHeight="1">
      <c r="D24" s="40" t="s">
        <v>124</v>
      </c>
      <c r="G24" s="40" t="s">
        <v>100</v>
      </c>
      <c r="J24" s="40" t="s">
        <v>111</v>
      </c>
    </row>
    <row r="25" spans="1:17" ht="15" customHeight="1">
      <c r="D25" s="40" t="s">
        <v>114</v>
      </c>
      <c r="G25" s="40" t="s">
        <v>121</v>
      </c>
    </row>
    <row r="26" spans="1:17" ht="15" customHeight="1">
      <c r="D26" s="40" t="s">
        <v>109</v>
      </c>
      <c r="G26" s="40" t="s">
        <v>126</v>
      </c>
    </row>
    <row r="27" spans="1:17" ht="15" customHeight="1">
      <c r="G27" s="40" t="s">
        <v>105</v>
      </c>
    </row>
    <row r="29" spans="1:17" ht="19.5" customHeight="1">
      <c r="A29" s="6" t="s">
        <v>295</v>
      </c>
      <c r="B29" s="6"/>
      <c r="C29" s="6"/>
      <c r="D29" s="6"/>
      <c r="E29" s="6"/>
      <c r="F29" s="6"/>
      <c r="G29" s="6"/>
      <c r="H29" s="6"/>
      <c r="I29" s="6"/>
      <c r="J29" s="6"/>
      <c r="K29" s="6"/>
      <c r="L29" s="6"/>
      <c r="M29" s="6"/>
      <c r="N29" s="6"/>
      <c r="O29" s="6"/>
      <c r="P29" s="6"/>
      <c r="Q29" s="6"/>
    </row>
    <row r="30" spans="1:17" ht="15" customHeight="1">
      <c r="A30" s="51" t="s">
        <v>293</v>
      </c>
      <c r="B30" s="78" t="s">
        <v>296</v>
      </c>
      <c r="C30" s="78"/>
      <c r="D30" s="78"/>
      <c r="E30" s="78"/>
      <c r="F30" s="78"/>
      <c r="G30" s="78"/>
      <c r="H30" s="78"/>
      <c r="I30" s="78"/>
      <c r="J30" s="78"/>
      <c r="K30" s="78"/>
      <c r="L30" s="78"/>
    </row>
    <row r="31" spans="1:17" ht="15" customHeight="1">
      <c r="A31" s="51" t="s">
        <v>294</v>
      </c>
      <c r="B31" s="78" t="s">
        <v>297</v>
      </c>
      <c r="C31" s="78"/>
      <c r="D31" s="78"/>
      <c r="E31" s="78"/>
      <c r="F31" s="78"/>
      <c r="G31" s="78"/>
      <c r="H31" s="78"/>
      <c r="I31" s="78"/>
      <c r="J31" s="78"/>
      <c r="K31" s="78"/>
      <c r="L31" s="78"/>
    </row>
    <row r="32" spans="1:17" ht="15" customHeight="1">
      <c r="A32" s="51" t="s">
        <v>298</v>
      </c>
      <c r="B32" s="78" t="s">
        <v>299</v>
      </c>
      <c r="C32" s="78"/>
      <c r="D32" s="78"/>
      <c r="E32" s="78"/>
      <c r="F32" s="78"/>
      <c r="G32" s="78"/>
      <c r="H32" s="78"/>
      <c r="I32" s="78"/>
      <c r="J32" s="78"/>
      <c r="K32" s="78"/>
      <c r="L32" s="78"/>
    </row>
    <row r="33" spans="1:17" ht="15" customHeight="1">
      <c r="A33" s="57" t="s">
        <v>300</v>
      </c>
      <c r="B33" s="57"/>
      <c r="C33" s="57"/>
      <c r="D33" s="57"/>
      <c r="E33" s="57"/>
      <c r="F33" s="57"/>
      <c r="G33" s="57"/>
      <c r="H33" s="57"/>
      <c r="I33" s="57"/>
      <c r="J33" s="57"/>
      <c r="K33" s="57"/>
      <c r="L33" s="57"/>
      <c r="M33" s="57"/>
      <c r="N33" s="57"/>
      <c r="O33" s="57"/>
      <c r="P33" s="57"/>
      <c r="Q33" s="57"/>
    </row>
    <row r="34" spans="1:17" ht="15" customHeight="1">
      <c r="A34" s="57"/>
      <c r="B34" s="57"/>
      <c r="C34" s="57"/>
      <c r="D34" s="57"/>
      <c r="E34" s="57"/>
      <c r="F34" s="57"/>
      <c r="G34" s="57"/>
      <c r="H34" s="57"/>
      <c r="I34" s="57"/>
      <c r="J34" s="57"/>
      <c r="K34" s="57"/>
      <c r="L34" s="57"/>
      <c r="M34" s="57"/>
      <c r="N34" s="57"/>
      <c r="O34" s="57"/>
      <c r="P34" s="57"/>
      <c r="Q34" s="57"/>
    </row>
    <row r="35" spans="1:17" ht="15" customHeight="1">
      <c r="A35" s="57"/>
      <c r="B35" s="57"/>
      <c r="C35" s="57"/>
      <c r="D35" s="57"/>
      <c r="E35" s="57"/>
      <c r="F35" s="57"/>
      <c r="G35" s="57"/>
      <c r="H35" s="57"/>
      <c r="I35" s="57"/>
      <c r="J35" s="57"/>
      <c r="K35" s="57"/>
      <c r="L35" s="57"/>
      <c r="M35" s="57"/>
      <c r="N35" s="57"/>
      <c r="O35" s="57"/>
      <c r="P35" s="57"/>
      <c r="Q35" s="57"/>
    </row>
  </sheetData>
  <mergeCells count="19">
    <mergeCell ref="B30:L30"/>
    <mergeCell ref="B31:L31"/>
    <mergeCell ref="B32:L32"/>
    <mergeCell ref="A33:Q35"/>
    <mergeCell ref="A13:C13"/>
    <mergeCell ref="A14:C14"/>
    <mergeCell ref="A15:Q18"/>
    <mergeCell ref="A20:Q20"/>
    <mergeCell ref="A29:Q29"/>
    <mergeCell ref="A8:C8"/>
    <mergeCell ref="A9:C9"/>
    <mergeCell ref="A10:C10"/>
    <mergeCell ref="A11:C11"/>
    <mergeCell ref="A12:C12"/>
    <mergeCell ref="A1:Q1"/>
    <mergeCell ref="A2:Q3"/>
    <mergeCell ref="A4:B4"/>
    <mergeCell ref="A6:Q6"/>
    <mergeCell ref="A7:C7"/>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7C7CB"/>
  </sheetPr>
  <dimension ref="A1:Q14"/>
  <sheetViews>
    <sheetView showGridLines="0" zoomScaleNormal="100" workbookViewId="0"/>
  </sheetViews>
  <sheetFormatPr baseColWidth="10" defaultColWidth="9.140625" defaultRowHeight="15"/>
  <cols>
    <col min="1" max="1" width="12" style="14" customWidth="1"/>
    <col min="2" max="2" width="14"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301</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42" t="s">
        <v>14</v>
      </c>
      <c r="B6" s="42" t="s">
        <v>16</v>
      </c>
      <c r="C6" s="75" t="s">
        <v>302</v>
      </c>
      <c r="D6" s="75"/>
      <c r="E6" s="75"/>
      <c r="F6" s="75"/>
      <c r="G6" s="75"/>
      <c r="H6" s="75"/>
      <c r="I6" s="75"/>
      <c r="J6" s="79"/>
      <c r="K6" s="79"/>
      <c r="L6" s="79"/>
      <c r="M6" s="79"/>
      <c r="N6" s="79"/>
      <c r="O6" s="79"/>
      <c r="P6" s="79"/>
      <c r="Q6" s="79"/>
    </row>
    <row r="7" spans="1:17" ht="43.5" customHeight="1">
      <c r="A7" s="52" t="s">
        <v>15</v>
      </c>
      <c r="B7" s="52" t="s">
        <v>17</v>
      </c>
      <c r="C7" s="76" t="s">
        <v>303</v>
      </c>
      <c r="D7" s="76"/>
      <c r="E7" s="76"/>
      <c r="F7" s="76"/>
      <c r="G7" s="76"/>
      <c r="H7" s="76"/>
      <c r="I7" s="76"/>
      <c r="J7" s="76" t="s">
        <v>304</v>
      </c>
      <c r="K7" s="76"/>
      <c r="L7" s="76"/>
      <c r="M7" s="76"/>
      <c r="N7" s="76"/>
      <c r="O7" s="76"/>
      <c r="P7" s="76"/>
      <c r="Q7" s="76"/>
    </row>
    <row r="8" spans="1:17" ht="43.5" customHeight="1">
      <c r="A8" s="52" t="s">
        <v>15</v>
      </c>
      <c r="B8" s="52" t="s">
        <v>17</v>
      </c>
      <c r="C8" s="76" t="s">
        <v>305</v>
      </c>
      <c r="D8" s="76"/>
      <c r="E8" s="76"/>
      <c r="F8" s="76"/>
      <c r="G8" s="76"/>
      <c r="H8" s="76"/>
      <c r="I8" s="76"/>
      <c r="J8" s="76" t="s">
        <v>306</v>
      </c>
      <c r="K8" s="76"/>
      <c r="L8" s="76"/>
      <c r="M8" s="76"/>
      <c r="N8" s="76"/>
      <c r="O8" s="76"/>
      <c r="P8" s="76"/>
      <c r="Q8" s="76"/>
    </row>
    <row r="9" spans="1:17" ht="43.5" customHeight="1">
      <c r="A9" s="52" t="s">
        <v>15</v>
      </c>
      <c r="B9" s="52" t="s">
        <v>17</v>
      </c>
      <c r="C9" s="76" t="s">
        <v>307</v>
      </c>
      <c r="D9" s="76"/>
      <c r="E9" s="76"/>
      <c r="F9" s="76"/>
      <c r="G9" s="76"/>
      <c r="H9" s="76"/>
      <c r="I9" s="76"/>
      <c r="J9" s="76" t="s">
        <v>308</v>
      </c>
      <c r="K9" s="76"/>
      <c r="L9" s="76"/>
      <c r="M9" s="76"/>
      <c r="N9" s="76"/>
      <c r="O9" s="76"/>
      <c r="P9" s="76"/>
      <c r="Q9" s="76"/>
    </row>
    <row r="10" spans="1:17" ht="43.5" customHeight="1">
      <c r="A10" s="52" t="s">
        <v>15</v>
      </c>
      <c r="B10" s="52" t="s">
        <v>17</v>
      </c>
      <c r="C10" s="76" t="s">
        <v>309</v>
      </c>
      <c r="D10" s="76"/>
      <c r="E10" s="76"/>
      <c r="F10" s="76"/>
      <c r="G10" s="76"/>
      <c r="H10" s="76"/>
      <c r="I10" s="76"/>
      <c r="J10" s="76" t="s">
        <v>310</v>
      </c>
      <c r="K10" s="76"/>
      <c r="L10" s="76"/>
      <c r="M10" s="76"/>
      <c r="N10" s="76"/>
      <c r="O10" s="76"/>
      <c r="P10" s="76"/>
      <c r="Q10" s="76"/>
    </row>
    <row r="11" spans="1:17" ht="43.5" customHeight="1">
      <c r="A11" s="52" t="s">
        <v>15</v>
      </c>
      <c r="B11" s="52" t="s">
        <v>17</v>
      </c>
      <c r="C11" s="76" t="s">
        <v>311</v>
      </c>
      <c r="D11" s="76"/>
      <c r="E11" s="76"/>
      <c r="F11" s="76"/>
      <c r="G11" s="76"/>
      <c r="H11" s="76"/>
      <c r="I11" s="76"/>
      <c r="J11" s="76" t="s">
        <v>312</v>
      </c>
      <c r="K11" s="76"/>
      <c r="L11" s="76"/>
      <c r="M11" s="76"/>
      <c r="N11" s="76"/>
      <c r="O11" s="76"/>
      <c r="P11" s="76"/>
      <c r="Q11" s="76"/>
    </row>
    <row r="12" spans="1:17" ht="43.5" customHeight="1">
      <c r="A12" s="52" t="s">
        <v>15</v>
      </c>
      <c r="B12" s="52" t="s">
        <v>17</v>
      </c>
      <c r="C12" s="76" t="s">
        <v>313</v>
      </c>
      <c r="D12" s="76"/>
      <c r="E12" s="76"/>
      <c r="F12" s="76"/>
      <c r="G12" s="76"/>
      <c r="H12" s="76"/>
      <c r="I12" s="76"/>
      <c r="J12" s="76" t="s">
        <v>314</v>
      </c>
      <c r="K12" s="76"/>
      <c r="L12" s="76"/>
      <c r="M12" s="76"/>
      <c r="N12" s="76"/>
      <c r="O12" s="76"/>
      <c r="P12" s="76"/>
      <c r="Q12" s="76"/>
    </row>
    <row r="13" spans="1:17" ht="43.5" customHeight="1">
      <c r="A13" s="52" t="s">
        <v>15</v>
      </c>
      <c r="B13" s="52" t="s">
        <v>17</v>
      </c>
      <c r="C13" s="76" t="s">
        <v>315</v>
      </c>
      <c r="D13" s="76"/>
      <c r="E13" s="76"/>
      <c r="F13" s="76"/>
      <c r="G13" s="76"/>
      <c r="H13" s="76"/>
      <c r="I13" s="76"/>
      <c r="J13" s="76" t="s">
        <v>316</v>
      </c>
      <c r="K13" s="76"/>
      <c r="L13" s="76"/>
      <c r="M13" s="76"/>
      <c r="N13" s="76"/>
      <c r="O13" s="76"/>
      <c r="P13" s="76"/>
      <c r="Q13" s="76"/>
    </row>
    <row r="14" spans="1:17" ht="264">
      <c r="A14" s="52" t="s">
        <v>317</v>
      </c>
      <c r="B14" s="52" t="s">
        <v>58</v>
      </c>
      <c r="C14" s="44" t="s">
        <v>318</v>
      </c>
    </row>
  </sheetData>
  <mergeCells count="19">
    <mergeCell ref="C13:I13"/>
    <mergeCell ref="J13:Q13"/>
    <mergeCell ref="C10:I10"/>
    <mergeCell ref="J10:Q10"/>
    <mergeCell ref="C11:I11"/>
    <mergeCell ref="J11:Q11"/>
    <mergeCell ref="C12:I12"/>
    <mergeCell ref="J12:Q12"/>
    <mergeCell ref="C7:I7"/>
    <mergeCell ref="J7:Q7"/>
    <mergeCell ref="C8:I8"/>
    <mergeCell ref="J8:Q8"/>
    <mergeCell ref="C9:I9"/>
    <mergeCell ref="J9:Q9"/>
    <mergeCell ref="A1:Q1"/>
    <mergeCell ref="A2:Q3"/>
    <mergeCell ref="A4:B4"/>
    <mergeCell ref="C6:I6"/>
    <mergeCell ref="J6:Q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14</vt:i4>
      </vt:variant>
    </vt:vector>
  </HeadingPairs>
  <TitlesOfParts>
    <vt:vector size="24" baseType="lpstr">
      <vt:lpstr>INICIO</vt:lpstr>
      <vt:lpstr>DATOS</vt:lpstr>
      <vt:lpstr>HABITOS</vt:lpstr>
      <vt:lpstr>REGISTRO</vt:lpstr>
      <vt:lpstr>ANALISIS</vt:lpstr>
      <vt:lpstr>PANEL</vt:lpstr>
      <vt:lpstr>FUENTES</vt:lpstr>
      <vt:lpstr>PRUEBAS</vt:lpstr>
      <vt:lpstr>CONFIG</vt:lpstr>
      <vt:lpstr>CHANGELOG</vt:lpstr>
      <vt:lpstr>k_max</vt:lpstr>
      <vt:lpstr>k_mediana</vt:lpstr>
      <vt:lpstr>k_min</vt:lpstr>
      <vt:lpstr>k_tol</vt:lpstr>
      <vt:lpstr>lst_ambito</vt:lpstr>
      <vt:lpstr>lst_dificultad</vt:lpstr>
      <vt:lpstr>lst_marca</vt:lpstr>
      <vt:lpstr>lst_momento</vt:lpstr>
      <vt:lpstr>lst_si</vt:lpstr>
      <vt:lpstr>u_alta</vt:lpstr>
      <vt:lpstr>u_maxHab</vt:lpstr>
      <vt:lpstr>u_media</vt:lpstr>
      <vt:lpstr>u_seguidos</vt:lpstr>
      <vt:lpstr>v_dias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cp:lastModifiedBy>
  <cp:revision>2</cp:revision>
  <dcterms:created xsi:type="dcterms:W3CDTF">2026-07-23T23:52:01Z</dcterms:created>
  <dcterms:modified xsi:type="dcterms:W3CDTF">2026-08-13T17:03:04Z</dcterms:modified>
  <dc:language>en-US</dc:language>
</cp:coreProperties>
</file>
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niel\AppData\Local\Temp\Rar$DIa54036.2643\"/>
    </mc:Choice>
  </mc:AlternateContent>
  <xr:revisionPtr revIDLastSave="0" documentId="13_ncr:1_{9B61137C-DC01-44C6-86B1-E2B2964D67A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INICIO" sheetId="1" r:id="rId1"/>
    <sheet name="DATOS" sheetId="2" r:id="rId2"/>
    <sheet name="CALCULOS" sheetId="3" r:id="rId3"/>
    <sheet name="RESULTADOS" sheetId="4" r:id="rId4"/>
    <sheet name="FUENTES" sheetId="5" r:id="rId5"/>
    <sheet name="PRUEBAS" sheetId="6" r:id="rId6"/>
    <sheet name="CONFIG" sheetId="7" r:id="rId7"/>
    <sheet name="CHANGELOG" sheetId="8" r:id="rId8"/>
  </sheets>
  <definedNames>
    <definedName name="AM_C1">CONFIG!$B$49</definedName>
    <definedName name="AM_C2">CONFIG!$B$50</definedName>
    <definedName name="AM_C3">CONFIG!$B$51</definedName>
    <definedName name="BRO_A">CONFIG!$B$31</definedName>
    <definedName name="BRO_B">CONFIG!$B$32</definedName>
    <definedName name="c_ampl">CALCULOS!$B$30</definedName>
    <definedName name="c_ClaseGrasa">CALCULOS!$B$48</definedName>
    <definedName name="c_ClaseIMC">CALCULOS!$B$47</definedName>
    <definedName name="c_Dens">CALCULOS!$B$18</definedName>
    <definedName name="c_DWc">CALCULOS!$B$16</definedName>
    <definedName name="c_DWm">CALCULOS!$B$17</definedName>
    <definedName name="c_estado">CALCULOS!$B$31</definedName>
    <definedName name="c_Gate">CALCULOS!$B$13</definedName>
    <definedName name="c_GrDeu">CALCULOS!$B$21</definedName>
    <definedName name="c_GrNavy">CALCULOS!$B$20</definedName>
    <definedName name="c_GrPli">CALCULOS!$B$19</definedName>
    <definedName name="c_GrRep">CALCULOS!$B$24</definedName>
    <definedName name="c_ICC">CALCULOS!$B$40</definedName>
    <definedName name="c_ICE">CALCULOS!$B$41</definedName>
    <definedName name="c_IMC">CALCULOS!$B$9</definedName>
    <definedName name="c_IMG">CALCULOS!$B$36</definedName>
    <definedName name="c_IMLG">CALCULOS!$B$37</definedName>
    <definedName name="c_max">CALCULOS!$B$28</definedName>
    <definedName name="c_MG">CALCULOS!$B$34</definedName>
    <definedName name="c_min">CALCULOS!$B$27</definedName>
    <definedName name="c_MLG">CALCULOS!$B$35</definedName>
    <definedName name="c_n">CALCULOS!$B$25</definedName>
    <definedName name="c_prom">CALCULOS!$B$26</definedName>
    <definedName name="c_rango">CALCULOS!$B$29</definedName>
    <definedName name="c_RiesgoCint">CALCULOS!$B$42</definedName>
    <definedName name="c_RiesgoICC">CALCULOS!$B$43</definedName>
    <definedName name="c_RiesgoICE">CALCULOS!$B$44</definedName>
    <definedName name="c_SumPli">CALCULOS!$B$10</definedName>
    <definedName name="c_TallaM">CALCULOS!$B$8</definedName>
    <definedName name="CAD_MAX">CONFIG!$B$23</definedName>
    <definedName name="CAD_MIN">CONFIG!$B$22</definedName>
    <definedName name="CIN_MAX">CONFIG!$B$21</definedName>
    <definedName name="CIN_MIN">CONFIG!$B$20</definedName>
    <definedName name="CINT_H">CONFIG!$B$52</definedName>
    <definedName name="CINT_M">CONFIG!$B$53</definedName>
    <definedName name="CUE_MAX">CONFIG!$B$19</definedName>
    <definedName name="CUE_MIN">CONFIG!$B$18</definedName>
    <definedName name="DEU_CONST">CONFIG!$B$42</definedName>
    <definedName name="DEU_EDAD">CONFIG!$B$40</definedName>
    <definedName name="DEU_IMC">CONFIG!$B$39</definedName>
    <definedName name="DEU_SEXO">CONFIG!$B$41</definedName>
    <definedName name="DISP_MAX">CONFIG!$B$26</definedName>
    <definedName name="EDAD_AM">CONFIG!$B$48</definedName>
    <definedName name="EDAD_MAX">CONFIG!$B$11</definedName>
    <definedName name="EDAD_MIN">CONFIG!$B$10</definedName>
    <definedName name="EST_MAX">CONFIG!$B$15</definedName>
    <definedName name="EST_MIN">CONFIG!$B$14</definedName>
    <definedName name="GRASA_MAX">CONFIG!$B$25</definedName>
    <definedName name="GRASA_MIN">CONFIG!$B$24</definedName>
    <definedName name="ICC_H">CONFIG!$B$54</definedName>
    <definedName name="ICC_M">CONFIG!$B$55</definedName>
    <definedName name="ICE_R">CONFIG!$B$56</definedName>
    <definedName name="IMC_C1">CONFIG!$B$43</definedName>
    <definedName name="IMC_C2">CONFIG!$B$44</definedName>
    <definedName name="IMC_C3">CONFIG!$B$45</definedName>
    <definedName name="IMC_C4">CONFIG!$B$46</definedName>
    <definedName name="IMC_C5">CONFIG!$B$47</definedName>
    <definedName name="in_Cadera">DATOS!$B$22</definedName>
    <definedName name="in_Cintura">DATOS!$B$21</definedName>
    <definedName name="in_Conv">DATOS!$B$15</definedName>
    <definedName name="in_Cuello">DATOS!$B$20</definedName>
    <definedName name="in_Edad">DATOS!$B$11</definedName>
    <definedName name="in_Est">DATOS!$B$13</definedName>
    <definedName name="in_Fecha">DATOS!$B$8</definedName>
    <definedName name="in_ID">DATOS!$B$7</definedName>
    <definedName name="in_Metodo">DATOS!$B$14</definedName>
    <definedName name="in_Obs">DATOS!$B$23</definedName>
    <definedName name="in_Pac">DATOS!$B$9</definedName>
    <definedName name="in_Peso">DATOS!$B$12</definedName>
    <definedName name="in_PliBi">DATOS!$B$16</definedName>
    <definedName name="in_PliSub">DATOS!$B$18</definedName>
    <definedName name="in_PliSupra">DATOS!$B$19</definedName>
    <definedName name="in_PliTri">DATOS!$B$17</definedName>
    <definedName name="in_Sexo">DATOS!$B$10</definedName>
    <definedName name="LISTA_DEN">CONFIG!$A$71:$A$72</definedName>
    <definedName name="LISTA_MET">CONFIG!$A$65:$A$67</definedName>
    <definedName name="NAVY_H0">CONFIG!$B$33</definedName>
    <definedName name="NAVY_H1">CONFIG!$B$34</definedName>
    <definedName name="NAVY_H2">CONFIG!$B$35</definedName>
    <definedName name="NAVY_M0">CONFIG!$B$36</definedName>
    <definedName name="NAVY_M1">CONFIG!$B$37</definedName>
    <definedName name="NAVY_M2">CONFIG!$B$38</definedName>
    <definedName name="PESO_MAX">CONFIG!$B$13</definedName>
    <definedName name="PESO_MIN">CONFIG!$B$12</definedName>
    <definedName name="PLI_MAX">CONFIG!$B$17</definedName>
    <definedName name="PLI_MIN">CONFIG!$B$16</definedName>
    <definedName name="SEXOS">CONFIG!$A$60:$A$61</definedName>
    <definedName name="SINO">CONFIG!$A$75:$A$76</definedName>
    <definedName name="SIRI_A">CONFIG!$B$29</definedName>
    <definedName name="SIRI_B">CONFIG!$B$30</definedName>
    <definedName name="TOL_FRAC">CONFIG!$B$27</definedName>
    <definedName name="TOL_KG">CONFIG!$B$28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8" l="1"/>
  <c r="A3" i="7"/>
  <c r="A4" i="6"/>
  <c r="C4" i="5"/>
  <c r="B4" i="5"/>
  <c r="A4" i="5"/>
  <c r="E3" i="4"/>
  <c r="B3" i="4"/>
  <c r="A3" i="4"/>
  <c r="D3" i="2"/>
  <c r="B3" i="2"/>
  <c r="A3" i="2"/>
  <c r="D72" i="6"/>
  <c r="D71" i="6"/>
  <c r="D70" i="6"/>
  <c r="D69" i="6"/>
  <c r="C65" i="6"/>
  <c r="E65" i="6" s="1"/>
  <c r="E59" i="6"/>
  <c r="F59" i="6" s="1"/>
  <c r="E58" i="6"/>
  <c r="F58" i="6" s="1"/>
  <c r="E57" i="6"/>
  <c r="F57" i="6" s="1"/>
  <c r="E56" i="6"/>
  <c r="F56" i="6" s="1"/>
  <c r="E55" i="6"/>
  <c r="F55" i="6" s="1"/>
  <c r="E54" i="6"/>
  <c r="F54" i="6" s="1"/>
  <c r="E53" i="6"/>
  <c r="F53" i="6" s="1"/>
  <c r="E52" i="6"/>
  <c r="F52" i="6" s="1"/>
  <c r="E48" i="6"/>
  <c r="F48" i="6" s="1"/>
  <c r="E47" i="6"/>
  <c r="F47" i="6" s="1"/>
  <c r="E46" i="6"/>
  <c r="F46" i="6" s="1"/>
  <c r="E45" i="6"/>
  <c r="F45" i="6" s="1"/>
  <c r="E44" i="6"/>
  <c r="F44" i="6" s="1"/>
  <c r="E43" i="6"/>
  <c r="F43" i="6" s="1"/>
  <c r="E42" i="6"/>
  <c r="F42" i="6" s="1"/>
  <c r="H38" i="6"/>
  <c r="J38" i="6" s="1"/>
  <c r="E38" i="6"/>
  <c r="G38" i="6" s="1"/>
  <c r="H37" i="6"/>
  <c r="J37" i="6" s="1"/>
  <c r="E37" i="6"/>
  <c r="G37" i="6" s="1"/>
  <c r="H36" i="6"/>
  <c r="J36" i="6" s="1"/>
  <c r="E36" i="6"/>
  <c r="G36" i="6" s="1"/>
  <c r="H35" i="6"/>
  <c r="J35" i="6" s="1"/>
  <c r="E35" i="6"/>
  <c r="G35" i="6" s="1"/>
  <c r="F31" i="6"/>
  <c r="H31" i="6" s="1"/>
  <c r="I31" i="6" s="1"/>
  <c r="F30" i="6"/>
  <c r="H30" i="6" s="1"/>
  <c r="I30" i="6" s="1"/>
  <c r="F29" i="6"/>
  <c r="H29" i="6" s="1"/>
  <c r="I29" i="6" s="1"/>
  <c r="F28" i="6"/>
  <c r="H28" i="6" s="1"/>
  <c r="I28" i="6" s="1"/>
  <c r="F27" i="6"/>
  <c r="H27" i="6" s="1"/>
  <c r="I27" i="6" s="1"/>
  <c r="F26" i="6"/>
  <c r="H26" i="6" s="1"/>
  <c r="I26" i="6" s="1"/>
  <c r="H22" i="6"/>
  <c r="J22" i="6" s="1"/>
  <c r="K22" i="6" s="1"/>
  <c r="H21" i="6"/>
  <c r="J21" i="6" s="1"/>
  <c r="K21" i="6" s="1"/>
  <c r="H20" i="6"/>
  <c r="J20" i="6" s="1"/>
  <c r="K20" i="6" s="1"/>
  <c r="J19" i="6"/>
  <c r="K19" i="6" s="1"/>
  <c r="H19" i="6"/>
  <c r="H18" i="6"/>
  <c r="J18" i="6" s="1"/>
  <c r="K18" i="6" s="1"/>
  <c r="H17" i="6"/>
  <c r="J17" i="6" s="1"/>
  <c r="K17" i="6" s="1"/>
  <c r="I13" i="6"/>
  <c r="K13" i="6" s="1"/>
  <c r="L13" i="6" s="1"/>
  <c r="I12" i="6"/>
  <c r="K12" i="6" s="1"/>
  <c r="L12" i="6" s="1"/>
  <c r="I11" i="6"/>
  <c r="K11" i="6" s="1"/>
  <c r="L11" i="6" s="1"/>
  <c r="I10" i="6"/>
  <c r="K10" i="6" s="1"/>
  <c r="L10" i="6" s="1"/>
  <c r="I9" i="6"/>
  <c r="K9" i="6" s="1"/>
  <c r="L9" i="6" s="1"/>
  <c r="I8" i="6"/>
  <c r="K8" i="6" s="1"/>
  <c r="L8" i="6" s="1"/>
  <c r="E41" i="4"/>
  <c r="E40" i="4"/>
  <c r="B40" i="4"/>
  <c r="C20" i="4"/>
  <c r="B13" i="4"/>
  <c r="B11" i="4"/>
  <c r="B10" i="4"/>
  <c r="B9" i="4"/>
  <c r="B8" i="4"/>
  <c r="B7" i="4"/>
  <c r="B6" i="4"/>
  <c r="B58" i="3"/>
  <c r="B54" i="3"/>
  <c r="B58" i="4" s="1"/>
  <c r="B42" i="3"/>
  <c r="C40" i="4" s="1"/>
  <c r="B41" i="3"/>
  <c r="B42" i="4" s="1"/>
  <c r="B40" i="3"/>
  <c r="B43" i="3" s="1"/>
  <c r="C41" i="4" s="1"/>
  <c r="B13" i="3"/>
  <c r="B51" i="3" s="1"/>
  <c r="B55" i="4" s="1"/>
  <c r="B10" i="3"/>
  <c r="B9" i="3"/>
  <c r="B47" i="3" s="1"/>
  <c r="B35" i="4" s="1"/>
  <c r="B8" i="3"/>
  <c r="L5" i="1"/>
  <c r="J5" i="1"/>
  <c r="H5" i="1"/>
  <c r="F5" i="1"/>
  <c r="D5" i="1"/>
  <c r="B5" i="1"/>
  <c r="A5" i="1"/>
  <c r="B16" i="3" l="1"/>
  <c r="B20" i="3"/>
  <c r="C70" i="6" s="1"/>
  <c r="E70" i="6" s="1"/>
  <c r="F70" i="6" s="1"/>
  <c r="B44" i="3"/>
  <c r="C42" i="4" s="1"/>
  <c r="B34" i="4"/>
  <c r="B12" i="4"/>
  <c r="B41" i="4"/>
  <c r="B17" i="3"/>
  <c r="B18" i="3" s="1"/>
  <c r="B19" i="3" s="1"/>
  <c r="B21" i="3"/>
  <c r="B18" i="4" l="1"/>
  <c r="C18" i="4"/>
  <c r="B56" i="3"/>
  <c r="B60" i="4" s="1"/>
  <c r="B47" i="4"/>
  <c r="B46" i="4"/>
  <c r="B17" i="4"/>
  <c r="C69" i="6"/>
  <c r="E69" i="6" s="1"/>
  <c r="F69" i="6" s="1"/>
  <c r="B25" i="3"/>
  <c r="C17" i="4"/>
  <c r="B24" i="3"/>
  <c r="B19" i="4"/>
  <c r="C19" i="4"/>
  <c r="C71" i="6"/>
  <c r="E71" i="6" s="1"/>
  <c r="F71" i="6" s="1"/>
  <c r="B48" i="4"/>
  <c r="B29" i="4" l="1"/>
  <c r="B55" i="3"/>
  <c r="B59" i="4" s="1"/>
  <c r="B52" i="3"/>
  <c r="B56" i="4" s="1"/>
  <c r="B48" i="3"/>
  <c r="B36" i="4" s="1"/>
  <c r="B20" i="4"/>
  <c r="B57" i="3"/>
  <c r="B61" i="4" s="1"/>
  <c r="B34" i="3"/>
  <c r="B27" i="3"/>
  <c r="B29" i="3" s="1"/>
  <c r="B26" i="3"/>
  <c r="B28" i="3"/>
  <c r="B51" i="4" l="1"/>
  <c r="B30" i="4"/>
  <c r="B36" i="3"/>
  <c r="B32" i="4" s="1"/>
  <c r="C72" i="6"/>
  <c r="E72" i="6" s="1"/>
  <c r="F72" i="6" s="1"/>
  <c r="B35" i="3"/>
  <c r="B30" i="3"/>
  <c r="B24" i="4"/>
  <c r="B23" i="4"/>
  <c r="B31" i="3" l="1"/>
  <c r="B25" i="4"/>
  <c r="B53" i="3"/>
  <c r="B57" i="4" s="1"/>
  <c r="B52" i="4"/>
  <c r="B37" i="3"/>
  <c r="B33" i="4" s="1"/>
  <c r="B31" i="4"/>
  <c r="C64" i="6" l="1"/>
  <c r="E64" i="6" s="1"/>
  <c r="A26" i="4"/>
  <c r="C63" i="6"/>
  <c r="E63" i="6" s="1"/>
  <c r="C77" i="6" l="1"/>
  <c r="B79" i="6" s="1"/>
  <c r="C78" i="6" l="1"/>
</calcChain>
</file>

<file path=xl/sharedStrings.xml><?xml version="1.0" encoding="utf-8"?>
<sst xmlns="http://schemas.openxmlformats.org/spreadsheetml/2006/main" count="976" uniqueCount="622">
  <si>
    <t>NUTRIMETRÍA  ·  NMX-12</t>
  </si>
  <si>
    <t>Calculadora de grasa y composición corporal · versión 1.0</t>
  </si>
  <si>
    <t>Navegación — use las pestañas inferiores del libro</t>
  </si>
  <si>
    <t>Ingresar datos</t>
  </si>
  <si>
    <t>Auditar operaciones</t>
  </si>
  <si>
    <t>Ver resumen</t>
  </si>
  <si>
    <t>Trazabilidad</t>
  </si>
  <si>
    <t>Control de calidad</t>
  </si>
  <si>
    <t>Constantes</t>
  </si>
  <si>
    <t>Historial</t>
  </si>
  <si>
    <t>Código del producto</t>
  </si>
  <si>
    <t>NMX-12</t>
  </si>
  <si>
    <t>Versión</t>
  </si>
  <si>
    <t>1.0</t>
  </si>
  <si>
    <t>Fecha</t>
  </si>
  <si>
    <t>2026-07-14</t>
  </si>
  <si>
    <t>Localización</t>
  </si>
  <si>
    <t>Chile (es-CL) · clasificación anclada a MINSAL y OMS</t>
  </si>
  <si>
    <t>Formato</t>
  </si>
  <si>
    <t>.xlsx sin macros · Microsoft 365 y Excel 2021</t>
  </si>
  <si>
    <t>Responsable</t>
  </si>
  <si>
    <t>Equipo Nutrimetría (completar por el titular)</t>
  </si>
  <si>
    <t>AVISO DE ALCANCE — LÉALO ANTES DE USAR</t>
  </si>
  <si>
    <t>EXACTITUD MATEMÁTICA ≠ VALIDACIÓN CLÍNICA. Este archivo NO está validado clínicamente.</t>
  </si>
  <si>
    <t>APLICA A: personas ADULTAS (≥18 años) en condición estable.</t>
  </si>
  <si>
    <t>NO APLICA A: embarazo · lactancia · menores de edad · pacientes críticos · atletas de élite (subestima/sobrestima).</t>
  </si>
  <si>
    <t>Los métodos ESTIMAN la composición; la referencia son DEXA o pesaje hidrostático.</t>
  </si>
  <si>
    <t>La clasificación de IMC y cintura usa cortes del MINSAL/OMS. Los rangos de % de grasa (ACE) son REFERENCIALES.</t>
  </si>
  <si>
    <t>La antropometría depende de la técnica del evaluador: pliegues y circunferencias mal tomados invalidan el resultado.</t>
  </si>
  <si>
    <t>PROPÓSITO Y ALCANCE</t>
  </si>
  <si>
    <t>Propósito</t>
  </si>
  <si>
    <t>Población</t>
  </si>
  <si>
    <t>Personas adultas (≥18 años) en condición estable. No aplica a embarazo, lactancia, menores de edad, pacientes críticos ni atletas de élite.</t>
  </si>
  <si>
    <t>Uso</t>
  </si>
  <si>
    <t>Los métodos ESTIMAN la composición corporal; la referencia son DEXA o pesaje hidrostático.</t>
  </si>
  <si>
    <t>Compatibilidad</t>
  </si>
  <si>
    <t>Privacidad</t>
  </si>
  <si>
    <t>Los datos permanecen en el archivo local. El libro no transmite información.</t>
  </si>
  <si>
    <t>CÓMO SE MODELA</t>
  </si>
  <si>
    <t>Método 1 (pliegues): densidad = c − m·log10(Σ4 pliegues) → % grasa por Siri (495/D−450) o Brožek (457/D−414).</t>
  </si>
  <si>
    <t>Método 2 (circunferencias): fórmula US Navy con cuello, cintura, estatura (y cadera en mujeres).</t>
  </si>
  <si>
    <t>Método 3 (IMC): Deurenberg = 1,20·IMC + 0,23·edad − 10,8·sexo − 5,4.</t>
  </si>
  <si>
    <t>Composición: MG = %grasa×peso · MLG = peso − MG · IMG = MG/talla² · IMLG = MLG/talla².</t>
  </si>
  <si>
    <t>Distribución: ICC = cintura/cadera · ICE = cintura/estatura, con cortes de riesgo MINSAL/OMS.</t>
  </si>
  <si>
    <t>Datos de entrada · variables ingresadas por el usuario</t>
  </si>
  <si>
    <t>▶ RESULTADOS</t>
  </si>
  <si>
    <t>LEYENDA · Celdas ARENA con texto AZUL = editables. Grises = calculadas. (opcional) = puede quedar vacía.</t>
  </si>
  <si>
    <t>► Viene cargado un CASO DE EJEMPLO realista. Reemplace los valores por los de su paciente.</t>
  </si>
  <si>
    <t>Campo</t>
  </si>
  <si>
    <t>Valor</t>
  </si>
  <si>
    <t>Unidad</t>
  </si>
  <si>
    <t>Validación</t>
  </si>
  <si>
    <t>Ayuda</t>
  </si>
  <si>
    <t>Identificador de la evaluación</t>
  </si>
  <si>
    <t>NMX-2026-0012</t>
  </si>
  <si>
    <t>—</t>
  </si>
  <si>
    <t>Texto libre</t>
  </si>
  <si>
    <t>Código interno de la evaluación.</t>
  </si>
  <si>
    <t>fecha</t>
  </si>
  <si>
    <t>dd/mm/aaaa.</t>
  </si>
  <si>
    <t>Nombre o código del paciente</t>
  </si>
  <si>
    <t>PAC-0058</t>
  </si>
  <si>
    <t>Prefiera un CÓDIGO si va a compartir el archivo.</t>
  </si>
  <si>
    <t>Sexo biológico</t>
  </si>
  <si>
    <t>Hombre</t>
  </si>
  <si>
    <t>Lista: Hombre / Mujer</t>
  </si>
  <si>
    <t>Las ecuaciones se derivaron por sexo biológico.</t>
  </si>
  <si>
    <t>Edad</t>
  </si>
  <si>
    <t>años</t>
  </si>
  <si>
    <t>≥18 y ≤120</t>
  </si>
  <si>
    <t>Solo adultos.</t>
  </si>
  <si>
    <t>Peso</t>
  </si>
  <si>
    <t>kg</t>
  </si>
  <si>
    <t>Entre 25 y 350</t>
  </si>
  <si>
    <t>Balanza calibrada, ropa ligera.</t>
  </si>
  <si>
    <t>Estatura</t>
  </si>
  <si>
    <t>cm</t>
  </si>
  <si>
    <t>Entre 120 y 230</t>
  </si>
  <si>
    <t>De pie, sin zapatos.</t>
  </si>
  <si>
    <t>Método de % de grasa a reportar</t>
  </si>
  <si>
    <t>1 · Pliegues (Durnin–Womersley 1974)</t>
  </si>
  <si>
    <t>Lista (CONFIG C3)</t>
  </si>
  <si>
    <t>Los tres métodos se calculan; este define cuál se destaca.</t>
  </si>
  <si>
    <t>Conversión densidad→grasa</t>
  </si>
  <si>
    <t>Siri (1961)</t>
  </si>
  <si>
    <t>Lista (CONFIG C4)</t>
  </si>
  <si>
    <t>Solo afecta al método de pliegues.</t>
  </si>
  <si>
    <t>Pliegue bíceps</t>
  </si>
  <si>
    <t>mm</t>
  </si>
  <si>
    <t>Entre 1 y 80</t>
  </si>
  <si>
    <t>Pliegue vertical, cara anterior del brazo.</t>
  </si>
  <si>
    <t>Pliegue tríceps</t>
  </si>
  <si>
    <t>Pliegue vertical, cara posterior del brazo.</t>
  </si>
  <si>
    <t>Pliegue subescapular</t>
  </si>
  <si>
    <t>Pliegue oblicuo bajo el ángulo de la escápula.</t>
  </si>
  <si>
    <t>Pliegue suprailíaco</t>
  </si>
  <si>
    <t>Pliegue sobre la cresta ilíaca.</t>
  </si>
  <si>
    <t>Circunferencia de cuello</t>
  </si>
  <si>
    <t>Entre 20 y 70</t>
  </si>
  <si>
    <t>Bajo la laringe. Necesaria para el método de circunferencias.</t>
  </si>
  <si>
    <t>Circunferencia de cintura</t>
  </si>
  <si>
    <t>Entre 40 y 200</t>
  </si>
  <si>
    <t>En el punto medio entre última costilla y cresta ilíaca.</t>
  </si>
  <si>
    <t>Circunferencia de cadera</t>
  </si>
  <si>
    <t>Entre 50 y 200</t>
  </si>
  <si>
    <t>En la máxima prominencia glútea. Necesaria en mujeres (Navy) e ICC.</t>
  </si>
  <si>
    <t>Observaciones</t>
  </si>
  <si>
    <t>Contexto clínico, criterios, calidad de la medición.</t>
  </si>
  <si>
    <t>► Los tres métodos se comparan en RESULTADOS. Si discrepan mucho, el libro lo advierte.</t>
  </si>
  <si>
    <t>Motor de cálculo · densidad, % de grasa por tres métodos y composición</t>
  </si>
  <si>
    <t>◀ DATOS</t>
  </si>
  <si>
    <t>Cada celda calculada declara su fórmula. Las guardas devuelven texto 'ND: …' en vez de errores de Excel, de modo que un dato ausente no rompe la cadena.</t>
  </si>
  <si>
    <t>BLOQUE 0 · BASE</t>
  </si>
  <si>
    <t>Variable</t>
  </si>
  <si>
    <t>Fórmula / cómo se obtiene</t>
  </si>
  <si>
    <t>Estatura en metros</t>
  </si>
  <si>
    <t>m</t>
  </si>
  <si>
    <t>in_Est/100</t>
  </si>
  <si>
    <t>IMC</t>
  </si>
  <si>
    <t>kg/m²</t>
  </si>
  <si>
    <t>peso/estatura²</t>
  </si>
  <si>
    <t>Σ de los 4 pliegues</t>
  </si>
  <si>
    <t>bíceps+tríceps+subescapular+suprailíaco</t>
  </si>
  <si>
    <t>BLOQUE 1 · COMPUERTA DE DATOS IMPOSIBLES</t>
  </si>
  <si>
    <t>¿Cálculo habilitado?</t>
  </si>
  <si>
    <t>Exige sexo, edad adulta, peso y estatura válidos</t>
  </si>
  <si>
    <t>BLOQUE 2 · % DE GRASA POR TRES MÉTODOS (fracción)</t>
  </si>
  <si>
    <t>Durnin–Womersley · c</t>
  </si>
  <si>
    <t>Coeficiente c por sexo y banda etaria</t>
  </si>
  <si>
    <t>Durnin–Womersley · m</t>
  </si>
  <si>
    <t>Coeficiente m por sexo y banda etaria</t>
  </si>
  <si>
    <t>Densidad corporal (pliegues)</t>
  </si>
  <si>
    <t>g/mL</t>
  </si>
  <si>
    <t>c − m·log10(Σ4)</t>
  </si>
  <si>
    <t>Método 1 · % grasa (pliegues)</t>
  </si>
  <si>
    <t>%</t>
  </si>
  <si>
    <t>Siri o Brožek sobre la densidad</t>
  </si>
  <si>
    <t>Método 2 · % grasa (US Navy)</t>
  </si>
  <si>
    <t>Circunferencias (cm) con log10</t>
  </si>
  <si>
    <t>Método 3 · % grasa (Deurenberg)</t>
  </si>
  <si>
    <t>1,20·IMC+0,23·edad−10,8·sexo−5,4</t>
  </si>
  <si>
    <t>BLOQUE 3 · RECONCILIACIÓN DE LOS MÉTODOS</t>
  </si>
  <si>
    <t>% grasa REPORTADO</t>
  </si>
  <si>
    <t>Método elegido en DATOS</t>
  </si>
  <si>
    <t>Métodos con dato (n)</t>
  </si>
  <si>
    <t>Cuántos métodos entregaron número</t>
  </si>
  <si>
    <t>Promedio de los métodos</t>
  </si>
  <si>
    <t>AVERAGE ignora los ND</t>
  </si>
  <si>
    <t>Mínimo</t>
  </si>
  <si>
    <t>Máximo</t>
  </si>
  <si>
    <t>Rango (máx − mín)</t>
  </si>
  <si>
    <t>Amplitud relativa</t>
  </si>
  <si>
    <t>rango/promedio</t>
  </si>
  <si>
    <t>Estado de concordancia</t>
  </si>
  <si>
    <t>Compara la amplitud con DISP_MAX</t>
  </si>
  <si>
    <t>BLOQUE 4 · COMPOSICIÓN CORPORAL (según el método reportado)</t>
  </si>
  <si>
    <t>Masa grasa (MG)</t>
  </si>
  <si>
    <t>% grasa × peso</t>
  </si>
  <si>
    <t>Masa libre de grasa (MLG)</t>
  </si>
  <si>
    <t>peso − MG</t>
  </si>
  <si>
    <t>Índice de masa grasa (IMG)</t>
  </si>
  <si>
    <t>MG / estatura²</t>
  </si>
  <si>
    <t>Índice de masa libre de grasa (IMLG)</t>
  </si>
  <si>
    <t>MLG / estatura²</t>
  </si>
  <si>
    <t>BLOQUE 5 · DISTRIBUCIÓN Y RIESGO CARDIOMETABÓLICO</t>
  </si>
  <si>
    <t>Índice cintura/cadera (ICC)</t>
  </si>
  <si>
    <t>cintura/cadera</t>
  </si>
  <si>
    <t>Índice cintura/estatura (ICE)</t>
  </si>
  <si>
    <t>cintura/estatura</t>
  </si>
  <si>
    <t>Riesgo por circunferencia de cintura</t>
  </si>
  <si>
    <t>Cortes MINSAL/OMS (H≥102, M≥88)</t>
  </si>
  <si>
    <t>Riesgo por ICC</t>
  </si>
  <si>
    <t>OMS 2008 (H≥0,90, M≥0,85)</t>
  </si>
  <si>
    <t>Riesgo por ICE</t>
  </si>
  <si>
    <t>Umbral general ≥0,5</t>
  </si>
  <si>
    <t>BLOQUE 6 · CLASIFICACIÓN</t>
  </si>
  <si>
    <t>Clasificación por IMC</t>
  </si>
  <si>
    <t>OMS para adultos; MINSAL para ≥65 años</t>
  </si>
  <si>
    <t>Clasificación por % grasa (referencial ACE)</t>
  </si>
  <si>
    <t>Rangos ACE por sexo (referenciales)</t>
  </si>
  <si>
    <t>BLOQUE 7 · ADVERTENCIAS</t>
  </si>
  <si>
    <t>Cálculo bloqueado</t>
  </si>
  <si>
    <t>Método reportado sin datos</t>
  </si>
  <si>
    <t>Dispersión entre métodos</t>
  </si>
  <si>
    <t>Pliegue fuera de rango habitual</t>
  </si>
  <si>
    <t>% grasa fuera de rango plausible</t>
  </si>
  <si>
    <t>Circunferencias faltantes (método 2)</t>
  </si>
  <si>
    <t>Grasa esencial baja</t>
  </si>
  <si>
    <t>Recordatorio metodológico</t>
  </si>
  <si>
    <t>Informe de grasa y composición corporal</t>
  </si>
  <si>
    <t>IDENTIFICACIÓN</t>
  </si>
  <si>
    <t>Identificador</t>
  </si>
  <si>
    <t>Paciente</t>
  </si>
  <si>
    <t>Sexo · edad</t>
  </si>
  <si>
    <t>Peso · estatura</t>
  </si>
  <si>
    <t>Método reportado</t>
  </si>
  <si>
    <t>Estado del cálculo</t>
  </si>
  <si>
    <t>% DE GRASA POR LOS TRES MÉTODOS</t>
  </si>
  <si>
    <t>Método</t>
  </si>
  <si>
    <t>% de grasa</t>
  </si>
  <si>
    <t>¿Disponible?</t>
  </si>
  <si>
    <t>Fuente</t>
  </si>
  <si>
    <t>1 · Pliegues (Durnin–Womersley → Siri/Brožek)</t>
  </si>
  <si>
    <t>Durnin–Womersley 1974</t>
  </si>
  <si>
    <t>2 · Circunferencias (US Navy)</t>
  </si>
  <si>
    <t>Hodgdon–Beckett 1984</t>
  </si>
  <si>
    <t>3 · IMC (Deurenberg)</t>
  </si>
  <si>
    <t>Deurenberg 1991</t>
  </si>
  <si>
    <t>MÉTODO REPORTADO</t>
  </si>
  <si>
    <t>CONCORDANCIA ENTRE MÉTODOS</t>
  </si>
  <si>
    <t>Promedio</t>
  </si>
  <si>
    <t>COMPOSICIÓN CORPORAL (según el método reportado)</t>
  </si>
  <si>
    <t>% de grasa reportado</t>
  </si>
  <si>
    <t>Clasificación por % grasa (ACE, referencial)</t>
  </si>
  <si>
    <t>DISTRIBUCIÓN Y RIESGO CARDIOMETABÓLICO</t>
  </si>
  <si>
    <t>Indicador</t>
  </si>
  <si>
    <t>Clasificación</t>
  </si>
  <si>
    <t>Corte aplicado</t>
  </si>
  <si>
    <t>≥0,50</t>
  </si>
  <si>
    <t>DATOS DE APOYO PARA LOS GRÁFICOS</t>
  </si>
  <si>
    <t>1 · Pliegues</t>
  </si>
  <si>
    <t>2 · Circunferencias</t>
  </si>
  <si>
    <t>3 · IMC</t>
  </si>
  <si>
    <t>Componente</t>
  </si>
  <si>
    <t>Masa grasa</t>
  </si>
  <si>
    <t>Masa libre de grasa</t>
  </si>
  <si>
    <t>ADVERTENCIAS</t>
  </si>
  <si>
    <t>Pliegue fuera de rango</t>
  </si>
  <si>
    <t>% grasa no plausible</t>
  </si>
  <si>
    <t>Circunferencias faltantes</t>
  </si>
  <si>
    <t>EXACTITUD MATEMÁTICA ≠ VALIDACIÓN CLÍNICA. Los coeficientes se cotejaron contra las fuentes de la hoja FUENTES, pero este archivo NO está validado clínicamente. Los métodos antropométricos ESTIMAN la composición corporal; la referencia son técnicas como DEXA o pesaje hidrostático. No constituyen diagnóstico ni prescripción.</t>
  </si>
  <si>
    <t>Trazabilidad · anclaje regional a Chile (INTA U. de Chile y MINSAL)</t>
  </si>
  <si>
    <t>LOCALIZACIÓN: por indicación, se ELIMINARON las fuentes de USDA (FoodData Central) y del Instituto Nacional de Salud del Perú. El anclaje poblacional y de clasificación es EXCLUSIVAMENTE chileno: INTA (Universidad de Chile) y MINSAL, con la OMS como referencia adoptada por el propio MINSAL. NIVEL A = documento oficial o publicación primaria · B = resumen primario / corroboración por pares · C = fuente secundaria. EXACTITUD ≠ VALIDACIÓN CLÍNICA.</t>
  </si>
  <si>
    <t>Ecuación o dato</t>
  </si>
  <si>
    <t>Autor u organización</t>
  </si>
  <si>
    <t>Año</t>
  </si>
  <si>
    <t>Población de derivación</t>
  </si>
  <si>
    <t>Fórmula / valor</t>
  </si>
  <si>
    <t>Unidades</t>
  </si>
  <si>
    <t>Limitaciones</t>
  </si>
  <si>
    <t>DOI o fuente</t>
  </si>
  <si>
    <t>Fecha cotejo</t>
  </si>
  <si>
    <t>Licencia / condiciones</t>
  </si>
  <si>
    <t>Nivel</t>
  </si>
  <si>
    <t>Densidad por 4 pliegues</t>
  </si>
  <si>
    <t>Durnin JVGA, Womersley J — Br J Nutr 32(1):77-97</t>
  </si>
  <si>
    <t>1974</t>
  </si>
  <si>
    <t>481 personas (209 H, 272 M), 16–72 años; pesaje hidrostático</t>
  </si>
  <si>
    <t>D = c − m·log10(Σ bíceps+tríceps+subescapular+suprailíaco)</t>
  </si>
  <si>
    <t>g/mL; pliegues mm</t>
  </si>
  <si>
    <t>Muestra británica; ecuación general. Depende de la técnica del evaluador.</t>
  </si>
  <si>
    <t>10.1079/bjn19740060</t>
  </si>
  <si>
    <t>2026-07-16</t>
  </si>
  <si>
    <t>Artículo con derechos de autor; solo se usan los coeficientes (hecho no protegible).</t>
  </si>
  <si>
    <t>B</t>
  </si>
  <si>
    <t>Densidad → % grasa · Siri</t>
  </si>
  <si>
    <t>Siri WE — en Techniques for Measuring Body Composition (NAS-NRC)</t>
  </si>
  <si>
    <t>1961</t>
  </si>
  <si>
    <t>Modelo de dos compartimentos (grasa / libre de grasa)</t>
  </si>
  <si>
    <t>%grasa = 495/D − 450</t>
  </si>
  <si>
    <t>% ; D g/mL</t>
  </si>
  <si>
    <t>Asume densidades fijas de los compartimentos; menos válida en extremos de composición.</t>
  </si>
  <si>
    <t>Siri 1961 (NAS-NRC)</t>
  </si>
  <si>
    <t>Obra clásica; solo se usa la ecuación.</t>
  </si>
  <si>
    <t>Densidad → % grasa · Brožek</t>
  </si>
  <si>
    <t>Brožek J et al. — Ann N Y Acad Sci 110:113-140</t>
  </si>
  <si>
    <t>1963</t>
  </si>
  <si>
    <t>Modelo del cuerpo de referencia</t>
  </si>
  <si>
    <t>%grasa = 457/D − 414</t>
  </si>
  <si>
    <t>Alternativa a Siri; difiere levemente en los extremos.</t>
  </si>
  <si>
    <t>10.1111/j.1749-6632.1963.tb17079.x</t>
  </si>
  <si>
    <t>Artículo con derechos de autor; solo se usa la ecuación.</t>
  </si>
  <si>
    <t>% grasa por circunferencias</t>
  </si>
  <si>
    <t>Hodgdon JA, Beckett MB — Naval Health Research Center (US Navy)</t>
  </si>
  <si>
    <t>1984</t>
  </si>
  <si>
    <t>Personal de la Marina de EE. UU.</t>
  </si>
  <si>
    <t>H: 495/(1,0324−0,19077·log10(cint−cuello)+0,15456·log10(talla))−450 · M usa (cint+cadera−cuello)</t>
  </si>
  <si>
    <t>cm; %</t>
  </si>
  <si>
    <t>Derivada en población militar; sensible a la técnica de medición.</t>
  </si>
  <si>
    <t>NHRC Reports 84-11 / 84-29</t>
  </si>
  <si>
    <t>Informe técnico del gobierno de EE. UU.: dominio público.</t>
  </si>
  <si>
    <t>% grasa por IMC · Deurenberg</t>
  </si>
  <si>
    <t>Deurenberg P, Weststrate JA, Seidell JC — Br J Nutr 65(2):105-114</t>
  </si>
  <si>
    <t>1991</t>
  </si>
  <si>
    <t>1229 sujetos, amplio rango de edad e IMC</t>
  </si>
  <si>
    <t>%grasa = 1,20·IMC + 0,23·edad − 10,8·sexo − 5,4 (H=1, M=0)</t>
  </si>
  <si>
    <t>% ; IMC kg/m²</t>
  </si>
  <si>
    <t>Estimación poblacional; menos precisa en el individuo, deportistas y ancianos.</t>
  </si>
  <si>
    <t>10.1079/bjn19910073</t>
  </si>
  <si>
    <t>Artículo con derechos de autor; solo se usa la ecuación. Citada en material técnico chileno (MINSAL).</t>
  </si>
  <si>
    <t>A</t>
  </si>
  <si>
    <t>Modelo de composición · MG y MLG</t>
  </si>
  <si>
    <t>INTA, Universidad de Chile — Salazar G. et al. (Lab. de Metabolismo Energético e Isótopos Estables)</t>
  </si>
  <si>
    <t>2003</t>
  </si>
  <si>
    <t>Población chilena; antropometría contrastada con dilución de deuterio</t>
  </si>
  <si>
    <t>Modelo de dos compartimentos: peso = MG + MLG; MG = %grasa·peso</t>
  </si>
  <si>
    <t>El anclaje regional del marco composicional es chileno; la exactitud sigue dependiendo del método antropométrico.</t>
  </si>
  <si>
    <t>Rev Chil Pediatr 2003;74:37-45 (INTA U. de Chile)</t>
  </si>
  <si>
    <t>Artículo con derechos de autor; se usa el marco conceptual (hecho no protegible). Fuente institucional del INTA.</t>
  </si>
  <si>
    <t>Clasificación por IMC · adulto y adulto mayor</t>
  </si>
  <si>
    <t>MINSAL (Chile) — Norma técnica de evaluación nutricional</t>
  </si>
  <si>
    <t>vigente</t>
  </si>
  <si>
    <t>Adopta cortes OMS para el adulto; cortes propios para ≥65 años</t>
  </si>
  <si>
    <t>Adulto (OMS): 18,5 / 25 / 30 / 35 / 40 · Adulto mayor (MINSAL): 23 / 28 / 32</t>
  </si>
  <si>
    <t>Cortes poblacionales; el IMC no distingue masa grasa de masa magra.</t>
  </si>
  <si>
    <t>MINSAL · Norma de evaluación nutricional</t>
  </si>
  <si>
    <t>Documento oficial del Estado de Chile: acceso público.</t>
  </si>
  <si>
    <t>Circunferencia de cintura e índices de distribución</t>
  </si>
  <si>
    <t>MINSAL (Chile) / OMS — cortes de riesgo cardiometabólico</t>
  </si>
  <si>
    <t>Consensos OMS/NIH adoptados por el MINSAL</t>
  </si>
  <si>
    <t>Cintura: H≥102, M≥88 cm · ICC: H≥0,90, M≥0,85 · ICE ≥0,50</t>
  </si>
  <si>
    <t>cm; adimensional</t>
  </si>
  <si>
    <t>Cortes de tamizaje, no diagnósticos por sí solos.</t>
  </si>
  <si>
    <t>MINSAL / OMS (Waist circumference and WHR, 2008)</t>
  </si>
  <si>
    <t>Documentos oficiales de acceso público.</t>
  </si>
  <si>
    <t>Rangos referenciales de % de grasa</t>
  </si>
  <si>
    <t>American Council on Exercise (ACE)</t>
  </si>
  <si>
    <t>referencial</t>
  </si>
  <si>
    <t>Rangos divulgados por categoría y sexo</t>
  </si>
  <si>
    <t>H: esencial 2–5, atlético 6–13, en forma 14–17, aceptable 18–24, obesidad ≥25 % · M: +8 aprox.</t>
  </si>
  <si>
    <t>REFERENCIALES, NO son un estándar chileno oficial. Para diagnóstico priman IMC y cintura (MINSAL).</t>
  </si>
  <si>
    <t>ACE (rangos divulgados)</t>
  </si>
  <si>
    <t>Rangos de uso general; se citan como referencia, no como norma.</t>
  </si>
  <si>
    <t>C</t>
  </si>
  <si>
    <t>PENDIENTES DE VERIFICACIÓN PRIMARIA (nivel B): Durnin–Womersley, Siri, Brožek y US Navy disponen de resumen primario o corroboración por pares, pero no se inspeccionó cada PDF completo. La versión y el año exactos de la norma MINSAL vigente deben confirmarse en el sitio oficial del Ministerio de Salud antes de un uso formal.</t>
  </si>
  <si>
    <t>Banco de verificación · el recuento se calcula solo en el RESUMEN</t>
  </si>
  <si>
    <t>REGLA: el valor ESPERADO nunca lee el CONFIG que usa el motor. O es un literal calculado a partir de la fuente publicada, o se reconstruye con los coeficientes publicados escritos de forma explícita. Si alguien corrompe un coeficiente de CONFIG, estas pruebas FALLAN.</t>
  </si>
  <si>
    <t>BLOQUE A · EXACTITUD PLIEGUES → DENSIDAD → % GRASA (Durnin–Womersley + Siri/Brožek)</t>
  </si>
  <si>
    <t>ID</t>
  </si>
  <si>
    <t>Descripción</t>
  </si>
  <si>
    <t>Sexo</t>
  </si>
  <si>
    <t>c</t>
  </si>
  <si>
    <t>Σ4</t>
  </si>
  <si>
    <t>Conv.</t>
  </si>
  <si>
    <t>Obtenido</t>
  </si>
  <si>
    <t>Esperado</t>
  </si>
  <si>
    <t>Dif.</t>
  </si>
  <si>
    <t>Estado</t>
  </si>
  <si>
    <t>A01</t>
  </si>
  <si>
    <t>H 30–40 · Siri</t>
  </si>
  <si>
    <t>Siri</t>
  </si>
  <si>
    <t>A02</t>
  </si>
  <si>
    <t>M 20–30 · Siri</t>
  </si>
  <si>
    <t>Mujer</t>
  </si>
  <si>
    <t>A03</t>
  </si>
  <si>
    <t>H 20–30 · Siri</t>
  </si>
  <si>
    <t>A04</t>
  </si>
  <si>
    <t>M 50+ · Siri</t>
  </si>
  <si>
    <t>A05</t>
  </si>
  <si>
    <t>H 40–50 · Brožek</t>
  </si>
  <si>
    <t>Brožek</t>
  </si>
  <si>
    <t>A06</t>
  </si>
  <si>
    <t>M 30–40 · Brožek</t>
  </si>
  <si>
    <t>BLOQUE B · EXACTITUD % GRASA POR CIRCUNFERENCIAS (US Navy 1984)</t>
  </si>
  <si>
    <t>Cuello</t>
  </si>
  <si>
    <t>Cintura</t>
  </si>
  <si>
    <t>Cadera</t>
  </si>
  <si>
    <t>B01</t>
  </si>
  <si>
    <t>Hombre típico</t>
  </si>
  <si>
    <t>B02</t>
  </si>
  <si>
    <t>Hombre atlético</t>
  </si>
  <si>
    <t>B03</t>
  </si>
  <si>
    <t>Hombre obesidad</t>
  </si>
  <si>
    <t>B04</t>
  </si>
  <si>
    <t>Mujer típica</t>
  </si>
  <si>
    <t>B05</t>
  </si>
  <si>
    <t>Mujer atlética</t>
  </si>
  <si>
    <t>B06</t>
  </si>
  <si>
    <t>Mujer obesidad</t>
  </si>
  <si>
    <t>BLOQUE C · EXACTITUD % GRASA POR IMC (Deurenberg 1991)</t>
  </si>
  <si>
    <t>C01</t>
  </si>
  <si>
    <t>Hombre normal</t>
  </si>
  <si>
    <t>C02</t>
  </si>
  <si>
    <t>Mujer normal</t>
  </si>
  <si>
    <t>C03</t>
  </si>
  <si>
    <t>C04</t>
  </si>
  <si>
    <t>C05</t>
  </si>
  <si>
    <t>Hombre joven</t>
  </si>
  <si>
    <t>C06</t>
  </si>
  <si>
    <t>Mujer mayor</t>
  </si>
  <si>
    <t>BLOQUE D · COMPOSICIÓN CORPORAL (MG, MLG, IMLG) · tolerancia ±0,05 kg / kg·m⁻²</t>
  </si>
  <si>
    <t>% grasa</t>
  </si>
  <si>
    <t>Talla m</t>
  </si>
  <si>
    <t>MG obt</t>
  </si>
  <si>
    <t>MG esp</t>
  </si>
  <si>
    <t>Est.MG</t>
  </si>
  <si>
    <t>IMLG obt</t>
  </si>
  <si>
    <t>IMLG esp</t>
  </si>
  <si>
    <t>Est.IMLG</t>
  </si>
  <si>
    <t>D01</t>
  </si>
  <si>
    <t>D02</t>
  </si>
  <si>
    <t>D03</t>
  </si>
  <si>
    <t>D04</t>
  </si>
  <si>
    <t>BLOQUE E · ÍNDICES DE DISTRIBUCIÓN Y CLASIFICACIÓN</t>
  </si>
  <si>
    <t>Escenario</t>
  </si>
  <si>
    <t>Entrada</t>
  </si>
  <si>
    <t>Comportamiento esperado</t>
  </si>
  <si>
    <t>Comportamiento obtenido</t>
  </si>
  <si>
    <t>E01</t>
  </si>
  <si>
    <t>ICC hombre bajo umbral (0,88)</t>
  </si>
  <si>
    <t>88/100</t>
  </si>
  <si>
    <t>Sin riesgo aumentado</t>
  </si>
  <si>
    <t>E02</t>
  </si>
  <si>
    <t>Cintura hombre en riesgo (105)</t>
  </si>
  <si>
    <t>105</t>
  </si>
  <si>
    <t>Riesgo aumentado</t>
  </si>
  <si>
    <t>E03</t>
  </si>
  <si>
    <t>ICE en el umbral (0,50)</t>
  </si>
  <si>
    <t>88/176</t>
  </si>
  <si>
    <t>E04</t>
  </si>
  <si>
    <t>IMC 25,34 adulto → OMS</t>
  </si>
  <si>
    <t>25.3422</t>
  </si>
  <si>
    <t>Sobrepeso (OMS)</t>
  </si>
  <si>
    <t>E05</t>
  </si>
  <si>
    <t>IMC 24 adulto → OMS</t>
  </si>
  <si>
    <t>24</t>
  </si>
  <si>
    <t>Normal (OMS)</t>
  </si>
  <si>
    <t>E06</t>
  </si>
  <si>
    <t>IMC 24 · 70 años → MINSAL AM</t>
  </si>
  <si>
    <t>Normal (MINSAL AM)</t>
  </si>
  <si>
    <t>E07</t>
  </si>
  <si>
    <t>IMC 33 · 70 años → MINSAL AM</t>
  </si>
  <si>
    <t>33</t>
  </si>
  <si>
    <t>Obesidad (MINSAL AM)</t>
  </si>
  <si>
    <t>BLOQUE F · VALIDACIONES: vacíos, texto, negativos, imposibles</t>
  </si>
  <si>
    <t>F01</t>
  </si>
  <si>
    <t>Edad menor de edad (15)</t>
  </si>
  <si>
    <t>15</t>
  </si>
  <si>
    <t>ERROR: edad fuera del alcance adulto</t>
  </si>
  <si>
    <t>F02</t>
  </si>
  <si>
    <t>Edad textual</t>
  </si>
  <si>
    <t>quince</t>
  </si>
  <si>
    <t>ERROR: edad no numérica</t>
  </si>
  <si>
    <t>F03</t>
  </si>
  <si>
    <t>Peso negativo (−5)</t>
  </si>
  <si>
    <t>-5</t>
  </si>
  <si>
    <t>ERROR: peso fuera de rango</t>
  </si>
  <si>
    <t>F04</t>
  </si>
  <si>
    <t>Estatura imposible (400)</t>
  </si>
  <si>
    <t>400</t>
  </si>
  <si>
    <t>ERROR: estatura fuera de rango</t>
  </si>
  <si>
    <t>F05</t>
  </si>
  <si>
    <t>Pliegue cero</t>
  </si>
  <si>
    <t>0</t>
  </si>
  <si>
    <t>ERROR: pliegue fuera de rango</t>
  </si>
  <si>
    <t>F06</t>
  </si>
  <si>
    <t>Cintura ≤ cuello (Navy)</t>
  </si>
  <si>
    <t>cint≤cuello</t>
  </si>
  <si>
    <t>ND: cintura≤cuello</t>
  </si>
  <si>
    <t>F07</t>
  </si>
  <si>
    <t>% grasa 90 %</t>
  </si>
  <si>
    <t>0.9</t>
  </si>
  <si>
    <t>ERROR: % de grasa fuera del rango plausible</t>
  </si>
  <si>
    <t>F08</t>
  </si>
  <si>
    <t>% grasa negativo</t>
  </si>
  <si>
    <t>-0.1</t>
  </si>
  <si>
    <t>BLOQUE G · INTEGRIDAD: cero errores de Excel</t>
  </si>
  <si>
    <t>Rango verificado</t>
  </si>
  <si>
    <t>Nº errores</t>
  </si>
  <si>
    <t>G01</t>
  </si>
  <si>
    <t>CALCULOS!B7:B58</t>
  </si>
  <si>
    <t>G02</t>
  </si>
  <si>
    <t>RESULTADOS!B6:F60</t>
  </si>
  <si>
    <t>G03</t>
  </si>
  <si>
    <t>CONFIG!B8:B54</t>
  </si>
  <si>
    <t>BLOQUE H · COTEJO CON EL MOTOR (caso vivo de DATOS · reconstrucción literal)</t>
  </si>
  <si>
    <t>Verificación</t>
  </si>
  <si>
    <t>Obtenido (motor)</t>
  </si>
  <si>
    <t>Esperado (literal desde DATOS)</t>
  </si>
  <si>
    <t>H01</t>
  </si>
  <si>
    <t>% grasa pliegues (Hombre 30–40, Siri)</t>
  </si>
  <si>
    <t>H02</t>
  </si>
  <si>
    <t>% grasa circunferencias (US Navy H)</t>
  </si>
  <si>
    <t>H03</t>
  </si>
  <si>
    <t>% grasa IMC (Deurenberg H)</t>
  </si>
  <si>
    <t>H04</t>
  </si>
  <si>
    <t>Masa grasa = %grasa reportado × peso</t>
  </si>
  <si>
    <t>RESUMEN DEL BANCO DE PRUEBAS</t>
  </si>
  <si>
    <t>Casos totales</t>
  </si>
  <si>
    <t>Aprobados</t>
  </si>
  <si>
    <t>Fallidos</t>
  </si>
  <si>
    <t>ESTADO GLOBAL</t>
  </si>
  <si>
    <t>Parámetros, coeficientes y catálogos · versión 1.0</t>
  </si>
  <si>
    <t>Toda constante del modelo vive aquí; ninguna fórmula del libro contiene un coeficiente escrito a mano. Las celdas arena son editables. Cambiar un valor aquí propaga a todo el libro y hace FALLAR las pruebas que cotejan contra la fuente publicada.</t>
  </si>
  <si>
    <t>C1 · PARÁMETROS, LÍMITES Y COEFICIENTES</t>
  </si>
  <si>
    <t>Parámetro</t>
  </si>
  <si>
    <t>Tipo</t>
  </si>
  <si>
    <t>Nota / fuente</t>
  </si>
  <si>
    <t>Idioma</t>
  </si>
  <si>
    <t>Español (es-CL)</t>
  </si>
  <si>
    <t>Interfaz</t>
  </si>
  <si>
    <t>Versión de las fuentes</t>
  </si>
  <si>
    <t>2026-07 · v1.0</t>
  </si>
  <si>
    <t>Ver hoja FUENTES</t>
  </si>
  <si>
    <t>Edad mínima (adulto)</t>
  </si>
  <si>
    <t>IMPOSIBLE</t>
  </si>
  <si>
    <t>Alcance del producto: solo adultos</t>
  </si>
  <si>
    <t>Edad máxima plausible</t>
  </si>
  <si>
    <t>Límite operativo</t>
  </si>
  <si>
    <t>Peso mínimo posible</t>
  </si>
  <si>
    <t>Bajo este valor se considera imposible en un adulto</t>
  </si>
  <si>
    <t>Peso máximo posible</t>
  </si>
  <si>
    <t>Estatura mínima posible</t>
  </si>
  <si>
    <t>Estatura máxima posible</t>
  </si>
  <si>
    <t>Pliegue mínimo por sitio</t>
  </si>
  <si>
    <t>Guarda de cada pliegue</t>
  </si>
  <si>
    <t>Pliegue máximo por sitio</t>
  </si>
  <si>
    <t>Cuello mínimo</t>
  </si>
  <si>
    <t>Guarda del método de circunferencias</t>
  </si>
  <si>
    <t>Cuello máximo</t>
  </si>
  <si>
    <t>Cintura mínima</t>
  </si>
  <si>
    <t>Guarda de circunferencia</t>
  </si>
  <si>
    <t>Cintura máxima</t>
  </si>
  <si>
    <t>Cadera mínima</t>
  </si>
  <si>
    <t>Cadera máxima</t>
  </si>
  <si>
    <t>% de grasa mínimo plausible</t>
  </si>
  <si>
    <t>Grasa esencial</t>
  </si>
  <si>
    <t>% de grasa máximo plausible</t>
  </si>
  <si>
    <t>Amplitud relativa máxima entre métodos</t>
  </si>
  <si>
    <t>Umbral</t>
  </si>
  <si>
    <t>Si se supera, el libro advierte de la discrepancia</t>
  </si>
  <si>
    <t>Tolerancia de pruebas · fracción</t>
  </si>
  <si>
    <t>Diferencia máxima en % de grasa (fracción) del banco de pruebas</t>
  </si>
  <si>
    <t>Tolerancia de pruebas · kg</t>
  </si>
  <si>
    <t>Diferencia máxima en masa (kg) del banco de pruebas</t>
  </si>
  <si>
    <t>Siri (1961) · numerador</t>
  </si>
  <si>
    <t>Coef.</t>
  </si>
  <si>
    <t>Siri (1961) · término</t>
  </si>
  <si>
    <t>Densidad→grasa</t>
  </si>
  <si>
    <t>Brožek (1963) · numerador</t>
  </si>
  <si>
    <t>Brožek (1963) · término</t>
  </si>
  <si>
    <t>US Navy · hombre · a0</t>
  </si>
  <si>
    <t>US Navy · hombre · a1</t>
  </si>
  <si>
    <t>× log10(cintura−cuello)</t>
  </si>
  <si>
    <t>US Navy · hombre · a2</t>
  </si>
  <si>
    <t>× log10(estatura)</t>
  </si>
  <si>
    <t>US Navy · mujer · a0</t>
  </si>
  <si>
    <t>US Navy · mujer · a1</t>
  </si>
  <si>
    <t>× log10(cintura+cadera−cuello)</t>
  </si>
  <si>
    <t>US Navy · mujer · a2</t>
  </si>
  <si>
    <t>Deurenberg (1991) · coef. IMC</t>
  </si>
  <si>
    <t>%grasa = 1,20·IMC + 0,23·edad − 10,8·sexo − 5,4</t>
  </si>
  <si>
    <t>Deurenberg (1991) · coef. edad</t>
  </si>
  <si>
    <t>sexo: hombre=1, mujer=0</t>
  </si>
  <si>
    <t>Deurenberg (1991) · coef. sexo</t>
  </si>
  <si>
    <t>Se resta si hombre</t>
  </si>
  <si>
    <t>Deurenberg (1991) · constante</t>
  </si>
  <si>
    <t>Término independiente</t>
  </si>
  <si>
    <t>IMC · corte normal (OMS)</t>
  </si>
  <si>
    <t>Corte</t>
  </si>
  <si>
    <t>OMS · bajo peso &lt; 18,5</t>
  </si>
  <si>
    <t>IMC · corte sobrepeso (OMS)</t>
  </si>
  <si>
    <t>OMS</t>
  </si>
  <si>
    <t>IMC · corte obesidad I (OMS)</t>
  </si>
  <si>
    <t>IMC · corte obesidad II (OMS)</t>
  </si>
  <si>
    <t>IMC · corte obesidad III (OMS)</t>
  </si>
  <si>
    <t>Edad de adulto mayor (MINSAL)</t>
  </si>
  <si>
    <t>≥65 usa la clasificación IMC del adulto mayor</t>
  </si>
  <si>
    <t>IMC AM · corte normal (MINSAL)</t>
  </si>
  <si>
    <t>MINSAL adulto mayor · bajo peso &lt; 23</t>
  </si>
  <si>
    <t>IMC AM · corte sobrepeso (MINSAL)</t>
  </si>
  <si>
    <t>MINSAL adulto mayor</t>
  </si>
  <si>
    <t>IMC AM · corte obesidad (MINSAL)</t>
  </si>
  <si>
    <t>Cintura · riesgo hombre</t>
  </si>
  <si>
    <t>OMS/NIH-ATP III · riesgo cardiometabólico</t>
  </si>
  <si>
    <t>Cintura · riesgo mujer</t>
  </si>
  <si>
    <t>Índice cintura/cadera · riesgo hombre</t>
  </si>
  <si>
    <t>OMS 2008</t>
  </si>
  <si>
    <t>Índice cintura/cadera · riesgo mujer</t>
  </si>
  <si>
    <t>Índice cintura/estatura · riesgo</t>
  </si>
  <si>
    <t>C2 · SEXOS</t>
  </si>
  <si>
    <t>Nota</t>
  </si>
  <si>
    <t>Ecuaciones derivadas en varones</t>
  </si>
  <si>
    <t>Ecuaciones derivadas en mujeres</t>
  </si>
  <si>
    <t>C3 · MÉTODO DE % DE GRASA A REPORTAR</t>
  </si>
  <si>
    <t>Método (lista)</t>
  </si>
  <si>
    <t>Variables indispensables</t>
  </si>
  <si>
    <t>4 pliegues, sexo, edad</t>
  </si>
  <si>
    <t>2 · Circunferencias (US Navy 1984)</t>
  </si>
  <si>
    <t>cuello, cintura, estatura (y cadera en mujeres)</t>
  </si>
  <si>
    <t>3 · IMC (Deurenberg 1991)</t>
  </si>
  <si>
    <t>peso, estatura, edad, sexo</t>
  </si>
  <si>
    <t>C4 · CONVERSIÓN DE DENSIDAD A % DE GRASA (solo método de pliegues)</t>
  </si>
  <si>
    <t>Fórmula (lista)</t>
  </si>
  <si>
    <t>Expresión</t>
  </si>
  <si>
    <t>Brožek (1963)</t>
  </si>
  <si>
    <t>C5 · LISTA SÍ / NO</t>
  </si>
  <si>
    <t>Sí</t>
  </si>
  <si>
    <t>No</t>
  </si>
  <si>
    <t>C6 · DURNIN–WOMERSLEY (1974) · densidad = c − m·log10(Σ4 pliegues) · por sexo y banda etaria</t>
  </si>
  <si>
    <t>Edad desde (≥)</t>
  </si>
  <si>
    <t>Edad hasta (&lt;)</t>
  </si>
  <si>
    <t>Fuente: Durnin JVGA, Womersley J. Br J Nutr 1974;32(1):77-97. DOI 10.1079/bjn19740060. Los 4 pliegues son bíceps, tríceps, subescapular y suprailíaco (mm). Se usa log10 de la SUMA.</t>
  </si>
  <si>
    <t>C7 · % DE GRASA · RANGOS REFERENCIALES POR SEXO (ACE) · corte inferior de cada categoría</t>
  </si>
  <si>
    <t>Categoría</t>
  </si>
  <si>
    <t>Corte inferior (≥)</t>
  </si>
  <si>
    <t>2–5 %</t>
  </si>
  <si>
    <t>Atlético</t>
  </si>
  <si>
    <t>6–13 %</t>
  </si>
  <si>
    <t>En forma</t>
  </si>
  <si>
    <t>14–17 %</t>
  </si>
  <si>
    <t>Aceptable</t>
  </si>
  <si>
    <t>18–24 %</t>
  </si>
  <si>
    <t>Obesidad</t>
  </si>
  <si>
    <t>≥25 %</t>
  </si>
  <si>
    <t>10–13 %</t>
  </si>
  <si>
    <t>14–20 %</t>
  </si>
  <si>
    <t>21–24 %</t>
  </si>
  <si>
    <t>25–31 %</t>
  </si>
  <si>
    <t>≥32 %</t>
  </si>
  <si>
    <t>Rangos REFERENCIALES (American Council on Exercise). NO son un estándar chileno oficial. Para el diagnóstico nutricional, las normas del MINSAL priorizan el IMC y la circunferencia de cintura (ver FUENTES).</t>
  </si>
  <si>
    <t>Historial de versiones</t>
  </si>
  <si>
    <t>Cambio</t>
  </si>
  <si>
    <t>Motivo</t>
  </si>
  <si>
    <t>Versión inicial. Tres métodos de % de grasa (Durnin–Womersley→Siri/Brožek, US Navy, Deurenberg), reconciliación con control de dispersión, composición (MG, MLG, IMG, IMLG) e índices de distribución (cintura, ICC, ICE).</t>
  </si>
  <si>
    <t>Primera entrega del producto 12.</t>
  </si>
  <si>
    <t>Equipo Nutrimetría</t>
  </si>
  <si>
    <t>LOCALIZACIÓN A CHILE: se eliminaron las fuentes de USDA (FoodData Central) y del INS del Perú. El anclaje de clasificación queda en MINSAL y OMS; el marco de composición se referencia al INTA (Universidad de Chile).</t>
  </si>
  <si>
    <t>Indicación del titular; verificación de licencias.</t>
  </si>
  <si>
    <t>Banco de pruebas con casos de exactitud (las tres ecuaciones), composición, índices de distribución, validaciones e integridad, con valores esperados independientes del CONFIG.</t>
  </si>
  <si>
    <t>Control de calidad.</t>
  </si>
  <si>
    <t>Proveer una herramienta de cálculo automatizado que permita estimar la composición corporal (porcentaje de grasa y masa libre de grasa) a partir de mediciones de pliegues cutáneos y circunferencias, sirviendo como apoyo práctico para el diagnóstico y la planificación alimentaria.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</si>
</sst>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%"/>
    <numFmt numFmtId="167" formatCode="0.0000"/>
    <numFmt numFmtId="168" formatCode="0.000%"/>
    <numFmt numFmtId="169" formatCode="0.00000"/>
  </numFmts>
  <fonts count="32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10"/>
      <color rgb="FF1A1A1A"/>
      <name val="Arial"/>
      <family val="2"/>
    </font>
    <font>
      <b/>
      <sz val="10"/>
      <color rgb="FF1A1A1A"/>
      <name val="Arial"/>
      <family val="2"/>
    </font>
    <font>
      <b/>
      <sz val="10"/>
      <color rgb="FFFFFFFF"/>
      <name val="Arial"/>
      <family val="2"/>
    </font>
    <font>
      <b/>
      <sz val="10"/>
      <color rgb="FF1C6B72"/>
      <name val="Arial"/>
      <family val="2"/>
    </font>
    <font>
      <sz val="9"/>
      <color rgb="FF5A6B70"/>
      <name val="Arial"/>
      <family val="2"/>
    </font>
    <font>
      <b/>
      <sz val="9"/>
      <color rgb="FFB45309"/>
      <name val="Arial"/>
      <family val="2"/>
    </font>
    <font>
      <sz val="10"/>
      <color rgb="FF0000CC"/>
      <name val="Arial"/>
      <family val="2"/>
    </font>
    <font>
      <sz val="10"/>
      <color rgb="FF5A6B70"/>
      <name val="Arial"/>
      <family val="2"/>
    </font>
    <font>
      <b/>
      <sz val="11"/>
      <color rgb="FFFFFFFF"/>
      <name val="Arial"/>
      <family val="2"/>
    </font>
    <font>
      <sz val="10"/>
      <color rgb="FFB45309"/>
      <name val="Arial"/>
      <family val="2"/>
    </font>
    <font>
      <b/>
      <sz val="9"/>
      <color rgb="FF1A1A1A"/>
      <name val="Arial"/>
      <family val="2"/>
    </font>
    <font>
      <sz val="9"/>
      <color rgb="FF1A1A1A"/>
      <name val="Arial"/>
      <family val="2"/>
    </font>
    <font>
      <b/>
      <sz val="9"/>
      <color rgb="FF1C6B72"/>
      <name val="Arial"/>
      <family val="2"/>
    </font>
    <font>
      <b/>
      <sz val="9"/>
      <color rgb="FFFFFFFF"/>
      <name val="Arial"/>
      <family val="2"/>
    </font>
    <font>
      <sz val="11"/>
      <color rgb="FF155E6C"/>
      <name val="Aptos"/>
    </font>
    <font>
      <b/>
      <sz val="12"/>
      <color rgb="FFFFFFFF"/>
      <name val="Arial"/>
      <family val="2"/>
    </font>
    <font>
      <b/>
      <sz val="20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ptos"/>
    </font>
    <font>
      <b/>
      <sz val="11"/>
      <color rgb="FF1A1A1A"/>
      <name val="Arial"/>
      <family val="2"/>
    </font>
    <font>
      <b/>
      <sz val="10"/>
      <color rgb="FF1A1A1A"/>
      <name val="Arial"/>
      <family val="2"/>
    </font>
    <font>
      <b/>
      <sz val="11"/>
      <color rgb="FFFFFFFF"/>
      <name val="Arial"/>
      <family val="2"/>
    </font>
    <font>
      <u/>
      <sz val="11"/>
      <color theme="10"/>
      <name val="Calibri"/>
      <family val="2"/>
      <charset val="1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0"/>
      <name val="Calibri"/>
      <family val="2"/>
      <charset val="1"/>
    </font>
    <font>
      <b/>
      <sz val="11"/>
      <color theme="0"/>
      <name val="Calibri"/>
      <family val="2"/>
    </font>
    <font>
      <b/>
      <sz val="11"/>
      <color theme="1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F3B44"/>
        <bgColor rgb="FF003300"/>
      </patternFill>
    </fill>
    <fill>
      <patternFill patternType="solid">
        <fgColor rgb="FF1C6B72"/>
        <bgColor rgb="FF008080"/>
      </patternFill>
    </fill>
    <fill>
      <patternFill patternType="solid">
        <fgColor rgb="FFFBE4D5"/>
        <bgColor rgb="FFFFF6D8"/>
      </patternFill>
    </fill>
    <fill>
      <patternFill patternType="solid">
        <fgColor rgb="FFE7E0F5"/>
        <bgColor rgb="FFDCE8EA"/>
      </patternFill>
    </fill>
    <fill>
      <patternFill patternType="solid">
        <fgColor rgb="FFDCE8EA"/>
        <bgColor rgb="FFDFF0E3"/>
      </patternFill>
    </fill>
    <fill>
      <patternFill patternType="solid">
        <fgColor rgb="FFFFF6D8"/>
        <bgColor rgb="FFF4F6F7"/>
      </patternFill>
    </fill>
    <fill>
      <patternFill patternType="solid">
        <fgColor rgb="FFF4F6F7"/>
        <bgColor rgb="FFFFFFFF"/>
      </patternFill>
    </fill>
    <fill>
      <patternFill patternType="solid">
        <fgColor rgb="FFDFF0E3"/>
        <bgColor rgb="FFDCE8EA"/>
      </patternFill>
    </fill>
    <fill>
      <patternFill patternType="solid">
        <fgColor rgb="FF17324D"/>
      </patternFill>
    </fill>
    <fill>
      <patternFill patternType="solid">
        <fgColor rgb="FFDCEFF1"/>
      </patternFill>
    </fill>
    <fill>
      <patternFill patternType="solid">
        <fgColor rgb="FFFBE4D5"/>
        <bgColor rgb="FFF8D7DA"/>
      </patternFill>
    </fill>
    <fill>
      <patternFill patternType="solid">
        <fgColor rgb="FF0F3B44"/>
      </patternFill>
    </fill>
    <fill>
      <patternFill patternType="solid">
        <fgColor rgb="FF1C6B72"/>
      </patternFill>
    </fill>
  </fills>
  <borders count="30">
    <border>
      <left/>
      <right/>
      <top/>
      <bottom/>
      <diagonal/>
    </border>
    <border>
      <left style="thin">
        <color rgb="FFC7D2D6"/>
      </left>
      <right style="thin">
        <color rgb="FFC7D2D6"/>
      </right>
      <top style="thin">
        <color rgb="FFC7D2D6"/>
      </top>
      <bottom style="thin">
        <color rgb="FFC7D2D6"/>
      </bottom>
      <diagonal/>
    </border>
    <border>
      <left style="thin">
        <color rgb="FFC7D2D6"/>
      </left>
      <right/>
      <top style="thin">
        <color rgb="FFC7D2D6"/>
      </top>
      <bottom style="thin">
        <color rgb="FFC7D2D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C7D2D6"/>
      </top>
      <bottom style="thin">
        <color rgb="FFC7D2D6"/>
      </bottom>
      <diagonal/>
    </border>
    <border>
      <left/>
      <right style="thin">
        <color rgb="FFC7D2D6"/>
      </right>
      <top style="thin">
        <color rgb="FFC7D2D6"/>
      </top>
      <bottom style="thin">
        <color rgb="FFC7D2D6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7C7CB"/>
      </left>
      <right style="thin">
        <color rgb="FFB7C7CB"/>
      </right>
      <top style="thin">
        <color rgb="FFB7C7CB"/>
      </top>
      <bottom style="thin">
        <color rgb="FFB7C7CB"/>
      </bottom>
      <diagonal/>
    </border>
    <border>
      <left style="thin">
        <color rgb="FFB7C7CB"/>
      </left>
      <right/>
      <top/>
      <bottom/>
      <diagonal/>
    </border>
    <border>
      <left style="thin">
        <color rgb="FFB7C7CB"/>
      </left>
      <right style="thin">
        <color rgb="FFB7C7CB"/>
      </right>
      <top style="thin">
        <color rgb="FFB7C7CB"/>
      </top>
      <bottom/>
      <diagonal/>
    </border>
    <border>
      <left style="thin">
        <color rgb="FFB7C7CB"/>
      </left>
      <right/>
      <top style="thin">
        <color indexed="64"/>
      </top>
      <bottom/>
      <diagonal/>
    </border>
    <border>
      <left style="thin">
        <color rgb="FFB7C7CB"/>
      </left>
      <right/>
      <top style="thin">
        <color indexed="64"/>
      </top>
      <bottom style="thin">
        <color rgb="FFB7C7CB"/>
      </bottom>
      <diagonal/>
    </border>
    <border>
      <left/>
      <right/>
      <top style="thin">
        <color indexed="64"/>
      </top>
      <bottom style="thin">
        <color rgb="FFB7C7CB"/>
      </bottom>
      <diagonal/>
    </border>
    <border>
      <left/>
      <right style="thin">
        <color rgb="FFB7C7CB"/>
      </right>
      <top style="thin">
        <color indexed="64"/>
      </top>
      <bottom style="thin">
        <color rgb="FFB7C7CB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rgb="FFC7D2D6"/>
      </left>
      <right style="thin">
        <color rgb="FFC7D2D6"/>
      </right>
      <top style="thin">
        <color rgb="FFC7D2D6"/>
      </top>
      <bottom/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163">
    <xf numFmtId="0" fontId="0" fillId="0" borderId="0" xfId="0"/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165" fontId="2" fillId="8" borderId="1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0" fillId="2" borderId="0" xfId="0" applyFill="1"/>
    <xf numFmtId="0" fontId="2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10" fontId="2" fillId="8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3" xfId="0" applyBorder="1"/>
    <xf numFmtId="0" fontId="3" fillId="0" borderId="3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14" fontId="8" fillId="7" borderId="3" xfId="0" applyNumberFormat="1" applyFont="1" applyFill="1" applyBorder="1" applyAlignment="1">
      <alignment horizontal="center" vertical="center"/>
    </xf>
    <xf numFmtId="1" fontId="8" fillId="7" borderId="3" xfId="0" applyNumberFormat="1" applyFont="1" applyFill="1" applyBorder="1" applyAlignment="1">
      <alignment horizontal="center" vertical="center"/>
    </xf>
    <xf numFmtId="164" fontId="8" fillId="7" borderId="3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165" fontId="2" fillId="8" borderId="3" xfId="0" applyNumberFormat="1" applyFont="1" applyFill="1" applyBorder="1" applyAlignment="1">
      <alignment horizontal="center" vertical="center"/>
    </xf>
    <xf numFmtId="2" fontId="2" fillId="8" borderId="3" xfId="0" applyNumberFormat="1" applyFont="1" applyFill="1" applyBorder="1" applyAlignment="1">
      <alignment horizontal="center" vertical="center"/>
    </xf>
    <xf numFmtId="164" fontId="2" fillId="8" borderId="3" xfId="0" applyNumberFormat="1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166" fontId="2" fillId="8" borderId="3" xfId="0" applyNumberFormat="1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8" fontId="2" fillId="8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8" fillId="7" borderId="1" xfId="0" applyNumberFormat="1" applyFont="1" applyFill="1" applyBorder="1" applyAlignment="1">
      <alignment horizontal="center" vertical="center"/>
    </xf>
    <xf numFmtId="0" fontId="20" fillId="10" borderId="17" xfId="0" applyFont="1" applyFill="1" applyBorder="1" applyAlignment="1">
      <alignment horizontal="center" vertical="center"/>
    </xf>
    <xf numFmtId="0" fontId="16" fillId="11" borderId="19" xfId="0" applyFont="1" applyFill="1" applyBorder="1" applyAlignment="1">
      <alignment horizontal="center" vertical="center" wrapText="1"/>
    </xf>
    <xf numFmtId="0" fontId="0" fillId="0" borderId="12" xfId="0" applyBorder="1"/>
    <xf numFmtId="0" fontId="25" fillId="0" borderId="3" xfId="0" applyFont="1" applyBorder="1" applyAlignment="1">
      <alignment horizontal="left" vertical="center"/>
    </xf>
    <xf numFmtId="0" fontId="25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left" vertical="center"/>
    </xf>
    <xf numFmtId="0" fontId="28" fillId="0" borderId="3" xfId="0" applyFont="1" applyBorder="1" applyAlignment="1">
      <alignment horizontal="left" vertical="center" wrapText="1"/>
    </xf>
    <xf numFmtId="0" fontId="27" fillId="6" borderId="3" xfId="0" applyFont="1" applyFill="1" applyBorder="1" applyAlignment="1">
      <alignment horizontal="left" vertical="center"/>
    </xf>
    <xf numFmtId="0" fontId="25" fillId="3" borderId="3" xfId="0" applyFont="1" applyFill="1" applyBorder="1" applyAlignment="1">
      <alignment horizontal="left" vertical="center"/>
    </xf>
    <xf numFmtId="165" fontId="25" fillId="8" borderId="3" xfId="0" applyNumberFormat="1" applyFont="1" applyFill="1" applyBorder="1" applyAlignment="1">
      <alignment horizontal="center" vertical="center"/>
    </xf>
    <xf numFmtId="2" fontId="25" fillId="8" borderId="3" xfId="0" applyNumberFormat="1" applyFont="1" applyFill="1" applyBorder="1" applyAlignment="1">
      <alignment horizontal="center" vertical="center"/>
    </xf>
    <xf numFmtId="164" fontId="25" fillId="8" borderId="3" xfId="0" applyNumberFormat="1" applyFont="1" applyFill="1" applyBorder="1" applyAlignment="1">
      <alignment horizontal="center" vertical="center"/>
    </xf>
    <xf numFmtId="0" fontId="25" fillId="9" borderId="3" xfId="0" applyFont="1" applyFill="1" applyBorder="1" applyAlignment="1">
      <alignment horizontal="center" vertical="center"/>
    </xf>
    <xf numFmtId="167" fontId="25" fillId="8" borderId="3" xfId="0" applyNumberFormat="1" applyFont="1" applyFill="1" applyBorder="1" applyAlignment="1">
      <alignment horizontal="center" vertical="center"/>
    </xf>
    <xf numFmtId="169" fontId="25" fillId="8" borderId="3" xfId="0" applyNumberFormat="1" applyFont="1" applyFill="1" applyBorder="1" applyAlignment="1">
      <alignment horizontal="center" vertical="center"/>
    </xf>
    <xf numFmtId="166" fontId="25" fillId="8" borderId="3" xfId="0" applyNumberFormat="1" applyFont="1" applyFill="1" applyBorder="1" applyAlignment="1">
      <alignment horizontal="center" vertical="center"/>
    </xf>
    <xf numFmtId="166" fontId="25" fillId="9" borderId="3" xfId="0" applyNumberFormat="1" applyFont="1" applyFill="1" applyBorder="1" applyAlignment="1">
      <alignment horizontal="center" vertical="center"/>
    </xf>
    <xf numFmtId="1" fontId="25" fillId="8" borderId="3" xfId="0" applyNumberFormat="1" applyFont="1" applyFill="1" applyBorder="1" applyAlignment="1">
      <alignment horizontal="center" vertical="center"/>
    </xf>
    <xf numFmtId="0" fontId="25" fillId="9" borderId="3" xfId="0" applyFont="1" applyFill="1" applyBorder="1" applyAlignment="1">
      <alignment horizontal="center" vertical="center" wrapText="1"/>
    </xf>
    <xf numFmtId="0" fontId="29" fillId="10" borderId="24" xfId="1" applyFont="1" applyFill="1" applyBorder="1" applyAlignment="1">
      <alignment horizontal="center" vertical="center" wrapText="1"/>
    </xf>
    <xf numFmtId="0" fontId="30" fillId="10" borderId="24" xfId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66" fontId="3" fillId="9" borderId="3" xfId="0" applyNumberFormat="1" applyFont="1" applyFill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left" vertical="center"/>
    </xf>
    <xf numFmtId="0" fontId="31" fillId="0" borderId="3" xfId="0" applyFont="1" applyBorder="1"/>
    <xf numFmtId="0" fontId="4" fillId="3" borderId="29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9" fontId="8" fillId="7" borderId="3" xfId="0" applyNumberFormat="1" applyFont="1" applyFill="1" applyBorder="1" applyAlignment="1">
      <alignment horizontal="center" vertical="center"/>
    </xf>
    <xf numFmtId="167" fontId="8" fillId="7" borderId="3" xfId="0" applyNumberFormat="1" applyFont="1" applyFill="1" applyBorder="1" applyAlignment="1">
      <alignment horizontal="center" vertical="center"/>
    </xf>
    <xf numFmtId="2" fontId="8" fillId="7" borderId="3" xfId="0" applyNumberFormat="1" applyFont="1" applyFill="1" applyBorder="1" applyAlignment="1">
      <alignment horizontal="center" vertical="center"/>
    </xf>
    <xf numFmtId="169" fontId="8" fillId="7" borderId="3" xfId="0" applyNumberFormat="1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horizontal="center" vertical="center"/>
    </xf>
    <xf numFmtId="0" fontId="22" fillId="5" borderId="12" xfId="0" applyFont="1" applyFill="1" applyBorder="1" applyAlignment="1">
      <alignment horizontal="left" vertical="center" wrapText="1"/>
    </xf>
    <xf numFmtId="0" fontId="22" fillId="5" borderId="0" xfId="0" applyFont="1" applyFill="1" applyBorder="1" applyAlignment="1">
      <alignment horizontal="left" vertical="center" wrapText="1"/>
    </xf>
    <xf numFmtId="0" fontId="22" fillId="5" borderId="14" xfId="0" applyFont="1" applyFill="1" applyBorder="1" applyAlignment="1">
      <alignment horizontal="left" vertical="center" wrapText="1"/>
    </xf>
    <xf numFmtId="0" fontId="22" fillId="5" borderId="11" xfId="0" applyFont="1" applyFill="1" applyBorder="1" applyAlignment="1">
      <alignment horizontal="left" vertical="center" wrapText="1"/>
    </xf>
    <xf numFmtId="0" fontId="22" fillId="5" borderId="15" xfId="0" applyFont="1" applyFill="1" applyBorder="1" applyAlignment="1">
      <alignment horizontal="left" vertical="center" wrapText="1"/>
    </xf>
    <xf numFmtId="0" fontId="22" fillId="5" borderId="16" xfId="0" applyFont="1" applyFill="1" applyBorder="1" applyAlignment="1">
      <alignment horizontal="left" vertical="center" wrapText="1"/>
    </xf>
    <xf numFmtId="0" fontId="22" fillId="12" borderId="18" xfId="0" applyFont="1" applyFill="1" applyBorder="1" applyAlignment="1">
      <alignment horizontal="left" vertical="center" wrapText="1"/>
    </xf>
    <xf numFmtId="0" fontId="22" fillId="12" borderId="0" xfId="0" applyFont="1" applyFill="1" applyBorder="1" applyAlignment="1">
      <alignment horizontal="left" vertical="center" wrapText="1"/>
    </xf>
    <xf numFmtId="0" fontId="22" fillId="12" borderId="14" xfId="0" applyFont="1" applyFill="1" applyBorder="1" applyAlignment="1">
      <alignment horizontal="left" vertical="center" wrapText="1"/>
    </xf>
    <xf numFmtId="0" fontId="23" fillId="3" borderId="20" xfId="0" applyFont="1" applyFill="1" applyBorder="1" applyAlignment="1">
      <alignment horizontal="left" vertical="center"/>
    </xf>
    <xf numFmtId="0" fontId="23" fillId="3" borderId="6" xfId="0" applyFont="1" applyFill="1" applyBorder="1" applyAlignment="1">
      <alignment horizontal="left" vertical="center"/>
    </xf>
    <xf numFmtId="0" fontId="23" fillId="3" borderId="7" xfId="0" applyFont="1" applyFill="1" applyBorder="1" applyAlignment="1">
      <alignment horizontal="left" vertical="center"/>
    </xf>
    <xf numFmtId="0" fontId="23" fillId="3" borderId="18" xfId="0" applyFont="1" applyFill="1" applyBorder="1" applyAlignment="1">
      <alignment horizontal="left" vertical="center"/>
    </xf>
    <xf numFmtId="0" fontId="23" fillId="3" borderId="0" xfId="0" applyFont="1" applyFill="1" applyBorder="1" applyAlignment="1">
      <alignment horizontal="left" vertical="center"/>
    </xf>
    <xf numFmtId="0" fontId="23" fillId="3" borderId="13" xfId="0" applyFont="1" applyFill="1" applyBorder="1" applyAlignment="1">
      <alignment horizontal="left" vertical="center"/>
    </xf>
    <xf numFmtId="0" fontId="21" fillId="5" borderId="3" xfId="0" applyFont="1" applyFill="1" applyBorder="1" applyAlignment="1">
      <alignment horizontal="left" vertical="center" wrapText="1"/>
    </xf>
    <xf numFmtId="0" fontId="22" fillId="5" borderId="3" xfId="0" applyFont="1" applyFill="1" applyBorder="1" applyAlignment="1">
      <alignment horizontal="left" vertical="center" wrapText="1"/>
    </xf>
    <xf numFmtId="0" fontId="0" fillId="0" borderId="3" xfId="0" applyBorder="1"/>
    <xf numFmtId="0" fontId="20" fillId="10" borderId="17" xfId="0" applyFont="1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16" fillId="11" borderId="19" xfId="0" applyFont="1" applyFill="1" applyBorder="1" applyAlignment="1">
      <alignment horizontal="center" vertical="center" wrapText="1"/>
    </xf>
    <xf numFmtId="0" fontId="0" fillId="11" borderId="19" xfId="0" applyFill="1" applyBorder="1" applyAlignment="1">
      <alignment horizontal="center" vertical="center" wrapText="1"/>
    </xf>
    <xf numFmtId="0" fontId="16" fillId="11" borderId="17" xfId="0" applyFont="1" applyFill="1" applyBorder="1" applyAlignment="1">
      <alignment horizontal="center" vertical="center" wrapText="1"/>
    </xf>
    <xf numFmtId="0" fontId="0" fillId="11" borderId="17" xfId="0" applyFill="1" applyBorder="1" applyAlignment="1">
      <alignment horizontal="center" vertical="center" wrapText="1"/>
    </xf>
    <xf numFmtId="0" fontId="18" fillId="13" borderId="0" xfId="0" applyFont="1" applyFill="1" applyAlignment="1">
      <alignment vertical="center"/>
    </xf>
    <xf numFmtId="0" fontId="19" fillId="14" borderId="12" xfId="0" applyFont="1" applyFill="1" applyBorder="1" applyAlignment="1">
      <alignment horizontal="left" vertical="center" wrapText="1"/>
    </xf>
    <xf numFmtId="0" fontId="19" fillId="14" borderId="0" xfId="0" applyFont="1" applyFill="1" applyBorder="1" applyAlignment="1">
      <alignment horizontal="left" vertical="center" wrapText="1"/>
    </xf>
    <xf numFmtId="0" fontId="19" fillId="14" borderId="11" xfId="0" applyFont="1" applyFill="1" applyBorder="1" applyAlignment="1">
      <alignment horizontal="left" vertical="center" wrapText="1"/>
    </xf>
    <xf numFmtId="0" fontId="19" fillId="14" borderId="15" xfId="0" applyFont="1" applyFill="1" applyBorder="1" applyAlignment="1">
      <alignment horizontal="left" vertical="center" wrapText="1"/>
    </xf>
    <xf numFmtId="0" fontId="19" fillId="14" borderId="21" xfId="0" applyFont="1" applyFill="1" applyBorder="1" applyAlignment="1">
      <alignment vertical="center"/>
    </xf>
    <xf numFmtId="0" fontId="19" fillId="14" borderId="22" xfId="0" applyFont="1" applyFill="1" applyBorder="1" applyAlignment="1">
      <alignment vertical="center"/>
    </xf>
    <xf numFmtId="0" fontId="19" fillId="14" borderId="23" xfId="0" applyFont="1" applyFill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0" fillId="0" borderId="8" xfId="0" applyBorder="1"/>
    <xf numFmtId="0" fontId="0" fillId="0" borderId="5" xfId="0" applyBorder="1"/>
    <xf numFmtId="0" fontId="6" fillId="5" borderId="3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0" borderId="0" xfId="0"/>
    <xf numFmtId="0" fontId="1" fillId="2" borderId="4" xfId="0" applyFont="1" applyFill="1" applyBorder="1" applyAlignment="1">
      <alignment horizontal="left" vertical="center" indent="1"/>
    </xf>
    <xf numFmtId="0" fontId="1" fillId="2" borderId="8" xfId="0" applyFont="1" applyFill="1" applyBorder="1" applyAlignment="1">
      <alignment horizontal="left" vertical="center" indent="1"/>
    </xf>
    <xf numFmtId="0" fontId="1" fillId="2" borderId="5" xfId="0" applyFont="1" applyFill="1" applyBorder="1" applyAlignment="1">
      <alignment horizontal="left" vertical="center" indent="1"/>
    </xf>
    <xf numFmtId="0" fontId="17" fillId="3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left"/>
    </xf>
    <xf numFmtId="0" fontId="30" fillId="10" borderId="25" xfId="1" applyFont="1" applyFill="1" applyBorder="1" applyAlignment="1">
      <alignment horizontal="center" vertical="center" wrapText="1"/>
    </xf>
    <xf numFmtId="0" fontId="30" fillId="10" borderId="26" xfId="1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17" fillId="3" borderId="0" xfId="0" applyFont="1" applyFill="1" applyBorder="1" applyAlignment="1">
      <alignment horizontal="center" vertical="center"/>
    </xf>
    <xf numFmtId="0" fontId="30" fillId="10" borderId="27" xfId="1" applyFont="1" applyFill="1" applyBorder="1" applyAlignment="1">
      <alignment horizontal="center" vertical="center" wrapText="1"/>
    </xf>
    <xf numFmtId="0" fontId="30" fillId="10" borderId="15" xfId="1" applyFont="1" applyFill="1" applyBorder="1" applyAlignment="1">
      <alignment horizontal="center" vertical="center" wrapText="1"/>
    </xf>
    <xf numFmtId="0" fontId="30" fillId="10" borderId="28" xfId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2" fillId="4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14" fontId="2" fillId="8" borderId="3" xfId="0" applyNumberFormat="1" applyFont="1" applyFill="1" applyBorder="1" applyAlignment="1">
      <alignment horizontal="left" vertical="center"/>
    </xf>
    <xf numFmtId="0" fontId="2" fillId="9" borderId="3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17" fillId="3" borderId="0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0" fillId="0" borderId="9" xfId="0" applyBorder="1"/>
    <xf numFmtId="0" fontId="0" fillId="0" borderId="10" xfId="0" applyBorder="1"/>
    <xf numFmtId="0" fontId="29" fillId="10" borderId="25" xfId="1" applyFont="1" applyFill="1" applyBorder="1" applyAlignment="1">
      <alignment horizontal="center" vertical="center" wrapText="1"/>
    </xf>
    <xf numFmtId="0" fontId="29" fillId="10" borderId="0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6B72"/>
      <rgbColor rgb="FFB3B3B3"/>
      <rgbColor rgb="FF4F81BD"/>
      <rgbColor rgb="FF9999FF"/>
      <rgbColor rgb="FF993366"/>
      <rgbColor rgb="FFFFF6D8"/>
      <rgbColor rgb="FFDCE8EA"/>
      <rgbColor rgb="FF660066"/>
      <rgbColor rgb="FFFF8080"/>
      <rgbColor rgb="FF0066CC"/>
      <rgbColor rgb="FFC7D2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7"/>
      <rgbColor rgb="FFDFF0E3"/>
      <rgbColor rgb="FFE7E0F5"/>
      <rgbColor rgb="FFD9D9D9"/>
      <rgbColor rgb="FFFF99CC"/>
      <rgbColor rgb="FFCC99FF"/>
      <rgbColor rgb="FFFBE4D5"/>
      <rgbColor rgb="FF3366FF"/>
      <rgbColor rgb="FF33CCCC"/>
      <rgbColor rgb="FF99CC00"/>
      <rgbColor rgb="FFFFCC00"/>
      <rgbColor rgb="FFFF9900"/>
      <rgbColor rgb="FFFF6600"/>
      <rgbColor rgb="FF5A6B70"/>
      <rgbColor rgb="FF969696"/>
      <rgbColor rgb="FF0F3B44"/>
      <rgbColor rgb="FF339966"/>
      <rgbColor rgb="FF003300"/>
      <rgbColor rgb="FF333300"/>
      <rgbColor rgb="FFB45309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% de grasa por método</a:t>
            </a:r>
          </a:p>
        </c:rich>
      </c:tx>
      <c:layout>
        <c:manualLayout>
          <c:xMode val="edge"/>
          <c:yMode val="edge"/>
          <c:x val="0.19850798483149071"/>
          <c:y val="3.0258988349098188E-2"/>
        </c:manualLayout>
      </c:layout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RESULTADOS!$B$45</c:f>
              <c:strCache>
                <c:ptCount val="1"/>
                <c:pt idx="0">
                  <c:v>% de grasa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RESULTADOS!$A$46:$A$48</c:f>
              <c:strCache>
                <c:ptCount val="3"/>
                <c:pt idx="0">
                  <c:v>1 · Pliegues</c:v>
                </c:pt>
                <c:pt idx="1">
                  <c:v>2 · Circunferencias</c:v>
                </c:pt>
                <c:pt idx="2">
                  <c:v>3 · IMC</c:v>
                </c:pt>
              </c:strCache>
            </c:strRef>
          </c:cat>
          <c:val>
            <c:numRef>
              <c:f>RESULTADOS!$B$46:$B$48</c:f>
              <c:numCache>
                <c:formatCode>0.0%</c:formatCode>
                <c:ptCount val="3"/>
                <c:pt idx="0">
                  <c:v>0.20645966095671042</c:v>
                </c:pt>
                <c:pt idx="1">
                  <c:v>0.18367495150229843</c:v>
                </c:pt>
                <c:pt idx="2">
                  <c:v>0.21249629629629624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2-43B6-AC46-6B8B8C838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911439"/>
        <c:axId val="17510124"/>
      </c:barChart>
      <c:catAx>
        <c:axId val="509114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17510124"/>
        <c:crosses val="autoZero"/>
        <c:auto val="1"/>
        <c:lblAlgn val="ctr"/>
        <c:lblOffset val="100"/>
        <c:noMultiLvlLbl val="0"/>
      </c:catAx>
      <c:valAx>
        <c:axId val="175101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50911439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Composición (kg)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RESULTADOS!$B$50</c:f>
              <c:strCache>
                <c:ptCount val="1"/>
                <c:pt idx="0">
                  <c:v>kg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RESULTADOS!$A$51:$A$52</c:f>
              <c:strCache>
                <c:ptCount val="2"/>
                <c:pt idx="0">
                  <c:v>Masa grasa</c:v>
                </c:pt>
                <c:pt idx="1">
                  <c:v>Masa libre de grasa</c:v>
                </c:pt>
              </c:strCache>
            </c:strRef>
          </c:cat>
          <c:val>
            <c:numRef>
              <c:f>RESULTADOS!$B$51:$B$52</c:f>
              <c:numCache>
                <c:formatCode>0.0</c:formatCode>
                <c:ptCount val="2"/>
                <c:pt idx="0">
                  <c:v>16.516772876536834</c:v>
                </c:pt>
                <c:pt idx="1">
                  <c:v>63.483227123463166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4-4512-9094-E1CFBD216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11795"/>
        <c:axId val="80136319"/>
      </c:barChart>
      <c:catAx>
        <c:axId val="851179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80136319"/>
        <c:crosses val="autoZero"/>
        <c:auto val="1"/>
        <c:lblAlgn val="ctr"/>
        <c:lblOffset val="100"/>
        <c:noMultiLvlLbl val="0"/>
      </c:catAx>
      <c:valAx>
        <c:axId val="801363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8511795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39</xdr:row>
      <xdr:rowOff>114300</xdr:rowOff>
    </xdr:from>
    <xdr:to>
      <xdr:col>12</xdr:col>
      <xdr:colOff>382275</xdr:colOff>
      <xdr:row>52</xdr:row>
      <xdr:rowOff>156060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171450</xdr:colOff>
      <xdr:row>53</xdr:row>
      <xdr:rowOff>95250</xdr:rowOff>
    </xdr:from>
    <xdr:to>
      <xdr:col>12</xdr:col>
      <xdr:colOff>429900</xdr:colOff>
      <xdr:row>64</xdr:row>
      <xdr:rowOff>32235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showGridLines="0" tabSelected="1" zoomScale="85" zoomScaleNormal="85" workbookViewId="0">
      <selection activeCell="P9" sqref="P9"/>
    </sheetView>
  </sheetViews>
  <sheetFormatPr baseColWidth="10" defaultColWidth="9.140625" defaultRowHeight="15"/>
  <cols>
    <col min="1" max="1" width="23.5703125" style="1" customWidth="1"/>
    <col min="2" max="2" width="14" style="1" customWidth="1"/>
    <col min="3" max="3" width="12.7109375" customWidth="1"/>
    <col min="4" max="4" width="14.85546875" customWidth="1"/>
    <col min="5" max="5" width="13.42578125" customWidth="1"/>
    <col min="6" max="6" width="13.28515625" customWidth="1"/>
    <col min="8" max="8" width="12" customWidth="1"/>
    <col min="9" max="9" width="11.42578125" customWidth="1"/>
    <col min="10" max="10" width="13.7109375" customWidth="1"/>
    <col min="12" max="12" width="12" customWidth="1"/>
  </cols>
  <sheetData>
    <row r="1" spans="1:13" ht="25.5" customHeight="1">
      <c r="A1" s="114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</row>
    <row r="2" spans="1:13" ht="15" customHeight="1">
      <c r="A2" s="115" t="s">
        <v>1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</row>
    <row r="4" spans="1:13" ht="27.75" customHeight="1">
      <c r="A4" s="119" t="s">
        <v>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1"/>
    </row>
    <row r="5" spans="1:13" ht="27.75" customHeight="1">
      <c r="A5" s="56" t="str">
        <f>HYPERLINK("#DATOS!A1","▶  DATOS")</f>
        <v>▶  DATOS</v>
      </c>
      <c r="B5" s="108" t="str">
        <f>HYPERLINK("#CALCULOS!A1","▶  CALCULOS")</f>
        <v>▶  CALCULOS</v>
      </c>
      <c r="C5" s="109"/>
      <c r="D5" s="108" t="str">
        <f>HYPERLINK("#RESULTADOS!A1","▶  RESULTADOS")</f>
        <v>▶  RESULTADOS</v>
      </c>
      <c r="E5" s="109"/>
      <c r="F5" s="108" t="str">
        <f>HYPERLINK("#FUENTES!A1","▶  FUENTES")</f>
        <v>▶  FUENTES</v>
      </c>
      <c r="G5" s="109"/>
      <c r="H5" s="108" t="str">
        <f>HYPERLINK("#PRUEBAS!A1","▶  PRUEBAS")</f>
        <v>▶  PRUEBAS</v>
      </c>
      <c r="I5" s="109"/>
      <c r="J5" s="108" t="str">
        <f>HYPERLINK("#CONFIG!A1","▶  CONFIG")</f>
        <v>▶  CONFIG</v>
      </c>
      <c r="K5" s="109"/>
      <c r="L5" s="108" t="str">
        <f>HYPERLINK("#CHANGELOG!A1","▶  CHANGELOG")</f>
        <v>▶  CHANGELOG</v>
      </c>
      <c r="M5" s="109"/>
    </row>
    <row r="6" spans="1:13" ht="29.25" customHeight="1">
      <c r="A6" s="57" t="s">
        <v>3</v>
      </c>
      <c r="B6" s="110" t="s">
        <v>4</v>
      </c>
      <c r="C6" s="111"/>
      <c r="D6" s="110" t="s">
        <v>5</v>
      </c>
      <c r="E6" s="111"/>
      <c r="F6" s="110" t="s">
        <v>6</v>
      </c>
      <c r="G6" s="111"/>
      <c r="H6" s="110" t="s">
        <v>7</v>
      </c>
      <c r="I6" s="111"/>
      <c r="J6" s="112" t="s">
        <v>8</v>
      </c>
      <c r="K6" s="113"/>
      <c r="L6" s="112" t="s">
        <v>9</v>
      </c>
      <c r="M6" s="113"/>
    </row>
    <row r="7" spans="1:13" ht="15" customHeight="1">
      <c r="A7" s="105" t="s">
        <v>10</v>
      </c>
      <c r="B7" s="105"/>
      <c r="C7" s="106" t="s">
        <v>11</v>
      </c>
      <c r="D7" s="107"/>
      <c r="E7" s="107"/>
      <c r="F7" s="107"/>
      <c r="G7" s="107"/>
      <c r="H7" s="107"/>
      <c r="I7" s="107"/>
    </row>
    <row r="8" spans="1:13" ht="15" customHeight="1">
      <c r="A8" s="105" t="s">
        <v>12</v>
      </c>
      <c r="B8" s="105"/>
      <c r="C8" s="106" t="s">
        <v>13</v>
      </c>
      <c r="D8" s="107"/>
      <c r="E8" s="107"/>
      <c r="F8" s="107"/>
      <c r="G8" s="107"/>
      <c r="H8" s="107"/>
      <c r="I8" s="107"/>
    </row>
    <row r="9" spans="1:13" ht="15" customHeight="1">
      <c r="A9" s="105" t="s">
        <v>14</v>
      </c>
      <c r="B9" s="105"/>
      <c r="C9" s="106" t="s">
        <v>15</v>
      </c>
      <c r="D9" s="107"/>
      <c r="E9" s="107"/>
      <c r="F9" s="107"/>
      <c r="G9" s="107"/>
      <c r="H9" s="107"/>
      <c r="I9" s="107"/>
    </row>
    <row r="10" spans="1:13" ht="15" customHeight="1">
      <c r="A10" s="105" t="s">
        <v>16</v>
      </c>
      <c r="B10" s="105"/>
      <c r="C10" s="106" t="s">
        <v>17</v>
      </c>
      <c r="D10" s="107"/>
      <c r="E10" s="107"/>
      <c r="F10" s="107"/>
      <c r="G10" s="107"/>
      <c r="H10" s="107"/>
      <c r="I10" s="107"/>
    </row>
    <row r="11" spans="1:13" ht="15" customHeight="1">
      <c r="A11" s="105" t="s">
        <v>18</v>
      </c>
      <c r="B11" s="105"/>
      <c r="C11" s="106" t="s">
        <v>19</v>
      </c>
      <c r="D11" s="107"/>
      <c r="E11" s="107"/>
      <c r="F11" s="107"/>
      <c r="G11" s="107"/>
      <c r="H11" s="107"/>
      <c r="I11" s="107"/>
    </row>
    <row r="12" spans="1:13" ht="15" customHeight="1">
      <c r="A12" s="105" t="s">
        <v>20</v>
      </c>
      <c r="B12" s="105"/>
      <c r="C12" s="106" t="s">
        <v>21</v>
      </c>
      <c r="D12" s="107"/>
      <c r="E12" s="107"/>
      <c r="F12" s="107"/>
      <c r="G12" s="107"/>
      <c r="H12" s="107"/>
      <c r="I12" s="107"/>
    </row>
    <row r="13" spans="1:13" ht="15" customHeight="1">
      <c r="A13" s="99" t="s">
        <v>22</v>
      </c>
      <c r="B13" s="100"/>
      <c r="C13" s="100"/>
      <c r="D13" s="100"/>
      <c r="E13" s="100"/>
      <c r="F13" s="100"/>
      <c r="G13" s="100"/>
      <c r="H13" s="100"/>
      <c r="I13" s="101"/>
    </row>
    <row r="14" spans="1:13" ht="23.25" customHeight="1">
      <c r="A14" s="96" t="s">
        <v>23</v>
      </c>
      <c r="B14" s="97"/>
      <c r="C14" s="97"/>
      <c r="D14" s="97"/>
      <c r="E14" s="97"/>
      <c r="F14" s="97"/>
      <c r="G14" s="97"/>
      <c r="H14" s="97"/>
      <c r="I14" s="98"/>
    </row>
    <row r="15" spans="1:13" ht="18" customHeight="1">
      <c r="A15" s="96" t="s">
        <v>24</v>
      </c>
      <c r="B15" s="97"/>
      <c r="C15" s="97"/>
      <c r="D15" s="97"/>
      <c r="E15" s="97"/>
      <c r="F15" s="97"/>
      <c r="G15" s="97"/>
      <c r="H15" s="97"/>
      <c r="I15" s="97"/>
      <c r="J15" s="58"/>
    </row>
    <row r="16" spans="1:13" ht="21.75" customHeight="1">
      <c r="A16" s="96" t="s">
        <v>25</v>
      </c>
      <c r="B16" s="97"/>
      <c r="C16" s="97"/>
      <c r="D16" s="97"/>
      <c r="E16" s="97"/>
      <c r="F16" s="97"/>
      <c r="G16" s="97"/>
      <c r="H16" s="97"/>
      <c r="I16" s="98"/>
    </row>
    <row r="17" spans="1:10" ht="21" customHeight="1">
      <c r="A17" s="96" t="s">
        <v>26</v>
      </c>
      <c r="B17" s="97"/>
      <c r="C17" s="97"/>
      <c r="D17" s="97"/>
      <c r="E17" s="97"/>
      <c r="F17" s="97"/>
      <c r="G17" s="97"/>
      <c r="H17" s="97"/>
      <c r="I17" s="98"/>
    </row>
    <row r="18" spans="1:10" ht="19.5" customHeight="1">
      <c r="A18" s="96" t="s">
        <v>27</v>
      </c>
      <c r="B18" s="97"/>
      <c r="C18" s="97"/>
      <c r="D18" s="97"/>
      <c r="E18" s="97"/>
      <c r="F18" s="97"/>
      <c r="G18" s="97"/>
      <c r="H18" s="97"/>
      <c r="I18" s="98"/>
    </row>
    <row r="19" spans="1:10" ht="21" customHeight="1">
      <c r="A19" s="96" t="s">
        <v>28</v>
      </c>
      <c r="B19" s="97"/>
      <c r="C19" s="97"/>
      <c r="D19" s="97"/>
      <c r="E19" s="97"/>
      <c r="F19" s="97"/>
      <c r="G19" s="97"/>
      <c r="H19" s="97"/>
      <c r="I19" s="97"/>
      <c r="J19" s="58"/>
    </row>
    <row r="20" spans="1:10" ht="15" customHeight="1">
      <c r="A20" s="102" t="s">
        <v>29</v>
      </c>
      <c r="B20" s="103"/>
      <c r="C20" s="103"/>
      <c r="D20" s="103"/>
      <c r="E20" s="103"/>
      <c r="F20" s="103"/>
      <c r="G20" s="103"/>
      <c r="H20" s="103"/>
      <c r="I20" s="103"/>
    </row>
    <row r="21" spans="1:10" ht="53.25" customHeight="1">
      <c r="A21" s="105" t="s">
        <v>30</v>
      </c>
      <c r="B21" s="105"/>
      <c r="C21" s="106" t="s">
        <v>621</v>
      </c>
      <c r="D21" s="107"/>
      <c r="E21" s="107"/>
      <c r="F21" s="107"/>
      <c r="G21" s="107"/>
      <c r="H21" s="107"/>
      <c r="I21" s="107"/>
    </row>
    <row r="22" spans="1:10" ht="26.25" customHeight="1">
      <c r="A22" s="105" t="s">
        <v>31</v>
      </c>
      <c r="B22" s="105"/>
      <c r="C22" s="106" t="s">
        <v>32</v>
      </c>
      <c r="D22" s="107"/>
      <c r="E22" s="107"/>
      <c r="F22" s="107"/>
      <c r="G22" s="107"/>
      <c r="H22" s="107"/>
      <c r="I22" s="107"/>
    </row>
    <row r="23" spans="1:10" ht="27.75" customHeight="1">
      <c r="A23" s="105" t="s">
        <v>33</v>
      </c>
      <c r="B23" s="105"/>
      <c r="C23" s="106" t="s">
        <v>34</v>
      </c>
      <c r="D23" s="107"/>
      <c r="E23" s="107"/>
      <c r="F23" s="107"/>
      <c r="G23" s="107"/>
      <c r="H23" s="107"/>
      <c r="I23" s="107"/>
    </row>
    <row r="24" spans="1:10" ht="21.75" customHeight="1">
      <c r="A24" s="105" t="s">
        <v>35</v>
      </c>
      <c r="B24" s="105"/>
      <c r="C24" s="106" t="s">
        <v>19</v>
      </c>
      <c r="D24" s="107"/>
      <c r="E24" s="107"/>
      <c r="F24" s="107"/>
      <c r="G24" s="107"/>
      <c r="H24" s="107"/>
      <c r="I24" s="107"/>
    </row>
    <row r="25" spans="1:10" ht="21" customHeight="1">
      <c r="A25" s="105" t="s">
        <v>36</v>
      </c>
      <c r="B25" s="105"/>
      <c r="C25" s="106" t="s">
        <v>37</v>
      </c>
      <c r="D25" s="107"/>
      <c r="E25" s="107"/>
      <c r="F25" s="107"/>
      <c r="G25" s="107"/>
      <c r="H25" s="107"/>
      <c r="I25" s="107"/>
    </row>
    <row r="26" spans="1:10" ht="15" customHeight="1">
      <c r="A26" s="104" t="s">
        <v>38</v>
      </c>
      <c r="B26" s="100"/>
      <c r="C26" s="100"/>
      <c r="D26" s="100"/>
      <c r="E26" s="100"/>
      <c r="F26" s="100"/>
      <c r="G26" s="100"/>
      <c r="H26" s="100"/>
      <c r="I26" s="101"/>
    </row>
    <row r="27" spans="1:10" ht="19.5" customHeight="1">
      <c r="A27" s="90" t="s">
        <v>39</v>
      </c>
      <c r="B27" s="91"/>
      <c r="C27" s="91"/>
      <c r="D27" s="91"/>
      <c r="E27" s="91"/>
      <c r="F27" s="91"/>
      <c r="G27" s="91"/>
      <c r="H27" s="91"/>
      <c r="I27" s="92"/>
    </row>
    <row r="28" spans="1:10" ht="23.25" customHeight="1">
      <c r="A28" s="90" t="s">
        <v>40</v>
      </c>
      <c r="B28" s="91"/>
      <c r="C28" s="91"/>
      <c r="D28" s="91"/>
      <c r="E28" s="91"/>
      <c r="F28" s="91"/>
      <c r="G28" s="91"/>
      <c r="H28" s="91"/>
      <c r="I28" s="92"/>
    </row>
    <row r="29" spans="1:10" ht="26.25" customHeight="1">
      <c r="A29" s="90" t="s">
        <v>41</v>
      </c>
      <c r="B29" s="91"/>
      <c r="C29" s="91"/>
      <c r="D29" s="91"/>
      <c r="E29" s="91"/>
      <c r="F29" s="91"/>
      <c r="G29" s="91"/>
      <c r="H29" s="91"/>
      <c r="I29" s="92"/>
    </row>
    <row r="30" spans="1:10" ht="26.25" customHeight="1">
      <c r="A30" s="90" t="s">
        <v>42</v>
      </c>
      <c r="B30" s="91"/>
      <c r="C30" s="91"/>
      <c r="D30" s="91"/>
      <c r="E30" s="91"/>
      <c r="F30" s="91"/>
      <c r="G30" s="91"/>
      <c r="H30" s="91"/>
      <c r="I30" s="92"/>
    </row>
    <row r="31" spans="1:10" ht="20.25" customHeight="1">
      <c r="A31" s="93" t="s">
        <v>43</v>
      </c>
      <c r="B31" s="94"/>
      <c r="C31" s="94"/>
      <c r="D31" s="94"/>
      <c r="E31" s="94"/>
      <c r="F31" s="94"/>
      <c r="G31" s="94"/>
      <c r="H31" s="94"/>
      <c r="I31" s="95"/>
    </row>
  </sheetData>
  <sheetProtection algorithmName="SHA-512" hashValue="q9ideg7m6I705Gtjzv/6uyI0WXq3YE6QuUqTR/X5JazlINZDItoJ1vhot7pC1NixgFru8Yuz7Q40uy2vzDCXSQ==" saltValue="aE1hV/+PkkoBgRVSVRe3hg==" spinCount="100000" sheet="1" objects="1" scenarios="1"/>
  <mergeCells count="51">
    <mergeCell ref="J6:K6"/>
    <mergeCell ref="F5:G5"/>
    <mergeCell ref="L5:M5"/>
    <mergeCell ref="L6:M6"/>
    <mergeCell ref="A1:M1"/>
    <mergeCell ref="A2:M3"/>
    <mergeCell ref="J5:K5"/>
    <mergeCell ref="F6:G6"/>
    <mergeCell ref="A4:M4"/>
    <mergeCell ref="B6:C6"/>
    <mergeCell ref="D6:E6"/>
    <mergeCell ref="B5:C5"/>
    <mergeCell ref="D5:E5"/>
    <mergeCell ref="H5:I5"/>
    <mergeCell ref="C10:I10"/>
    <mergeCell ref="A12:B12"/>
    <mergeCell ref="A7:B7"/>
    <mergeCell ref="A8:B8"/>
    <mergeCell ref="A9:B9"/>
    <mergeCell ref="A10:B10"/>
    <mergeCell ref="A11:B11"/>
    <mergeCell ref="H6:I6"/>
    <mergeCell ref="C9:I9"/>
    <mergeCell ref="C7:I7"/>
    <mergeCell ref="C12:I12"/>
    <mergeCell ref="C11:I11"/>
    <mergeCell ref="C8:I8"/>
    <mergeCell ref="A13:I13"/>
    <mergeCell ref="A20:I20"/>
    <mergeCell ref="A26:I26"/>
    <mergeCell ref="A21:B21"/>
    <mergeCell ref="A22:B22"/>
    <mergeCell ref="A23:B23"/>
    <mergeCell ref="A24:B24"/>
    <mergeCell ref="A25:B25"/>
    <mergeCell ref="C25:I25"/>
    <mergeCell ref="C24:I24"/>
    <mergeCell ref="C22:I22"/>
    <mergeCell ref="C21:I21"/>
    <mergeCell ref="C23:I23"/>
    <mergeCell ref="A30:I30"/>
    <mergeCell ref="A31:I31"/>
    <mergeCell ref="A14:I14"/>
    <mergeCell ref="A15:I15"/>
    <mergeCell ref="A16:I16"/>
    <mergeCell ref="A17:I17"/>
    <mergeCell ref="A18:I18"/>
    <mergeCell ref="A19:I19"/>
    <mergeCell ref="A27:I27"/>
    <mergeCell ref="A28:I28"/>
    <mergeCell ref="A29:I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C6B72"/>
  </sheetPr>
  <dimension ref="A1:E25"/>
  <sheetViews>
    <sheetView showGridLines="0" zoomScaleNormal="100" workbookViewId="0">
      <pane ySplit="6" topLeftCell="A7" activePane="bottomLeft" state="frozen"/>
      <selection pane="bottomLeft" activeCell="A27" sqref="A27"/>
    </sheetView>
  </sheetViews>
  <sheetFormatPr baseColWidth="10" defaultColWidth="8.7109375" defaultRowHeight="15"/>
  <cols>
    <col min="1" max="1" width="40" style="1" customWidth="1"/>
    <col min="2" max="2" width="30" style="1" customWidth="1"/>
    <col min="3" max="3" width="12" style="1" customWidth="1"/>
    <col min="4" max="4" width="28" style="1" customWidth="1"/>
    <col min="5" max="5" width="52" style="1" customWidth="1"/>
  </cols>
  <sheetData>
    <row r="1" spans="1:5" ht="25.5" customHeight="1">
      <c r="A1" s="128" t="s">
        <v>0</v>
      </c>
      <c r="B1" s="129"/>
      <c r="C1" s="129"/>
      <c r="D1" s="129"/>
      <c r="E1" s="130"/>
    </row>
    <row r="2" spans="1:5" ht="24.75" customHeight="1">
      <c r="A2" s="131" t="s">
        <v>44</v>
      </c>
      <c r="B2" s="132"/>
      <c r="C2" s="132"/>
      <c r="D2" s="132"/>
      <c r="E2" s="132"/>
    </row>
    <row r="3" spans="1:5" ht="15" customHeight="1">
      <c r="A3" s="76" t="str">
        <f>HYPERLINK("#INICIO!A1","◀ INICIO")</f>
        <v>◀ INICIO</v>
      </c>
      <c r="B3" s="133" t="str">
        <f>HYPERLINK("#CALCULOS!A1","▶  CALCULOS")</f>
        <v>▶  CALCULOS</v>
      </c>
      <c r="C3" s="134"/>
      <c r="D3" s="133" t="str">
        <f>HYPERLINK("#RESULTADOS!A1","▶ RESULTADOS")</f>
        <v>▶ RESULTADOS</v>
      </c>
      <c r="E3" s="134"/>
    </row>
    <row r="4" spans="1:5" ht="19.5" customHeight="1">
      <c r="A4" s="125" t="s">
        <v>46</v>
      </c>
      <c r="B4" s="123"/>
      <c r="C4" s="123"/>
      <c r="D4" s="123"/>
      <c r="E4" s="124"/>
    </row>
    <row r="5" spans="1:5" ht="15" customHeight="1">
      <c r="A5" s="122" t="s">
        <v>47</v>
      </c>
      <c r="B5" s="123"/>
      <c r="C5" s="123"/>
      <c r="D5" s="123"/>
      <c r="E5" s="124"/>
    </row>
    <row r="6" spans="1:5" ht="15" customHeight="1">
      <c r="A6" s="34" t="s">
        <v>48</v>
      </c>
      <c r="B6" s="34" t="s">
        <v>49</v>
      </c>
      <c r="C6" s="34" t="s">
        <v>50</v>
      </c>
      <c r="D6" s="34" t="s">
        <v>51</v>
      </c>
      <c r="E6" s="34" t="s">
        <v>52</v>
      </c>
    </row>
    <row r="7" spans="1:5" ht="15" customHeight="1">
      <c r="A7" s="62" t="s">
        <v>53</v>
      </c>
      <c r="B7" s="39" t="s">
        <v>54</v>
      </c>
      <c r="C7" s="60" t="s">
        <v>55</v>
      </c>
      <c r="D7" s="61" t="s">
        <v>56</v>
      </c>
      <c r="E7" s="63" t="s">
        <v>57</v>
      </c>
    </row>
    <row r="8" spans="1:5" ht="15" customHeight="1">
      <c r="A8" s="62" t="s">
        <v>14</v>
      </c>
      <c r="B8" s="42">
        <v>46217</v>
      </c>
      <c r="C8" s="60" t="s">
        <v>58</v>
      </c>
      <c r="D8" s="61" t="s">
        <v>14</v>
      </c>
      <c r="E8" s="63" t="s">
        <v>59</v>
      </c>
    </row>
    <row r="9" spans="1:5" ht="15" customHeight="1">
      <c r="A9" s="62" t="s">
        <v>60</v>
      </c>
      <c r="B9" s="39" t="s">
        <v>61</v>
      </c>
      <c r="C9" s="60" t="s">
        <v>55</v>
      </c>
      <c r="D9" s="61" t="s">
        <v>56</v>
      </c>
      <c r="E9" s="63" t="s">
        <v>62</v>
      </c>
    </row>
    <row r="10" spans="1:5" ht="15" customHeight="1">
      <c r="A10" s="62" t="s">
        <v>63</v>
      </c>
      <c r="B10" s="39" t="s">
        <v>64</v>
      </c>
      <c r="C10" s="60" t="s">
        <v>55</v>
      </c>
      <c r="D10" s="61" t="s">
        <v>65</v>
      </c>
      <c r="E10" s="63" t="s">
        <v>66</v>
      </c>
    </row>
    <row r="11" spans="1:5" ht="15" customHeight="1">
      <c r="A11" s="62" t="s">
        <v>67</v>
      </c>
      <c r="B11" s="43">
        <v>34</v>
      </c>
      <c r="C11" s="60" t="s">
        <v>68</v>
      </c>
      <c r="D11" s="61" t="s">
        <v>69</v>
      </c>
      <c r="E11" s="63" t="s">
        <v>70</v>
      </c>
    </row>
    <row r="12" spans="1:5" ht="15" customHeight="1">
      <c r="A12" s="62" t="s">
        <v>71</v>
      </c>
      <c r="B12" s="44">
        <v>80</v>
      </c>
      <c r="C12" s="60" t="s">
        <v>72</v>
      </c>
      <c r="D12" s="61" t="s">
        <v>73</v>
      </c>
      <c r="E12" s="63" t="s">
        <v>74</v>
      </c>
    </row>
    <row r="13" spans="1:5" ht="15" customHeight="1">
      <c r="A13" s="62" t="s">
        <v>75</v>
      </c>
      <c r="B13" s="44">
        <v>180</v>
      </c>
      <c r="C13" s="60" t="s">
        <v>76</v>
      </c>
      <c r="D13" s="61" t="s">
        <v>77</v>
      </c>
      <c r="E13" s="63" t="s">
        <v>78</v>
      </c>
    </row>
    <row r="14" spans="1:5" ht="15" customHeight="1">
      <c r="A14" s="62" t="s">
        <v>79</v>
      </c>
      <c r="B14" s="39" t="s">
        <v>80</v>
      </c>
      <c r="C14" s="60" t="s">
        <v>55</v>
      </c>
      <c r="D14" s="61" t="s">
        <v>81</v>
      </c>
      <c r="E14" s="63" t="s">
        <v>82</v>
      </c>
    </row>
    <row r="15" spans="1:5" ht="15" customHeight="1">
      <c r="A15" s="62" t="s">
        <v>83</v>
      </c>
      <c r="B15" s="39" t="s">
        <v>84</v>
      </c>
      <c r="C15" s="60" t="s">
        <v>55</v>
      </c>
      <c r="D15" s="61" t="s">
        <v>85</v>
      </c>
      <c r="E15" s="63" t="s">
        <v>86</v>
      </c>
    </row>
    <row r="16" spans="1:5" ht="15" customHeight="1">
      <c r="A16" s="62" t="s">
        <v>87</v>
      </c>
      <c r="B16" s="44">
        <v>6</v>
      </c>
      <c r="C16" s="60" t="s">
        <v>88</v>
      </c>
      <c r="D16" s="61" t="s">
        <v>89</v>
      </c>
      <c r="E16" s="63" t="s">
        <v>90</v>
      </c>
    </row>
    <row r="17" spans="1:5" ht="15" customHeight="1">
      <c r="A17" s="62" t="s">
        <v>91</v>
      </c>
      <c r="B17" s="44">
        <v>10</v>
      </c>
      <c r="C17" s="60" t="s">
        <v>88</v>
      </c>
      <c r="D17" s="61" t="s">
        <v>89</v>
      </c>
      <c r="E17" s="63" t="s">
        <v>92</v>
      </c>
    </row>
    <row r="18" spans="1:5" ht="15" customHeight="1">
      <c r="A18" s="62" t="s">
        <v>93</v>
      </c>
      <c r="B18" s="44">
        <v>14</v>
      </c>
      <c r="C18" s="60" t="s">
        <v>88</v>
      </c>
      <c r="D18" s="61" t="s">
        <v>89</v>
      </c>
      <c r="E18" s="63" t="s">
        <v>94</v>
      </c>
    </row>
    <row r="19" spans="1:5" ht="15" customHeight="1">
      <c r="A19" s="62" t="s">
        <v>95</v>
      </c>
      <c r="B19" s="44">
        <v>16</v>
      </c>
      <c r="C19" s="60" t="s">
        <v>88</v>
      </c>
      <c r="D19" s="61" t="s">
        <v>89</v>
      </c>
      <c r="E19" s="63" t="s">
        <v>96</v>
      </c>
    </row>
    <row r="20" spans="1:5" ht="15" customHeight="1">
      <c r="A20" s="62" t="s">
        <v>97</v>
      </c>
      <c r="B20" s="44">
        <v>38</v>
      </c>
      <c r="C20" s="60" t="s">
        <v>76</v>
      </c>
      <c r="D20" s="61" t="s">
        <v>98</v>
      </c>
      <c r="E20" s="63" t="s">
        <v>99</v>
      </c>
    </row>
    <row r="21" spans="1:5" ht="21" customHeight="1">
      <c r="A21" s="62" t="s">
        <v>100</v>
      </c>
      <c r="B21" s="44">
        <v>88</v>
      </c>
      <c r="C21" s="60" t="s">
        <v>76</v>
      </c>
      <c r="D21" s="61" t="s">
        <v>101</v>
      </c>
      <c r="E21" s="63" t="s">
        <v>102</v>
      </c>
    </row>
    <row r="22" spans="1:5" ht="21.75" customHeight="1">
      <c r="A22" s="62" t="s">
        <v>103</v>
      </c>
      <c r="B22" s="44">
        <v>100</v>
      </c>
      <c r="C22" s="60" t="s">
        <v>76</v>
      </c>
      <c r="D22" s="61" t="s">
        <v>104</v>
      </c>
      <c r="E22" s="63" t="s">
        <v>105</v>
      </c>
    </row>
    <row r="23" spans="1:5" ht="15" customHeight="1">
      <c r="A23" s="62" t="s">
        <v>106</v>
      </c>
      <c r="B23" s="39"/>
      <c r="C23" s="60" t="s">
        <v>55</v>
      </c>
      <c r="D23" s="61" t="s">
        <v>56</v>
      </c>
      <c r="E23" s="63" t="s">
        <v>107</v>
      </c>
    </row>
    <row r="25" spans="1:5" ht="15" customHeight="1">
      <c r="A25" s="126" t="s">
        <v>108</v>
      </c>
      <c r="B25" s="127"/>
      <c r="C25" s="127"/>
      <c r="D25" s="127"/>
      <c r="E25" s="127"/>
    </row>
  </sheetData>
  <sheetProtection algorithmName="SHA-512" hashValue="Y2WeJoVW2pt0rU/cbqVq4T+ix3a29xyOO2iy2xCfDt4z6Z87nWFiENERf+udvvDEpByzNFtqIZAFKb3513O1gA==" saltValue="XgEVGidz6w0/61mCxxhqFg==" spinCount="100000" sheet="1" objects="1" scenarios="1"/>
  <protectedRanges>
    <protectedRange sqref="B7:B23" name="valores"/>
  </protectedRanges>
  <mergeCells count="7">
    <mergeCell ref="A5:E5"/>
    <mergeCell ref="A4:E4"/>
    <mergeCell ref="A25:E25"/>
    <mergeCell ref="A1:E1"/>
    <mergeCell ref="A2:E2"/>
    <mergeCell ref="B3:C3"/>
    <mergeCell ref="D3:E3"/>
  </mergeCells>
  <dataValidations count="10">
    <dataValidation type="list" allowBlank="1" sqref="B10" xr:uid="{00000000-0002-0000-0100-000000000000}">
      <formula1>SEXOS</formula1>
      <formula2>0</formula2>
    </dataValidation>
    <dataValidation type="decimal" allowBlank="1" sqref="B11" xr:uid="{00000000-0002-0000-0100-000001000000}">
      <formula1>EDAD_MIN</formula1>
      <formula2>EDAD_MAX</formula2>
    </dataValidation>
    <dataValidation type="decimal" allowBlank="1" sqref="B12" xr:uid="{00000000-0002-0000-0100-000002000000}">
      <formula1>PESO_MIN</formula1>
      <formula2>PESO_MAX</formula2>
    </dataValidation>
    <dataValidation type="decimal" allowBlank="1" sqref="B13" xr:uid="{00000000-0002-0000-0100-000003000000}">
      <formula1>EST_MIN</formula1>
      <formula2>EST_MAX</formula2>
    </dataValidation>
    <dataValidation type="list" allowBlank="1" sqref="B14" xr:uid="{00000000-0002-0000-0100-000004000000}">
      <formula1>LISTA_MET</formula1>
      <formula2>0</formula2>
    </dataValidation>
    <dataValidation type="list" allowBlank="1" sqref="B15" xr:uid="{00000000-0002-0000-0100-000005000000}">
      <formula1>LISTA_DEN</formula1>
      <formula2>0</formula2>
    </dataValidation>
    <dataValidation type="decimal" allowBlank="1" sqref="B16:B19" xr:uid="{00000000-0002-0000-0100-000006000000}">
      <formula1>PLI_MIN</formula1>
      <formula2>PLI_MAX</formula2>
    </dataValidation>
    <dataValidation type="decimal" allowBlank="1" sqref="B20" xr:uid="{00000000-0002-0000-0100-000007000000}">
      <formula1>CUE_MIN</formula1>
      <formula2>CUE_MAX</formula2>
    </dataValidation>
    <dataValidation type="decimal" allowBlank="1" sqref="B21" xr:uid="{00000000-0002-0000-0100-000008000000}">
      <formula1>CIN_MIN</formula1>
      <formula2>CIN_MAX</formula2>
    </dataValidation>
    <dataValidation type="decimal" allowBlank="1" sqref="B22" xr:uid="{00000000-0002-0000-0100-000009000000}">
      <formula1>CAD_MIN</formula1>
      <formula2>CAD_MAX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C6B72"/>
  </sheetPr>
  <dimension ref="A1:D58"/>
  <sheetViews>
    <sheetView showGridLines="0" zoomScaleNormal="100" workbookViewId="0">
      <pane ySplit="5" topLeftCell="A6" activePane="bottomLeft" state="frozen"/>
      <selection pane="bottomLeft" sqref="A1:D1"/>
    </sheetView>
  </sheetViews>
  <sheetFormatPr baseColWidth="10" defaultColWidth="8.7109375" defaultRowHeight="15"/>
  <cols>
    <col min="1" max="1" width="48" style="1" customWidth="1"/>
    <col min="2" max="2" width="32.42578125" style="1" customWidth="1"/>
    <col min="3" max="3" width="14" style="1" customWidth="1"/>
    <col min="4" max="4" width="46" style="1" customWidth="1"/>
  </cols>
  <sheetData>
    <row r="1" spans="1:4" ht="25.5" customHeight="1">
      <c r="A1" s="37" t="s">
        <v>0</v>
      </c>
      <c r="B1" s="31"/>
      <c r="C1" s="31"/>
      <c r="D1" s="31"/>
    </row>
    <row r="2" spans="1:4" ht="15" customHeight="1">
      <c r="A2" s="135" t="s">
        <v>109</v>
      </c>
      <c r="B2" s="135"/>
      <c r="C2" s="135"/>
      <c r="D2" s="135"/>
    </row>
    <row r="3" spans="1:4" ht="15" customHeight="1">
      <c r="A3" s="38" t="s">
        <v>110</v>
      </c>
      <c r="B3" s="32"/>
      <c r="C3" s="38" t="s">
        <v>45</v>
      </c>
      <c r="D3" s="32"/>
    </row>
    <row r="4" spans="1:4" ht="27.75" customHeight="1">
      <c r="A4" s="125" t="s">
        <v>111</v>
      </c>
      <c r="B4" s="123"/>
      <c r="C4" s="123"/>
      <c r="D4" s="124"/>
    </row>
    <row r="5" spans="1:4">
      <c r="A5" s="32"/>
      <c r="B5" s="32"/>
      <c r="C5" s="32"/>
      <c r="D5" s="32"/>
    </row>
    <row r="6" spans="1:4" ht="15" customHeight="1">
      <c r="A6" s="45" t="s">
        <v>112</v>
      </c>
      <c r="B6" s="35"/>
      <c r="C6" s="35"/>
      <c r="D6" s="35"/>
    </row>
    <row r="7" spans="1:4" ht="15" customHeight="1">
      <c r="A7" s="64" t="s">
        <v>113</v>
      </c>
      <c r="B7" s="64" t="s">
        <v>49</v>
      </c>
      <c r="C7" s="64" t="s">
        <v>50</v>
      </c>
      <c r="D7" s="64" t="s">
        <v>114</v>
      </c>
    </row>
    <row r="8" spans="1:4" ht="15" customHeight="1">
      <c r="A8" s="59" t="s">
        <v>115</v>
      </c>
      <c r="B8" s="66">
        <f>IF(ISNUMBER(in_Est),in_Est/100,"ND: estatura")</f>
        <v>1.8</v>
      </c>
      <c r="C8" s="60" t="s">
        <v>116</v>
      </c>
      <c r="D8" s="61" t="s">
        <v>117</v>
      </c>
    </row>
    <row r="9" spans="1:4" ht="15" customHeight="1">
      <c r="A9" s="59" t="s">
        <v>118</v>
      </c>
      <c r="B9" s="67">
        <f>IF(AND(ISNUMBER(in_Peso),ISNUMBER(in_Est),in_Est&gt;0),in_Peso/(in_Est/100)^2,"ND: faltan peso o estatura")</f>
        <v>24.691358024691358</v>
      </c>
      <c r="C9" s="60" t="s">
        <v>119</v>
      </c>
      <c r="D9" s="61" t="s">
        <v>120</v>
      </c>
    </row>
    <row r="10" spans="1:4" ht="15" customHeight="1">
      <c r="A10" s="59" t="s">
        <v>121</v>
      </c>
      <c r="B10" s="68">
        <f>IF(AND(ISNUMBER(in_PliBi),ISNUMBER(in_PliTri),ISNUMBER(in_PliSub),ISNUMBER(in_PliSupra),in_PliBi&gt;0,in_PliTri&gt;0,in_PliSub&gt;0,in_PliSupra&gt;0),in_PliBi+in_PliTri+in_PliSub+in_PliSupra,"ND: faltan pliegues")</f>
        <v>46</v>
      </c>
      <c r="C10" s="60" t="s">
        <v>88</v>
      </c>
      <c r="D10" s="61" t="s">
        <v>122</v>
      </c>
    </row>
    <row r="11" spans="1:4" ht="15" customHeight="1">
      <c r="A11" s="45" t="s">
        <v>123</v>
      </c>
      <c r="B11" s="35"/>
      <c r="C11" s="35"/>
      <c r="D11" s="65"/>
    </row>
    <row r="12" spans="1:4" ht="15" customHeight="1">
      <c r="A12" s="64" t="s">
        <v>113</v>
      </c>
      <c r="B12" s="64" t="s">
        <v>49</v>
      </c>
      <c r="C12" s="64" t="s">
        <v>50</v>
      </c>
      <c r="D12" s="64" t="s">
        <v>114</v>
      </c>
    </row>
    <row r="13" spans="1:4" ht="15" customHeight="1">
      <c r="A13" s="59" t="s">
        <v>124</v>
      </c>
      <c r="B13" s="69" t="str">
        <f>IF(AND(COUNTIF(SEXOS,in_Sexo)&gt;0,ISNUMBER(in_Edad),in_Edad&gt;=EDAD_MIN,in_Edad&lt;=EDAD_MAX,ISNUMBER(in_Peso),in_Peso&gt;=PESO_MIN,in_Peso&lt;=PESO_MAX,ISNUMBER(in_Est),in_Est&gt;=EST_MIN,in_Est&lt;=EST_MAX),"SÍ","NO")</f>
        <v>SÍ</v>
      </c>
      <c r="C13" s="60" t="s">
        <v>55</v>
      </c>
      <c r="D13" s="61" t="s">
        <v>125</v>
      </c>
    </row>
    <row r="14" spans="1:4" ht="15" customHeight="1">
      <c r="A14" s="45" t="s">
        <v>126</v>
      </c>
      <c r="B14" s="35"/>
      <c r="C14" s="35"/>
      <c r="D14" s="65"/>
    </row>
    <row r="15" spans="1:4" ht="15" customHeight="1">
      <c r="A15" s="64" t="s">
        <v>113</v>
      </c>
      <c r="B15" s="64" t="s">
        <v>49</v>
      </c>
      <c r="C15" s="64" t="s">
        <v>50</v>
      </c>
      <c r="D15" s="64" t="s">
        <v>114</v>
      </c>
    </row>
    <row r="16" spans="1:4" ht="15" customHeight="1">
      <c r="A16" s="59" t="s">
        <v>127</v>
      </c>
      <c r="B16" s="70">
        <f>IF(AND(c_Gate="SÍ",ISNUMBER(c_SumPli)),SUMPRODUCT((CONFIG!$A$80:$A$89=in_Sexo)*(CONFIG!$B$80:$B$89&lt;=in_Edad)*(CONFIG!$C$80:$C$89&gt;in_Edad)*CONFIG!$D$80:$D$89),"ND")</f>
        <v>1.1422000000000001</v>
      </c>
      <c r="C16" s="60" t="s">
        <v>55</v>
      </c>
      <c r="D16" s="61" t="s">
        <v>128</v>
      </c>
    </row>
    <row r="17" spans="1:4" ht="15" customHeight="1">
      <c r="A17" s="59" t="s">
        <v>129</v>
      </c>
      <c r="B17" s="70">
        <f>IF(AND(c_Gate="SÍ",ISNUMBER(c_SumPli)),SUMPRODUCT((CONFIG!$A$80:$A$89=in_Sexo)*(CONFIG!$B$80:$B$89&lt;=in_Edad)*(CONFIG!$C$80:$C$89&gt;in_Edad)*CONFIG!$E$80:$E$89),"ND")</f>
        <v>5.4399999999999997E-2</v>
      </c>
      <c r="C17" s="60" t="s">
        <v>55</v>
      </c>
      <c r="D17" s="61" t="s">
        <v>130</v>
      </c>
    </row>
    <row r="18" spans="1:4" ht="15" customHeight="1">
      <c r="A18" s="59" t="s">
        <v>131</v>
      </c>
      <c r="B18" s="71">
        <f>IF(AND(ISNUMBER(c_DWc),ISNUMBER(c_DWm),ISNUMBER(c_SumPli)),c_DWc-c_DWm*LOG10(c_SumPli),"ND")</f>
        <v>1.0517459739565225</v>
      </c>
      <c r="C18" s="60" t="s">
        <v>132</v>
      </c>
      <c r="D18" s="61" t="s">
        <v>133</v>
      </c>
    </row>
    <row r="19" spans="1:4" ht="15" customHeight="1">
      <c r="A19" s="59" t="s">
        <v>134</v>
      </c>
      <c r="B19" s="72">
        <f>IF(ISNUMBER(c_Dens),IF(in_Conv="Brožek (1963)",(BRO_A/c_Dens-BRO_B)/100,(SIRI_A/c_Dens-SIRI_B)/100),"ND")</f>
        <v>0.20645966095671042</v>
      </c>
      <c r="C19" s="60" t="s">
        <v>135</v>
      </c>
      <c r="D19" s="61" t="s">
        <v>136</v>
      </c>
    </row>
    <row r="20" spans="1:4" ht="15" customHeight="1">
      <c r="A20" s="59" t="s">
        <v>137</v>
      </c>
      <c r="B20" s="72">
        <f>IF(AND(c_Gate="SÍ",ISNUMBER(in_Cuello),ISNUMBER(in_Cintura),IF(in_Sexo="Mujer",ISNUMBER(in_Cadera),TRUE())),IF(in_Sexo="Hombre",IF((in_Cintura-in_Cuello)&gt;0,(SIRI_A/(NAVY_H0-NAVY_H1*LOG10(in_Cintura-in_Cuello)+NAVY_H2*LOG10(in_Est))-SIRI_B)/100,"ND: cintura≤cuello"),IF((in_Cintura+in_Cadera-in_Cuello)&gt;0,(SIRI_A/(NAVY_M0-NAVY_M1*LOG10(in_Cintura+in_Cadera-in_Cuello)+NAVY_M2*LOG10(in_Est))-SIRI_B)/100,"ND")),"ND: faltan circunferencias")</f>
        <v>0.18367495150229843</v>
      </c>
      <c r="C20" s="60" t="s">
        <v>135</v>
      </c>
      <c r="D20" s="61" t="s">
        <v>138</v>
      </c>
    </row>
    <row r="21" spans="1:4" ht="15" customHeight="1">
      <c r="A21" s="59" t="s">
        <v>139</v>
      </c>
      <c r="B21" s="72">
        <f>IF(AND(c_Gate="SÍ",ISNUMBER(c_IMC)),(DEU_IMC*c_IMC+DEU_EDAD*in_Edad-DEU_SEXO*IF(in_Sexo="Hombre",1,0)-DEU_CONST)/100,"ND")</f>
        <v>0.21249629629629624</v>
      </c>
      <c r="C21" s="60" t="s">
        <v>135</v>
      </c>
      <c r="D21" s="61" t="s">
        <v>140</v>
      </c>
    </row>
    <row r="22" spans="1:4" ht="15" customHeight="1">
      <c r="A22" s="45" t="s">
        <v>141</v>
      </c>
      <c r="B22" s="35"/>
      <c r="C22" s="35"/>
      <c r="D22" s="65"/>
    </row>
    <row r="23" spans="1:4" ht="15" customHeight="1">
      <c r="A23" s="64" t="s">
        <v>113</v>
      </c>
      <c r="B23" s="64" t="s">
        <v>49</v>
      </c>
      <c r="C23" s="64" t="s">
        <v>50</v>
      </c>
      <c r="D23" s="64" t="s">
        <v>114</v>
      </c>
    </row>
    <row r="24" spans="1:4" ht="15" customHeight="1">
      <c r="A24" s="59" t="s">
        <v>142</v>
      </c>
      <c r="B24" s="73">
        <f>CHOOSE(MATCH(in_Metodo,LISTA_MET,0),c_GrPli,c_GrNavy,c_GrDeu)</f>
        <v>0.20645966095671042</v>
      </c>
      <c r="C24" s="60" t="s">
        <v>135</v>
      </c>
      <c r="D24" s="61" t="s">
        <v>143</v>
      </c>
    </row>
    <row r="25" spans="1:4" ht="15" customHeight="1">
      <c r="A25" s="59" t="s">
        <v>144</v>
      </c>
      <c r="B25" s="74">
        <f>COUNT(c_GrPli,c_GrNavy,c_GrDeu)</f>
        <v>3</v>
      </c>
      <c r="C25" s="60" t="s">
        <v>55</v>
      </c>
      <c r="D25" s="61" t="s">
        <v>145</v>
      </c>
    </row>
    <row r="26" spans="1:4" ht="15" customHeight="1">
      <c r="A26" s="59" t="s">
        <v>146</v>
      </c>
      <c r="B26" s="72">
        <f>IF(c_n&gt;0,AVERAGE(c_GrPli,c_GrNavy,c_GrDeu),"ND")</f>
        <v>0.20087696958510168</v>
      </c>
      <c r="C26" s="60" t="s">
        <v>135</v>
      </c>
      <c r="D26" s="61" t="s">
        <v>147</v>
      </c>
    </row>
    <row r="27" spans="1:4" ht="15" customHeight="1">
      <c r="A27" s="59" t="s">
        <v>148</v>
      </c>
      <c r="B27" s="72">
        <f>IF(c_n&gt;0,MIN(c_GrPli,c_GrNavy,c_GrDeu),"ND")</f>
        <v>0.18367495150229843</v>
      </c>
      <c r="C27" s="60" t="s">
        <v>135</v>
      </c>
      <c r="D27" s="61"/>
    </row>
    <row r="28" spans="1:4" ht="15" customHeight="1">
      <c r="A28" s="59" t="s">
        <v>149</v>
      </c>
      <c r="B28" s="72">
        <f>IF(c_n&gt;0,MAX(c_GrPli,c_GrNavy,c_GrDeu),"ND")</f>
        <v>0.21249629629629624</v>
      </c>
      <c r="C28" s="60" t="s">
        <v>135</v>
      </c>
      <c r="D28" s="61"/>
    </row>
    <row r="29" spans="1:4" ht="15" customHeight="1">
      <c r="A29" s="59" t="s">
        <v>150</v>
      </c>
      <c r="B29" s="72">
        <f>IF(AND(ISNUMBER(c_min),ISNUMBER(c_max)),c_max-c_min,"ND")</f>
        <v>2.8821344793997811E-2</v>
      </c>
      <c r="C29" s="60" t="s">
        <v>135</v>
      </c>
      <c r="D29" s="61"/>
    </row>
    <row r="30" spans="1:4" ht="15" customHeight="1">
      <c r="A30" s="59" t="s">
        <v>151</v>
      </c>
      <c r="B30" s="72">
        <f>IF(AND(ISNUMBER(c_rango),ISNUMBER(c_prom),c_prom&gt;0),c_rango/c_prom,"ND")</f>
        <v>0.14347759652849415</v>
      </c>
      <c r="C30" s="60" t="s">
        <v>55</v>
      </c>
      <c r="D30" s="61" t="s">
        <v>152</v>
      </c>
    </row>
    <row r="31" spans="1:4" ht="27.75" customHeight="1">
      <c r="A31" s="59" t="s">
        <v>153</v>
      </c>
      <c r="B31" s="75" t="str">
        <f>IF(ISNUMBER(c_ampl),IF(c_ampl&lt;=DISP_MAX,"OK: los métodos disponibles concuerdan dentro del umbral.","ATENCIÓN: los métodos discrepan más que el umbral configurado."),"ND")</f>
        <v>OK: los métodos disponibles concuerdan dentro del umbral.</v>
      </c>
      <c r="C31" s="60" t="s">
        <v>55</v>
      </c>
      <c r="D31" s="61" t="s">
        <v>154</v>
      </c>
    </row>
    <row r="32" spans="1:4" ht="15" customHeight="1">
      <c r="A32" s="45" t="s">
        <v>155</v>
      </c>
      <c r="B32" s="35"/>
      <c r="C32" s="35"/>
      <c r="D32" s="65"/>
    </row>
    <row r="33" spans="1:4" ht="15" customHeight="1">
      <c r="A33" s="46" t="s">
        <v>113</v>
      </c>
      <c r="B33" s="46" t="s">
        <v>49</v>
      </c>
      <c r="C33" s="46" t="s">
        <v>50</v>
      </c>
      <c r="D33" s="64" t="s">
        <v>114</v>
      </c>
    </row>
    <row r="34" spans="1:4" ht="15" customHeight="1">
      <c r="A34" s="36" t="s">
        <v>156</v>
      </c>
      <c r="B34" s="48">
        <f>IF(AND(ISNUMBER(c_GrRep),ISNUMBER(in_Peso)),c_GrRep*in_Peso,"ND")</f>
        <v>16.516772876536834</v>
      </c>
      <c r="C34" s="40" t="s">
        <v>72</v>
      </c>
      <c r="D34" s="61" t="s">
        <v>157</v>
      </c>
    </row>
    <row r="35" spans="1:4" ht="15" customHeight="1">
      <c r="A35" s="36" t="s">
        <v>158</v>
      </c>
      <c r="B35" s="48">
        <f>IF(AND(ISNUMBER(c_MG),ISNUMBER(in_Peso)),in_Peso-c_MG,"ND")</f>
        <v>63.483227123463166</v>
      </c>
      <c r="C35" s="40" t="s">
        <v>72</v>
      </c>
      <c r="D35" s="61" t="s">
        <v>159</v>
      </c>
    </row>
    <row r="36" spans="1:4" ht="15" customHeight="1">
      <c r="A36" s="36" t="s">
        <v>160</v>
      </c>
      <c r="B36" s="48">
        <f>IF(AND(ISNUMBER(c_MG),ISNUMBER(c_TallaM),c_TallaM&gt;0),c_MG/c_TallaM^2,"ND")</f>
        <v>5.0977694063385286</v>
      </c>
      <c r="C36" s="40" t="s">
        <v>119</v>
      </c>
      <c r="D36" s="61" t="s">
        <v>161</v>
      </c>
    </row>
    <row r="37" spans="1:4" ht="15" customHeight="1">
      <c r="A37" s="36" t="s">
        <v>162</v>
      </c>
      <c r="B37" s="48">
        <f>IF(AND(ISNUMBER(c_MLG),ISNUMBER(c_TallaM),c_TallaM&gt;0),c_MLG/c_TallaM^2,"ND")</f>
        <v>19.593588618352829</v>
      </c>
      <c r="C37" s="40" t="s">
        <v>119</v>
      </c>
      <c r="D37" s="61" t="s">
        <v>163</v>
      </c>
    </row>
    <row r="38" spans="1:4" ht="15" customHeight="1">
      <c r="A38" s="45" t="s">
        <v>164</v>
      </c>
      <c r="B38" s="35"/>
      <c r="C38" s="35"/>
      <c r="D38" s="65"/>
    </row>
    <row r="39" spans="1:4" ht="15" customHeight="1">
      <c r="A39" s="46" t="s">
        <v>113</v>
      </c>
      <c r="B39" s="46" t="s">
        <v>49</v>
      </c>
      <c r="C39" s="46" t="s">
        <v>50</v>
      </c>
      <c r="D39" s="64" t="s">
        <v>114</v>
      </c>
    </row>
    <row r="40" spans="1:4" ht="15" customHeight="1">
      <c r="A40" s="36" t="s">
        <v>165</v>
      </c>
      <c r="B40" s="47">
        <f>IF(AND(ISNUMBER(in_Cintura),ISNUMBER(in_Cadera),in_Cadera&gt;0),in_Cintura/in_Cadera,"ND")</f>
        <v>0.88</v>
      </c>
      <c r="C40" s="40" t="s">
        <v>55</v>
      </c>
      <c r="D40" s="61" t="s">
        <v>166</v>
      </c>
    </row>
    <row r="41" spans="1:4" ht="15" customHeight="1">
      <c r="A41" s="36" t="s">
        <v>167</v>
      </c>
      <c r="B41" s="47">
        <f>IF(AND(ISNUMBER(in_Cintura),ISNUMBER(in_Est),in_Est&gt;0),in_Cintura/in_Est,"ND")</f>
        <v>0.48888888888888887</v>
      </c>
      <c r="C41" s="40" t="s">
        <v>55</v>
      </c>
      <c r="D41" s="61" t="s">
        <v>168</v>
      </c>
    </row>
    <row r="42" spans="1:4" ht="15" customHeight="1">
      <c r="A42" s="36" t="s">
        <v>169</v>
      </c>
      <c r="B42" s="50" t="str">
        <f>IF(ISNUMBER(in_Cintura),IF(in_Cintura&gt;=IF(in_Sexo="Hombre",CINT_H,CINT_M),"Riesgo aumentado","Sin riesgo aumentado"),"ND")</f>
        <v>Sin riesgo aumentado</v>
      </c>
      <c r="C42" s="40" t="s">
        <v>55</v>
      </c>
      <c r="D42" s="61" t="s">
        <v>170</v>
      </c>
    </row>
    <row r="43" spans="1:4" ht="15" customHeight="1">
      <c r="A43" s="36" t="s">
        <v>171</v>
      </c>
      <c r="B43" s="50" t="str">
        <f>IF(ISNUMBER(c_ICC),IF(c_ICC&gt;=IF(in_Sexo="Hombre",ICC_H,ICC_M),"Riesgo aumentado","Sin riesgo aumentado"),"ND")</f>
        <v>Sin riesgo aumentado</v>
      </c>
      <c r="C43" s="40" t="s">
        <v>55</v>
      </c>
      <c r="D43" s="61" t="s">
        <v>172</v>
      </c>
    </row>
    <row r="44" spans="1:4" ht="15" customHeight="1">
      <c r="A44" s="36" t="s">
        <v>173</v>
      </c>
      <c r="B44" s="50" t="str">
        <f>IF(ISNUMBER(c_ICE),IF(c_ICE&gt;=ICE_R,"Riesgo aumentado","Sin riesgo aumentado"),"ND")</f>
        <v>Sin riesgo aumentado</v>
      </c>
      <c r="C44" s="40" t="s">
        <v>55</v>
      </c>
      <c r="D44" s="61" t="s">
        <v>174</v>
      </c>
    </row>
    <row r="45" spans="1:4" ht="15" customHeight="1">
      <c r="A45" s="45" t="s">
        <v>175</v>
      </c>
      <c r="B45" s="35"/>
      <c r="C45" s="35"/>
      <c r="D45" s="65"/>
    </row>
    <row r="46" spans="1:4" ht="15" customHeight="1">
      <c r="A46" s="46" t="s">
        <v>113</v>
      </c>
      <c r="B46" s="46" t="s">
        <v>49</v>
      </c>
      <c r="C46" s="46" t="s">
        <v>50</v>
      </c>
      <c r="D46" s="64" t="s">
        <v>114</v>
      </c>
    </row>
    <row r="47" spans="1:4" ht="15" customHeight="1">
      <c r="A47" s="36" t="s">
        <v>176</v>
      </c>
      <c r="B47" s="50" t="str">
        <f>IF(ISNUMBER(c_IMC),IF(AND(ISNUMBER(in_Edad),in_Edad&gt;=EDAD_AM),IF(c_IMC&lt;AM_C1,"Bajo peso (MINSAL AM)",IF(c_IMC&lt;AM_C2,"Normal (MINSAL AM)",IF(c_IMC&lt;AM_C3,"Sobrepeso (MINSAL AM)","Obesidad (MINSAL AM)"))),IF(c_IMC&lt;IMC_C1,"Bajo peso (OMS)",IF(c_IMC&lt;IMC_C2,"Normal (OMS)",IF(c_IMC&lt;IMC_C3,"Sobrepeso (OMS)",IF(c_IMC&lt;IMC_C4,"Obesidad I (OMS)",IF(c_IMC&lt;IMC_C5,"Obesidad II (OMS)","Obesidad III (OMS)")))))),"ND")</f>
        <v>Normal (OMS)</v>
      </c>
      <c r="C47" s="40" t="s">
        <v>55</v>
      </c>
      <c r="D47" s="61" t="s">
        <v>177</v>
      </c>
    </row>
    <row r="48" spans="1:4" ht="15" customHeight="1">
      <c r="A48" s="36" t="s">
        <v>178</v>
      </c>
      <c r="B48" s="50" t="str">
        <f>IF(ISNUMBER(c_GrRep),INDEX(CONFIG!$B$95:$B$104,IF(in_Sexo="Hombre",0,5)+MAX(1,SUMPRODUCT((CONFIG!$A$95:$A$104=in_Sexo)*(CONFIG!$C$95:$C$104&lt;=c_GrRep)))),"ND")</f>
        <v>Aceptable</v>
      </c>
      <c r="C48" s="40" t="s">
        <v>55</v>
      </c>
      <c r="D48" s="61" t="s">
        <v>179</v>
      </c>
    </row>
    <row r="49" spans="1:4" ht="15" customHeight="1">
      <c r="A49" s="45" t="s">
        <v>180</v>
      </c>
      <c r="B49" s="35"/>
      <c r="C49" s="35"/>
      <c r="D49" s="35"/>
    </row>
    <row r="50" spans="1:4" ht="15" customHeight="1">
      <c r="A50" s="46" t="s">
        <v>113</v>
      </c>
      <c r="B50" s="46" t="s">
        <v>49</v>
      </c>
      <c r="C50" s="46" t="s">
        <v>50</v>
      </c>
      <c r="D50" s="46" t="s">
        <v>114</v>
      </c>
    </row>
    <row r="51" spans="1:4" ht="15" customHeight="1">
      <c r="A51" s="36" t="s">
        <v>181</v>
      </c>
      <c r="B51" s="136" t="str">
        <f>IF(c_Gate="NO","Corrija los datos imposibles (sexo, edad, peso o estatura) antes de interpretar.","—")</f>
        <v>—</v>
      </c>
      <c r="C51" s="123"/>
      <c r="D51" s="124"/>
    </row>
    <row r="52" spans="1:4" ht="15" customHeight="1">
      <c r="A52" s="36" t="s">
        <v>182</v>
      </c>
      <c r="B52" s="136" t="str">
        <f>IF(ISNUMBER(c_GrRep),"—","El método elegido no tiene datos suficientes; elija otro o complete los campos.")</f>
        <v>—</v>
      </c>
      <c r="C52" s="123"/>
      <c r="D52" s="124"/>
    </row>
    <row r="53" spans="1:4" ht="15" customHeight="1">
      <c r="A53" s="36" t="s">
        <v>183</v>
      </c>
      <c r="B53" s="136" t="str">
        <f>IF(AND(ISNUMBER(c_ampl),c_ampl&gt;DISP_MAX),"Los tres métodos discrepan más que el umbral: interprete con cautela y prefiera medición de referencia.","—")</f>
        <v>—</v>
      </c>
      <c r="C53" s="123"/>
      <c r="D53" s="124"/>
    </row>
    <row r="54" spans="1:4" ht="15" customHeight="1">
      <c r="A54" s="36" t="s">
        <v>184</v>
      </c>
      <c r="B54" s="136" t="str">
        <f>IF(OR(AND(ISNUMBER(in_PliBi),in_PliBi&gt;PLI_MAX),AND(ISNUMBER(in_PliTri),in_PliTri&gt;PLI_MAX),AND(ISNUMBER(in_PliSub),in_PliSub&gt;PLI_MAX),AND(ISNUMBER(in_PliSupra),in_PliSupra&gt;PLI_MAX)),"Algún pliegue supera el máximo del catálogo: verifique la medición.","—")</f>
        <v>—</v>
      </c>
      <c r="C54" s="123"/>
      <c r="D54" s="124"/>
    </row>
    <row r="55" spans="1:4" ht="15" customHeight="1">
      <c r="A55" s="36" t="s">
        <v>185</v>
      </c>
      <c r="B55" s="136" t="str">
        <f>IF(AND(ISNUMBER(c_GrRep),OR(c_GrRep&lt;GRASA_MIN,c_GrRep&gt;GRASA_MAX)),"El % de grasa reportado está fuera del rango fisiológico plausible.","—")</f>
        <v>—</v>
      </c>
      <c r="C55" s="123"/>
      <c r="D55" s="124"/>
    </row>
    <row r="56" spans="1:4" ht="15" customHeight="1">
      <c r="A56" s="36" t="s">
        <v>186</v>
      </c>
      <c r="B56" s="136" t="str">
        <f>IF(ISNUMBER(c_GrNavy),"—","El método de circunferencias no se pudo calcular por datos faltantes.")</f>
        <v>—</v>
      </c>
      <c r="C56" s="123"/>
      <c r="D56" s="124"/>
    </row>
    <row r="57" spans="1:4" ht="15" customHeight="1">
      <c r="A57" s="36" t="s">
        <v>187</v>
      </c>
      <c r="B57" s="136" t="str">
        <f>IF(AND(ISNUMBER(c_GrRep),c_GrRep&lt;IF(in_Sexo="Hombre",0.05,0.13)),"El % de grasa está por debajo del nivel de grasa esencial de referencia.","—")</f>
        <v>—</v>
      </c>
      <c r="C57" s="123"/>
      <c r="D57" s="124"/>
    </row>
    <row r="58" spans="1:4" ht="23.25" customHeight="1">
      <c r="A58" s="36" t="s">
        <v>188</v>
      </c>
      <c r="B58" s="136" t="str">
        <f>"Exactitud matemática ≠ validación clínica. Son estimaciones poblacionales, no mediciones de referencia (DEXA, pesaje hidrostático)."</f>
        <v>Exactitud matemática ≠ validación clínica. Son estimaciones poblacionales, no mediciones de referencia (DEXA, pesaje hidrostático).</v>
      </c>
      <c r="C58" s="123"/>
      <c r="D58" s="124"/>
    </row>
  </sheetData>
  <sheetProtection algorithmName="SHA-512" hashValue="kKD+jJ6bssXvkGYLp/ghRUng/x6MR18H0VboCvDqapdoLRR+I/5LrQrac4yi6OqLdAPJtY4wJZz8nhI+u1iBCQ==" saltValue="UjWE+LJYoGQQJyr0MHQ5MQ==" spinCount="100000" sheet="1" objects="1" scenarios="1"/>
  <mergeCells count="10">
    <mergeCell ref="A2:D2"/>
    <mergeCell ref="B57:D57"/>
    <mergeCell ref="A4:D4"/>
    <mergeCell ref="B56:D56"/>
    <mergeCell ref="B58:D58"/>
    <mergeCell ref="B52:D52"/>
    <mergeCell ref="B53:D53"/>
    <mergeCell ref="B55:D55"/>
    <mergeCell ref="B51:D51"/>
    <mergeCell ref="B54:D5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C6B72"/>
  </sheetPr>
  <dimension ref="A1:F63"/>
  <sheetViews>
    <sheetView showGridLines="0" zoomScaleNormal="100" workbookViewId="0">
      <selection activeCell="P50" sqref="P50"/>
    </sheetView>
  </sheetViews>
  <sheetFormatPr baseColWidth="10" defaultColWidth="8.7109375" defaultRowHeight="15"/>
  <cols>
    <col min="1" max="1" width="36" style="1" customWidth="1"/>
    <col min="2" max="2" width="22" style="1" customWidth="1"/>
    <col min="3" max="3" width="18" style="1" customWidth="1"/>
    <col min="4" max="4" width="20" style="1" customWidth="1"/>
    <col min="5" max="6" width="18" style="1" customWidth="1"/>
  </cols>
  <sheetData>
    <row r="1" spans="1:6" ht="25.5" customHeight="1">
      <c r="A1" s="2" t="s">
        <v>0</v>
      </c>
      <c r="B1" s="3"/>
      <c r="C1" s="3"/>
      <c r="D1" s="3"/>
      <c r="E1" s="3"/>
      <c r="F1" s="3"/>
    </row>
    <row r="2" spans="1:6" ht="15" customHeight="1">
      <c r="A2" s="139" t="s">
        <v>189</v>
      </c>
      <c r="B2" s="139"/>
      <c r="C2" s="139"/>
      <c r="D2" s="139"/>
      <c r="E2" s="139"/>
      <c r="F2" s="139"/>
    </row>
    <row r="3" spans="1:6" ht="15" customHeight="1">
      <c r="A3" s="77" t="str">
        <f>HYPERLINK("#DATOS!A1","◀ DATOS")</f>
        <v>◀ DATOS</v>
      </c>
      <c r="B3" s="140" t="str">
        <f>HYPERLINK("#CALCULOS!A1","◀  CALCULOS")</f>
        <v>◀  CALCULOS</v>
      </c>
      <c r="C3" s="141"/>
      <c r="D3" s="142"/>
      <c r="E3" s="140" t="str">
        <f>HYPERLINK("#FUENTES!A1","▶  FUENTES")</f>
        <v>▶  FUENTES</v>
      </c>
      <c r="F3" s="142"/>
    </row>
    <row r="4" spans="1:6">
      <c r="A4" s="143" t="s">
        <v>190</v>
      </c>
      <c r="B4" s="143"/>
      <c r="C4" s="143"/>
      <c r="D4" s="143"/>
      <c r="E4" s="143"/>
      <c r="F4" s="143"/>
    </row>
    <row r="5" spans="1:6" ht="5.25" customHeight="1">
      <c r="A5" s="144"/>
      <c r="B5" s="144"/>
      <c r="C5" s="144"/>
      <c r="D5" s="144"/>
      <c r="E5" s="144"/>
      <c r="F5" s="144"/>
    </row>
    <row r="6" spans="1:6" ht="15" customHeight="1">
      <c r="A6" s="33" t="s">
        <v>191</v>
      </c>
      <c r="B6" s="137" t="str">
        <f>in_ID</f>
        <v>NMX-2026-0012</v>
      </c>
      <c r="C6" s="107"/>
      <c r="D6" s="107"/>
      <c r="E6" s="107"/>
      <c r="F6" s="107"/>
    </row>
    <row r="7" spans="1:6" ht="15" customHeight="1">
      <c r="A7" s="33" t="s">
        <v>14</v>
      </c>
      <c r="B7" s="150">
        <f>in_Fecha</f>
        <v>46217</v>
      </c>
      <c r="C7" s="107"/>
      <c r="D7" s="107"/>
      <c r="E7" s="107"/>
      <c r="F7" s="107"/>
    </row>
    <row r="8" spans="1:6" ht="15" customHeight="1">
      <c r="A8" s="33" t="s">
        <v>192</v>
      </c>
      <c r="B8" s="137" t="str">
        <f>in_Pac</f>
        <v>PAC-0058</v>
      </c>
      <c r="C8" s="107"/>
      <c r="D8" s="107"/>
      <c r="E8" s="107"/>
      <c r="F8" s="107"/>
    </row>
    <row r="9" spans="1:6" ht="15" customHeight="1">
      <c r="A9" s="33" t="s">
        <v>193</v>
      </c>
      <c r="B9" s="137" t="str">
        <f>in_Sexo&amp;" · "&amp;IF(ISNUMBER(in_Edad),in_Edad&amp;" años","(edad no válida)")</f>
        <v>Hombre · 34 años</v>
      </c>
      <c r="C9" s="107"/>
      <c r="D9" s="107"/>
      <c r="E9" s="107"/>
      <c r="F9" s="107"/>
    </row>
    <row r="10" spans="1:6" ht="15" customHeight="1">
      <c r="A10" s="33" t="s">
        <v>194</v>
      </c>
      <c r="B10" s="137" t="str">
        <f>IF(ISNUMBER(in_Peso),ROUND(in_Peso,1)&amp;" kg","(?)")&amp;" · "&amp;IF(ISNUMBER(in_Est),ROUND(in_Est,1)&amp;" cm","(?)")</f>
        <v>80 kg · 180 cm</v>
      </c>
      <c r="C10" s="107"/>
      <c r="D10" s="107"/>
      <c r="E10" s="107"/>
      <c r="F10" s="107"/>
    </row>
    <row r="11" spans="1:6" ht="15" customHeight="1">
      <c r="A11" s="33" t="s">
        <v>195</v>
      </c>
      <c r="B11" s="137" t="str">
        <f>in_Metodo</f>
        <v>1 · Pliegues (Durnin–Womersley 1974)</v>
      </c>
      <c r="C11" s="107"/>
      <c r="D11" s="107"/>
      <c r="E11" s="107"/>
      <c r="F11" s="107"/>
    </row>
    <row r="12" spans="1:6" ht="15" customHeight="1">
      <c r="A12" s="33" t="s">
        <v>196</v>
      </c>
      <c r="B12" s="137" t="str">
        <f>IF(c_Gate="SÍ","HABILITADO","BLOQUEADO — corrija los datos imposibles")</f>
        <v>HABILITADO</v>
      </c>
      <c r="C12" s="107"/>
      <c r="D12" s="107"/>
      <c r="E12" s="107"/>
      <c r="F12" s="107"/>
    </row>
    <row r="13" spans="1:6" ht="15" customHeight="1">
      <c r="A13" s="33" t="s">
        <v>106</v>
      </c>
      <c r="B13" s="137" t="str">
        <f>IF(in_Obs="","—",in_Obs)</f>
        <v>—</v>
      </c>
      <c r="C13" s="107"/>
      <c r="D13" s="107"/>
      <c r="E13" s="107"/>
      <c r="F13" s="107"/>
    </row>
    <row r="14" spans="1:6">
      <c r="A14" s="145" t="s">
        <v>197</v>
      </c>
      <c r="B14" s="145"/>
      <c r="C14" s="145"/>
      <c r="D14" s="145"/>
      <c r="E14" s="145"/>
      <c r="F14" s="145"/>
    </row>
    <row r="15" spans="1:6" ht="15" customHeight="1">
      <c r="A15" s="145"/>
      <c r="B15" s="145"/>
      <c r="C15" s="145"/>
      <c r="D15" s="145"/>
      <c r="E15" s="145"/>
      <c r="F15" s="145"/>
    </row>
    <row r="16" spans="1:6" ht="15" customHeight="1">
      <c r="A16" s="34" t="s">
        <v>198</v>
      </c>
      <c r="B16" s="34" t="s">
        <v>199</v>
      </c>
      <c r="C16" s="34" t="s">
        <v>200</v>
      </c>
      <c r="D16" s="34" t="s">
        <v>201</v>
      </c>
      <c r="E16" s="34"/>
      <c r="F16" s="34"/>
    </row>
    <row r="17" spans="1:6" ht="15" customHeight="1">
      <c r="A17" s="33" t="s">
        <v>202</v>
      </c>
      <c r="B17" s="51">
        <f>c_GrPli</f>
        <v>0.20645966095671042</v>
      </c>
      <c r="C17" s="78" t="str">
        <f>IF(ISNUMBER(c_GrPli),"Sí","No")</f>
        <v>Sí</v>
      </c>
      <c r="D17" s="147" t="s">
        <v>203</v>
      </c>
      <c r="E17" s="107"/>
      <c r="F17" s="107"/>
    </row>
    <row r="18" spans="1:6" ht="15" customHeight="1">
      <c r="A18" s="33" t="s">
        <v>204</v>
      </c>
      <c r="B18" s="51">
        <f>c_GrNavy</f>
        <v>0.18367495150229843</v>
      </c>
      <c r="C18" s="78" t="str">
        <f>IF(ISNUMBER(c_GrNavy),"Sí","No")</f>
        <v>Sí</v>
      </c>
      <c r="D18" s="147" t="s">
        <v>205</v>
      </c>
      <c r="E18" s="107"/>
      <c r="F18" s="107"/>
    </row>
    <row r="19" spans="1:6" ht="15" customHeight="1">
      <c r="A19" s="33" t="s">
        <v>206</v>
      </c>
      <c r="B19" s="51">
        <f>c_GrDeu</f>
        <v>0.21249629629629624</v>
      </c>
      <c r="C19" s="78" t="str">
        <f>IF(ISNUMBER(c_GrDeu),"Sí","No")</f>
        <v>Sí</v>
      </c>
      <c r="D19" s="147" t="s">
        <v>207</v>
      </c>
      <c r="E19" s="107"/>
      <c r="F19" s="107"/>
    </row>
    <row r="20" spans="1:6" ht="15" customHeight="1">
      <c r="A20" s="33" t="s">
        <v>208</v>
      </c>
      <c r="B20" s="79">
        <f>c_GrRep</f>
        <v>0.20645966095671042</v>
      </c>
      <c r="C20" s="147" t="str">
        <f>in_Metodo</f>
        <v>1 · Pliegues (Durnin–Womersley 1974)</v>
      </c>
      <c r="D20" s="107"/>
      <c r="E20" s="107"/>
      <c r="F20" s="107"/>
    </row>
    <row r="21" spans="1:6">
      <c r="A21" s="145" t="s">
        <v>209</v>
      </c>
      <c r="B21" s="145"/>
      <c r="C21" s="145"/>
      <c r="D21" s="145"/>
      <c r="E21" s="145"/>
      <c r="F21" s="145"/>
    </row>
    <row r="22" spans="1:6" ht="15" customHeight="1">
      <c r="A22" s="145"/>
      <c r="B22" s="145"/>
      <c r="C22" s="145"/>
      <c r="D22" s="145"/>
      <c r="E22" s="145"/>
      <c r="F22" s="145"/>
    </row>
    <row r="23" spans="1:6" ht="15" customHeight="1">
      <c r="A23" s="33" t="s">
        <v>210</v>
      </c>
      <c r="B23" s="51">
        <f>c_prom</f>
        <v>0.20087696958510168</v>
      </c>
      <c r="C23" s="148"/>
      <c r="D23" s="107"/>
      <c r="E23" s="107"/>
      <c r="F23" s="107"/>
    </row>
    <row r="24" spans="1:6" ht="15" customHeight="1">
      <c r="A24" s="33" t="s">
        <v>150</v>
      </c>
      <c r="B24" s="51">
        <f>c_rango</f>
        <v>2.8821344793997811E-2</v>
      </c>
      <c r="C24" s="148"/>
      <c r="D24" s="107"/>
      <c r="E24" s="107"/>
      <c r="F24" s="107"/>
    </row>
    <row r="25" spans="1:6" ht="15" customHeight="1">
      <c r="A25" s="33" t="s">
        <v>151</v>
      </c>
      <c r="B25" s="51">
        <f>c_ampl</f>
        <v>0.14347759652849415</v>
      </c>
      <c r="C25" s="148"/>
      <c r="D25" s="107"/>
      <c r="E25" s="107"/>
      <c r="F25" s="107"/>
    </row>
    <row r="26" spans="1:6" ht="15" customHeight="1">
      <c r="A26" s="151" t="str">
        <f>c_estado</f>
        <v>OK: los métodos disponibles concuerdan dentro del umbral.</v>
      </c>
      <c r="B26" s="107"/>
      <c r="C26" s="107"/>
      <c r="D26" s="107"/>
      <c r="E26" s="107"/>
      <c r="F26" s="107"/>
    </row>
    <row r="27" spans="1:6">
      <c r="A27" s="145" t="s">
        <v>211</v>
      </c>
      <c r="B27" s="145"/>
      <c r="C27" s="145"/>
      <c r="D27" s="145"/>
      <c r="E27" s="145"/>
      <c r="F27" s="145"/>
    </row>
    <row r="28" spans="1:6" ht="15" customHeight="1">
      <c r="A28" s="145"/>
      <c r="B28" s="145"/>
      <c r="C28" s="145"/>
      <c r="D28" s="145"/>
      <c r="E28" s="145"/>
      <c r="F28" s="145"/>
    </row>
    <row r="29" spans="1:6" ht="15" customHeight="1">
      <c r="A29" s="33" t="s">
        <v>212</v>
      </c>
      <c r="B29" s="51">
        <f>c_GrRep</f>
        <v>0.20645966095671042</v>
      </c>
      <c r="C29" s="138"/>
      <c r="D29" s="107"/>
      <c r="E29" s="107"/>
      <c r="F29" s="107"/>
    </row>
    <row r="30" spans="1:6" ht="15" customHeight="1">
      <c r="A30" s="33" t="s">
        <v>156</v>
      </c>
      <c r="B30" s="48">
        <f>c_MG</f>
        <v>16.516772876536834</v>
      </c>
      <c r="C30" s="138" t="s">
        <v>72</v>
      </c>
      <c r="D30" s="107"/>
      <c r="E30" s="107"/>
      <c r="F30" s="107"/>
    </row>
    <row r="31" spans="1:6" ht="15" customHeight="1">
      <c r="A31" s="33" t="s">
        <v>158</v>
      </c>
      <c r="B31" s="48">
        <f>c_MLG</f>
        <v>63.483227123463166</v>
      </c>
      <c r="C31" s="138" t="s">
        <v>72</v>
      </c>
      <c r="D31" s="107"/>
      <c r="E31" s="107"/>
      <c r="F31" s="107"/>
    </row>
    <row r="32" spans="1:6" ht="15" customHeight="1">
      <c r="A32" s="33" t="s">
        <v>160</v>
      </c>
      <c r="B32" s="48">
        <f>c_IMG</f>
        <v>5.0977694063385286</v>
      </c>
      <c r="C32" s="138" t="s">
        <v>119</v>
      </c>
      <c r="D32" s="107"/>
      <c r="E32" s="107"/>
      <c r="F32" s="107"/>
    </row>
    <row r="33" spans="1:6" ht="15" customHeight="1">
      <c r="A33" s="33" t="s">
        <v>162</v>
      </c>
      <c r="B33" s="48">
        <f>c_IMLG</f>
        <v>19.593588618352829</v>
      </c>
      <c r="C33" s="138" t="s">
        <v>119</v>
      </c>
      <c r="D33" s="107"/>
      <c r="E33" s="107"/>
      <c r="F33" s="107"/>
    </row>
    <row r="34" spans="1:6" ht="15" customHeight="1">
      <c r="A34" s="33" t="s">
        <v>118</v>
      </c>
      <c r="B34" s="48">
        <f>c_IMC</f>
        <v>24.691358024691358</v>
      </c>
      <c r="C34" s="138" t="s">
        <v>119</v>
      </c>
      <c r="D34" s="107"/>
      <c r="E34" s="107"/>
      <c r="F34" s="107"/>
    </row>
    <row r="35" spans="1:6" ht="15" customHeight="1">
      <c r="A35" s="33" t="s">
        <v>176</v>
      </c>
      <c r="B35" s="50" t="str">
        <f>c_ClaseIMC</f>
        <v>Normal (OMS)</v>
      </c>
      <c r="C35" s="138"/>
      <c r="D35" s="107"/>
      <c r="E35" s="107"/>
      <c r="F35" s="107"/>
    </row>
    <row r="36" spans="1:6" ht="15" customHeight="1">
      <c r="A36" s="33" t="s">
        <v>213</v>
      </c>
      <c r="B36" s="50" t="str">
        <f>c_ClaseGrasa</f>
        <v>Aceptable</v>
      </c>
      <c r="C36" s="138"/>
      <c r="D36" s="107"/>
      <c r="E36" s="107"/>
      <c r="F36" s="107"/>
    </row>
    <row r="37" spans="1:6">
      <c r="A37" s="145" t="s">
        <v>214</v>
      </c>
      <c r="B37" s="145"/>
      <c r="C37" s="145"/>
      <c r="D37" s="145"/>
      <c r="E37" s="145"/>
      <c r="F37" s="145"/>
    </row>
    <row r="38" spans="1:6" ht="15" customHeight="1">
      <c r="A38" s="145"/>
      <c r="B38" s="145"/>
      <c r="C38" s="145"/>
      <c r="D38" s="145"/>
      <c r="E38" s="145"/>
      <c r="F38" s="145"/>
    </row>
    <row r="39" spans="1:6" ht="15" customHeight="1">
      <c r="A39" s="34" t="s">
        <v>215</v>
      </c>
      <c r="B39" s="34" t="s">
        <v>49</v>
      </c>
      <c r="C39" s="34" t="s">
        <v>216</v>
      </c>
      <c r="D39" s="34" t="s">
        <v>217</v>
      </c>
      <c r="E39" s="34"/>
      <c r="F39" s="34"/>
    </row>
    <row r="40" spans="1:6" ht="15" customHeight="1">
      <c r="A40" s="33" t="s">
        <v>100</v>
      </c>
      <c r="B40" s="49">
        <f>IF(ISNUMBER(in_Cintura),in_Cintura,"ND")</f>
        <v>88</v>
      </c>
      <c r="C40" s="149" t="str">
        <f>c_RiesgoCint</f>
        <v>Sin riesgo aumentado</v>
      </c>
      <c r="D40" s="107"/>
      <c r="E40" s="138" t="str">
        <f>IF(in_Sexo="Hombre","≥102 cm (H)","≥88 cm (M)")</f>
        <v>≥102 cm (H)</v>
      </c>
      <c r="F40" s="107"/>
    </row>
    <row r="41" spans="1:6" ht="15" customHeight="1">
      <c r="A41" s="33" t="s">
        <v>165</v>
      </c>
      <c r="B41" s="47">
        <f>c_ICC</f>
        <v>0.88</v>
      </c>
      <c r="C41" s="149" t="str">
        <f>c_RiesgoICC</f>
        <v>Sin riesgo aumentado</v>
      </c>
      <c r="D41" s="107"/>
      <c r="E41" s="138" t="str">
        <f>IF(in_Sexo="Hombre","≥0,90 (H)","≥0,85 (M)")</f>
        <v>≥0,90 (H)</v>
      </c>
      <c r="F41" s="107"/>
    </row>
    <row r="42" spans="1:6" ht="15" customHeight="1">
      <c r="A42" s="33" t="s">
        <v>167</v>
      </c>
      <c r="B42" s="47">
        <f>c_ICE</f>
        <v>0.48888888888888887</v>
      </c>
      <c r="C42" s="149" t="str">
        <f>c_RiesgoICE</f>
        <v>Sin riesgo aumentado</v>
      </c>
      <c r="D42" s="107"/>
      <c r="E42" s="138" t="s">
        <v>218</v>
      </c>
      <c r="F42" s="107"/>
    </row>
    <row r="43" spans="1:6">
      <c r="A43" s="145" t="s">
        <v>219</v>
      </c>
      <c r="B43" s="145"/>
      <c r="C43" s="145"/>
      <c r="D43" s="145"/>
      <c r="E43" s="145"/>
      <c r="F43" s="145"/>
    </row>
    <row r="44" spans="1:6" ht="15" customHeight="1">
      <c r="A44" s="145"/>
      <c r="B44" s="145"/>
      <c r="C44" s="145"/>
      <c r="D44" s="145"/>
      <c r="E44" s="145"/>
      <c r="F44" s="145"/>
    </row>
    <row r="45" spans="1:6" ht="15" customHeight="1">
      <c r="A45" s="46" t="s">
        <v>198</v>
      </c>
      <c r="B45" s="46" t="s">
        <v>199</v>
      </c>
      <c r="C45" s="32"/>
      <c r="D45" s="32"/>
      <c r="E45" s="32"/>
      <c r="F45" s="32"/>
    </row>
    <row r="46" spans="1:6" ht="15" customHeight="1">
      <c r="A46" s="33" t="s">
        <v>220</v>
      </c>
      <c r="B46" s="80">
        <f>IF(ISNUMBER(c_GrPli),c_GrPli,0)</f>
        <v>0.20645966095671042</v>
      </c>
      <c r="C46" s="32"/>
      <c r="D46" s="32"/>
      <c r="E46" s="32"/>
      <c r="F46" s="32"/>
    </row>
    <row r="47" spans="1:6" ht="15" customHeight="1">
      <c r="A47" s="33" t="s">
        <v>221</v>
      </c>
      <c r="B47" s="80">
        <f>IF(ISNUMBER(c_GrNavy),c_GrNavy,0)</f>
        <v>0.18367495150229843</v>
      </c>
      <c r="C47" s="32"/>
      <c r="D47" s="32"/>
      <c r="E47" s="32"/>
      <c r="F47" s="32"/>
    </row>
    <row r="48" spans="1:6" ht="15" customHeight="1">
      <c r="A48" s="33" t="s">
        <v>222</v>
      </c>
      <c r="B48" s="80">
        <f>IF(ISNUMBER(c_GrDeu),c_GrDeu,0)</f>
        <v>0.21249629629629624</v>
      </c>
      <c r="C48" s="32"/>
      <c r="D48" s="32"/>
      <c r="E48" s="32"/>
      <c r="F48" s="32"/>
    </row>
    <row r="49" spans="1:6">
      <c r="A49" s="82"/>
      <c r="B49" s="32"/>
      <c r="C49" s="32"/>
      <c r="D49" s="32"/>
      <c r="E49" s="32"/>
      <c r="F49" s="32"/>
    </row>
    <row r="50" spans="1:6" ht="15" customHeight="1">
      <c r="A50" s="46" t="s">
        <v>223</v>
      </c>
      <c r="B50" s="46" t="s">
        <v>72</v>
      </c>
      <c r="C50" s="32"/>
      <c r="D50" s="32"/>
      <c r="E50" s="32"/>
      <c r="F50" s="32"/>
    </row>
    <row r="51" spans="1:6" ht="15" customHeight="1">
      <c r="A51" s="33" t="s">
        <v>224</v>
      </c>
      <c r="B51" s="81">
        <f>IF(ISNUMBER(c_MG),c_MG,0)</f>
        <v>16.516772876536834</v>
      </c>
      <c r="C51" s="32"/>
      <c r="D51" s="32"/>
      <c r="E51" s="32"/>
      <c r="F51" s="32"/>
    </row>
    <row r="52" spans="1:6" ht="15" customHeight="1">
      <c r="A52" s="33" t="s">
        <v>225</v>
      </c>
      <c r="B52" s="81">
        <f>IF(ISNUMBER(c_MLG),c_MLG,0)</f>
        <v>63.483227123463166</v>
      </c>
      <c r="C52" s="32"/>
      <c r="D52" s="32"/>
      <c r="E52" s="32"/>
      <c r="F52" s="32"/>
    </row>
    <row r="53" spans="1:6">
      <c r="A53" s="145" t="s">
        <v>226</v>
      </c>
      <c r="B53" s="145"/>
      <c r="C53" s="145"/>
      <c r="D53" s="145"/>
      <c r="E53" s="145"/>
      <c r="F53" s="145"/>
    </row>
    <row r="54" spans="1:6" ht="15" customHeight="1">
      <c r="A54" s="145"/>
      <c r="B54" s="145"/>
      <c r="C54" s="145"/>
      <c r="D54" s="145"/>
      <c r="E54" s="145"/>
      <c r="F54" s="145"/>
    </row>
    <row r="55" spans="1:6" ht="15" customHeight="1">
      <c r="A55" s="33" t="s">
        <v>181</v>
      </c>
      <c r="B55" s="136" t="str">
        <f>CALCULOS!B51</f>
        <v>—</v>
      </c>
      <c r="C55" s="107"/>
      <c r="D55" s="107"/>
      <c r="E55" s="107"/>
      <c r="F55" s="107"/>
    </row>
    <row r="56" spans="1:6" ht="15" customHeight="1">
      <c r="A56" s="33" t="s">
        <v>182</v>
      </c>
      <c r="B56" s="136" t="str">
        <f>CALCULOS!B52</f>
        <v>—</v>
      </c>
      <c r="C56" s="107"/>
      <c r="D56" s="107"/>
      <c r="E56" s="107"/>
      <c r="F56" s="107"/>
    </row>
    <row r="57" spans="1:6" ht="15" customHeight="1">
      <c r="A57" s="33" t="s">
        <v>183</v>
      </c>
      <c r="B57" s="136" t="str">
        <f>CALCULOS!B53</f>
        <v>—</v>
      </c>
      <c r="C57" s="107"/>
      <c r="D57" s="107"/>
      <c r="E57" s="107"/>
      <c r="F57" s="107"/>
    </row>
    <row r="58" spans="1:6" ht="15" customHeight="1">
      <c r="A58" s="33" t="s">
        <v>227</v>
      </c>
      <c r="B58" s="136" t="str">
        <f>CALCULOS!B54</f>
        <v>—</v>
      </c>
      <c r="C58" s="107"/>
      <c r="D58" s="107"/>
      <c r="E58" s="107"/>
      <c r="F58" s="107"/>
    </row>
    <row r="59" spans="1:6" ht="15" customHeight="1">
      <c r="A59" s="33" t="s">
        <v>228</v>
      </c>
      <c r="B59" s="136" t="str">
        <f>CALCULOS!B55</f>
        <v>—</v>
      </c>
      <c r="C59" s="107"/>
      <c r="D59" s="107"/>
      <c r="E59" s="107"/>
      <c r="F59" s="107"/>
    </row>
    <row r="60" spans="1:6" ht="15" customHeight="1">
      <c r="A60" s="33" t="s">
        <v>229</v>
      </c>
      <c r="B60" s="136" t="str">
        <f>CALCULOS!B56</f>
        <v>—</v>
      </c>
      <c r="C60" s="107"/>
      <c r="D60" s="107"/>
      <c r="E60" s="107"/>
      <c r="F60" s="107"/>
    </row>
    <row r="61" spans="1:6" ht="15" customHeight="1">
      <c r="A61" s="33" t="s">
        <v>187</v>
      </c>
      <c r="B61" s="136" t="str">
        <f>CALCULOS!B57</f>
        <v>—</v>
      </c>
      <c r="C61" s="107"/>
      <c r="D61" s="107"/>
      <c r="E61" s="107"/>
      <c r="F61" s="107"/>
    </row>
    <row r="62" spans="1:6" ht="45.75" customHeight="1">
      <c r="A62" s="146" t="s">
        <v>230</v>
      </c>
      <c r="B62" s="107"/>
      <c r="C62" s="107"/>
      <c r="D62" s="107"/>
      <c r="E62" s="107"/>
      <c r="F62" s="107"/>
    </row>
    <row r="63" spans="1:6" ht="22.5" customHeight="1"/>
  </sheetData>
  <sheetProtection algorithmName="SHA-512" hashValue="dFSSHzKV8siEXRXKBEERqUDc03Qev4AUo9TTddfbos6wzR6+85u9ZdtjcqGXiKTDTNwcfJG+Jxb6K45P4+QkgQ==" saltValue="kKDLiJiWLcCqsHN0v4ANTg==" spinCount="100000" sheet="1" objects="1" scenarios="1"/>
  <mergeCells count="48">
    <mergeCell ref="C23:F23"/>
    <mergeCell ref="C42:D42"/>
    <mergeCell ref="B12:F12"/>
    <mergeCell ref="B11:F11"/>
    <mergeCell ref="B59:F59"/>
    <mergeCell ref="E42:F42"/>
    <mergeCell ref="D17:F17"/>
    <mergeCell ref="C32:F32"/>
    <mergeCell ref="A26:F26"/>
    <mergeCell ref="B58:F58"/>
    <mergeCell ref="B56:F56"/>
    <mergeCell ref="C34:F34"/>
    <mergeCell ref="C41:D41"/>
    <mergeCell ref="D18:F18"/>
    <mergeCell ref="C30:F30"/>
    <mergeCell ref="B57:F57"/>
    <mergeCell ref="A62:F62"/>
    <mergeCell ref="C35:F35"/>
    <mergeCell ref="B10:F10"/>
    <mergeCell ref="C20:F20"/>
    <mergeCell ref="C29:F29"/>
    <mergeCell ref="C25:F25"/>
    <mergeCell ref="D19:F19"/>
    <mergeCell ref="C31:F31"/>
    <mergeCell ref="B55:F55"/>
    <mergeCell ref="A43:F44"/>
    <mergeCell ref="A53:F54"/>
    <mergeCell ref="B60:F60"/>
    <mergeCell ref="B61:F61"/>
    <mergeCell ref="C33:F33"/>
    <mergeCell ref="C40:D40"/>
    <mergeCell ref="C24:F24"/>
    <mergeCell ref="B6:F6"/>
    <mergeCell ref="E41:F41"/>
    <mergeCell ref="C36:F36"/>
    <mergeCell ref="A2:F2"/>
    <mergeCell ref="B3:D3"/>
    <mergeCell ref="E3:F3"/>
    <mergeCell ref="A4:F5"/>
    <mergeCell ref="A14:F15"/>
    <mergeCell ref="A21:F22"/>
    <mergeCell ref="A27:F28"/>
    <mergeCell ref="A37:F38"/>
    <mergeCell ref="B8:F8"/>
    <mergeCell ref="E40:F40"/>
    <mergeCell ref="B13:F13"/>
    <mergeCell ref="B9:F9"/>
    <mergeCell ref="B7:F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A6B70"/>
  </sheetPr>
  <dimension ref="A1:K16"/>
  <sheetViews>
    <sheetView showGridLines="0" zoomScaleNormal="100" workbookViewId="0">
      <pane ySplit="5" topLeftCell="A6" activePane="bottomLeft" state="frozen"/>
      <selection pane="bottomLeft" activeCell="I4" sqref="I4"/>
    </sheetView>
  </sheetViews>
  <sheetFormatPr baseColWidth="10" defaultColWidth="8.7109375" defaultRowHeight="15"/>
  <cols>
    <col min="1" max="1" width="24" style="1" customWidth="1"/>
    <col min="2" max="2" width="30" style="1" customWidth="1"/>
    <col min="3" max="3" width="8" style="1" customWidth="1"/>
    <col min="4" max="4" width="32" style="1" customWidth="1"/>
    <col min="5" max="5" width="34" style="1" customWidth="1"/>
    <col min="6" max="6" width="14" style="1" customWidth="1"/>
    <col min="7" max="7" width="36" style="1" customWidth="1"/>
    <col min="8" max="8" width="24" style="1" customWidth="1"/>
    <col min="9" max="9" width="12" style="1" customWidth="1"/>
    <col min="10" max="10" width="30" style="1" customWidth="1"/>
    <col min="11" max="11" width="8" style="1" customWidth="1"/>
  </cols>
  <sheetData>
    <row r="1" spans="1:11" ht="25.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7" customHeight="1">
      <c r="A2" s="153" t="s">
        <v>231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</row>
    <row r="3" spans="1:11" ht="51.75" customHeight="1">
      <c r="A3" s="152" t="s">
        <v>232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</row>
    <row r="4" spans="1:11" ht="15" customHeight="1">
      <c r="A4" s="76" t="str">
        <f>HYPERLINK("#INICIO!A1","◀ INICIO")</f>
        <v>◀ INICIO</v>
      </c>
      <c r="B4" s="77" t="str">
        <f>HYPERLINK("#DATOS!A1","◀ DATOS")</f>
        <v>◀ DATOS</v>
      </c>
      <c r="C4" s="140" t="str">
        <f>HYPERLINK("#CALCULOS!A1","◀  CALCULOS")</f>
        <v>◀  CALCULOS</v>
      </c>
      <c r="D4" s="141"/>
      <c r="E4" s="142"/>
      <c r="K4"/>
    </row>
    <row r="5" spans="1:11" ht="15" customHeight="1">
      <c r="A5" s="13" t="s">
        <v>233</v>
      </c>
      <c r="B5" s="13" t="s">
        <v>234</v>
      </c>
      <c r="C5" s="13" t="s">
        <v>235</v>
      </c>
      <c r="D5" s="13" t="s">
        <v>236</v>
      </c>
      <c r="E5" s="13" t="s">
        <v>237</v>
      </c>
      <c r="F5" s="13" t="s">
        <v>238</v>
      </c>
      <c r="G5" s="13" t="s">
        <v>239</v>
      </c>
      <c r="H5" s="13" t="s">
        <v>240</v>
      </c>
      <c r="I5" s="13" t="s">
        <v>241</v>
      </c>
      <c r="J5" s="13" t="s">
        <v>242</v>
      </c>
      <c r="K5" s="13" t="s">
        <v>243</v>
      </c>
    </row>
    <row r="6" spans="1:11" ht="55.5" customHeight="1">
      <c r="A6" s="14" t="s">
        <v>244</v>
      </c>
      <c r="B6" s="14" t="s">
        <v>245</v>
      </c>
      <c r="C6" s="14" t="s">
        <v>246</v>
      </c>
      <c r="D6" s="14" t="s">
        <v>247</v>
      </c>
      <c r="E6" s="14" t="s">
        <v>248</v>
      </c>
      <c r="F6" s="14" t="s">
        <v>249</v>
      </c>
      <c r="G6" s="14" t="s">
        <v>250</v>
      </c>
      <c r="H6" s="14" t="s">
        <v>251</v>
      </c>
      <c r="I6" s="14" t="s">
        <v>252</v>
      </c>
      <c r="J6" s="14" t="s">
        <v>253</v>
      </c>
      <c r="K6" s="15" t="s">
        <v>254</v>
      </c>
    </row>
    <row r="7" spans="1:11" ht="55.5" customHeight="1">
      <c r="A7" s="14" t="s">
        <v>255</v>
      </c>
      <c r="B7" s="14" t="s">
        <v>256</v>
      </c>
      <c r="C7" s="14" t="s">
        <v>257</v>
      </c>
      <c r="D7" s="14" t="s">
        <v>258</v>
      </c>
      <c r="E7" s="14" t="s">
        <v>259</v>
      </c>
      <c r="F7" s="14" t="s">
        <v>260</v>
      </c>
      <c r="G7" s="14" t="s">
        <v>261</v>
      </c>
      <c r="H7" s="14" t="s">
        <v>262</v>
      </c>
      <c r="I7" s="14" t="s">
        <v>252</v>
      </c>
      <c r="J7" s="14" t="s">
        <v>263</v>
      </c>
      <c r="K7" s="15" t="s">
        <v>254</v>
      </c>
    </row>
    <row r="8" spans="1:11" ht="55.5" customHeight="1">
      <c r="A8" s="14" t="s">
        <v>264</v>
      </c>
      <c r="B8" s="14" t="s">
        <v>265</v>
      </c>
      <c r="C8" s="14" t="s">
        <v>266</v>
      </c>
      <c r="D8" s="14" t="s">
        <v>267</v>
      </c>
      <c r="E8" s="14" t="s">
        <v>268</v>
      </c>
      <c r="F8" s="14" t="s">
        <v>260</v>
      </c>
      <c r="G8" s="14" t="s">
        <v>269</v>
      </c>
      <c r="H8" s="14" t="s">
        <v>270</v>
      </c>
      <c r="I8" s="14" t="s">
        <v>252</v>
      </c>
      <c r="J8" s="14" t="s">
        <v>271</v>
      </c>
      <c r="K8" s="15" t="s">
        <v>254</v>
      </c>
    </row>
    <row r="9" spans="1:11" ht="55.5" customHeight="1">
      <c r="A9" s="14" t="s">
        <v>272</v>
      </c>
      <c r="B9" s="14" t="s">
        <v>273</v>
      </c>
      <c r="C9" s="14" t="s">
        <v>274</v>
      </c>
      <c r="D9" s="14" t="s">
        <v>275</v>
      </c>
      <c r="E9" s="14" t="s">
        <v>276</v>
      </c>
      <c r="F9" s="14" t="s">
        <v>277</v>
      </c>
      <c r="G9" s="14" t="s">
        <v>278</v>
      </c>
      <c r="H9" s="14" t="s">
        <v>279</v>
      </c>
      <c r="I9" s="14" t="s">
        <v>252</v>
      </c>
      <c r="J9" s="14" t="s">
        <v>280</v>
      </c>
      <c r="K9" s="15" t="s">
        <v>254</v>
      </c>
    </row>
    <row r="10" spans="1:11" ht="55.5" customHeight="1">
      <c r="A10" s="14" t="s">
        <v>281</v>
      </c>
      <c r="B10" s="14" t="s">
        <v>282</v>
      </c>
      <c r="C10" s="14" t="s">
        <v>283</v>
      </c>
      <c r="D10" s="14" t="s">
        <v>284</v>
      </c>
      <c r="E10" s="14" t="s">
        <v>285</v>
      </c>
      <c r="F10" s="14" t="s">
        <v>286</v>
      </c>
      <c r="G10" s="14" t="s">
        <v>287</v>
      </c>
      <c r="H10" s="14" t="s">
        <v>288</v>
      </c>
      <c r="I10" s="14" t="s">
        <v>252</v>
      </c>
      <c r="J10" s="14" t="s">
        <v>289</v>
      </c>
      <c r="K10" s="15" t="s">
        <v>290</v>
      </c>
    </row>
    <row r="11" spans="1:11" ht="55.5" customHeight="1">
      <c r="A11" s="14" t="s">
        <v>291</v>
      </c>
      <c r="B11" s="14" t="s">
        <v>292</v>
      </c>
      <c r="C11" s="14" t="s">
        <v>293</v>
      </c>
      <c r="D11" s="14" t="s">
        <v>294</v>
      </c>
      <c r="E11" s="14" t="s">
        <v>295</v>
      </c>
      <c r="F11" s="14" t="s">
        <v>72</v>
      </c>
      <c r="G11" s="14" t="s">
        <v>296</v>
      </c>
      <c r="H11" s="14" t="s">
        <v>297</v>
      </c>
      <c r="I11" s="14" t="s">
        <v>252</v>
      </c>
      <c r="J11" s="14" t="s">
        <v>298</v>
      </c>
      <c r="K11" s="15" t="s">
        <v>254</v>
      </c>
    </row>
    <row r="12" spans="1:11" ht="55.5" customHeight="1">
      <c r="A12" s="14" t="s">
        <v>299</v>
      </c>
      <c r="B12" s="14" t="s">
        <v>300</v>
      </c>
      <c r="C12" s="14" t="s">
        <v>301</v>
      </c>
      <c r="D12" s="14" t="s">
        <v>302</v>
      </c>
      <c r="E12" s="14" t="s">
        <v>303</v>
      </c>
      <c r="F12" s="14" t="s">
        <v>119</v>
      </c>
      <c r="G12" s="14" t="s">
        <v>304</v>
      </c>
      <c r="H12" s="14" t="s">
        <v>305</v>
      </c>
      <c r="I12" s="14" t="s">
        <v>252</v>
      </c>
      <c r="J12" s="14" t="s">
        <v>306</v>
      </c>
      <c r="K12" s="15" t="s">
        <v>290</v>
      </c>
    </row>
    <row r="13" spans="1:11" ht="55.5" customHeight="1">
      <c r="A13" s="14" t="s">
        <v>307</v>
      </c>
      <c r="B13" s="14" t="s">
        <v>308</v>
      </c>
      <c r="C13" s="14" t="s">
        <v>301</v>
      </c>
      <c r="D13" s="14" t="s">
        <v>309</v>
      </c>
      <c r="E13" s="14" t="s">
        <v>310</v>
      </c>
      <c r="F13" s="14" t="s">
        <v>311</v>
      </c>
      <c r="G13" s="14" t="s">
        <v>312</v>
      </c>
      <c r="H13" s="14" t="s">
        <v>313</v>
      </c>
      <c r="I13" s="14" t="s">
        <v>252</v>
      </c>
      <c r="J13" s="14" t="s">
        <v>314</v>
      </c>
      <c r="K13" s="15" t="s">
        <v>290</v>
      </c>
    </row>
    <row r="14" spans="1:11" ht="55.5" customHeight="1">
      <c r="A14" s="14" t="s">
        <v>315</v>
      </c>
      <c r="B14" s="14" t="s">
        <v>316</v>
      </c>
      <c r="C14" s="14" t="s">
        <v>317</v>
      </c>
      <c r="D14" s="14" t="s">
        <v>318</v>
      </c>
      <c r="E14" s="14" t="s">
        <v>319</v>
      </c>
      <c r="F14" s="14" t="s">
        <v>135</v>
      </c>
      <c r="G14" s="14" t="s">
        <v>320</v>
      </c>
      <c r="H14" s="14" t="s">
        <v>321</v>
      </c>
      <c r="I14" s="14" t="s">
        <v>252</v>
      </c>
      <c r="J14" s="14" t="s">
        <v>322</v>
      </c>
      <c r="K14" s="15" t="s">
        <v>323</v>
      </c>
    </row>
    <row r="16" spans="1:11" ht="33.75" customHeight="1">
      <c r="A16" s="152" t="s">
        <v>324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</row>
  </sheetData>
  <sheetProtection algorithmName="SHA-512" hashValue="1wp+hchsLdRcdjH3iXjkgjPL5o8rak/ZJiAAQljbOS1v7e6vFQLbBPlGf/NZOh9IHF9WiHFUN/egz9XTLm7LuA==" saltValue="WjbuQQPndqr0ZdRV7Ccfxw==" spinCount="100000" sheet="1" objects="1" scenarios="1"/>
  <mergeCells count="4">
    <mergeCell ref="A16:K16"/>
    <mergeCell ref="A3:K3"/>
    <mergeCell ref="A2:K2"/>
    <mergeCell ref="C4:E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6B70"/>
  </sheetPr>
  <dimension ref="A1:P79"/>
  <sheetViews>
    <sheetView showGridLines="0" zoomScaleNormal="100" workbookViewId="0">
      <pane ySplit="5" topLeftCell="A6" activePane="bottomLeft" state="frozen"/>
      <selection pane="bottomLeft" activeCell="A4" sqref="A4:D4"/>
    </sheetView>
  </sheetViews>
  <sheetFormatPr baseColWidth="10" defaultColWidth="8.7109375" defaultRowHeight="15"/>
  <cols>
    <col min="1" max="1" width="6" style="1" customWidth="1"/>
    <col min="2" max="2" width="40" style="1" customWidth="1"/>
    <col min="3" max="7" width="9" style="1" customWidth="1"/>
    <col min="8" max="9" width="12" style="1" customWidth="1"/>
    <col min="10" max="10" width="10" style="1" customWidth="1"/>
    <col min="11" max="13" width="11" style="1" customWidth="1"/>
  </cols>
  <sheetData>
    <row r="1" spans="1:16" ht="25.5" customHeight="1">
      <c r="A1" s="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6" ht="23.25" customHeight="1">
      <c r="A2" s="139" t="s">
        <v>325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89"/>
    </row>
    <row r="3" spans="1:16" ht="33.75" customHeight="1">
      <c r="A3" s="152" t="s">
        <v>326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P3" s="1"/>
    </row>
    <row r="4" spans="1:16" ht="20.25" customHeight="1">
      <c r="A4" s="157" t="str">
        <f>HYPERLINK("#INICIO!A1","◀ INICIO")</f>
        <v>◀ INICIO</v>
      </c>
      <c r="B4" s="158"/>
      <c r="C4" s="158"/>
      <c r="D4" s="158"/>
    </row>
    <row r="5" spans="1:16">
      <c r="A5"/>
      <c r="B5"/>
      <c r="C5"/>
      <c r="D5"/>
      <c r="E5"/>
      <c r="F5"/>
      <c r="G5"/>
      <c r="H5"/>
      <c r="I5"/>
      <c r="J5"/>
      <c r="K5"/>
      <c r="L5"/>
      <c r="M5"/>
    </row>
    <row r="6" spans="1:16" ht="27" customHeight="1">
      <c r="A6" s="159" t="s">
        <v>327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1"/>
    </row>
    <row r="7" spans="1:16" ht="15" customHeight="1">
      <c r="A7" s="18" t="s">
        <v>328</v>
      </c>
      <c r="B7" s="18" t="s">
        <v>329</v>
      </c>
      <c r="C7" s="18" t="s">
        <v>330</v>
      </c>
      <c r="D7" s="18" t="s">
        <v>67</v>
      </c>
      <c r="E7" s="18" t="s">
        <v>331</v>
      </c>
      <c r="F7" s="18" t="s">
        <v>116</v>
      </c>
      <c r="G7" s="18" t="s">
        <v>332</v>
      </c>
      <c r="H7" s="18" t="s">
        <v>333</v>
      </c>
      <c r="I7" s="18" t="s">
        <v>334</v>
      </c>
      <c r="J7" s="18" t="s">
        <v>335</v>
      </c>
      <c r="K7" s="18" t="s">
        <v>336</v>
      </c>
      <c r="L7" s="18" t="s">
        <v>337</v>
      </c>
      <c r="M7" s="18"/>
    </row>
    <row r="8" spans="1:16" ht="15" customHeight="1">
      <c r="A8" s="28" t="s">
        <v>338</v>
      </c>
      <c r="B8" s="19" t="s">
        <v>339</v>
      </c>
      <c r="C8" s="20" t="s">
        <v>64</v>
      </c>
      <c r="D8" s="28">
        <v>34</v>
      </c>
      <c r="E8" s="52">
        <v>1.1422000000000001</v>
      </c>
      <c r="F8" s="52">
        <v>5.4399999999999997E-2</v>
      </c>
      <c r="G8" s="28">
        <v>46</v>
      </c>
      <c r="H8" s="20" t="s">
        <v>340</v>
      </c>
      <c r="I8" s="21">
        <f t="shared" ref="I8:I13" si="0">IF(H8="Brožek",(457/(E8-F8*LOG10(G8))-414)/100,(495/(E8-F8*LOG10(G8))-450)/100)</f>
        <v>0.20645966095671042</v>
      </c>
      <c r="J8" s="22">
        <v>0.20646</v>
      </c>
      <c r="K8" s="53">
        <f t="shared" ref="K8:K13" si="1">I8-J8</f>
        <v>-3.390432895822304E-7</v>
      </c>
      <c r="L8" s="23" t="str">
        <f t="shared" ref="L8:L13" si="2">IF(ABS(K8)&lt;=TOL_FRAC,"APROBADO","FALLIDO")</f>
        <v>APROBADO</v>
      </c>
      <c r="M8" s="5"/>
    </row>
    <row r="9" spans="1:16" ht="15" customHeight="1">
      <c r="A9" s="28" t="s">
        <v>341</v>
      </c>
      <c r="B9" s="19" t="s">
        <v>342</v>
      </c>
      <c r="C9" s="20" t="s">
        <v>343</v>
      </c>
      <c r="D9" s="28">
        <v>25</v>
      </c>
      <c r="E9" s="52">
        <v>1.1598999999999999</v>
      </c>
      <c r="F9" s="52">
        <v>7.17E-2</v>
      </c>
      <c r="G9" s="28">
        <v>60</v>
      </c>
      <c r="H9" s="20" t="s">
        <v>340</v>
      </c>
      <c r="I9" s="21">
        <f t="shared" si="0"/>
        <v>0.29462279114830325</v>
      </c>
      <c r="J9" s="22">
        <v>0.29462300000000002</v>
      </c>
      <c r="K9" s="53">
        <f t="shared" si="1"/>
        <v>-2.0885169677020698E-7</v>
      </c>
      <c r="L9" s="23" t="str">
        <f t="shared" si="2"/>
        <v>APROBADO</v>
      </c>
      <c r="M9" s="5"/>
    </row>
    <row r="10" spans="1:16" ht="15" customHeight="1">
      <c r="A10" s="28" t="s">
        <v>344</v>
      </c>
      <c r="B10" s="19" t="s">
        <v>345</v>
      </c>
      <c r="C10" s="20" t="s">
        <v>64</v>
      </c>
      <c r="D10" s="28">
        <v>22</v>
      </c>
      <c r="E10" s="52">
        <v>1.1631</v>
      </c>
      <c r="F10" s="52">
        <v>6.3200000000000006E-2</v>
      </c>
      <c r="G10" s="28">
        <v>40</v>
      </c>
      <c r="H10" s="20" t="s">
        <v>340</v>
      </c>
      <c r="I10" s="21">
        <f t="shared" si="0"/>
        <v>0.16167621838008756</v>
      </c>
      <c r="J10" s="22">
        <v>0.16167599999999999</v>
      </c>
      <c r="K10" s="53">
        <f t="shared" si="1"/>
        <v>2.1838008756880356E-7</v>
      </c>
      <c r="L10" s="23" t="str">
        <f t="shared" si="2"/>
        <v>APROBADO</v>
      </c>
      <c r="M10" s="5"/>
    </row>
    <row r="11" spans="1:16" ht="15" customHeight="1">
      <c r="A11" s="28" t="s">
        <v>346</v>
      </c>
      <c r="B11" s="19" t="s">
        <v>347</v>
      </c>
      <c r="C11" s="20" t="s">
        <v>343</v>
      </c>
      <c r="D11" s="28">
        <v>55</v>
      </c>
      <c r="E11" s="52">
        <v>1.1338999999999999</v>
      </c>
      <c r="F11" s="52">
        <v>6.4500000000000002E-2</v>
      </c>
      <c r="G11" s="28">
        <v>70</v>
      </c>
      <c r="H11" s="20" t="s">
        <v>340</v>
      </c>
      <c r="I11" s="21">
        <f t="shared" si="0"/>
        <v>0.37737021959878631</v>
      </c>
      <c r="J11" s="22">
        <v>0.37736999999999998</v>
      </c>
      <c r="K11" s="53">
        <f t="shared" si="1"/>
        <v>2.195987863218285E-7</v>
      </c>
      <c r="L11" s="23" t="str">
        <f t="shared" si="2"/>
        <v>APROBADO</v>
      </c>
      <c r="M11" s="5"/>
    </row>
    <row r="12" spans="1:16" ht="15" customHeight="1">
      <c r="A12" s="28" t="s">
        <v>348</v>
      </c>
      <c r="B12" s="19" t="s">
        <v>349</v>
      </c>
      <c r="C12" s="20" t="s">
        <v>64</v>
      </c>
      <c r="D12" s="28">
        <v>45</v>
      </c>
      <c r="E12" s="52">
        <v>1.1619999999999999</v>
      </c>
      <c r="F12" s="52">
        <v>7.0000000000000007E-2</v>
      </c>
      <c r="G12" s="28">
        <v>55</v>
      </c>
      <c r="H12" s="20" t="s">
        <v>350</v>
      </c>
      <c r="I12" s="21">
        <f t="shared" si="0"/>
        <v>0.25349311975180683</v>
      </c>
      <c r="J12" s="22">
        <v>0.25349300000000002</v>
      </c>
      <c r="K12" s="53">
        <f t="shared" si="1"/>
        <v>1.1975180680412478E-7</v>
      </c>
      <c r="L12" s="23" t="str">
        <f t="shared" si="2"/>
        <v>APROBADO</v>
      </c>
      <c r="M12" s="5"/>
    </row>
    <row r="13" spans="1:16" ht="15" customHeight="1">
      <c r="A13" s="28" t="s">
        <v>351</v>
      </c>
      <c r="B13" s="19" t="s">
        <v>352</v>
      </c>
      <c r="C13" s="20" t="s">
        <v>343</v>
      </c>
      <c r="D13" s="28">
        <v>34</v>
      </c>
      <c r="E13" s="52">
        <v>1.1423000000000001</v>
      </c>
      <c r="F13" s="52">
        <v>6.3200000000000006E-2</v>
      </c>
      <c r="G13" s="28">
        <v>50</v>
      </c>
      <c r="H13" s="20" t="s">
        <v>350</v>
      </c>
      <c r="I13" s="21">
        <f t="shared" si="0"/>
        <v>0.27577851273797249</v>
      </c>
      <c r="J13" s="22">
        <v>0.275779</v>
      </c>
      <c r="K13" s="53">
        <f t="shared" si="1"/>
        <v>-4.8726202750426495E-7</v>
      </c>
      <c r="L13" s="23" t="str">
        <f t="shared" si="2"/>
        <v>APROBADO</v>
      </c>
      <c r="M13" s="5"/>
    </row>
    <row r="15" spans="1:16" ht="24.75" customHeight="1">
      <c r="A15" s="159" t="s">
        <v>353</v>
      </c>
      <c r="B15" s="160"/>
      <c r="C15" s="160"/>
      <c r="D15" s="160"/>
      <c r="E15" s="160"/>
      <c r="F15" s="160"/>
      <c r="G15" s="160"/>
      <c r="H15" s="160"/>
      <c r="I15" s="160"/>
      <c r="J15" s="160"/>
      <c r="K15" s="160"/>
      <c r="L15" s="160"/>
      <c r="M15" s="161"/>
    </row>
    <row r="16" spans="1:16" ht="15" customHeight="1">
      <c r="A16" s="18" t="s">
        <v>328</v>
      </c>
      <c r="B16" s="18" t="s">
        <v>329</v>
      </c>
      <c r="C16" s="18" t="s">
        <v>330</v>
      </c>
      <c r="D16" s="18" t="s">
        <v>354</v>
      </c>
      <c r="E16" s="18" t="s">
        <v>355</v>
      </c>
      <c r="F16" s="18" t="s">
        <v>356</v>
      </c>
      <c r="G16" s="18" t="s">
        <v>75</v>
      </c>
      <c r="H16" s="18" t="s">
        <v>334</v>
      </c>
      <c r="I16" s="18" t="s">
        <v>335</v>
      </c>
      <c r="J16" s="18" t="s">
        <v>336</v>
      </c>
      <c r="K16" s="18" t="s">
        <v>337</v>
      </c>
      <c r="L16" s="18"/>
      <c r="M16" s="18"/>
    </row>
    <row r="17" spans="1:13" ht="15" customHeight="1">
      <c r="A17" s="28" t="s">
        <v>357</v>
      </c>
      <c r="B17" s="19" t="s">
        <v>358</v>
      </c>
      <c r="C17" s="20" t="s">
        <v>64</v>
      </c>
      <c r="D17" s="28">
        <v>38</v>
      </c>
      <c r="E17" s="28">
        <v>88</v>
      </c>
      <c r="F17" s="28">
        <v>100</v>
      </c>
      <c r="G17" s="28">
        <v>176</v>
      </c>
      <c r="H17" s="21">
        <f t="shared" ref="H17:H22" si="3">IF(C17="Hombre",(495/(1.0324-0.19077*LOG10(E17-D17)+0.15456*LOG10(G17))-450)/100,(495/(1.29579-0.35004*LOG10(E17+F17-D17)+0.221*LOG10(G17))-450)/100)</f>
        <v>0.19036960805576597</v>
      </c>
      <c r="I17" s="22">
        <v>0.19037000000000001</v>
      </c>
      <c r="J17" s="53">
        <f t="shared" ref="J17:J22" si="4">H17-I17</f>
        <v>-3.9194423404054213E-7</v>
      </c>
      <c r="K17" s="23" t="str">
        <f t="shared" ref="K17:K22" si="5">IF(ABS(J17)&lt;=TOL_FRAC,"APROBADO","FALLIDO")</f>
        <v>APROBADO</v>
      </c>
      <c r="L17" s="5"/>
      <c r="M17" s="5"/>
    </row>
    <row r="18" spans="1:13" ht="15" customHeight="1">
      <c r="A18" s="28" t="s">
        <v>359</v>
      </c>
      <c r="B18" s="19" t="s">
        <v>360</v>
      </c>
      <c r="C18" s="20" t="s">
        <v>64</v>
      </c>
      <c r="D18" s="28">
        <v>40</v>
      </c>
      <c r="E18" s="28">
        <v>82</v>
      </c>
      <c r="F18" s="28">
        <v>96</v>
      </c>
      <c r="G18" s="28">
        <v>180</v>
      </c>
      <c r="H18" s="21">
        <f t="shared" si="3"/>
        <v>0.12052146662088944</v>
      </c>
      <c r="I18" s="22">
        <v>0.120521</v>
      </c>
      <c r="J18" s="53">
        <f t="shared" si="4"/>
        <v>4.6662088944160462E-7</v>
      </c>
      <c r="K18" s="23" t="str">
        <f t="shared" si="5"/>
        <v>APROBADO</v>
      </c>
      <c r="L18" s="5"/>
      <c r="M18" s="5"/>
    </row>
    <row r="19" spans="1:13" ht="15" customHeight="1">
      <c r="A19" s="28" t="s">
        <v>361</v>
      </c>
      <c r="B19" s="19" t="s">
        <v>362</v>
      </c>
      <c r="C19" s="20" t="s">
        <v>64</v>
      </c>
      <c r="D19" s="28">
        <v>44</v>
      </c>
      <c r="E19" s="28">
        <v>112</v>
      </c>
      <c r="F19" s="28">
        <v>110</v>
      </c>
      <c r="G19" s="28">
        <v>170</v>
      </c>
      <c r="H19" s="21">
        <f t="shared" si="3"/>
        <v>0.31728167388078476</v>
      </c>
      <c r="I19" s="22">
        <v>0.31728200000000001</v>
      </c>
      <c r="J19" s="53">
        <f t="shared" si="4"/>
        <v>-3.2611921524372534E-7</v>
      </c>
      <c r="K19" s="23" t="str">
        <f t="shared" si="5"/>
        <v>APROBADO</v>
      </c>
      <c r="L19" s="5"/>
      <c r="M19" s="5"/>
    </row>
    <row r="20" spans="1:13" ht="15" customHeight="1">
      <c r="A20" s="28" t="s">
        <v>363</v>
      </c>
      <c r="B20" s="19" t="s">
        <v>364</v>
      </c>
      <c r="C20" s="20" t="s">
        <v>343</v>
      </c>
      <c r="D20" s="28">
        <v>32</v>
      </c>
      <c r="E20" s="28">
        <v>74</v>
      </c>
      <c r="F20" s="28">
        <v>100</v>
      </c>
      <c r="G20" s="28">
        <v>164</v>
      </c>
      <c r="H20" s="21">
        <f t="shared" si="3"/>
        <v>0.29705325635390412</v>
      </c>
      <c r="I20" s="22">
        <v>0.29705300000000001</v>
      </c>
      <c r="J20" s="53">
        <f t="shared" si="4"/>
        <v>2.5635390410450043E-7</v>
      </c>
      <c r="K20" s="23" t="str">
        <f t="shared" si="5"/>
        <v>APROBADO</v>
      </c>
      <c r="L20" s="5"/>
      <c r="M20" s="5"/>
    </row>
    <row r="21" spans="1:13" ht="15" customHeight="1">
      <c r="A21" s="28" t="s">
        <v>365</v>
      </c>
      <c r="B21" s="19" t="s">
        <v>366</v>
      </c>
      <c r="C21" s="20" t="s">
        <v>343</v>
      </c>
      <c r="D21" s="28">
        <v>30</v>
      </c>
      <c r="E21" s="28">
        <v>68</v>
      </c>
      <c r="F21" s="28">
        <v>92</v>
      </c>
      <c r="G21" s="28">
        <v>170</v>
      </c>
      <c r="H21" s="21">
        <f t="shared" si="3"/>
        <v>0.21988448359025994</v>
      </c>
      <c r="I21" s="22">
        <v>0.219884</v>
      </c>
      <c r="J21" s="53">
        <f t="shared" si="4"/>
        <v>4.8359025994759719E-7</v>
      </c>
      <c r="K21" s="23" t="str">
        <f t="shared" si="5"/>
        <v>APROBADO</v>
      </c>
      <c r="L21" s="5"/>
      <c r="M21" s="5"/>
    </row>
    <row r="22" spans="1:13" ht="15" customHeight="1">
      <c r="A22" s="28" t="s">
        <v>367</v>
      </c>
      <c r="B22" s="19" t="s">
        <v>368</v>
      </c>
      <c r="C22" s="20" t="s">
        <v>343</v>
      </c>
      <c r="D22" s="28">
        <v>36</v>
      </c>
      <c r="E22" s="28">
        <v>96</v>
      </c>
      <c r="F22" s="28">
        <v>118</v>
      </c>
      <c r="G22" s="28">
        <v>160</v>
      </c>
      <c r="H22" s="21">
        <f t="shared" si="3"/>
        <v>0.47405703401384813</v>
      </c>
      <c r="I22" s="22">
        <v>0.47405700000000001</v>
      </c>
      <c r="J22" s="53">
        <f t="shared" si="4"/>
        <v>3.4013848126956958E-8</v>
      </c>
      <c r="K22" s="23" t="str">
        <f t="shared" si="5"/>
        <v>APROBADO</v>
      </c>
      <c r="L22" s="5"/>
      <c r="M22" s="5"/>
    </row>
    <row r="24" spans="1:13" ht="25.5" customHeight="1">
      <c r="A24" s="159" t="s">
        <v>369</v>
      </c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1"/>
    </row>
    <row r="25" spans="1:13" ht="15" customHeight="1">
      <c r="A25" s="18" t="s">
        <v>328</v>
      </c>
      <c r="B25" s="18" t="s">
        <v>329</v>
      </c>
      <c r="C25" s="18" t="s">
        <v>330</v>
      </c>
      <c r="D25" s="18" t="s">
        <v>118</v>
      </c>
      <c r="E25" s="18" t="s">
        <v>67</v>
      </c>
      <c r="F25" s="18" t="s">
        <v>334</v>
      </c>
      <c r="G25" s="18" t="s">
        <v>335</v>
      </c>
      <c r="H25" s="18" t="s">
        <v>336</v>
      </c>
      <c r="I25" s="18" t="s">
        <v>337</v>
      </c>
      <c r="J25" s="18"/>
      <c r="K25" s="18"/>
      <c r="L25" s="18"/>
      <c r="M25" s="18"/>
    </row>
    <row r="26" spans="1:13" ht="15" customHeight="1">
      <c r="A26" s="28" t="s">
        <v>370</v>
      </c>
      <c r="B26" s="19" t="s">
        <v>371</v>
      </c>
      <c r="C26" s="20" t="s">
        <v>64</v>
      </c>
      <c r="D26" s="52">
        <v>25.342199999999998</v>
      </c>
      <c r="E26" s="28">
        <v>34</v>
      </c>
      <c r="F26" s="21">
        <f t="shared" ref="F26:F31" si="6">(1.2*D26+0.23*E26-10.8*IF(C26="Hombre",1,0)-5.4)/100</f>
        <v>0.2203063999999999</v>
      </c>
      <c r="G26" s="22">
        <v>0.220306</v>
      </c>
      <c r="H26" s="53">
        <f t="shared" ref="H26:H31" si="7">F26-G26</f>
        <v>3.9999999990047996E-7</v>
      </c>
      <c r="I26" s="23" t="str">
        <f t="shared" ref="I26:I31" si="8">IF(ABS(H26)&lt;=TOL_FRAC,"APROBADO","FALLIDO")</f>
        <v>APROBADO</v>
      </c>
      <c r="J26" s="5"/>
      <c r="K26" s="5"/>
      <c r="L26" s="5"/>
      <c r="M26" s="5"/>
    </row>
    <row r="27" spans="1:13" ht="15" customHeight="1">
      <c r="A27" s="28" t="s">
        <v>372</v>
      </c>
      <c r="B27" s="19" t="s">
        <v>373</v>
      </c>
      <c r="C27" s="20" t="s">
        <v>343</v>
      </c>
      <c r="D27" s="52">
        <v>23</v>
      </c>
      <c r="E27" s="28">
        <v>45</v>
      </c>
      <c r="F27" s="21">
        <f t="shared" si="6"/>
        <v>0.32549999999999996</v>
      </c>
      <c r="G27" s="22">
        <v>0.32550000000000001</v>
      </c>
      <c r="H27" s="53">
        <f t="shared" si="7"/>
        <v>0</v>
      </c>
      <c r="I27" s="23" t="str">
        <f t="shared" si="8"/>
        <v>APROBADO</v>
      </c>
      <c r="J27" s="5"/>
      <c r="K27" s="5"/>
      <c r="L27" s="5"/>
      <c r="M27" s="5"/>
    </row>
    <row r="28" spans="1:13" ht="15" customHeight="1">
      <c r="A28" s="28" t="s">
        <v>374</v>
      </c>
      <c r="B28" s="19" t="s">
        <v>362</v>
      </c>
      <c r="C28" s="20" t="s">
        <v>64</v>
      </c>
      <c r="D28" s="52">
        <v>33</v>
      </c>
      <c r="E28" s="28">
        <v>55</v>
      </c>
      <c r="F28" s="21">
        <f t="shared" si="6"/>
        <v>0.36050000000000004</v>
      </c>
      <c r="G28" s="22">
        <v>0.36049999999999999</v>
      </c>
      <c r="H28" s="53">
        <f t="shared" si="7"/>
        <v>0</v>
      </c>
      <c r="I28" s="23" t="str">
        <f t="shared" si="8"/>
        <v>APROBADO</v>
      </c>
      <c r="J28" s="5"/>
      <c r="K28" s="5"/>
      <c r="L28" s="5"/>
      <c r="M28" s="5"/>
    </row>
    <row r="29" spans="1:13" ht="15" customHeight="1">
      <c r="A29" s="28" t="s">
        <v>375</v>
      </c>
      <c r="B29" s="19" t="s">
        <v>368</v>
      </c>
      <c r="C29" s="20" t="s">
        <v>343</v>
      </c>
      <c r="D29" s="52">
        <v>31</v>
      </c>
      <c r="E29" s="28">
        <v>60</v>
      </c>
      <c r="F29" s="21">
        <f t="shared" si="6"/>
        <v>0.45600000000000002</v>
      </c>
      <c r="G29" s="22">
        <v>0.45600000000000002</v>
      </c>
      <c r="H29" s="53">
        <f t="shared" si="7"/>
        <v>0</v>
      </c>
      <c r="I29" s="23" t="str">
        <f t="shared" si="8"/>
        <v>APROBADO</v>
      </c>
      <c r="J29" s="5"/>
      <c r="K29" s="5"/>
      <c r="L29" s="5"/>
      <c r="M29" s="5"/>
    </row>
    <row r="30" spans="1:13" ht="15" customHeight="1">
      <c r="A30" s="28" t="s">
        <v>376</v>
      </c>
      <c r="B30" s="19" t="s">
        <v>377</v>
      </c>
      <c r="C30" s="20" t="s">
        <v>64</v>
      </c>
      <c r="D30" s="52">
        <v>22</v>
      </c>
      <c r="E30" s="28">
        <v>20</v>
      </c>
      <c r="F30" s="21">
        <f t="shared" si="6"/>
        <v>0.14799999999999999</v>
      </c>
      <c r="G30" s="22">
        <v>0.14799999999999999</v>
      </c>
      <c r="H30" s="53">
        <f t="shared" si="7"/>
        <v>0</v>
      </c>
      <c r="I30" s="23" t="str">
        <f t="shared" si="8"/>
        <v>APROBADO</v>
      </c>
      <c r="J30" s="5"/>
      <c r="K30" s="5"/>
      <c r="L30" s="5"/>
      <c r="M30" s="5"/>
    </row>
    <row r="31" spans="1:13" ht="15" customHeight="1">
      <c r="A31" s="28" t="s">
        <v>378</v>
      </c>
      <c r="B31" s="19" t="s">
        <v>379</v>
      </c>
      <c r="C31" s="20" t="s">
        <v>343</v>
      </c>
      <c r="D31" s="52">
        <v>27.5</v>
      </c>
      <c r="E31" s="28">
        <v>70</v>
      </c>
      <c r="F31" s="21">
        <f t="shared" si="6"/>
        <v>0.43700000000000006</v>
      </c>
      <c r="G31" s="22">
        <v>0.437</v>
      </c>
      <c r="H31" s="53">
        <f t="shared" si="7"/>
        <v>0</v>
      </c>
      <c r="I31" s="23" t="str">
        <f t="shared" si="8"/>
        <v>APROBADO</v>
      </c>
      <c r="J31" s="5"/>
      <c r="K31" s="5"/>
      <c r="L31" s="5"/>
      <c r="M31" s="5"/>
    </row>
    <row r="33" spans="1:13" ht="22.5" customHeight="1">
      <c r="A33" s="159" t="s">
        <v>380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1"/>
    </row>
    <row r="34" spans="1:13" ht="15" customHeight="1">
      <c r="A34" s="18" t="s">
        <v>328</v>
      </c>
      <c r="B34" s="18" t="s">
        <v>381</v>
      </c>
      <c r="C34" s="18" t="s">
        <v>71</v>
      </c>
      <c r="D34" s="18" t="s">
        <v>382</v>
      </c>
      <c r="E34" s="18" t="s">
        <v>383</v>
      </c>
      <c r="F34" s="18" t="s">
        <v>384</v>
      </c>
      <c r="G34" s="18" t="s">
        <v>385</v>
      </c>
      <c r="H34" s="18" t="s">
        <v>386</v>
      </c>
      <c r="I34" s="18" t="s">
        <v>387</v>
      </c>
      <c r="J34" s="18" t="s">
        <v>388</v>
      </c>
      <c r="K34" s="18"/>
      <c r="L34" s="18"/>
      <c r="M34" s="18"/>
    </row>
    <row r="35" spans="1:13" ht="15" customHeight="1">
      <c r="A35" s="28" t="s">
        <v>389</v>
      </c>
      <c r="B35" s="54">
        <v>0.20646</v>
      </c>
      <c r="C35" s="28">
        <v>78.5</v>
      </c>
      <c r="D35" s="24">
        <v>1.76</v>
      </c>
      <c r="E35" s="11">
        <f>B35*C35</f>
        <v>16.20711</v>
      </c>
      <c r="F35" s="24">
        <v>16.207100000000001</v>
      </c>
      <c r="G35" s="23" t="str">
        <f>IF(ABS(E35-F35)&lt;=TOL_KG,"APROBADO","FALLIDO")</f>
        <v>APROBADO</v>
      </c>
      <c r="H35" s="11">
        <f>(C35-B35*C35)/D35^2</f>
        <v>20.110049715909092</v>
      </c>
      <c r="I35" s="24">
        <v>20.11</v>
      </c>
      <c r="J35" s="23" t="str">
        <f>IF(ABS(H35-I35)&lt;=TOL_KG,"APROBADO","FALLIDO")</f>
        <v>APROBADO</v>
      </c>
      <c r="K35" s="5"/>
      <c r="L35" s="5"/>
      <c r="M35" s="5"/>
    </row>
    <row r="36" spans="1:13" ht="15" customHeight="1">
      <c r="A36" s="28" t="s">
        <v>390</v>
      </c>
      <c r="B36" s="54">
        <v>0.3</v>
      </c>
      <c r="C36" s="28">
        <v>60</v>
      </c>
      <c r="D36" s="24">
        <v>1.6</v>
      </c>
      <c r="E36" s="11">
        <f>B36*C36</f>
        <v>18</v>
      </c>
      <c r="F36" s="24">
        <v>18</v>
      </c>
      <c r="G36" s="23" t="str">
        <f>IF(ABS(E36-F36)&lt;=TOL_KG,"APROBADO","FALLIDO")</f>
        <v>APROBADO</v>
      </c>
      <c r="H36" s="11">
        <f>(C36-B36*C36)/D36^2</f>
        <v>16.406249999999996</v>
      </c>
      <c r="I36" s="24">
        <v>16.406199999999998</v>
      </c>
      <c r="J36" s="23" t="str">
        <f>IF(ABS(H36-I36)&lt;=TOL_KG,"APROBADO","FALLIDO")</f>
        <v>APROBADO</v>
      </c>
      <c r="K36" s="5"/>
      <c r="L36" s="5"/>
      <c r="M36" s="5"/>
    </row>
    <row r="37" spans="1:13" ht="15" customHeight="1">
      <c r="A37" s="28" t="s">
        <v>391</v>
      </c>
      <c r="B37" s="54">
        <v>0.12</v>
      </c>
      <c r="C37" s="28">
        <v>90</v>
      </c>
      <c r="D37" s="24">
        <v>1.85</v>
      </c>
      <c r="E37" s="11">
        <f>B37*C37</f>
        <v>10.799999999999999</v>
      </c>
      <c r="F37" s="24">
        <v>10.8</v>
      </c>
      <c r="G37" s="23" t="str">
        <f>IF(ABS(E37-F37)&lt;=TOL_KG,"APROBADO","FALLIDO")</f>
        <v>APROBADO</v>
      </c>
      <c r="H37" s="11">
        <f>(C37-B37*C37)/D37^2</f>
        <v>23.140978816654492</v>
      </c>
      <c r="I37" s="24">
        <v>23.140999999999998</v>
      </c>
      <c r="J37" s="23" t="str">
        <f>IF(ABS(H37-I37)&lt;=TOL_KG,"APROBADO","FALLIDO")</f>
        <v>APROBADO</v>
      </c>
      <c r="K37" s="5"/>
      <c r="L37" s="5"/>
      <c r="M37" s="5"/>
    </row>
    <row r="38" spans="1:13" ht="15" customHeight="1">
      <c r="A38" s="28" t="s">
        <v>392</v>
      </c>
      <c r="B38" s="54">
        <v>0.25</v>
      </c>
      <c r="C38" s="28">
        <v>72</v>
      </c>
      <c r="D38" s="24">
        <v>1.7</v>
      </c>
      <c r="E38" s="11">
        <f>B38*C38</f>
        <v>18</v>
      </c>
      <c r="F38" s="24">
        <v>18</v>
      </c>
      <c r="G38" s="23" t="str">
        <f>IF(ABS(E38-F38)&lt;=TOL_KG,"APROBADO","FALLIDO")</f>
        <v>APROBADO</v>
      </c>
      <c r="H38" s="11">
        <f>(C38-B38*C38)/D38^2</f>
        <v>18.68512110726644</v>
      </c>
      <c r="I38" s="24">
        <v>18.685099999999998</v>
      </c>
      <c r="J38" s="23" t="str">
        <f>IF(ABS(H38-I38)&lt;=TOL_KG,"APROBADO","FALLIDO")</f>
        <v>APROBADO</v>
      </c>
      <c r="K38" s="5"/>
      <c r="L38" s="5"/>
      <c r="M38" s="5"/>
    </row>
    <row r="40" spans="1:13" ht="25.5" customHeight="1">
      <c r="A40" s="159" t="s">
        <v>393</v>
      </c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</row>
    <row r="41" spans="1:13" ht="32.25" customHeight="1">
      <c r="A41" s="18" t="s">
        <v>328</v>
      </c>
      <c r="B41" s="18" t="s">
        <v>394</v>
      </c>
      <c r="C41" s="18" t="s">
        <v>395</v>
      </c>
      <c r="D41" s="18" t="s">
        <v>396</v>
      </c>
      <c r="E41" s="18" t="s">
        <v>397</v>
      </c>
      <c r="F41" s="18" t="s">
        <v>337</v>
      </c>
      <c r="G41" s="18"/>
      <c r="H41" s="18"/>
      <c r="I41" s="18"/>
      <c r="J41" s="18"/>
      <c r="K41" s="18"/>
      <c r="L41" s="18"/>
      <c r="M41" s="18"/>
    </row>
    <row r="42" spans="1:13" ht="15" customHeight="1">
      <c r="A42" s="28" t="s">
        <v>398</v>
      </c>
      <c r="B42" s="19" t="s">
        <v>399</v>
      </c>
      <c r="C42" s="20" t="s">
        <v>400</v>
      </c>
      <c r="D42" s="19" t="s">
        <v>401</v>
      </c>
      <c r="E42" s="25" t="str">
        <f>IF(88/100&gt;=0.9,"Riesgo aumentado","Sin riesgo aumentado")</f>
        <v>Sin riesgo aumentado</v>
      </c>
      <c r="F42" s="23" t="str">
        <f t="shared" ref="F42:F48" si="9">IF(E42=D42,"APROBADO","FALLIDO")</f>
        <v>APROBADO</v>
      </c>
      <c r="G42" s="5"/>
      <c r="H42" s="5"/>
      <c r="I42" s="5"/>
      <c r="J42" s="5"/>
      <c r="K42" s="5"/>
      <c r="L42" s="5"/>
      <c r="M42" s="5"/>
    </row>
    <row r="43" spans="1:13" ht="15" customHeight="1">
      <c r="A43" s="28" t="s">
        <v>402</v>
      </c>
      <c r="B43" s="19" t="s">
        <v>403</v>
      </c>
      <c r="C43" s="20" t="s">
        <v>404</v>
      </c>
      <c r="D43" s="19" t="s">
        <v>405</v>
      </c>
      <c r="E43" s="25" t="str">
        <f>IF(105&gt;=102,"Riesgo aumentado","Sin riesgo aumentado")</f>
        <v>Riesgo aumentado</v>
      </c>
      <c r="F43" s="23" t="str">
        <f t="shared" si="9"/>
        <v>APROBADO</v>
      </c>
      <c r="G43" s="5"/>
      <c r="H43" s="5"/>
      <c r="I43" s="5"/>
      <c r="J43" s="5"/>
      <c r="K43" s="5"/>
      <c r="L43" s="5"/>
      <c r="M43" s="5"/>
    </row>
    <row r="44" spans="1:13" ht="15" customHeight="1">
      <c r="A44" s="28" t="s">
        <v>406</v>
      </c>
      <c r="B44" s="19" t="s">
        <v>407</v>
      </c>
      <c r="C44" s="20" t="s">
        <v>408</v>
      </c>
      <c r="D44" s="19" t="s">
        <v>405</v>
      </c>
      <c r="E44" s="25" t="str">
        <f>IF(88/176&gt;=0.5,"Riesgo aumentado","Sin riesgo aumentado")</f>
        <v>Riesgo aumentado</v>
      </c>
      <c r="F44" s="23" t="str">
        <f t="shared" si="9"/>
        <v>APROBADO</v>
      </c>
      <c r="G44" s="5"/>
      <c r="H44" s="5"/>
      <c r="I44" s="5"/>
      <c r="J44" s="5"/>
      <c r="K44" s="5"/>
      <c r="L44" s="5"/>
      <c r="M44" s="5"/>
    </row>
    <row r="45" spans="1:13" ht="15" customHeight="1">
      <c r="A45" s="28" t="s">
        <v>409</v>
      </c>
      <c r="B45" s="19" t="s">
        <v>410</v>
      </c>
      <c r="C45" s="20" t="s">
        <v>411</v>
      </c>
      <c r="D45" s="19" t="s">
        <v>412</v>
      </c>
      <c r="E45" s="25" t="str">
        <f>IF(25.3422&lt;18.5,"Bajo peso (OMS)",IF(25.3422&lt;25,"Normal (OMS)",IF(25.3422&lt;30,"Sobrepeso (OMS)","Obesidad (OMS)")))</f>
        <v>Sobrepeso (OMS)</v>
      </c>
      <c r="F45" s="23" t="str">
        <f t="shared" si="9"/>
        <v>APROBADO</v>
      </c>
      <c r="G45" s="5"/>
      <c r="H45" s="5"/>
      <c r="I45" s="5"/>
      <c r="J45" s="5"/>
      <c r="K45" s="5"/>
      <c r="L45" s="5"/>
      <c r="M45" s="5"/>
    </row>
    <row r="46" spans="1:13" ht="15" customHeight="1">
      <c r="A46" s="28" t="s">
        <v>413</v>
      </c>
      <c r="B46" s="19" t="s">
        <v>414</v>
      </c>
      <c r="C46" s="20" t="s">
        <v>415</v>
      </c>
      <c r="D46" s="19" t="s">
        <v>416</v>
      </c>
      <c r="E46" s="25" t="str">
        <f>IF(24&lt;18.5,"Bajo peso (OMS)",IF(24&lt;25,"Normal (OMS)",IF(24&lt;30,"Sobrepeso (OMS)","Obesidad (OMS)")))</f>
        <v>Normal (OMS)</v>
      </c>
      <c r="F46" s="23" t="str">
        <f t="shared" si="9"/>
        <v>APROBADO</v>
      </c>
      <c r="G46" s="5"/>
      <c r="H46" s="5"/>
      <c r="I46" s="5"/>
      <c r="J46" s="5"/>
      <c r="K46" s="5"/>
      <c r="L46" s="5"/>
      <c r="M46" s="5"/>
    </row>
    <row r="47" spans="1:13" ht="15" customHeight="1">
      <c r="A47" s="28" t="s">
        <v>417</v>
      </c>
      <c r="B47" s="19" t="s">
        <v>418</v>
      </c>
      <c r="C47" s="20" t="s">
        <v>415</v>
      </c>
      <c r="D47" s="19" t="s">
        <v>419</v>
      </c>
      <c r="E47" s="25" t="str">
        <f>IF(24&lt;23,"Bajo peso (MINSAL AM)",IF(24&lt;28,"Normal (MINSAL AM)",IF(24&lt;32,"Sobrepeso (MINSAL AM)","Obesidad (MINSAL AM)")))</f>
        <v>Normal (MINSAL AM)</v>
      </c>
      <c r="F47" s="23" t="str">
        <f t="shared" si="9"/>
        <v>APROBADO</v>
      </c>
      <c r="G47" s="5"/>
      <c r="H47" s="5"/>
      <c r="I47" s="5"/>
      <c r="J47" s="5"/>
      <c r="K47" s="5"/>
      <c r="L47" s="5"/>
      <c r="M47" s="5"/>
    </row>
    <row r="48" spans="1:13" ht="15" customHeight="1">
      <c r="A48" s="28" t="s">
        <v>420</v>
      </c>
      <c r="B48" s="19" t="s">
        <v>421</v>
      </c>
      <c r="C48" s="20" t="s">
        <v>422</v>
      </c>
      <c r="D48" s="19" t="s">
        <v>423</v>
      </c>
      <c r="E48" s="25" t="str">
        <f>IF(33&lt;23,"Bajo peso (MINSAL AM)",IF(33&lt;28,"Normal (MINSAL AM)",IF(33&lt;32,"Sobrepeso (MINSAL AM)","Obesidad (MINSAL AM)")))</f>
        <v>Obesidad (MINSAL AM)</v>
      </c>
      <c r="F48" s="23" t="str">
        <f t="shared" si="9"/>
        <v>APROBADO</v>
      </c>
      <c r="G48" s="5"/>
      <c r="H48" s="5"/>
      <c r="I48" s="5"/>
      <c r="J48" s="5"/>
      <c r="K48" s="5"/>
      <c r="L48" s="5"/>
      <c r="M48" s="5"/>
    </row>
    <row r="50" spans="1:13" ht="28.5" customHeight="1">
      <c r="A50" s="159" t="s">
        <v>424</v>
      </c>
      <c r="B50" s="160"/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1"/>
    </row>
    <row r="51" spans="1:13" ht="32.25" customHeight="1">
      <c r="A51" s="18" t="s">
        <v>328</v>
      </c>
      <c r="B51" s="18" t="s">
        <v>394</v>
      </c>
      <c r="C51" s="18" t="s">
        <v>395</v>
      </c>
      <c r="D51" s="18" t="s">
        <v>396</v>
      </c>
      <c r="E51" s="18" t="s">
        <v>397</v>
      </c>
      <c r="F51" s="18" t="s">
        <v>337</v>
      </c>
      <c r="G51" s="18"/>
      <c r="H51" s="18"/>
      <c r="I51" s="18"/>
      <c r="J51" s="18"/>
      <c r="K51" s="18"/>
      <c r="L51" s="18"/>
      <c r="M51" s="18"/>
    </row>
    <row r="52" spans="1:13" ht="15" customHeight="1">
      <c r="A52" s="28" t="s">
        <v>425</v>
      </c>
      <c r="B52" s="19" t="s">
        <v>426</v>
      </c>
      <c r="C52" s="20" t="s">
        <v>427</v>
      </c>
      <c r="D52" s="19" t="s">
        <v>428</v>
      </c>
      <c r="E52" s="25" t="str">
        <f>IF(NOT(ISNUMBER(15)),"ERROR: edad no numérica",IF(AND(15&gt;=18,15&lt;=120),"OK","ERROR: edad fuera del alcance adulto"))</f>
        <v>ERROR: edad fuera del alcance adulto</v>
      </c>
      <c r="F52" s="23" t="str">
        <f t="shared" ref="F52:F59" si="10">IF(E52=D52,"APROBADO","FALLIDO")</f>
        <v>APROBADO</v>
      </c>
      <c r="G52" s="5"/>
      <c r="H52" s="5"/>
      <c r="I52" s="5"/>
      <c r="J52" s="5"/>
      <c r="K52" s="5"/>
      <c r="L52" s="5"/>
      <c r="M52" s="5"/>
    </row>
    <row r="53" spans="1:13" ht="15" customHeight="1">
      <c r="A53" s="28" t="s">
        <v>429</v>
      </c>
      <c r="B53" s="19" t="s">
        <v>430</v>
      </c>
      <c r="C53" s="20" t="s">
        <v>431</v>
      </c>
      <c r="D53" s="19" t="s">
        <v>432</v>
      </c>
      <c r="E53" s="25" t="str">
        <f>IF(NOT(ISNUMBER("quince")),"ERROR: edad no numérica",IF(AND("quince"&gt;=18,"quince"&lt;=120),"OK","ERROR: edad fuera del alcance adulto"))</f>
        <v>ERROR: edad no numérica</v>
      </c>
      <c r="F53" s="23" t="str">
        <f t="shared" si="10"/>
        <v>APROBADO</v>
      </c>
      <c r="G53" s="5"/>
      <c r="H53" s="5"/>
      <c r="I53" s="5"/>
      <c r="J53" s="5"/>
      <c r="K53" s="5"/>
      <c r="L53" s="5"/>
      <c r="M53" s="5"/>
    </row>
    <row r="54" spans="1:13" ht="15" customHeight="1">
      <c r="A54" s="28" t="s">
        <v>433</v>
      </c>
      <c r="B54" s="19" t="s">
        <v>434</v>
      </c>
      <c r="C54" s="20" t="s">
        <v>435</v>
      </c>
      <c r="D54" s="19" t="s">
        <v>436</v>
      </c>
      <c r="E54" s="25" t="str">
        <f>IF(NOT(ISNUMBER(-5)),"ERROR: peso no numérico",IF(AND(-5&gt;=25,-5&lt;=350),"OK","ERROR: peso fuera de rango"))</f>
        <v>ERROR: peso fuera de rango</v>
      </c>
      <c r="F54" s="23" t="str">
        <f t="shared" si="10"/>
        <v>APROBADO</v>
      </c>
      <c r="G54" s="5"/>
      <c r="H54" s="5"/>
      <c r="I54" s="5"/>
      <c r="J54" s="5"/>
      <c r="K54" s="5"/>
      <c r="L54" s="5"/>
      <c r="M54" s="5"/>
    </row>
    <row r="55" spans="1:13" ht="15" customHeight="1">
      <c r="A55" s="28" t="s">
        <v>437</v>
      </c>
      <c r="B55" s="19" t="s">
        <v>438</v>
      </c>
      <c r="C55" s="20" t="s">
        <v>439</v>
      </c>
      <c r="D55" s="19" t="s">
        <v>440</v>
      </c>
      <c r="E55" s="25" t="str">
        <f>IF(NOT(ISNUMBER(400)),"ERROR: estatura no numérico",IF(AND(400&gt;=120,400&lt;=230),"OK","ERROR: estatura fuera de rango"))</f>
        <v>ERROR: estatura fuera de rango</v>
      </c>
      <c r="F55" s="23" t="str">
        <f t="shared" si="10"/>
        <v>APROBADO</v>
      </c>
      <c r="G55" s="5"/>
      <c r="H55" s="5"/>
      <c r="I55" s="5"/>
      <c r="J55" s="5"/>
      <c r="K55" s="5"/>
      <c r="L55" s="5"/>
      <c r="M55" s="5"/>
    </row>
    <row r="56" spans="1:13" ht="15" customHeight="1">
      <c r="A56" s="28" t="s">
        <v>441</v>
      </c>
      <c r="B56" s="19" t="s">
        <v>442</v>
      </c>
      <c r="C56" s="20" t="s">
        <v>443</v>
      </c>
      <c r="D56" s="19" t="s">
        <v>444</v>
      </c>
      <c r="E56" s="25" t="str">
        <f>IF(AND(ISNUMBER(0),0&gt;=1,0&lt;=80),"OK","ERROR: pliegue fuera de rango")</f>
        <v>ERROR: pliegue fuera de rango</v>
      </c>
      <c r="F56" s="23" t="str">
        <f t="shared" si="10"/>
        <v>APROBADO</v>
      </c>
      <c r="G56" s="5"/>
      <c r="H56" s="5"/>
      <c r="I56" s="5"/>
      <c r="J56" s="5"/>
      <c r="K56" s="5"/>
      <c r="L56" s="5"/>
      <c r="M56" s="5"/>
    </row>
    <row r="57" spans="1:13" ht="15" customHeight="1">
      <c r="A57" s="28" t="s">
        <v>445</v>
      </c>
      <c r="B57" s="19" t="s">
        <v>446</v>
      </c>
      <c r="C57" s="20" t="s">
        <v>447</v>
      </c>
      <c r="D57" s="19" t="s">
        <v>448</v>
      </c>
      <c r="E57" s="25" t="str">
        <f>IF((38-40)&gt;0,"OK","ND: cintura≤cuello")</f>
        <v>ND: cintura≤cuello</v>
      </c>
      <c r="F57" s="23" t="str">
        <f t="shared" si="10"/>
        <v>APROBADO</v>
      </c>
      <c r="G57" s="5"/>
      <c r="H57" s="5"/>
      <c r="I57" s="5"/>
      <c r="J57" s="5"/>
      <c r="K57" s="5"/>
      <c r="L57" s="5"/>
      <c r="M57" s="5"/>
    </row>
    <row r="58" spans="1:13" ht="15" customHeight="1">
      <c r="A58" s="28" t="s">
        <v>449</v>
      </c>
      <c r="B58" s="19" t="s">
        <v>450</v>
      </c>
      <c r="C58" s="20" t="s">
        <v>451</v>
      </c>
      <c r="D58" s="19" t="s">
        <v>452</v>
      </c>
      <c r="E58" s="25" t="str">
        <f>IF(AND(ISNUMBER(0.9),0.9&gt;=0.03,0.9&lt;=0.75),"OK","ERROR: % de grasa fuera del rango plausible")</f>
        <v>ERROR: % de grasa fuera del rango plausible</v>
      </c>
      <c r="F58" s="23" t="str">
        <f t="shared" si="10"/>
        <v>APROBADO</v>
      </c>
      <c r="G58" s="5"/>
      <c r="H58" s="5"/>
      <c r="I58" s="5"/>
      <c r="J58" s="5"/>
      <c r="K58" s="5"/>
      <c r="L58" s="5"/>
      <c r="M58" s="5"/>
    </row>
    <row r="59" spans="1:13" ht="15" customHeight="1">
      <c r="A59" s="28" t="s">
        <v>453</v>
      </c>
      <c r="B59" s="19" t="s">
        <v>454</v>
      </c>
      <c r="C59" s="20" t="s">
        <v>455</v>
      </c>
      <c r="D59" s="19" t="s">
        <v>452</v>
      </c>
      <c r="E59" s="25" t="str">
        <f>IF(AND(ISNUMBER(-0.1),-0.1&gt;=0.03,-0.1&lt;=0.75),"OK","ERROR: % de grasa fuera del rango plausible")</f>
        <v>ERROR: % de grasa fuera del rango plausible</v>
      </c>
      <c r="F59" s="23" t="str">
        <f t="shared" si="10"/>
        <v>APROBADO</v>
      </c>
      <c r="G59" s="5"/>
      <c r="H59" s="5"/>
      <c r="I59" s="5"/>
      <c r="J59" s="5"/>
      <c r="K59" s="5"/>
      <c r="L59" s="5"/>
      <c r="M59" s="5"/>
    </row>
    <row r="61" spans="1:13" ht="15" customHeight="1">
      <c r="A61" s="8" t="s">
        <v>456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5" customHeight="1">
      <c r="A62" s="18" t="s">
        <v>328</v>
      </c>
      <c r="B62" s="18" t="s">
        <v>457</v>
      </c>
      <c r="C62" s="18" t="s">
        <v>458</v>
      </c>
      <c r="D62" s="18" t="s">
        <v>335</v>
      </c>
      <c r="E62" s="18" t="s">
        <v>337</v>
      </c>
      <c r="F62" s="18"/>
      <c r="G62" s="18"/>
      <c r="H62" s="18"/>
      <c r="I62" s="18"/>
      <c r="J62" s="18"/>
      <c r="K62" s="18"/>
      <c r="L62" s="18"/>
      <c r="M62" s="18"/>
    </row>
    <row r="63" spans="1:13" ht="15" customHeight="1">
      <c r="A63" s="28" t="s">
        <v>459</v>
      </c>
      <c r="B63" s="19" t="s">
        <v>460</v>
      </c>
      <c r="C63" s="12">
        <f>SUMPRODUCT(--ISERROR(CALCULOS!B7:B58))</f>
        <v>0</v>
      </c>
      <c r="D63" s="28">
        <v>0</v>
      </c>
      <c r="E63" s="23" t="str">
        <f>IF(C63=D63,"APROBADO","FALLIDO")</f>
        <v>APROBADO</v>
      </c>
      <c r="F63" s="5"/>
      <c r="G63" s="5"/>
      <c r="H63" s="5"/>
      <c r="I63" s="5"/>
      <c r="J63" s="5"/>
      <c r="K63" s="5"/>
      <c r="L63" s="5"/>
      <c r="M63" s="5"/>
    </row>
    <row r="64" spans="1:13" ht="15" customHeight="1">
      <c r="A64" s="28" t="s">
        <v>461</v>
      </c>
      <c r="B64" s="19" t="s">
        <v>462</v>
      </c>
      <c r="C64" s="12">
        <f>SUMPRODUCT(--ISERROR(RESULTADOS!B6:F60))</f>
        <v>0</v>
      </c>
      <c r="D64" s="28">
        <v>0</v>
      </c>
      <c r="E64" s="23" t="str">
        <f>IF(C64=D64,"APROBADO","FALLIDO")</f>
        <v>APROBADO</v>
      </c>
      <c r="F64" s="5"/>
      <c r="G64" s="5"/>
      <c r="H64" s="5"/>
      <c r="I64" s="5"/>
      <c r="J64" s="5"/>
      <c r="K64" s="5"/>
      <c r="L64" s="5"/>
      <c r="M64" s="5"/>
    </row>
    <row r="65" spans="1:13" ht="15" customHeight="1">
      <c r="A65" s="28" t="s">
        <v>463</v>
      </c>
      <c r="B65" s="19" t="s">
        <v>464</v>
      </c>
      <c r="C65" s="12">
        <f>SUMPRODUCT(--ISERROR(CONFIG!B8:B54))</f>
        <v>0</v>
      </c>
      <c r="D65" s="28">
        <v>0</v>
      </c>
      <c r="E65" s="23" t="str">
        <f>IF(C65=D65,"APROBADO","FALLIDO")</f>
        <v>APROBADO</v>
      </c>
      <c r="F65" s="5"/>
      <c r="G65" s="5"/>
      <c r="H65" s="5"/>
      <c r="I65" s="5"/>
      <c r="J65" s="5"/>
      <c r="K65" s="5"/>
      <c r="L65" s="5"/>
      <c r="M65" s="5"/>
    </row>
    <row r="67" spans="1:13" ht="15" customHeight="1">
      <c r="A67" s="8" t="s">
        <v>465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42.75" customHeight="1">
      <c r="A68" s="18" t="s">
        <v>328</v>
      </c>
      <c r="B68" s="18" t="s">
        <v>466</v>
      </c>
      <c r="C68" s="18" t="s">
        <v>467</v>
      </c>
      <c r="D68" s="18" t="s">
        <v>468</v>
      </c>
      <c r="E68" s="18" t="s">
        <v>336</v>
      </c>
      <c r="F68" s="18" t="s">
        <v>337</v>
      </c>
      <c r="G68" s="18"/>
      <c r="H68" s="18"/>
      <c r="I68" s="18"/>
      <c r="J68" s="18"/>
      <c r="K68" s="18"/>
      <c r="L68" s="18"/>
      <c r="M68" s="18"/>
    </row>
    <row r="69" spans="1:13" ht="15" customHeight="1">
      <c r="A69" s="28" t="s">
        <v>469</v>
      </c>
      <c r="B69" s="19" t="s">
        <v>470</v>
      </c>
      <c r="C69" s="21">
        <f>c_GrPli</f>
        <v>0.20645966095671042</v>
      </c>
      <c r="D69" s="21">
        <f>(495/(1.1422-0.0544*LOG10(in_PliBi+in_PliTri+in_PliSub+in_PliSupra))-450)/100</f>
        <v>0.20645966095671042</v>
      </c>
      <c r="E69" s="10">
        <f>C69-D69</f>
        <v>0</v>
      </c>
      <c r="F69" s="23" t="str">
        <f>IF(ABS(E69)&lt;=TOL_FRAC,"APROBADO","FALLIDO")</f>
        <v>APROBADO</v>
      </c>
      <c r="G69" s="5"/>
      <c r="H69" s="5"/>
      <c r="I69" s="5"/>
      <c r="J69" s="5"/>
      <c r="K69" s="5"/>
      <c r="L69" s="5"/>
      <c r="M69" s="5"/>
    </row>
    <row r="70" spans="1:13" ht="15" customHeight="1">
      <c r="A70" s="28" t="s">
        <v>471</v>
      </c>
      <c r="B70" s="19" t="s">
        <v>472</v>
      </c>
      <c r="C70" s="21">
        <f>c_GrNavy</f>
        <v>0.18367495150229843</v>
      </c>
      <c r="D70" s="21">
        <f>(495/(1.0324-0.19077*LOG10(in_Cintura-in_Cuello)+0.15456*LOG10(in_Est))-450)/100</f>
        <v>0.18367495150229843</v>
      </c>
      <c r="E70" s="10">
        <f>C70-D70</f>
        <v>0</v>
      </c>
      <c r="F70" s="23" t="str">
        <f>IF(ABS(E70)&lt;=TOL_FRAC,"APROBADO","FALLIDO")</f>
        <v>APROBADO</v>
      </c>
      <c r="G70" s="5"/>
      <c r="H70" s="5"/>
      <c r="I70" s="5"/>
      <c r="J70" s="5"/>
      <c r="K70" s="5"/>
      <c r="L70" s="5"/>
      <c r="M70" s="5"/>
    </row>
    <row r="71" spans="1:13" ht="15" customHeight="1">
      <c r="A71" s="28" t="s">
        <v>473</v>
      </c>
      <c r="B71" s="19" t="s">
        <v>474</v>
      </c>
      <c r="C71" s="21">
        <f>c_GrDeu</f>
        <v>0.21249629629629624</v>
      </c>
      <c r="D71" s="21">
        <f>(1.2*(in_Peso/(in_Est/100)^2)+0.23*in_Edad-10.8*1-5.4)/100</f>
        <v>0.21249629629629624</v>
      </c>
      <c r="E71" s="10">
        <f>C71-D71</f>
        <v>0</v>
      </c>
      <c r="F71" s="23" t="str">
        <f>IF(ABS(E71)&lt;=TOL_FRAC,"APROBADO","FALLIDO")</f>
        <v>APROBADO</v>
      </c>
      <c r="G71" s="5"/>
      <c r="H71" s="5"/>
      <c r="I71" s="5"/>
      <c r="J71" s="5"/>
      <c r="K71" s="5"/>
      <c r="L71" s="5"/>
      <c r="M71" s="5"/>
    </row>
    <row r="72" spans="1:13" ht="15" customHeight="1">
      <c r="A72" s="28" t="s">
        <v>475</v>
      </c>
      <c r="B72" s="19" t="s">
        <v>476</v>
      </c>
      <c r="C72" s="11">
        <f>c_MG</f>
        <v>16.516772876536834</v>
      </c>
      <c r="D72" s="11">
        <f>((495/(1.1422-0.0544*LOG10(in_PliBi+in_PliTri+in_PliSub+in_PliSupra))-450)/100)*in_Peso</f>
        <v>16.516772876536834</v>
      </c>
      <c r="E72" s="10">
        <f>C72-D72</f>
        <v>0</v>
      </c>
      <c r="F72" s="23" t="str">
        <f>IF(ABS(E72)&lt;=TOL_KG,"APROBADO","FALLIDO")</f>
        <v>APROBADO</v>
      </c>
      <c r="G72" s="5"/>
      <c r="H72" s="5"/>
      <c r="I72" s="5"/>
      <c r="J72" s="5"/>
      <c r="K72" s="5"/>
      <c r="L72" s="5"/>
      <c r="M72" s="5"/>
    </row>
    <row r="75" spans="1:13" ht="15" customHeight="1">
      <c r="A75" s="8" t="s">
        <v>477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5" customHeight="1">
      <c r="A76" s="5" t="s">
        <v>478</v>
      </c>
      <c r="C76" s="26">
        <v>48</v>
      </c>
    </row>
    <row r="77" spans="1:13" ht="15" customHeight="1">
      <c r="A77" s="5" t="s">
        <v>479</v>
      </c>
      <c r="C77" s="26">
        <f>IF(L8="APROBADO",1,0)+IF(L9="APROBADO",1,0)+IF(L10="APROBADO",1,0)+IF(L11="APROBADO",1,0)+IF(L12="APROBADO",1,0)+IF(L13="APROBADO",1,0)+IF(K17="APROBADO",1,0)+IF(K18="APROBADO",1,0)+IF(K19="APROBADO",1,0)+IF(K20="APROBADO",1,0)+IF(K21="APROBADO",1,0)+IF(K22="APROBADO",1,0)+IF(I26="APROBADO",1,0)+IF(I27="APROBADO",1,0)+IF(I28="APROBADO",1,0)+IF(I29="APROBADO",1,0)+IF(I30="APROBADO",1,0)+IF(I31="APROBADO",1,0)+IF(G35="APROBADO",1,0)+IF(J35="APROBADO",1,0)+IF(G36="APROBADO",1,0)+IF(J36="APROBADO",1,0)+IF(G37="APROBADO",1,0)+IF(J37="APROBADO",1,0)+IF(G38="APROBADO",1,0)+IF(J38="APROBADO",1,0)+IF(F42="APROBADO",1,0)+IF(F43="APROBADO",1,0)+IF(F44="APROBADO",1,0)+IF(F45="APROBADO",1,0)+IF(F46="APROBADO",1,0)+IF(F47="APROBADO",1,0)+IF(F48="APROBADO",1,0)+IF(F52="APROBADO",1,0)+IF(F53="APROBADO",1,0)+IF(F54="APROBADO",1,0)+IF(F55="APROBADO",1,0)+IF(F56="APROBADO",1,0)+IF(F57="APROBADO",1,0)+IF(F58="APROBADO",1,0)+IF(F59="APROBADO",1,0)+IF(E63="APROBADO",1,0)+IF(E64="APROBADO",1,0)+IF(E65="APROBADO",1,0)+IF(F69="APROBADO",1,0)+IF(F70="APROBADO",1,0)+IF(F71="APROBADO",1,0)+IF(F72="APROBADO",1,0)</f>
        <v>48</v>
      </c>
    </row>
    <row r="78" spans="1:13" ht="15" customHeight="1">
      <c r="A78" s="5" t="s">
        <v>480</v>
      </c>
      <c r="C78" s="26">
        <f>48-C77</f>
        <v>0</v>
      </c>
    </row>
    <row r="79" spans="1:13" ht="15" customHeight="1">
      <c r="A79" s="4" t="s">
        <v>481</v>
      </c>
      <c r="B79" s="154" t="str">
        <f>IF(C77=48,"TODAS LAS PRUEBAS APROBADAS","HAY PRUEBAS FALLIDAS — REVISAR")</f>
        <v>TODAS LAS PRUEBAS APROBADAS</v>
      </c>
      <c r="C79" s="155"/>
      <c r="D79" s="155"/>
      <c r="E79" s="155"/>
      <c r="F79" s="156"/>
    </row>
  </sheetData>
  <sheetProtection algorithmName="SHA-512" hashValue="ChUrm2+mfsuGo8EWQtZ9Fv9S7zLIVuXkQSTWd9nfuck6ubx4kQJ0TXwKF4TR4kiEgOKyiYJMSbb7LPtmF+BO2A==" saltValue="IcgKaRYbMiUBOg4QnYZ7iA==" spinCount="100000" sheet="1" objects="1" scenarios="1"/>
  <mergeCells count="11">
    <mergeCell ref="A2:F2"/>
    <mergeCell ref="G2:L2"/>
    <mergeCell ref="A3:M3"/>
    <mergeCell ref="B79:F79"/>
    <mergeCell ref="A4:D4"/>
    <mergeCell ref="A6:M6"/>
    <mergeCell ref="A15:M15"/>
    <mergeCell ref="A24:M24"/>
    <mergeCell ref="A33:M33"/>
    <mergeCell ref="A40:M40"/>
    <mergeCell ref="A50:M5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A6B70"/>
  </sheetPr>
  <dimension ref="A1:E106"/>
  <sheetViews>
    <sheetView showGridLines="0" zoomScaleNormal="100" workbookViewId="0">
      <pane ySplit="5" topLeftCell="A6" activePane="bottomLeft" state="frozen"/>
      <selection activeCell="A32" sqref="A32"/>
      <selection pane="bottomLeft" activeCell="B57" sqref="B57"/>
    </sheetView>
  </sheetViews>
  <sheetFormatPr baseColWidth="10" defaultColWidth="8.7109375" defaultRowHeight="15"/>
  <cols>
    <col min="1" max="1" width="46" style="1" customWidth="1"/>
    <col min="2" max="3" width="16" style="1" customWidth="1"/>
    <col min="4" max="4" width="14" style="1" customWidth="1"/>
    <col min="5" max="5" width="40" style="1" customWidth="1"/>
  </cols>
  <sheetData>
    <row r="1" spans="1:5" ht="25.5" customHeight="1">
      <c r="A1" s="7" t="s">
        <v>0</v>
      </c>
      <c r="B1" s="3"/>
      <c r="C1" s="3"/>
      <c r="D1" s="3"/>
      <c r="E1" s="3"/>
    </row>
    <row r="2" spans="1:5" ht="24" customHeight="1">
      <c r="A2" s="153" t="s">
        <v>482</v>
      </c>
      <c r="B2" s="153"/>
      <c r="C2" s="153"/>
      <c r="D2" s="153"/>
      <c r="E2" s="153"/>
    </row>
    <row r="3" spans="1:5" ht="18" customHeight="1">
      <c r="A3" s="157" t="str">
        <f>HYPERLINK("#INICIO!A1","◀ INICIO")</f>
        <v>◀ INICIO</v>
      </c>
      <c r="B3" s="158"/>
      <c r="C3" s="158"/>
      <c r="D3" s="158"/>
    </row>
    <row r="4" spans="1:5" ht="42" customHeight="1">
      <c r="A4" s="152" t="s">
        <v>483</v>
      </c>
      <c r="B4" s="127"/>
      <c r="C4" s="127"/>
      <c r="D4" s="127"/>
      <c r="E4" s="127"/>
    </row>
    <row r="6" spans="1:5" ht="15" customHeight="1">
      <c r="A6" s="9" t="s">
        <v>484</v>
      </c>
      <c r="B6" s="6"/>
      <c r="C6" s="6"/>
      <c r="D6" s="6"/>
      <c r="E6" s="6"/>
    </row>
    <row r="7" spans="1:5" ht="15" customHeight="1">
      <c r="A7" s="83" t="s">
        <v>485</v>
      </c>
      <c r="B7" s="83" t="s">
        <v>49</v>
      </c>
      <c r="C7" s="83" t="s">
        <v>50</v>
      </c>
      <c r="D7" s="83" t="s">
        <v>486</v>
      </c>
      <c r="E7" s="83" t="s">
        <v>487</v>
      </c>
    </row>
    <row r="8" spans="1:5" ht="15" customHeight="1">
      <c r="A8" s="36" t="s">
        <v>488</v>
      </c>
      <c r="B8" s="39" t="s">
        <v>489</v>
      </c>
      <c r="C8" s="40" t="s">
        <v>55</v>
      </c>
      <c r="D8" s="84" t="s">
        <v>55</v>
      </c>
      <c r="E8" s="41" t="s">
        <v>490</v>
      </c>
    </row>
    <row r="9" spans="1:5" ht="15" customHeight="1">
      <c r="A9" s="36" t="s">
        <v>491</v>
      </c>
      <c r="B9" s="39" t="s">
        <v>492</v>
      </c>
      <c r="C9" s="40" t="s">
        <v>55</v>
      </c>
      <c r="D9" s="84" t="s">
        <v>55</v>
      </c>
      <c r="E9" s="41" t="s">
        <v>493</v>
      </c>
    </row>
    <row r="10" spans="1:5" ht="15" customHeight="1">
      <c r="A10" s="36" t="s">
        <v>494</v>
      </c>
      <c r="B10" s="43">
        <v>18</v>
      </c>
      <c r="C10" s="40" t="s">
        <v>68</v>
      </c>
      <c r="D10" s="84" t="s">
        <v>495</v>
      </c>
      <c r="E10" s="41" t="s">
        <v>496</v>
      </c>
    </row>
    <row r="11" spans="1:5" ht="15" customHeight="1">
      <c r="A11" s="36" t="s">
        <v>497</v>
      </c>
      <c r="B11" s="43">
        <v>120</v>
      </c>
      <c r="C11" s="40" t="s">
        <v>68</v>
      </c>
      <c r="D11" s="84" t="s">
        <v>495</v>
      </c>
      <c r="E11" s="41" t="s">
        <v>498</v>
      </c>
    </row>
    <row r="12" spans="1:5" ht="15" customHeight="1">
      <c r="A12" s="36" t="s">
        <v>499</v>
      </c>
      <c r="B12" s="43">
        <v>25</v>
      </c>
      <c r="C12" s="40" t="s">
        <v>72</v>
      </c>
      <c r="D12" s="84" t="s">
        <v>495</v>
      </c>
      <c r="E12" s="41" t="s">
        <v>500</v>
      </c>
    </row>
    <row r="13" spans="1:5" ht="15" customHeight="1">
      <c r="A13" s="36" t="s">
        <v>501</v>
      </c>
      <c r="B13" s="43">
        <v>350</v>
      </c>
      <c r="C13" s="40" t="s">
        <v>72</v>
      </c>
      <c r="D13" s="84" t="s">
        <v>495</v>
      </c>
      <c r="E13" s="41" t="s">
        <v>498</v>
      </c>
    </row>
    <row r="14" spans="1:5" ht="15" customHeight="1">
      <c r="A14" s="36" t="s">
        <v>502</v>
      </c>
      <c r="B14" s="43">
        <v>120</v>
      </c>
      <c r="C14" s="40" t="s">
        <v>76</v>
      </c>
      <c r="D14" s="84" t="s">
        <v>495</v>
      </c>
      <c r="E14" s="41" t="s">
        <v>498</v>
      </c>
    </row>
    <row r="15" spans="1:5" ht="15" customHeight="1">
      <c r="A15" s="36" t="s">
        <v>503</v>
      </c>
      <c r="B15" s="43">
        <v>230</v>
      </c>
      <c r="C15" s="40" t="s">
        <v>76</v>
      </c>
      <c r="D15" s="84" t="s">
        <v>495</v>
      </c>
      <c r="E15" s="41" t="s">
        <v>498</v>
      </c>
    </row>
    <row r="16" spans="1:5" ht="15" customHeight="1">
      <c r="A16" s="36" t="s">
        <v>504</v>
      </c>
      <c r="B16" s="43">
        <v>1</v>
      </c>
      <c r="C16" s="40" t="s">
        <v>88</v>
      </c>
      <c r="D16" s="84" t="s">
        <v>495</v>
      </c>
      <c r="E16" s="41" t="s">
        <v>505</v>
      </c>
    </row>
    <row r="17" spans="1:5" ht="15" customHeight="1">
      <c r="A17" s="36" t="s">
        <v>506</v>
      </c>
      <c r="B17" s="43">
        <v>80</v>
      </c>
      <c r="C17" s="40" t="s">
        <v>88</v>
      </c>
      <c r="D17" s="84" t="s">
        <v>495</v>
      </c>
      <c r="E17" s="41" t="s">
        <v>505</v>
      </c>
    </row>
    <row r="18" spans="1:5" ht="15" customHeight="1">
      <c r="A18" s="36" t="s">
        <v>507</v>
      </c>
      <c r="B18" s="43">
        <v>20</v>
      </c>
      <c r="C18" s="40" t="s">
        <v>76</v>
      </c>
      <c r="D18" s="84" t="s">
        <v>495</v>
      </c>
      <c r="E18" s="41" t="s">
        <v>508</v>
      </c>
    </row>
    <row r="19" spans="1:5" ht="15" customHeight="1">
      <c r="A19" s="36" t="s">
        <v>509</v>
      </c>
      <c r="B19" s="43">
        <v>70</v>
      </c>
      <c r="C19" s="40" t="s">
        <v>76</v>
      </c>
      <c r="D19" s="84" t="s">
        <v>495</v>
      </c>
      <c r="E19" s="41" t="s">
        <v>508</v>
      </c>
    </row>
    <row r="20" spans="1:5" ht="15" customHeight="1">
      <c r="A20" s="36" t="s">
        <v>510</v>
      </c>
      <c r="B20" s="43">
        <v>40</v>
      </c>
      <c r="C20" s="40" t="s">
        <v>76</v>
      </c>
      <c r="D20" s="84" t="s">
        <v>495</v>
      </c>
      <c r="E20" s="41" t="s">
        <v>511</v>
      </c>
    </row>
    <row r="21" spans="1:5" ht="15" customHeight="1">
      <c r="A21" s="36" t="s">
        <v>512</v>
      </c>
      <c r="B21" s="43">
        <v>200</v>
      </c>
      <c r="C21" s="40" t="s">
        <v>76</v>
      </c>
      <c r="D21" s="84" t="s">
        <v>495</v>
      </c>
      <c r="E21" s="41" t="s">
        <v>511</v>
      </c>
    </row>
    <row r="22" spans="1:5" ht="15" customHeight="1">
      <c r="A22" s="36" t="s">
        <v>513</v>
      </c>
      <c r="B22" s="43">
        <v>50</v>
      </c>
      <c r="C22" s="40" t="s">
        <v>76</v>
      </c>
      <c r="D22" s="84" t="s">
        <v>495</v>
      </c>
      <c r="E22" s="41" t="s">
        <v>511</v>
      </c>
    </row>
    <row r="23" spans="1:5" ht="15" customHeight="1">
      <c r="A23" s="36" t="s">
        <v>514</v>
      </c>
      <c r="B23" s="43">
        <v>200</v>
      </c>
      <c r="C23" s="40" t="s">
        <v>76</v>
      </c>
      <c r="D23" s="84" t="s">
        <v>495</v>
      </c>
      <c r="E23" s="41" t="s">
        <v>511</v>
      </c>
    </row>
    <row r="24" spans="1:5" ht="15" customHeight="1">
      <c r="A24" s="36" t="s">
        <v>515</v>
      </c>
      <c r="B24" s="85">
        <v>0.03</v>
      </c>
      <c r="C24" s="40" t="s">
        <v>135</v>
      </c>
      <c r="D24" s="84" t="s">
        <v>495</v>
      </c>
      <c r="E24" s="41" t="s">
        <v>516</v>
      </c>
    </row>
    <row r="25" spans="1:5" ht="15" customHeight="1">
      <c r="A25" s="36" t="s">
        <v>517</v>
      </c>
      <c r="B25" s="85">
        <v>0.75</v>
      </c>
      <c r="C25" s="40" t="s">
        <v>135</v>
      </c>
      <c r="D25" s="84" t="s">
        <v>495</v>
      </c>
      <c r="E25" s="41" t="s">
        <v>498</v>
      </c>
    </row>
    <row r="26" spans="1:5" ht="15" customHeight="1">
      <c r="A26" s="36" t="s">
        <v>518</v>
      </c>
      <c r="B26" s="85">
        <v>0.2</v>
      </c>
      <c r="C26" s="40" t="s">
        <v>135</v>
      </c>
      <c r="D26" s="84" t="s">
        <v>519</v>
      </c>
      <c r="E26" s="41" t="s">
        <v>520</v>
      </c>
    </row>
    <row r="27" spans="1:5" ht="21.75" customHeight="1">
      <c r="A27" s="36" t="s">
        <v>521</v>
      </c>
      <c r="B27" s="86">
        <v>5.0000000000000001E-4</v>
      </c>
      <c r="C27" s="40" t="s">
        <v>55</v>
      </c>
      <c r="D27" s="84" t="s">
        <v>519</v>
      </c>
      <c r="E27" s="41" t="s">
        <v>522</v>
      </c>
    </row>
    <row r="28" spans="1:5" ht="21.75" customHeight="1">
      <c r="A28" s="36" t="s">
        <v>523</v>
      </c>
      <c r="B28" s="87">
        <v>0.05</v>
      </c>
      <c r="C28" s="40" t="s">
        <v>72</v>
      </c>
      <c r="D28" s="84" t="s">
        <v>519</v>
      </c>
      <c r="E28" s="41" t="s">
        <v>524</v>
      </c>
    </row>
    <row r="29" spans="1:5" ht="15" customHeight="1">
      <c r="A29" s="36" t="s">
        <v>525</v>
      </c>
      <c r="B29" s="43">
        <v>495</v>
      </c>
      <c r="C29" s="40" t="s">
        <v>55</v>
      </c>
      <c r="D29" s="84" t="s">
        <v>526</v>
      </c>
      <c r="E29" s="41" t="s">
        <v>259</v>
      </c>
    </row>
    <row r="30" spans="1:5" ht="15" customHeight="1">
      <c r="A30" s="36" t="s">
        <v>527</v>
      </c>
      <c r="B30" s="43">
        <v>450</v>
      </c>
      <c r="C30" s="40" t="s">
        <v>55</v>
      </c>
      <c r="D30" s="84" t="s">
        <v>526</v>
      </c>
      <c r="E30" s="41" t="s">
        <v>528</v>
      </c>
    </row>
    <row r="31" spans="1:5" ht="15" customHeight="1">
      <c r="A31" s="36" t="s">
        <v>529</v>
      </c>
      <c r="B31" s="43">
        <v>457</v>
      </c>
      <c r="C31" s="40" t="s">
        <v>55</v>
      </c>
      <c r="D31" s="84" t="s">
        <v>526</v>
      </c>
      <c r="E31" s="41" t="s">
        <v>268</v>
      </c>
    </row>
    <row r="32" spans="1:5" ht="15" customHeight="1">
      <c r="A32" s="36" t="s">
        <v>530</v>
      </c>
      <c r="B32" s="43">
        <v>414</v>
      </c>
      <c r="C32" s="40" t="s">
        <v>55</v>
      </c>
      <c r="D32" s="84" t="s">
        <v>526</v>
      </c>
      <c r="E32" s="41" t="s">
        <v>528</v>
      </c>
    </row>
    <row r="33" spans="1:5" ht="15" customHeight="1">
      <c r="A33" s="36" t="s">
        <v>531</v>
      </c>
      <c r="B33" s="88">
        <v>1.0324</v>
      </c>
      <c r="C33" s="40" t="s">
        <v>55</v>
      </c>
      <c r="D33" s="84" t="s">
        <v>526</v>
      </c>
      <c r="E33" s="41" t="s">
        <v>205</v>
      </c>
    </row>
    <row r="34" spans="1:5" ht="15" customHeight="1">
      <c r="A34" s="36" t="s">
        <v>532</v>
      </c>
      <c r="B34" s="88">
        <v>0.19077</v>
      </c>
      <c r="C34" s="40" t="s">
        <v>55</v>
      </c>
      <c r="D34" s="84" t="s">
        <v>526</v>
      </c>
      <c r="E34" s="41" t="s">
        <v>533</v>
      </c>
    </row>
    <row r="35" spans="1:5" ht="15" customHeight="1">
      <c r="A35" s="36" t="s">
        <v>534</v>
      </c>
      <c r="B35" s="88">
        <v>0.15456</v>
      </c>
      <c r="C35" s="40" t="s">
        <v>55</v>
      </c>
      <c r="D35" s="84" t="s">
        <v>526</v>
      </c>
      <c r="E35" s="41" t="s">
        <v>535</v>
      </c>
    </row>
    <row r="36" spans="1:5" ht="15" customHeight="1">
      <c r="A36" s="36" t="s">
        <v>536</v>
      </c>
      <c r="B36" s="88">
        <v>1.29579</v>
      </c>
      <c r="C36" s="40" t="s">
        <v>55</v>
      </c>
      <c r="D36" s="84" t="s">
        <v>526</v>
      </c>
      <c r="E36" s="41" t="s">
        <v>205</v>
      </c>
    </row>
    <row r="37" spans="1:5" ht="15" customHeight="1">
      <c r="A37" s="36" t="s">
        <v>537</v>
      </c>
      <c r="B37" s="88">
        <v>0.35004000000000002</v>
      </c>
      <c r="C37" s="40" t="s">
        <v>55</v>
      </c>
      <c r="D37" s="84" t="s">
        <v>526</v>
      </c>
      <c r="E37" s="41" t="s">
        <v>538</v>
      </c>
    </row>
    <row r="38" spans="1:5" ht="15" customHeight="1">
      <c r="A38" s="36" t="s">
        <v>539</v>
      </c>
      <c r="B38" s="88">
        <v>0.221</v>
      </c>
      <c r="C38" s="40" t="s">
        <v>55</v>
      </c>
      <c r="D38" s="84" t="s">
        <v>526</v>
      </c>
      <c r="E38" s="41" t="s">
        <v>535</v>
      </c>
    </row>
    <row r="39" spans="1:5" ht="15" customHeight="1">
      <c r="A39" s="36" t="s">
        <v>540</v>
      </c>
      <c r="B39" s="87">
        <v>1.2</v>
      </c>
      <c r="C39" s="40" t="s">
        <v>55</v>
      </c>
      <c r="D39" s="84" t="s">
        <v>526</v>
      </c>
      <c r="E39" s="41" t="s">
        <v>541</v>
      </c>
    </row>
    <row r="40" spans="1:5" ht="15" customHeight="1">
      <c r="A40" s="36" t="s">
        <v>542</v>
      </c>
      <c r="B40" s="87">
        <v>0.23</v>
      </c>
      <c r="C40" s="40" t="s">
        <v>55</v>
      </c>
      <c r="D40" s="84" t="s">
        <v>526</v>
      </c>
      <c r="E40" s="41" t="s">
        <v>543</v>
      </c>
    </row>
    <row r="41" spans="1:5" ht="15" customHeight="1">
      <c r="A41" s="36" t="s">
        <v>544</v>
      </c>
      <c r="B41" s="87">
        <v>10.8</v>
      </c>
      <c r="C41" s="40" t="s">
        <v>55</v>
      </c>
      <c r="D41" s="84" t="s">
        <v>526</v>
      </c>
      <c r="E41" s="41" t="s">
        <v>545</v>
      </c>
    </row>
    <row r="42" spans="1:5" ht="15" customHeight="1">
      <c r="A42" s="36" t="s">
        <v>546</v>
      </c>
      <c r="B42" s="87">
        <v>5.4</v>
      </c>
      <c r="C42" s="40" t="s">
        <v>55</v>
      </c>
      <c r="D42" s="84" t="s">
        <v>526</v>
      </c>
      <c r="E42" s="41" t="s">
        <v>547</v>
      </c>
    </row>
    <row r="43" spans="1:5" ht="15" customHeight="1">
      <c r="A43" s="36" t="s">
        <v>548</v>
      </c>
      <c r="B43" s="44">
        <v>18.5</v>
      </c>
      <c r="C43" s="40" t="s">
        <v>119</v>
      </c>
      <c r="D43" s="84" t="s">
        <v>549</v>
      </c>
      <c r="E43" s="41" t="s">
        <v>550</v>
      </c>
    </row>
    <row r="44" spans="1:5" ht="15" customHeight="1">
      <c r="A44" s="36" t="s">
        <v>551</v>
      </c>
      <c r="B44" s="44">
        <v>25</v>
      </c>
      <c r="C44" s="40" t="s">
        <v>119</v>
      </c>
      <c r="D44" s="84" t="s">
        <v>549</v>
      </c>
      <c r="E44" s="41" t="s">
        <v>552</v>
      </c>
    </row>
    <row r="45" spans="1:5" ht="15" customHeight="1">
      <c r="A45" s="36" t="s">
        <v>553</v>
      </c>
      <c r="B45" s="44">
        <v>30</v>
      </c>
      <c r="C45" s="40" t="s">
        <v>119</v>
      </c>
      <c r="D45" s="84" t="s">
        <v>549</v>
      </c>
      <c r="E45" s="41" t="s">
        <v>552</v>
      </c>
    </row>
    <row r="46" spans="1:5" ht="15" customHeight="1">
      <c r="A46" s="36" t="s">
        <v>554</v>
      </c>
      <c r="B46" s="44">
        <v>35</v>
      </c>
      <c r="C46" s="40" t="s">
        <v>119</v>
      </c>
      <c r="D46" s="84" t="s">
        <v>549</v>
      </c>
      <c r="E46" s="41" t="s">
        <v>552</v>
      </c>
    </row>
    <row r="47" spans="1:5" ht="15" customHeight="1">
      <c r="A47" s="36" t="s">
        <v>555</v>
      </c>
      <c r="B47" s="44">
        <v>40</v>
      </c>
      <c r="C47" s="40" t="s">
        <v>119</v>
      </c>
      <c r="D47" s="84" t="s">
        <v>549</v>
      </c>
      <c r="E47" s="41" t="s">
        <v>552</v>
      </c>
    </row>
    <row r="48" spans="1:5" ht="15" customHeight="1">
      <c r="A48" s="36" t="s">
        <v>556</v>
      </c>
      <c r="B48" s="43">
        <v>65</v>
      </c>
      <c r="C48" s="40" t="s">
        <v>68</v>
      </c>
      <c r="D48" s="84" t="s">
        <v>549</v>
      </c>
      <c r="E48" s="41" t="s">
        <v>557</v>
      </c>
    </row>
    <row r="49" spans="1:5" ht="15" customHeight="1">
      <c r="A49" s="36" t="s">
        <v>558</v>
      </c>
      <c r="B49" s="44">
        <v>23</v>
      </c>
      <c r="C49" s="40" t="s">
        <v>119</v>
      </c>
      <c r="D49" s="84" t="s">
        <v>549</v>
      </c>
      <c r="E49" s="41" t="s">
        <v>559</v>
      </c>
    </row>
    <row r="50" spans="1:5" ht="15" customHeight="1">
      <c r="A50" s="36" t="s">
        <v>560</v>
      </c>
      <c r="B50" s="44">
        <v>28</v>
      </c>
      <c r="C50" s="40" t="s">
        <v>119</v>
      </c>
      <c r="D50" s="84" t="s">
        <v>549</v>
      </c>
      <c r="E50" s="41" t="s">
        <v>561</v>
      </c>
    </row>
    <row r="51" spans="1:5" ht="15" customHeight="1">
      <c r="A51" s="36" t="s">
        <v>562</v>
      </c>
      <c r="B51" s="44">
        <v>32</v>
      </c>
      <c r="C51" s="40" t="s">
        <v>119</v>
      </c>
      <c r="D51" s="84" t="s">
        <v>549</v>
      </c>
      <c r="E51" s="41" t="s">
        <v>561</v>
      </c>
    </row>
    <row r="52" spans="1:5" ht="15" customHeight="1">
      <c r="A52" s="36" t="s">
        <v>563</v>
      </c>
      <c r="B52" s="43">
        <v>102</v>
      </c>
      <c r="C52" s="40" t="s">
        <v>76</v>
      </c>
      <c r="D52" s="84" t="s">
        <v>549</v>
      </c>
      <c r="E52" s="41" t="s">
        <v>564</v>
      </c>
    </row>
    <row r="53" spans="1:5" ht="15" customHeight="1">
      <c r="A53" s="36" t="s">
        <v>565</v>
      </c>
      <c r="B53" s="43">
        <v>88</v>
      </c>
      <c r="C53" s="40" t="s">
        <v>76</v>
      </c>
      <c r="D53" s="84" t="s">
        <v>549</v>
      </c>
      <c r="E53" s="41" t="s">
        <v>564</v>
      </c>
    </row>
    <row r="54" spans="1:5" ht="15" customHeight="1">
      <c r="A54" s="36" t="s">
        <v>566</v>
      </c>
      <c r="B54" s="87">
        <v>0.9</v>
      </c>
      <c r="C54" s="40" t="s">
        <v>55</v>
      </c>
      <c r="D54" s="84" t="s">
        <v>549</v>
      </c>
      <c r="E54" s="41" t="s">
        <v>567</v>
      </c>
    </row>
    <row r="55" spans="1:5" ht="15" customHeight="1">
      <c r="A55" s="36" t="s">
        <v>568</v>
      </c>
      <c r="B55" s="87">
        <v>0.85</v>
      </c>
      <c r="C55" s="40" t="s">
        <v>55</v>
      </c>
      <c r="D55" s="84" t="s">
        <v>549</v>
      </c>
      <c r="E55" s="41" t="s">
        <v>567</v>
      </c>
    </row>
    <row r="56" spans="1:5" ht="15" customHeight="1">
      <c r="A56" s="36" t="s">
        <v>569</v>
      </c>
      <c r="B56" s="87">
        <v>0.5</v>
      </c>
      <c r="C56" s="40" t="s">
        <v>55</v>
      </c>
      <c r="D56" s="84" t="s">
        <v>549</v>
      </c>
      <c r="E56" s="41" t="s">
        <v>174</v>
      </c>
    </row>
    <row r="58" spans="1:5" ht="15" customHeight="1">
      <c r="A58" s="9" t="s">
        <v>570</v>
      </c>
      <c r="B58" s="6"/>
    </row>
    <row r="59" spans="1:5" ht="15" customHeight="1">
      <c r="A59" s="8" t="s">
        <v>49</v>
      </c>
      <c r="B59" s="8" t="s">
        <v>571</v>
      </c>
    </row>
    <row r="60" spans="1:5" ht="15" customHeight="1">
      <c r="A60" s="5" t="s">
        <v>64</v>
      </c>
      <c r="B60" s="30" t="s">
        <v>572</v>
      </c>
    </row>
    <row r="61" spans="1:5" ht="15" customHeight="1">
      <c r="A61" s="5" t="s">
        <v>343</v>
      </c>
      <c r="B61" s="30" t="s">
        <v>573</v>
      </c>
    </row>
    <row r="63" spans="1:5" ht="15" customHeight="1">
      <c r="A63" s="9" t="s">
        <v>574</v>
      </c>
      <c r="B63" s="6"/>
    </row>
    <row r="64" spans="1:5" ht="15" customHeight="1">
      <c r="A64" s="8" t="s">
        <v>575</v>
      </c>
      <c r="B64" s="8" t="s">
        <v>576</v>
      </c>
    </row>
    <row r="65" spans="1:5" ht="15" customHeight="1">
      <c r="A65" s="5" t="s">
        <v>80</v>
      </c>
      <c r="B65" s="30" t="s">
        <v>577</v>
      </c>
    </row>
    <row r="66" spans="1:5" ht="15" customHeight="1">
      <c r="A66" s="5" t="s">
        <v>578</v>
      </c>
      <c r="B66" s="30" t="s">
        <v>579</v>
      </c>
    </row>
    <row r="67" spans="1:5" ht="15" customHeight="1">
      <c r="A67" s="5" t="s">
        <v>580</v>
      </c>
      <c r="B67" s="30" t="s">
        <v>581</v>
      </c>
    </row>
    <row r="69" spans="1:5" ht="15" customHeight="1">
      <c r="A69" s="9" t="s">
        <v>582</v>
      </c>
      <c r="B69" s="6"/>
    </row>
    <row r="70" spans="1:5" ht="15" customHeight="1">
      <c r="A70" s="8" t="s">
        <v>583</v>
      </c>
      <c r="B70" s="8" t="s">
        <v>584</v>
      </c>
    </row>
    <row r="71" spans="1:5" ht="15" customHeight="1">
      <c r="A71" s="5" t="s">
        <v>84</v>
      </c>
      <c r="B71" s="30" t="s">
        <v>259</v>
      </c>
    </row>
    <row r="72" spans="1:5" ht="15" customHeight="1">
      <c r="A72" s="5" t="s">
        <v>585</v>
      </c>
      <c r="B72" s="30" t="s">
        <v>268</v>
      </c>
    </row>
    <row r="74" spans="1:5" ht="15" customHeight="1">
      <c r="A74" s="9" t="s">
        <v>586</v>
      </c>
    </row>
    <row r="75" spans="1:5" ht="15" customHeight="1">
      <c r="A75" s="5" t="s">
        <v>587</v>
      </c>
    </row>
    <row r="76" spans="1:5" ht="15" customHeight="1">
      <c r="A76" s="5" t="s">
        <v>588</v>
      </c>
    </row>
    <row r="78" spans="1:5" ht="15" customHeight="1">
      <c r="A78" s="9" t="s">
        <v>589</v>
      </c>
      <c r="B78" s="6"/>
      <c r="C78" s="6"/>
      <c r="D78" s="6"/>
      <c r="E78" s="6"/>
    </row>
    <row r="79" spans="1:5" ht="15" customHeight="1">
      <c r="A79" s="8" t="s">
        <v>330</v>
      </c>
      <c r="B79" s="8" t="s">
        <v>590</v>
      </c>
      <c r="C79" s="8" t="s">
        <v>591</v>
      </c>
      <c r="D79" s="8" t="s">
        <v>331</v>
      </c>
      <c r="E79" s="8" t="s">
        <v>116</v>
      </c>
    </row>
    <row r="80" spans="1:5" ht="15" customHeight="1">
      <c r="A80" s="5" t="s">
        <v>64</v>
      </c>
      <c r="B80" s="28">
        <v>17</v>
      </c>
      <c r="C80" s="28">
        <v>20</v>
      </c>
      <c r="D80" s="55">
        <v>1.1619999999999999</v>
      </c>
      <c r="E80" s="55">
        <v>6.3E-2</v>
      </c>
    </row>
    <row r="81" spans="1:5" ht="15" customHeight="1">
      <c r="A81" s="5" t="s">
        <v>64</v>
      </c>
      <c r="B81" s="28">
        <v>20</v>
      </c>
      <c r="C81" s="28">
        <v>30</v>
      </c>
      <c r="D81" s="55">
        <v>1.1631</v>
      </c>
      <c r="E81" s="55">
        <v>6.3200000000000006E-2</v>
      </c>
    </row>
    <row r="82" spans="1:5" ht="15" customHeight="1">
      <c r="A82" s="5" t="s">
        <v>64</v>
      </c>
      <c r="B82" s="28">
        <v>30</v>
      </c>
      <c r="C82" s="28">
        <v>40</v>
      </c>
      <c r="D82" s="55">
        <v>1.1422000000000001</v>
      </c>
      <c r="E82" s="55">
        <v>5.4399999999999997E-2</v>
      </c>
    </row>
    <row r="83" spans="1:5" ht="15" customHeight="1">
      <c r="A83" s="5" t="s">
        <v>64</v>
      </c>
      <c r="B83" s="28">
        <v>40</v>
      </c>
      <c r="C83" s="28">
        <v>50</v>
      </c>
      <c r="D83" s="55">
        <v>1.1619999999999999</v>
      </c>
      <c r="E83" s="55">
        <v>7.0000000000000007E-2</v>
      </c>
    </row>
    <row r="84" spans="1:5" ht="15" customHeight="1">
      <c r="A84" s="5" t="s">
        <v>64</v>
      </c>
      <c r="B84" s="28">
        <v>50</v>
      </c>
      <c r="C84" s="28">
        <v>200</v>
      </c>
      <c r="D84" s="55">
        <v>1.1715</v>
      </c>
      <c r="E84" s="55">
        <v>7.7899999999999997E-2</v>
      </c>
    </row>
    <row r="85" spans="1:5" ht="15" customHeight="1">
      <c r="A85" s="5" t="s">
        <v>343</v>
      </c>
      <c r="B85" s="28">
        <v>16</v>
      </c>
      <c r="C85" s="28">
        <v>20</v>
      </c>
      <c r="D85" s="55">
        <v>1.1549</v>
      </c>
      <c r="E85" s="55">
        <v>6.7799999999999999E-2</v>
      </c>
    </row>
    <row r="86" spans="1:5" ht="15" customHeight="1">
      <c r="A86" s="5" t="s">
        <v>343</v>
      </c>
      <c r="B86" s="28">
        <v>20</v>
      </c>
      <c r="C86" s="28">
        <v>30</v>
      </c>
      <c r="D86" s="55">
        <v>1.1598999999999999</v>
      </c>
      <c r="E86" s="55">
        <v>7.17E-2</v>
      </c>
    </row>
    <row r="87" spans="1:5" ht="15" customHeight="1">
      <c r="A87" s="5" t="s">
        <v>343</v>
      </c>
      <c r="B87" s="28">
        <v>30</v>
      </c>
      <c r="C87" s="28">
        <v>40</v>
      </c>
      <c r="D87" s="55">
        <v>1.1423000000000001</v>
      </c>
      <c r="E87" s="55">
        <v>6.3200000000000006E-2</v>
      </c>
    </row>
    <row r="88" spans="1:5" ht="15" customHeight="1">
      <c r="A88" s="5" t="s">
        <v>343</v>
      </c>
      <c r="B88" s="28">
        <v>40</v>
      </c>
      <c r="C88" s="28">
        <v>50</v>
      </c>
      <c r="D88" s="55">
        <v>1.1333</v>
      </c>
      <c r="E88" s="55">
        <v>6.1199999999999997E-2</v>
      </c>
    </row>
    <row r="89" spans="1:5" ht="15" customHeight="1">
      <c r="A89" s="5" t="s">
        <v>343</v>
      </c>
      <c r="B89" s="28">
        <v>50</v>
      </c>
      <c r="C89" s="28">
        <v>200</v>
      </c>
      <c r="D89" s="55">
        <v>1.1338999999999999</v>
      </c>
      <c r="E89" s="55">
        <v>6.4500000000000002E-2</v>
      </c>
    </row>
    <row r="91" spans="1:5" ht="30" customHeight="1">
      <c r="A91" s="152" t="s">
        <v>592</v>
      </c>
      <c r="B91" s="127"/>
      <c r="C91" s="127"/>
      <c r="D91" s="127"/>
      <c r="E91" s="127"/>
    </row>
    <row r="93" spans="1:5" ht="15" customHeight="1">
      <c r="A93" s="9" t="s">
        <v>593</v>
      </c>
      <c r="B93" s="6"/>
      <c r="C93" s="6"/>
      <c r="D93" s="6"/>
    </row>
    <row r="94" spans="1:5" ht="15" customHeight="1">
      <c r="A94" s="8" t="s">
        <v>330</v>
      </c>
      <c r="B94" s="8" t="s">
        <v>594</v>
      </c>
      <c r="C94" s="8" t="s">
        <v>595</v>
      </c>
      <c r="D94" s="8" t="s">
        <v>571</v>
      </c>
    </row>
    <row r="95" spans="1:5" ht="15" customHeight="1">
      <c r="A95" s="5" t="s">
        <v>64</v>
      </c>
      <c r="B95" s="5" t="s">
        <v>516</v>
      </c>
      <c r="C95" s="27">
        <v>0.02</v>
      </c>
      <c r="D95" s="29" t="s">
        <v>596</v>
      </c>
    </row>
    <row r="96" spans="1:5" ht="15" customHeight="1">
      <c r="A96" s="5" t="s">
        <v>64</v>
      </c>
      <c r="B96" s="5" t="s">
        <v>597</v>
      </c>
      <c r="C96" s="27">
        <v>0.06</v>
      </c>
      <c r="D96" s="29" t="s">
        <v>598</v>
      </c>
    </row>
    <row r="97" spans="1:5" ht="15" customHeight="1">
      <c r="A97" s="5" t="s">
        <v>64</v>
      </c>
      <c r="B97" s="5" t="s">
        <v>599</v>
      </c>
      <c r="C97" s="27">
        <v>0.14000000000000001</v>
      </c>
      <c r="D97" s="29" t="s">
        <v>600</v>
      </c>
    </row>
    <row r="98" spans="1:5" ht="15" customHeight="1">
      <c r="A98" s="5" t="s">
        <v>64</v>
      </c>
      <c r="B98" s="5" t="s">
        <v>601</v>
      </c>
      <c r="C98" s="27">
        <v>0.18</v>
      </c>
      <c r="D98" s="29" t="s">
        <v>602</v>
      </c>
    </row>
    <row r="99" spans="1:5" ht="15" customHeight="1">
      <c r="A99" s="5" t="s">
        <v>64</v>
      </c>
      <c r="B99" s="5" t="s">
        <v>603</v>
      </c>
      <c r="C99" s="27">
        <v>0.25</v>
      </c>
      <c r="D99" s="29" t="s">
        <v>604</v>
      </c>
    </row>
    <row r="100" spans="1:5" ht="15" customHeight="1">
      <c r="A100" s="5" t="s">
        <v>343</v>
      </c>
      <c r="B100" s="5" t="s">
        <v>516</v>
      </c>
      <c r="C100" s="27">
        <v>0.1</v>
      </c>
      <c r="D100" s="29" t="s">
        <v>605</v>
      </c>
    </row>
    <row r="101" spans="1:5" ht="15" customHeight="1">
      <c r="A101" s="5" t="s">
        <v>343</v>
      </c>
      <c r="B101" s="5" t="s">
        <v>597</v>
      </c>
      <c r="C101" s="27">
        <v>0.14000000000000001</v>
      </c>
      <c r="D101" s="29" t="s">
        <v>606</v>
      </c>
    </row>
    <row r="102" spans="1:5" ht="15" customHeight="1">
      <c r="A102" s="5" t="s">
        <v>343</v>
      </c>
      <c r="B102" s="5" t="s">
        <v>599</v>
      </c>
      <c r="C102" s="27">
        <v>0.21</v>
      </c>
      <c r="D102" s="29" t="s">
        <v>607</v>
      </c>
    </row>
    <row r="103" spans="1:5" ht="15" customHeight="1">
      <c r="A103" s="5" t="s">
        <v>343</v>
      </c>
      <c r="B103" s="5" t="s">
        <v>601</v>
      </c>
      <c r="C103" s="27">
        <v>0.25</v>
      </c>
      <c r="D103" s="29" t="s">
        <v>608</v>
      </c>
    </row>
    <row r="104" spans="1:5" ht="15" customHeight="1">
      <c r="A104" s="5" t="s">
        <v>343</v>
      </c>
      <c r="B104" s="5" t="s">
        <v>603</v>
      </c>
      <c r="C104" s="27">
        <v>0.32</v>
      </c>
      <c r="D104" s="29" t="s">
        <v>609</v>
      </c>
    </row>
    <row r="106" spans="1:5" ht="30" customHeight="1">
      <c r="A106" s="162" t="s">
        <v>610</v>
      </c>
      <c r="B106" s="127"/>
      <c r="C106" s="127"/>
      <c r="D106" s="127"/>
      <c r="E106" s="127"/>
    </row>
  </sheetData>
  <sheetProtection algorithmName="SHA-512" hashValue="Hcw/ANZ5Q5fgNnt45yWZ2aQk5LJaUOD75/wq7PcHjylPbLxzz0ZpGtAFKGixq9icENHIwS0m5OfA55SMnrJ4lQ==" saltValue="6T9e/QcTArFHlTT+6nsdXw==" spinCount="100000" sheet="1" objects="1" scenarios="1"/>
  <protectedRanges>
    <protectedRange sqref="D80:E89" name="cm y milimetros"/>
    <protectedRange sqref="B8:B56" name="valores"/>
  </protectedRanges>
  <mergeCells count="5">
    <mergeCell ref="A91:E91"/>
    <mergeCell ref="A4:E4"/>
    <mergeCell ref="A106:E106"/>
    <mergeCell ref="A3:D3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A6B70"/>
  </sheetPr>
  <dimension ref="A1:E8"/>
  <sheetViews>
    <sheetView showGridLines="0" zoomScaleNormal="100" workbookViewId="0">
      <selection activeCell="I7" sqref="I7"/>
    </sheetView>
  </sheetViews>
  <sheetFormatPr baseColWidth="10" defaultColWidth="8.7109375" defaultRowHeight="15"/>
  <cols>
    <col min="1" max="1" width="12" style="1" customWidth="1"/>
    <col min="2" max="2" width="14" style="1" customWidth="1"/>
    <col min="3" max="3" width="56" style="1" customWidth="1"/>
    <col min="4" max="4" width="40" style="1" customWidth="1"/>
    <col min="5" max="5" width="20" style="1" customWidth="1"/>
  </cols>
  <sheetData>
    <row r="1" spans="1:5" ht="25.5" customHeight="1">
      <c r="A1" s="2" t="s">
        <v>0</v>
      </c>
      <c r="B1" s="3"/>
      <c r="C1" s="3"/>
      <c r="D1" s="3"/>
      <c r="E1" s="3"/>
    </row>
    <row r="2" spans="1:5" ht="24" customHeight="1">
      <c r="A2" s="153" t="s">
        <v>611</v>
      </c>
      <c r="B2" s="153"/>
      <c r="C2" s="153"/>
      <c r="D2" s="153"/>
      <c r="E2" s="153"/>
    </row>
    <row r="3" spans="1:5" ht="18" customHeight="1">
      <c r="A3" s="157" t="str">
        <f>HYPERLINK("#INICIO!A1","◀ INICIO")</f>
        <v>◀ INICIO</v>
      </c>
      <c r="B3" s="158"/>
      <c r="C3" s="158"/>
      <c r="D3" s="158"/>
    </row>
    <row r="5" spans="1:5" ht="15" customHeight="1">
      <c r="A5" s="8" t="s">
        <v>12</v>
      </c>
      <c r="B5" s="8" t="s">
        <v>14</v>
      </c>
      <c r="C5" s="8" t="s">
        <v>612</v>
      </c>
      <c r="D5" s="8" t="s">
        <v>613</v>
      </c>
      <c r="E5" s="8" t="s">
        <v>20</v>
      </c>
    </row>
    <row r="6" spans="1:5" ht="55.5" customHeight="1">
      <c r="A6" s="28" t="s">
        <v>13</v>
      </c>
      <c r="B6" s="28" t="s">
        <v>15</v>
      </c>
      <c r="C6" s="14" t="s">
        <v>614</v>
      </c>
      <c r="D6" s="14" t="s">
        <v>615</v>
      </c>
      <c r="E6" s="19" t="s">
        <v>616</v>
      </c>
    </row>
    <row r="7" spans="1:5" ht="55.5" customHeight="1">
      <c r="A7" s="28" t="s">
        <v>13</v>
      </c>
      <c r="B7" s="28" t="s">
        <v>15</v>
      </c>
      <c r="C7" s="14" t="s">
        <v>617</v>
      </c>
      <c r="D7" s="14" t="s">
        <v>618</v>
      </c>
      <c r="E7" s="19" t="s">
        <v>616</v>
      </c>
    </row>
    <row r="8" spans="1:5" ht="55.5" customHeight="1">
      <c r="A8" s="28" t="s">
        <v>13</v>
      </c>
      <c r="B8" s="28" t="s">
        <v>15</v>
      </c>
      <c r="C8" s="14" t="s">
        <v>619</v>
      </c>
      <c r="D8" s="14" t="s">
        <v>620</v>
      </c>
      <c r="E8" s="19" t="s">
        <v>616</v>
      </c>
    </row>
  </sheetData>
  <sheetProtection algorithmName="SHA-512" hashValue="TdRbDFYWdWmUnT2qXkrEtvSj2lFJkMSm44Ho6+j5zxku5lXU1oH3rozNvrlO4AjUXD2e2aWZPuo+HGv5U/AzNg==" saltValue="tlQaMpaohd2UV+9JLKYfaw==" spinCount="100000" sheet="1" objects="1" scenarios="1"/>
  <mergeCells count="2">
    <mergeCell ref="A3:D3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97</vt:i4>
      </vt:variant>
    </vt:vector>
  </HeadingPairs>
  <TitlesOfParts>
    <vt:vector size="105" baseType="lpstr">
      <vt:lpstr>INICIO</vt:lpstr>
      <vt:lpstr>DATOS</vt:lpstr>
      <vt:lpstr>CALCULOS</vt:lpstr>
      <vt:lpstr>RESULTADOS</vt:lpstr>
      <vt:lpstr>FUENTES</vt:lpstr>
      <vt:lpstr>PRUEBAS</vt:lpstr>
      <vt:lpstr>CONFIG</vt:lpstr>
      <vt:lpstr>CHANGELOG</vt:lpstr>
      <vt:lpstr>AM_C1</vt:lpstr>
      <vt:lpstr>AM_C2</vt:lpstr>
      <vt:lpstr>AM_C3</vt:lpstr>
      <vt:lpstr>BRO_A</vt:lpstr>
      <vt:lpstr>BRO_B</vt:lpstr>
      <vt:lpstr>c_ampl</vt:lpstr>
      <vt:lpstr>c_ClaseGrasa</vt:lpstr>
      <vt:lpstr>c_ClaseIMC</vt:lpstr>
      <vt:lpstr>c_Dens</vt:lpstr>
      <vt:lpstr>c_DWc</vt:lpstr>
      <vt:lpstr>c_DWm</vt:lpstr>
      <vt:lpstr>c_estado</vt:lpstr>
      <vt:lpstr>c_Gate</vt:lpstr>
      <vt:lpstr>c_GrDeu</vt:lpstr>
      <vt:lpstr>c_GrNavy</vt:lpstr>
      <vt:lpstr>c_GrPli</vt:lpstr>
      <vt:lpstr>c_GrRep</vt:lpstr>
      <vt:lpstr>c_ICC</vt:lpstr>
      <vt:lpstr>c_ICE</vt:lpstr>
      <vt:lpstr>c_IMC</vt:lpstr>
      <vt:lpstr>c_IMG</vt:lpstr>
      <vt:lpstr>c_IMLG</vt:lpstr>
      <vt:lpstr>c_max</vt:lpstr>
      <vt:lpstr>c_MG</vt:lpstr>
      <vt:lpstr>c_min</vt:lpstr>
      <vt:lpstr>c_MLG</vt:lpstr>
      <vt:lpstr>c_n</vt:lpstr>
      <vt:lpstr>c_prom</vt:lpstr>
      <vt:lpstr>c_rango</vt:lpstr>
      <vt:lpstr>c_RiesgoCint</vt:lpstr>
      <vt:lpstr>c_RiesgoICC</vt:lpstr>
      <vt:lpstr>c_RiesgoICE</vt:lpstr>
      <vt:lpstr>c_SumPli</vt:lpstr>
      <vt:lpstr>c_TallaM</vt:lpstr>
      <vt:lpstr>CAD_MAX</vt:lpstr>
      <vt:lpstr>CAD_MIN</vt:lpstr>
      <vt:lpstr>CIN_MAX</vt:lpstr>
      <vt:lpstr>CIN_MIN</vt:lpstr>
      <vt:lpstr>CINT_H</vt:lpstr>
      <vt:lpstr>CINT_M</vt:lpstr>
      <vt:lpstr>CUE_MAX</vt:lpstr>
      <vt:lpstr>CUE_MIN</vt:lpstr>
      <vt:lpstr>DEU_CONST</vt:lpstr>
      <vt:lpstr>DEU_EDAD</vt:lpstr>
      <vt:lpstr>DEU_IMC</vt:lpstr>
      <vt:lpstr>DEU_SEXO</vt:lpstr>
      <vt:lpstr>DISP_MAX</vt:lpstr>
      <vt:lpstr>EDAD_AM</vt:lpstr>
      <vt:lpstr>EDAD_MAX</vt:lpstr>
      <vt:lpstr>EDAD_MIN</vt:lpstr>
      <vt:lpstr>EST_MAX</vt:lpstr>
      <vt:lpstr>EST_MIN</vt:lpstr>
      <vt:lpstr>GRASA_MAX</vt:lpstr>
      <vt:lpstr>GRASA_MIN</vt:lpstr>
      <vt:lpstr>ICC_H</vt:lpstr>
      <vt:lpstr>ICC_M</vt:lpstr>
      <vt:lpstr>ICE_R</vt:lpstr>
      <vt:lpstr>IMC_C1</vt:lpstr>
      <vt:lpstr>IMC_C2</vt:lpstr>
      <vt:lpstr>IMC_C3</vt:lpstr>
      <vt:lpstr>IMC_C4</vt:lpstr>
      <vt:lpstr>IMC_C5</vt:lpstr>
      <vt:lpstr>in_Cadera</vt:lpstr>
      <vt:lpstr>in_Cintura</vt:lpstr>
      <vt:lpstr>in_Conv</vt:lpstr>
      <vt:lpstr>in_Cuello</vt:lpstr>
      <vt:lpstr>in_Edad</vt:lpstr>
      <vt:lpstr>in_Est</vt:lpstr>
      <vt:lpstr>in_Fecha</vt:lpstr>
      <vt:lpstr>in_ID</vt:lpstr>
      <vt:lpstr>in_Metodo</vt:lpstr>
      <vt:lpstr>in_Obs</vt:lpstr>
      <vt:lpstr>in_Pac</vt:lpstr>
      <vt:lpstr>in_Peso</vt:lpstr>
      <vt:lpstr>in_PliBi</vt:lpstr>
      <vt:lpstr>in_PliSub</vt:lpstr>
      <vt:lpstr>in_PliSupra</vt:lpstr>
      <vt:lpstr>in_PliTri</vt:lpstr>
      <vt:lpstr>in_Sexo</vt:lpstr>
      <vt:lpstr>LISTA_DEN</vt:lpstr>
      <vt:lpstr>LISTA_MET</vt:lpstr>
      <vt:lpstr>NAVY_H0</vt:lpstr>
      <vt:lpstr>NAVY_H1</vt:lpstr>
      <vt:lpstr>NAVY_H2</vt:lpstr>
      <vt:lpstr>NAVY_M0</vt:lpstr>
      <vt:lpstr>NAVY_M1</vt:lpstr>
      <vt:lpstr>NAVY_M2</vt:lpstr>
      <vt:lpstr>PESO_MAX</vt:lpstr>
      <vt:lpstr>PESO_MIN</vt:lpstr>
      <vt:lpstr>PLI_MAX</vt:lpstr>
      <vt:lpstr>PLI_MIN</vt:lpstr>
      <vt:lpstr>SEXOS</vt:lpstr>
      <vt:lpstr>SINO</vt:lpstr>
      <vt:lpstr>SIRI_A</vt:lpstr>
      <vt:lpstr>SIRI_B</vt:lpstr>
      <vt:lpstr>TOL_FRAC</vt:lpstr>
      <vt:lpstr>TOL_KG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</cp:lastModifiedBy>
  <cp:revision>5</cp:revision>
  <dcterms:created xsi:type="dcterms:W3CDTF">2026-07-16T05:54:55Z</dcterms:created>
  <dcterms:modified xsi:type="dcterms:W3CDTF">2026-08-12T18:07:51Z</dcterms:modified>
  <dc:language>en-US</dc:language>
</cp:coreProperties>
</file>
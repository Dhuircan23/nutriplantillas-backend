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54036.31437\"/>
    </mc:Choice>
  </mc:AlternateContent>
  <xr:revisionPtr revIDLastSave="0" documentId="13_ncr:1_{4C08846F-1AC1-4F93-A578-E8EF97A9E3F5}" xr6:coauthVersionLast="47" xr6:coauthVersionMax="47" xr10:uidLastSave="{00000000-0000-0000-0000-000000000000}"/>
  <bookViews>
    <workbookView xWindow="-120" yWindow="-120" windowWidth="29040" windowHeight="15840" tabRatio="652" firstSheet="1" activeTab="13" xr2:uid="{00000000-000D-0000-FFFF-FFFF00000000}"/>
  </bookViews>
  <sheets>
    <sheet name="INICIO" sheetId="1" r:id="rId1"/>
    <sheet name="INDICE" sheetId="2" r:id="rId2"/>
    <sheet name="ENERGIA" sheetId="3" r:id="rId3"/>
    <sheet name="CRECIMIENTO" sheetId="4" r:id="rId4"/>
    <sheet name="COMPOSICION" sheetId="5" r:id="rId5"/>
    <sheet name="SOMATOTIPO" sheetId="6" r:id="rId6"/>
    <sheet name="FIABILIDAD" sheetId="7" r:id="rId7"/>
    <sheet name="RENAL" sheetId="8" r:id="rId8"/>
    <sheet name="DEPORTE" sheetId="9" r:id="rId9"/>
    <sheet name="CONDUCTA" sheetId="10" r:id="rId10"/>
    <sheet name="FUENTES" sheetId="11" r:id="rId11"/>
    <sheet name="PRUEBAS" sheetId="12" state="hidden" r:id="rId12"/>
    <sheet name="CONFIG" sheetId="13" state="hidden" r:id="rId13"/>
    <sheet name="CHANGELOG"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 i="1" l="1"/>
  <c r="C3" i="14" l="1"/>
  <c r="A3" i="14"/>
  <c r="E3" i="13"/>
  <c r="C3" i="13"/>
  <c r="A3" i="13"/>
  <c r="J31" i="12"/>
  <c r="H31" i="12"/>
  <c r="H30" i="12"/>
  <c r="J30" i="12" s="1"/>
  <c r="J29" i="12"/>
  <c r="H29" i="12"/>
  <c r="H28" i="12"/>
  <c r="J28" i="12" s="1"/>
  <c r="J27" i="12"/>
  <c r="H27" i="12"/>
  <c r="H26" i="12"/>
  <c r="J26" i="12" s="1"/>
  <c r="J25" i="12"/>
  <c r="H25" i="12"/>
  <c r="H24" i="12"/>
  <c r="J24" i="12" s="1"/>
  <c r="H23" i="12"/>
  <c r="J23" i="12" s="1"/>
  <c r="H22" i="12"/>
  <c r="J22" i="12" s="1"/>
  <c r="H21" i="12"/>
  <c r="J21" i="12" s="1"/>
  <c r="H20" i="12"/>
  <c r="J20" i="12" s="1"/>
  <c r="H19" i="12"/>
  <c r="J19" i="12" s="1"/>
  <c r="H18" i="12"/>
  <c r="J18" i="12" s="1"/>
  <c r="H17" i="12"/>
  <c r="J17" i="12" s="1"/>
  <c r="H16" i="12"/>
  <c r="J16" i="12" s="1"/>
  <c r="H15" i="12"/>
  <c r="J15" i="12" s="1"/>
  <c r="H14" i="12"/>
  <c r="J14" i="12" s="1"/>
  <c r="H13" i="12"/>
  <c r="J13" i="12" s="1"/>
  <c r="H12" i="12"/>
  <c r="J12" i="12" s="1"/>
  <c r="H11" i="12"/>
  <c r="J11" i="12" s="1"/>
  <c r="H10" i="12"/>
  <c r="J10" i="12" s="1"/>
  <c r="H9" i="12"/>
  <c r="J9" i="12" s="1"/>
  <c r="H8" i="12"/>
  <c r="J8" i="12" s="1"/>
  <c r="H7" i="12"/>
  <c r="J7" i="12" s="1"/>
  <c r="H6" i="12"/>
  <c r="J6" i="12" s="1"/>
  <c r="E3" i="12"/>
  <c r="C3" i="12"/>
  <c r="A3" i="12"/>
  <c r="E3" i="11"/>
  <c r="C3" i="11"/>
  <c r="A3" i="11"/>
  <c r="G3" i="10"/>
  <c r="E3" i="10"/>
  <c r="C3" i="10"/>
  <c r="A3" i="10"/>
  <c r="G3" i="9"/>
  <c r="E3" i="9"/>
  <c r="C3" i="9"/>
  <c r="A3" i="9"/>
  <c r="G3" i="8"/>
  <c r="E3" i="8"/>
  <c r="C3" i="8"/>
  <c r="A3" i="8"/>
  <c r="G3" i="7"/>
  <c r="E3" i="7"/>
  <c r="C3" i="7"/>
  <c r="A3" i="7"/>
  <c r="G3" i="6"/>
  <c r="E3" i="6"/>
  <c r="C3" i="6"/>
  <c r="A3" i="6"/>
  <c r="G3" i="5"/>
  <c r="E3" i="5"/>
  <c r="C3" i="5"/>
  <c r="A3" i="5"/>
  <c r="G3" i="4"/>
  <c r="E3" i="4"/>
  <c r="C3" i="4"/>
  <c r="A3" i="4"/>
  <c r="G3" i="3"/>
  <c r="E3" i="3"/>
  <c r="C3" i="3"/>
  <c r="A3" i="3"/>
  <c r="B14" i="2"/>
  <c r="A13" i="2"/>
  <c r="A12" i="2"/>
  <c r="A11" i="2"/>
  <c r="A10" i="2"/>
  <c r="A9" i="2"/>
  <c r="A8" i="2"/>
  <c r="A7" i="2"/>
  <c r="A6" i="2"/>
  <c r="G3" i="2"/>
  <c r="E3" i="2"/>
  <c r="C3" i="2"/>
  <c r="A3" i="2"/>
  <c r="G6" i="1"/>
  <c r="E6" i="1"/>
  <c r="C6" i="1"/>
  <c r="A6" i="1"/>
  <c r="G5" i="1"/>
  <c r="E5" i="1"/>
  <c r="C5" i="1"/>
  <c r="A5" i="1"/>
  <c r="G4" i="1"/>
  <c r="E4" i="1"/>
  <c r="C4" i="1"/>
  <c r="A4" i="1"/>
  <c r="H33" i="12" l="1"/>
  <c r="J33" i="12" s="1"/>
</calcChain>
</file>

<file path=xl/sharedStrings.xml><?xml version="1.0" encoding="utf-8"?>
<sst xmlns="http://schemas.openxmlformats.org/spreadsheetml/2006/main" count="1079" uniqueCount="714">
  <si>
    <t>NUTRIMETRÍA  ·  NMX-15</t>
  </si>
  <si>
    <t>Biblioteca profesional de fórmulas · versión 1.0 · Fase 8 · biblioteca de referencia transversal de la colección</t>
  </si>
  <si>
    <t>Código del producto</t>
  </si>
  <si>
    <t>NMX-15</t>
  </si>
  <si>
    <t>Versión</t>
  </si>
  <si>
    <t>1.0</t>
  </si>
  <si>
    <t>Fecha</t>
  </si>
  <si>
    <t>2026-07-24</t>
  </si>
  <si>
    <t>Naturaleza</t>
  </si>
  <si>
    <t>Biblioteca de REFERENCIA. Reúne y audita las fórmulas de la colección Nutrimetría. NO es un motor clínico ni reemplaza a las herramientas de cálculo.</t>
  </si>
  <si>
    <t>Cobertura</t>
  </si>
  <si>
    <t>Construida a partir de las publicaciones primarias de cada dominio, comunes a toda la suite (NMX-01, 08, 09, 10, 11, 12, 16, 24, 33, 34, 35, 36, 41, 42). Los módulos NMX-03, 07, 13, 14, 20 y 25 ya están disponibles y reutilizan estas ecuaciones de referencia —por ejemplo, el recordatorio NMX-13 emplea la TMB de Schofield y el GET/PAL factorial del dominio ENERGIA—, por lo que no se duplican aquí.</t>
  </si>
  <si>
    <t>Formato</t>
  </si>
  <si>
    <t>.xlsx sin macros · Microsoft 365 (Windows) y Excel 2021 · sin funciones matriciales</t>
  </si>
  <si>
    <t>Responsable</t>
  </si>
  <si>
    <t>Equipo Nutrimetría (completar por el titular)</t>
  </si>
  <si>
    <t>AVISO DE ALCANCE — LÉALO ANTES DE USAR</t>
  </si>
  <si>
    <t>EXACTITUD MATEMÁTICA ≠ VALIDACIÓN CLÍNICA. Reunir y cotejar las fórmulas contra sus fuentes NO valida su uso en un paciente concreto ni en población chilena.</t>
  </si>
  <si>
    <t>Esta biblioteca sólo REPRODUCE las ecuaciones tal como las aplican los módulos de la colección: es documentación y verificación, no diagnóstico ni prescripción.</t>
  </si>
  <si>
    <t>Cada fórmula conserva su POBLACIÓN de derivación y sus LIMITACIONES: no la traslade a poblaciones distintas (pediatría, embarazo, lactancia, deportistas de élite, pacientes críticos) sin criterio profesional.</t>
  </si>
  <si>
    <t>Sólo se usan ECUACIONES y COEFICIENTES (hechos no protegibles). La 'edad metabólica' (NMX-34) se incluye como constructo NO validado, con su advertencia; no la presente como diagnóstico.</t>
  </si>
  <si>
    <t>Las fórmulas que dependen de la Tabla INTA 2018 (grupo RENAL / equivalentes) heredan el BLOQUEO de licencia: uso personal, no redistribuir ni comercializar la base sin autorización documentada. Nutrimetría no cuenta con respaldo del INTA ni de la U. de Chile.</t>
  </si>
  <si>
    <t>Esta revisión no sustituye asesoría jurídica ni científica.</t>
  </si>
  <si>
    <t>CÓMO USAR ESTA BIBLIOTECA</t>
  </si>
  <si>
    <t>1</t>
  </si>
  <si>
    <t>ÍNDICE lista todas las fórmulas con su dominio, el módulo de origen y su nivel de verificación. Es el punto de entrada.</t>
  </si>
  <si>
    <t>2</t>
  </si>
  <si>
    <t>Cada hoja de DOMINIO (Energía, Crecimiento, Composición, Somatotipo, Fiabilidad, Deporte, Renal, Conducta) contiene la ecuación exacta, su autor y año, la población de derivación, las unidades y sus limitaciones.</t>
  </si>
  <si>
    <t>3</t>
  </si>
  <si>
    <t>FUENTES consolida la bibliografía con nivel de verificación, DOI/URL y condiciones de licencia.</t>
  </si>
  <si>
    <t>4</t>
  </si>
  <si>
    <t>PRUEBAS reproduce numéricamente cada fórmula contra un valor de control calculado de forma independiente. Revíselas tras cualquier edición de coeficientes.</t>
  </si>
  <si>
    <t>5</t>
  </si>
  <si>
    <t>CONFIG centraliza las constantes compartidas (factores de Atwater, MET, tolerancia de pruebas, umbrales). Edítelas ahí, no dentro de las fórmulas.</t>
  </si>
  <si>
    <t>CÓDIGO DE COLORES</t>
  </si>
  <si>
    <t>Título / encabezado de sección</t>
  </si>
  <si>
    <t>Metadatos e información derivada</t>
  </si>
  <si>
    <t>Advertencias y límites de uso</t>
  </si>
  <si>
    <t>Celdas editables (CONFIG)</t>
  </si>
  <si>
    <t>Resultado de prueba correcto</t>
  </si>
  <si>
    <t>Índice de fórmulas · dominios, origen y verificación</t>
  </si>
  <si>
    <t>NIVEL A = publicación primaria / documento oficial · B = resumen primario o corroboración por pares · C = fuente secundaria o constructo no validado. Sólo se usan ecuaciones y coeficientes (hechos no protegibles). EXACTITUD ≠ VALIDACIÓN CLÍNICA.</t>
  </si>
  <si>
    <t>Dominio</t>
  </si>
  <si>
    <t>Nº de fórmulas</t>
  </si>
  <si>
    <t>Módulos de origen</t>
  </si>
  <si>
    <t>Contenido principal</t>
  </si>
  <si>
    <t>01 · 10 · 34</t>
  </si>
  <si>
    <t>GEB (7 ecuaciones), PAL/GET/GAF, MET, ETA, Atwater, edad metabólica</t>
  </si>
  <si>
    <t>09</t>
  </si>
  <si>
    <t>LMS OMS, percentiles, cortes de clasificación pediátrica</t>
  </si>
  <si>
    <t>12 · 36 · 08</t>
  </si>
  <si>
    <t>Densidad (DW, JP7/JP3), Siri/Brožek, US Navy, Deurenberg, Faulkner, MG/MLG e índices</t>
  </si>
  <si>
    <t>16</t>
  </si>
  <si>
    <t>Heath–Carter: endo/meso/ecto y somatocarta</t>
  </si>
  <si>
    <t>41 · 36</t>
  </si>
  <si>
    <t>ETM, error relativo, fiabilidad, cambio mínimo detectable</t>
  </si>
  <si>
    <t>08 · 11 · 33</t>
  </si>
  <si>
    <t>Disponibilidad energética, sudoración, carga de Foster, periodización de CHO</t>
  </si>
  <si>
    <t>42</t>
  </si>
  <si>
    <t>Razón P/proteína, cortes K/P/Na (⚠ base INTA con bloqueo)</t>
  </si>
  <si>
    <t>24 · 35</t>
  </si>
  <si>
    <t>Formación de hábitos (Lally), marcadores conductuales</t>
  </si>
  <si>
    <t>TOTAL</t>
  </si>
  <si>
    <t>Energía · GEB, gasto total, efecto térmico y factores energéticos</t>
  </si>
  <si>
    <t>Ecuaciones de gasto energético basal/reposo, factor de actividad (PAL), efecto térmico y factores de Atwater. Provenientes de NMX-01, NMX-10 y NMX-34.</t>
  </si>
  <si>
    <t>Ecuación o dato</t>
  </si>
  <si>
    <t>Autor · año</t>
  </si>
  <si>
    <t>Población de derivación</t>
  </si>
  <si>
    <t>Fórmula / valor</t>
  </si>
  <si>
    <t>Unidades</t>
  </si>
  <si>
    <t>Limitaciones</t>
  </si>
  <si>
    <t>Módulo</t>
  </si>
  <si>
    <t>Nivel</t>
  </si>
  <si>
    <t>Mifflin–St Jeor</t>
  </si>
  <si>
    <t>Mifflin &amp; St Jeor, 1990</t>
  </si>
  <si>
    <t>498 adultos sanos EE.UU., 19–78 años</t>
  </si>
  <si>
    <t>H: 10·P+6,25·T−5·E+5   ·   M: 10·P+6,25·T−5·E−161</t>
  </si>
  <si>
    <t>P kg; T cm; E años; kcal/día</t>
  </si>
  <si>
    <t>Población estadounidense; menor sesgo en obesidad que Harris–Benedict.</t>
  </si>
  <si>
    <t>01·10·34</t>
  </si>
  <si>
    <t>B</t>
  </si>
  <si>
    <t>Harris–Benedict revisada</t>
  </si>
  <si>
    <t>Roza &amp; Shizgal, 1984</t>
  </si>
  <si>
    <t>337 adultos; reanálisis de Harris–Benedict</t>
  </si>
  <si>
    <t>H: 88,362+13,397·P+4,799·T−5,677·E   ·   M: 447,593+9,247·P+3,098·T−4,330·E</t>
  </si>
  <si>
    <t>Tiende a sobrestimar el GEB.</t>
  </si>
  <si>
    <t>01</t>
  </si>
  <si>
    <t>Owen</t>
  </si>
  <si>
    <t>Owen et al., 1986/1987</t>
  </si>
  <si>
    <t>44 mujeres (8 atletas) y 60 hombres, 18–82 años</t>
  </si>
  <si>
    <t>H: 879+10,2·P   ·   M: 795+7,18·P</t>
  </si>
  <si>
    <t>P kg; kcal/día</t>
  </si>
  <si>
    <t>Sólo usa peso; muestra pequeña.</t>
  </si>
  <si>
    <t>Cunningham 1980</t>
  </si>
  <si>
    <t>Cunningham, 1980</t>
  </si>
  <si>
    <t>Reanálisis de Harris–Benedict; MLG único predictor</t>
  </si>
  <si>
    <t>TMB = 500 + 22·MLG</t>
  </si>
  <si>
    <t>MLG kg; kcal/día</t>
  </si>
  <si>
    <t>Hereda por completo el error del método de composición corporal.</t>
  </si>
  <si>
    <t>Cunningham 1991 (alias Katch–McArdle)</t>
  </si>
  <si>
    <t>Cunningham, 1991</t>
  </si>
  <si>
    <t>Ecuación general por masa libre de grasa</t>
  </si>
  <si>
    <t>REE = 370 + 21,6·FFM</t>
  </si>
  <si>
    <t>FFM (MLG) kg; kcal/día</t>
  </si>
  <si>
    <t>El alias 'Katch–McArdle' es atribución secundaria.</t>
  </si>
  <si>
    <t>B/C</t>
  </si>
  <si>
    <t>Schofield adultos</t>
  </si>
  <si>
    <t>Schofield, 1985</t>
  </si>
  <si>
    <t>Metaanálisis ~11.000 mediciones de TMB</t>
  </si>
  <si>
    <t>Bandas 18–30 / 30–60 / ≥60 (coeficientes por sexo en el módulo)</t>
  </si>
  <si>
    <t>Sobrerrepresentación italiana en la base.</t>
  </si>
  <si>
    <t>Henry / Oxford</t>
  </si>
  <si>
    <t>Henry, 2005</t>
  </si>
  <si>
    <t>10.552 valores de TMB; más datos tropicales</t>
  </si>
  <si>
    <t>H: 16,0·P+545 | 14,2·P+593 | 13,5·P+514   ·   M: 13,1·P+558 | 9,74·P+694 | 10,1·P+569 (bandas 18–30/30–60/≥60)</t>
  </si>
  <si>
    <t>Sólo peso; no aplicar bandas fuera de rango.</t>
  </si>
  <si>
    <t>01·10</t>
  </si>
  <si>
    <t>A</t>
  </si>
  <si>
    <t>PAL / GET (factorial)</t>
  </si>
  <si>
    <t>FAO/WHO/UNU, 2004</t>
  </si>
  <si>
    <t>Consulta de expertos; definición oficial</t>
  </si>
  <si>
    <t>PAL = TEE 24h / TMB 24h   →   GET = GEB·PAL</t>
  </si>
  <si>
    <t>adimensional</t>
  </si>
  <si>
    <t>GEB·PAL YA es el gasto total: no volver a sumar ETA.</t>
  </si>
  <si>
    <t>GAF (gasto por actividad)</t>
  </si>
  <si>
    <t>Derivado de FAO 2004</t>
  </si>
  <si>
    <t>—</t>
  </si>
  <si>
    <t>GAF = GEB·(PAL − 1)</t>
  </si>
  <si>
    <t>kcal/día</t>
  </si>
  <si>
    <t>Se resta 1 para NO doble-contar el basal ya incluido en el PAL.</t>
  </si>
  <si>
    <t>AEE por MET</t>
  </si>
  <si>
    <t>Ainsworth et al., 2011</t>
  </si>
  <si>
    <t>2011 Compendium of Physical Activities</t>
  </si>
  <si>
    <t>AEE = Σ máx(MET−1;0)·h · Peso · 1 kcal/kg/h</t>
  </si>
  <si>
    <t>MET adim; h; kg</t>
  </si>
  <si>
    <t>1 MET = reposo ESTÁNDAR (≈1 kcal/kg/h), no el metabolismo individual.</t>
  </si>
  <si>
    <t>10</t>
  </si>
  <si>
    <t>Efecto térmico (ETA / TID)</t>
  </si>
  <si>
    <t>Westerterp, 2004</t>
  </si>
  <si>
    <t>Revisión de termogénesis inducida por la dieta</t>
  </si>
  <si>
    <t>Proteína ≈25% · HdeC ≈8% · Grasa ≈0–3% de su energía</t>
  </si>
  <si>
    <t>% de la energía</t>
  </si>
  <si>
    <t>Rangos poblacionales; no sumarlo sobre un PAL que ya lo incluye.</t>
  </si>
  <si>
    <t>A/B</t>
  </si>
  <si>
    <t>Factores de Atwater (generales)</t>
  </si>
  <si>
    <t>Merrill &amp; Watt, 1973 (USDA AH-74)</t>
  </si>
  <si>
    <t>Documento institucional del USDA</t>
  </si>
  <si>
    <t>Proteína 4 · HdeC 4 · Grasa 9 · Alcohol 7</t>
  </si>
  <si>
    <t>kcal/g</t>
  </si>
  <si>
    <t>Factores GENERALES; existen factores específicos por alimento.</t>
  </si>
  <si>
    <t>01·10·17·21</t>
  </si>
  <si>
    <t>Edad metabólica (⚠ NO validado)</t>
  </si>
  <si>
    <t>Katch–McArdle + Mifflin (NMX-34)</t>
  </si>
  <si>
    <t>Constructo comercial de bioimpedancia</t>
  </si>
  <si>
    <t>Se estima TMB por MLG (sin edad) y se despeja la edad en la ecuación poblacional. Sensibilidad ≈ 4,32 años por kg de MLG.</t>
  </si>
  <si>
    <t>años</t>
  </si>
  <si>
    <t>⚠ NO es un constructo validado; no diagnostica; depende del %grasa (estimado con error).</t>
  </si>
  <si>
    <t>34</t>
  </si>
  <si>
    <t>C</t>
  </si>
  <si>
    <t>Crecimiento · método LMS y percentiles OMS</t>
  </si>
  <si>
    <t>Antropometría pediátrica por el método LMS de la OMS. Proveniente de NMX-09. Sólo se incluye peso para la edad 0–60 meses.</t>
  </si>
  <si>
    <t>Método LMS</t>
  </si>
  <si>
    <t>Cole &amp; Green, 1992</t>
  </si>
  <si>
    <t>Método de suavizado de centiles</t>
  </si>
  <si>
    <t>z = ((X/M)^L − 1)/(L·S)   ·   si L=0: z = ln(X/M)/S</t>
  </si>
  <si>
    <t>Asume distribución Box-Cox normal; se restringe a |z|≤3.</t>
  </si>
  <si>
    <t>Tablas LMS · peso/edad OMS</t>
  </si>
  <si>
    <t>OMS (MGRS), 2006</t>
  </si>
  <si>
    <t>8440 niños de 6 países (0–5 años)</t>
  </si>
  <si>
    <t>Coeficientes L, M, S por sexo y mes cumplido (0–60)</t>
  </si>
  <si>
    <t>kg; adim</t>
  </si>
  <si>
    <t>Estándar 0–5 años; para 5–19 usar la referencia 2007 (no incluida).</t>
  </si>
  <si>
    <t>Ajuste para |z|&gt;3</t>
  </si>
  <si>
    <t>OMS, 2006/2007</t>
  </si>
  <si>
    <t>Documentación técnica de la OMS</t>
  </si>
  <si>
    <t>Fuera de ±3 SD la desviación se fija a la distancia entre ±2 y ±3 SD</t>
  </si>
  <si>
    <t>z</t>
  </si>
  <si>
    <t>Los percentiles sólo se definen para |z|≤3.</t>
  </si>
  <si>
    <t>Percentil desde z</t>
  </si>
  <si>
    <t>Φ normal estándar</t>
  </si>
  <si>
    <t>Estadística clásica</t>
  </si>
  <si>
    <t>percentil = Φ(z)  (z=1,645 → P95)</t>
  </si>
  <si>
    <t>Válido dentro del rango de la referencia (|z|≤3).</t>
  </si>
  <si>
    <t>Cortes de clasificación</t>
  </si>
  <si>
    <t>OMS / MINSAL</t>
  </si>
  <si>
    <t>Tamizaje nutricional</t>
  </si>
  <si>
    <t>&lt;−3 muy bajo · −3 a &lt;−2 bajo · −2 a +1 adecuado · +1 a +2 elevado · &gt;+2 muy elevado</t>
  </si>
  <si>
    <t>El peso/edad no distingue exceso de grasa.</t>
  </si>
  <si>
    <t>Composición corporal · densidad, %grasa, masa magra e índices</t>
  </si>
  <si>
    <t>Estimación de composición por pliegues, circunferencias e IMC, con conversión densidad→%grasa y cortes de clasificación. De NMX-12 y NMX-36.</t>
  </si>
  <si>
    <t>Densidad · Durnin–Womersley (4)</t>
  </si>
  <si>
    <t>Durnin &amp; Womersley, 1974</t>
  </si>
  <si>
    <t>481 personas, 16–72 años; pesaje hidrostático</t>
  </si>
  <si>
    <t>D = c − m·log10(Σ4); Σ4=bíceps+tríceps+subescapular+suprailíaco (c,m por sexo y banda etaria)</t>
  </si>
  <si>
    <t>g/mL; mm</t>
  </si>
  <si>
    <t>Muestra británica; ecuación general; depende de la técnica.</t>
  </si>
  <si>
    <t>12·36</t>
  </si>
  <si>
    <t>Densidad · Jackson–Pollock 7 (H)</t>
  </si>
  <si>
    <t>Jackson &amp; Pollock, 1978</t>
  </si>
  <si>
    <t>308 hombres, 18–61 años; hidrostático</t>
  </si>
  <si>
    <t>BD = 1,112 − 0,00043499·Σ7 + 0,00000055·Σ7² − 0,00028826·edad</t>
  </si>
  <si>
    <t>g/mL; mm; años</t>
  </si>
  <si>
    <t>Error ~3,5 %grasa; muestra no atleta.</t>
  </si>
  <si>
    <t>36</t>
  </si>
  <si>
    <t>Densidad · Jackson–Pollock 7 (M)</t>
  </si>
  <si>
    <t>Jackson, Pollock &amp; Ward, 1980</t>
  </si>
  <si>
    <t>249 mujeres, 18–55 años; hidrostático</t>
  </si>
  <si>
    <t>BD = 1,097 − 0,00046971·Σ7 + 0,00000056·Σ7² − 0,00012828·edad</t>
  </si>
  <si>
    <t>Precaución en mujeres &gt;40 años.</t>
  </si>
  <si>
    <t>Densidad · Jackson–Pollock 3 (H)</t>
  </si>
  <si>
    <t>Sitios: pectoral, abdominal, muslo</t>
  </si>
  <si>
    <t>BD = 1,10938 − 0,0008267·Σ3 + 0,0000016·Σ3² − 0,0002574·edad</t>
  </si>
  <si>
    <t>Versión abreviada; algo menos precisa.</t>
  </si>
  <si>
    <t>% grasa · Faulkner (4)</t>
  </si>
  <si>
    <t>Faulkner, 1968 (deriv. Yuhasz)</t>
  </si>
  <si>
    <t>Uso extendido en el ámbito deportivo</t>
  </si>
  <si>
    <t>%grasa = 0,153·(tríceps+subescapular+suprailíaco+abdominal) + 5,783</t>
  </si>
  <si>
    <t>%; mm</t>
  </si>
  <si>
    <t>⚠ Atribución secundaria (nivel C): verifíquela antes de un uso formal.</t>
  </si>
  <si>
    <t>Densidad → %grasa · Siri</t>
  </si>
  <si>
    <t>Siri, 1961</t>
  </si>
  <si>
    <t>Modelo de dos compartimentos</t>
  </si>
  <si>
    <t>%grasa = 495/D − 450</t>
  </si>
  <si>
    <t>%; D g/mL</t>
  </si>
  <si>
    <t>Densidades fijas; menos válida en extremos de composición.</t>
  </si>
  <si>
    <t>Densidad → %grasa · Brožek</t>
  </si>
  <si>
    <t>Brožek et al., 1963</t>
  </si>
  <si>
    <t>Cuerpo de referencia</t>
  </si>
  <si>
    <t>%grasa = 457/D − 414</t>
  </si>
  <si>
    <t>Alternativa a Siri; difiere en los extremos.</t>
  </si>
  <si>
    <t>% grasa por circunferencias · US Navy</t>
  </si>
  <si>
    <t>Hodgdon &amp; Beckett, 1984</t>
  </si>
  <si>
    <t>Personal de la Marina de EE.UU.</t>
  </si>
  <si>
    <t>H: 495/(1,0324−0,19077·log10(cint−cuello)+0,15456·log10(talla))−450 · M usa (cint+cadera−cuello)</t>
  </si>
  <si>
    <t>cm; %</t>
  </si>
  <si>
    <t>Población militar; sensible a la técnica.</t>
  </si>
  <si>
    <t>12</t>
  </si>
  <si>
    <t>% grasa por IMC · Deurenberg</t>
  </si>
  <si>
    <t>Deurenberg et al., 1991</t>
  </si>
  <si>
    <t>1229 sujetos, amplio rango</t>
  </si>
  <si>
    <t>%grasa = 1,20·IMC + 0,23·edad − 10,8·sexo − 5,4  (H=1, M=0)</t>
  </si>
  <si>
    <t>%; IMC kg/m²</t>
  </si>
  <si>
    <t>Poblacional; menos precisa en el individuo, deportistas y ancianos.</t>
  </si>
  <si>
    <t>Composición · MG, MLG, índices</t>
  </si>
  <si>
    <t>Modelo 2 comp. · anclaje CL (INTA/Salazar, 2003)</t>
  </si>
  <si>
    <t>Población chilena (dilución de deuterio)</t>
  </si>
  <si>
    <t>MG = %grasa·peso · MLG = peso−MG · IMG = MG/talla² · IMLG = MLG/talla²</t>
  </si>
  <si>
    <t>kg; kg/m²</t>
  </si>
  <si>
    <t>El anclaje regional es chileno.</t>
  </si>
  <si>
    <t>12·36·08·34</t>
  </si>
  <si>
    <t>Clasificación por IMC</t>
  </si>
  <si>
    <t>MINSAL / OMS</t>
  </si>
  <si>
    <t>Adulto y adulto mayor</t>
  </si>
  <si>
    <t>Adulto: 18,5 / 25 / 30 / 35 / 40 · Adulto mayor: 23 / 28 / 32</t>
  </si>
  <si>
    <t>kg/m²</t>
  </si>
  <si>
    <t>El IMC no distingue composición.</t>
  </si>
  <si>
    <t>Cintura e índices de distribución</t>
  </si>
  <si>
    <t>Riesgo cardiometabólico</t>
  </si>
  <si>
    <t>Cintura H≥102, M≥88 · ICC H≥0,90, M≥0,85 · ICE ≥0,50</t>
  </si>
  <si>
    <t>cm; adim</t>
  </si>
  <si>
    <t>Cortes de tamizaje, no diagnósticos.</t>
  </si>
  <si>
    <t>Rangos referenciales de %grasa</t>
  </si>
  <si>
    <t>ACE (divulgados)</t>
  </si>
  <si>
    <t>Por categoría y sexo</t>
  </si>
  <si>
    <t>H: esencial 2–5, atlético 6–13, en forma 14–17, aceptable 18–24, obesidad ≥25 (M ≈+8)</t>
  </si>
  <si>
    <t>%</t>
  </si>
  <si>
    <t>REFERENCIALES; no son un estándar chileno oficial.</t>
  </si>
  <si>
    <t>Somatotipo · método antropométrico de Heath–Carter</t>
  </si>
  <si>
    <t>Endomorfia, mesomorfia, ectomorfia y coordenadas de la somatocarta. De NMX-16. Describe la FORMA corporal, no la composición.</t>
  </si>
  <si>
    <t>Somatotipo Heath–Carter</t>
  </si>
  <si>
    <t>Carter, 1990/2002 (Heath &amp; Carter, 1967)</t>
  </si>
  <si>
    <t>San Diego State University</t>
  </si>
  <si>
    <t>Tres componentes adimensionales: endomorfia, mesomorfia, ectomorfia</t>
  </si>
  <si>
    <t>adim</t>
  </si>
  <si>
    <t>Describe la FORMA, no la composición.</t>
  </si>
  <si>
    <t>Endomorfia (corregida por talla)</t>
  </si>
  <si>
    <t>Carter &amp; Heath, 1990</t>
  </si>
  <si>
    <t>Polinomio de 3er grado</t>
  </si>
  <si>
    <t>Endo = −0,7182 + 0,1451·X − 0,00068·X² + 0,0000014·X³ ; X = Σ3·(170,18/talla); Σ3=tríceps+subescapular+supraespinal</t>
  </si>
  <si>
    <t>mm; adim</t>
  </si>
  <si>
    <t>Sensible a la calidad de los pliegues.</t>
  </si>
  <si>
    <t>Mesomorfia</t>
  </si>
  <si>
    <t>Diámetros óseos y perímetros corregidos</t>
  </si>
  <si>
    <t>Meso = 0,858·húmero + 0,601·fémur + 0,188·brazoC + 0,161·pantorrillaC − 0,131·talla + 4,5</t>
  </si>
  <si>
    <t>Perímetros corregidos por el pliegue respectivo (÷10 mm→cm).</t>
  </si>
  <si>
    <t>Ectomorfia (por HWR)</t>
  </si>
  <si>
    <t>HWR = talla / peso^(1/3)</t>
  </si>
  <si>
    <t>HWR≥40,75: 0,732·HWR−28,58 · 38,25&lt;HWR&lt;40,75: 0,463·HWR−17,63 · HWR≤38,25: 0,1</t>
  </si>
  <si>
    <t>Un componente ≤0 se fija en 0,1.</t>
  </si>
  <si>
    <t>Somatocarta</t>
  </si>
  <si>
    <t>Coordenadas 2D</t>
  </si>
  <si>
    <t>X = ecto − endo · Y = 2·meso − (endo+ecto)</t>
  </si>
  <si>
    <t>Clasificación cualitativa en 13 categorías.</t>
  </si>
  <si>
    <t>Fiabilidad de la medición · error técnico y cambio mínimo detectable</t>
  </si>
  <si>
    <t>Control de calidad de la plicometría: error del evaluador y del instrumento. De NMX-41 y NMX-36. No estima composición.</t>
  </si>
  <si>
    <t>Error técnico de medición (ETM)</t>
  </si>
  <si>
    <t>ISAK</t>
  </si>
  <si>
    <t>Mediciones por duplicado</t>
  </si>
  <si>
    <t>ETM = √(Σd²/(2·k)) ; d = diferencia de cada par; k = nº de pares</t>
  </si>
  <si>
    <t>mm</t>
  </si>
  <si>
    <t>Mide reproducibilidad, NO exactitud.</t>
  </si>
  <si>
    <t>41·36</t>
  </si>
  <si>
    <t>Error relativo</t>
  </si>
  <si>
    <t>ETM% = ETM / media</t>
  </si>
  <si>
    <t>Compara sitios de distinto espesor.</t>
  </si>
  <si>
    <t>41</t>
  </si>
  <si>
    <t>Criterios de aceptación</t>
  </si>
  <si>
    <t>Acreditación antropométrica</t>
  </si>
  <si>
    <t>Intraevaluador 5% · interevaluador 7,5%</t>
  </si>
  <si>
    <t>Editables en CONFIG.</t>
  </si>
  <si>
    <t>Coeficiente de fiabilidad</t>
  </si>
  <si>
    <t>Antropometría</t>
  </si>
  <si>
    <t>R = 1 − ETM²/SD²  (SD entre sujetos)</t>
  </si>
  <si>
    <t>Mínimo habitual 0,95.</t>
  </si>
  <si>
    <t>Cambio mínimo detectable (MDC)</t>
  </si>
  <si>
    <t>Estadística (95%)</t>
  </si>
  <si>
    <t>MDC = ETM · √2 · 1,96</t>
  </si>
  <si>
    <t>Un cambio menor no se distingue del error del método.</t>
  </si>
  <si>
    <t>Error de una suma de pliegues</t>
  </si>
  <si>
    <t>Propagación de errores</t>
  </si>
  <si>
    <t>El error crece con √(nº de sitios); la Σ es proporcionalmente más sensible</t>
  </si>
  <si>
    <t>Seguir la Σ de pliegues, no pliegues aislados.</t>
  </si>
  <si>
    <t>Presión del instrumento</t>
  </si>
  <si>
    <t>Plicómetro profesional</t>
  </si>
  <si>
    <t>10 g/mm² constante</t>
  </si>
  <si>
    <t>g/mm²</t>
  </si>
  <si>
    <t>Verificar contra patrones de espesor conocido.</t>
  </si>
  <si>
    <t>Enfermedad renal · selección de alimentos (⚠ base INTA con bloqueo de licencia)</t>
  </si>
  <si>
    <t>Criterios de potasio, fósforo y sodio y razón fósforo/proteína. De NMX-42. Depende de la Tabla INTA 2018: uso personal, no redistribuir.</t>
  </si>
  <si>
    <t>Razón fósforo/proteína</t>
  </si>
  <si>
    <t>Criterio renal</t>
  </si>
  <si>
    <t>Fuentes proteicas</t>
  </si>
  <si>
    <t>P/proteína = mg de fósforo por g de proteína</t>
  </si>
  <si>
    <t>mg/g</t>
  </si>
  <si>
    <t>Cubre la proteína con la menor carga fosfórica.</t>
  </si>
  <si>
    <t>Clasificación K / P / Na</t>
  </si>
  <si>
    <t>Convención del libro</t>
  </si>
  <si>
    <t>Por 100 g</t>
  </si>
  <si>
    <t>Cortes bajo / medio / alto / muy alto (editables)</t>
  </si>
  <si>
    <t>mg/100 g</t>
  </si>
  <si>
    <t>⚠ No hay categorías normadas por 100 g; importa la carga diaria del paciente.</t>
  </si>
  <si>
    <t>Cobertura de nutrientes críticos</t>
  </si>
  <si>
    <t>INTA 2018</t>
  </si>
  <si>
    <t>618 alimentos</t>
  </si>
  <si>
    <t>Sólo 376 tienen K, P y Na completos; 242 quedan EXCLUIDOS y marcados</t>
  </si>
  <si>
    <t>Un dato ausente NUNCA se interpreta como cero.</t>
  </si>
  <si>
    <t>Limitación · fósforo de aditivos</t>
  </si>
  <si>
    <t>Evidencia renal</t>
  </si>
  <si>
    <t>Las tablas NO capturan el fósforo inorgánico de aditivos (absorción casi total)</t>
  </si>
  <si>
    <t>La carga real puede superar ampliamente lo mostrado.</t>
  </si>
  <si>
    <t>Nutrición y entrenamiento deportivo</t>
  </si>
  <si>
    <t>Disponibilidad energética, hidratación, carga de entrenamiento y periodización de carbohidratos. De NMX-08, NMX-11 y NMX-33.</t>
  </si>
  <si>
    <t>Disponibilidad energética (DE)</t>
  </si>
  <si>
    <t>Marco RED-S (COI)</t>
  </si>
  <si>
    <t>Tamizaje de deficiencia energética</t>
  </si>
  <si>
    <t>DE = (ingesta energética − gasto por ejercicio) / MLG ; umbral orientador ~30 kcal/kg MLG/día</t>
  </si>
  <si>
    <t>kcal/kg MLG/día</t>
  </si>
  <si>
    <t>Estimación; depende de datos ingresados, no medidos.</t>
  </si>
  <si>
    <t>08</t>
  </si>
  <si>
    <t>Tasa de sudoración</t>
  </si>
  <si>
    <t>Nutrición deportiva</t>
  </si>
  <si>
    <t>Pesaje pre/post sesión</t>
  </si>
  <si>
    <t>Sudor = (Δpeso + líquido ingerido − orina) / duración ; 1 g ≈ 1 mL</t>
  </si>
  <si>
    <t>mL/h</t>
  </si>
  <si>
    <t>Aproximación para sesiones de duración habitual.</t>
  </si>
  <si>
    <t>Umbral de deshidratación</t>
  </si>
  <si>
    <t>Consenso</t>
  </si>
  <si>
    <t>Pérdida &gt; 2% del peso corporal</t>
  </si>
  <si>
    <t>Orientador y editable.</t>
  </si>
  <si>
    <t>Carga de sesión (Foster)</t>
  </si>
  <si>
    <t>Foster (JSCR)</t>
  </si>
  <si>
    <t>RPE 0–10</t>
  </si>
  <si>
    <t>Carga = duración(min) · RPE</t>
  </si>
  <si>
    <t>UA</t>
  </si>
  <si>
    <t>Sólo compara semanas de UNA misma persona.</t>
  </si>
  <si>
    <t>33</t>
  </si>
  <si>
    <t>Monotonía y strain</t>
  </si>
  <si>
    <t>Foster, 1998</t>
  </si>
  <si>
    <t>Semana de entrenamiento</t>
  </si>
  <si>
    <t>Monotonía = media diaria / SD(muestral) · Strain = carga semanal · monotonía</t>
  </si>
  <si>
    <t>UA; adim</t>
  </si>
  <si>
    <t>Usa SD muestral (n−1).</t>
  </si>
  <si>
    <t>Razón carga aguda/crónica (ACWR)</t>
  </si>
  <si>
    <t>Gabbett, 2016 (objetada)</t>
  </si>
  <si>
    <t>ACWR = carga de la semana / promedio de semanas recientes</t>
  </si>
  <si>
    <t>⚠ NO predice lesión; sólo descriptor de progresión.</t>
  </si>
  <si>
    <t>Regla de progresión</t>
  </si>
  <si>
    <t>Convención</t>
  </si>
  <si>
    <t>Aumento de referencia ~10% semanal</t>
  </si>
  <si>
    <t>No validada; editable.</t>
  </si>
  <si>
    <t>CHO por carga de sesión</t>
  </si>
  <si>
    <t>Impey 2018 / Jeukendrup 2017</t>
  </si>
  <si>
    <t>Rangos de g/kg según la demanda de cada sesión (ver módulo)</t>
  </si>
  <si>
    <t>g/kg</t>
  </si>
  <si>
    <t>Rangos poblacionales editables; no prescripción.</t>
  </si>
  <si>
    <t>11</t>
  </si>
  <si>
    <t>CHO antes de la sesión</t>
  </si>
  <si>
    <t>Academy/DC/ACSM</t>
  </si>
  <si>
    <t>Documento de posición</t>
  </si>
  <si>
    <t>1–4 g/kg, 1–4 h antes</t>
  </si>
  <si>
    <t>Probar en entrenamiento antes de competir.</t>
  </si>
  <si>
    <t>CHO durante la sesión</t>
  </si>
  <si>
    <t>&lt;60–75 min: 0 · 1–3 h: 30–60 g/h · &gt;2–3 h sostenido: mayores (entrenamiento intestinal)</t>
  </si>
  <si>
    <t>g/h</t>
  </si>
  <si>
    <t>Requiere entrenamiento previo de la tolerancia.</t>
  </si>
  <si>
    <t>Proteína (no se periodiza)</t>
  </si>
  <si>
    <t>ISSN (Jäger et al., 2017)</t>
  </si>
  <si>
    <t>1,6–2,2 g/kg/día constante</t>
  </si>
  <si>
    <t>g/kg/día</t>
  </si>
  <si>
    <t>Se mantiene incluso en días de descanso.</t>
  </si>
  <si>
    <t>Conducta alimentaria y hábitos</t>
  </si>
  <si>
    <t>Formación de hábitos y marcadores conductuales. De NMX-24 y NMX-35. Describe conductas; no diagnostica.</t>
  </si>
  <si>
    <t>Formación de hábitos</t>
  </si>
  <si>
    <t>Lally et al., 2010</t>
  </si>
  <si>
    <t>96 personas, 12 semanas</t>
  </si>
  <si>
    <t>Mediana ~66 días para automaticidad (rango 18–254)</t>
  </si>
  <si>
    <t>días</t>
  </si>
  <si>
    <t>El 'mito de los 21 días' (Maltz, 1960) no aplica.</t>
  </si>
  <si>
    <t>24</t>
  </si>
  <si>
    <t>Indicador de interrupción</t>
  </si>
  <si>
    <t>Derivado de Lally 2010</t>
  </si>
  <si>
    <t>Señal = máximo de días seguidos sin cumplir (no la racha); regla: no fallar 2 días seguidos</t>
  </si>
  <si>
    <t>La lógica de racha castiga un fallo aislado.</t>
  </si>
  <si>
    <t>Umbrales de adherencia</t>
  </si>
  <si>
    <t>Lectura</t>
  </si>
  <si>
    <t>80% y 60% (editables)</t>
  </si>
  <si>
    <t>Sin significado clínico por sí mismos.</t>
  </si>
  <si>
    <t>Marcadores conductuales</t>
  </si>
  <si>
    <t>NMX-35</t>
  </si>
  <si>
    <t>Registro dietético-conductual</t>
  </si>
  <si>
    <t>Cruces entre emoción, planificación, hambre/saciedad y pérdida de control (umbrales editables)</t>
  </si>
  <si>
    <t>Describe patrones; NO diagnostica trastornos de conducta alimentaria.</t>
  </si>
  <si>
    <t>35</t>
  </si>
  <si>
    <t>Bibliografía consolidada · nivel de verificación y licencia</t>
  </si>
  <si>
    <t>Referencias primarias de las fórmulas. Los coeficientes son hechos no protegibles. Las obras clásicas se citan sólo por su ecuación. La base de composición INTA 2018 NO tiene autorización de redistribución documentada: uso personal. Esta revisión no sustituye asesoría jurídica.</t>
  </si>
  <si>
    <t>Fuente / autor</t>
  </si>
  <si>
    <t>Año</t>
  </si>
  <si>
    <t>Publicación</t>
  </si>
  <si>
    <t>DOI / URL</t>
  </si>
  <si>
    <t>Licencia / condiciones</t>
  </si>
  <si>
    <t>Mifflin MD, St Jeor ST, et al.</t>
  </si>
  <si>
    <t>1990</t>
  </si>
  <si>
    <t>Am J Clin Nutr 51:241-247</t>
  </si>
  <si>
    <t>Ecuación (hecho no protegible)</t>
  </si>
  <si>
    <t>Roza AM, Shizgal HM (Harris–Benedict rev.)</t>
  </si>
  <si>
    <t>1984</t>
  </si>
  <si>
    <t>Am J Clin Nutr 40:168-182</t>
  </si>
  <si>
    <t>Ecuación</t>
  </si>
  <si>
    <t>Owen OE, et al.</t>
  </si>
  <si>
    <t>1986/1987</t>
  </si>
  <si>
    <t>Am J Clin Nutr</t>
  </si>
  <si>
    <t>Cunningham JJ</t>
  </si>
  <si>
    <t>1980/1991</t>
  </si>
  <si>
    <t>Am J Clin Nutr 33:2372 · 54:963-969</t>
  </si>
  <si>
    <t>Ecuación; alias 'Katch–McArdle' secundario</t>
  </si>
  <si>
    <t>Schofield WN</t>
  </si>
  <si>
    <t>1985</t>
  </si>
  <si>
    <t>Hum Nutr Clin Nutr 39 Suppl 1:5-41</t>
  </si>
  <si>
    <t>Sólo bandas adultas</t>
  </si>
  <si>
    <t>Henry CJK (Oxford)</t>
  </si>
  <si>
    <t>2005</t>
  </si>
  <si>
    <t>Public Health Nutr 8(7A):1133-1152</t>
  </si>
  <si>
    <t>FAO/WHO/UNU</t>
  </si>
  <si>
    <t>2004</t>
  </si>
  <si>
    <t>Human Energy Requirements, FNTR Series 1</t>
  </si>
  <si>
    <t>fao.org</t>
  </si>
  <si>
    <t>Documento institucional</t>
  </si>
  <si>
    <t>Ainsworth BE, et al.</t>
  </si>
  <si>
    <t>2011</t>
  </si>
  <si>
    <t>Med Sci Sports Exerc 43:1575-1581</t>
  </si>
  <si>
    <t>Compendio de actividades (MET)</t>
  </si>
  <si>
    <t>Westerterp KR</t>
  </si>
  <si>
    <t>Nutr Metab (Lond) 1:5</t>
  </si>
  <si>
    <t>Revisión (TID)</t>
  </si>
  <si>
    <t>Merrill AL, Watt BK (Atwater)</t>
  </si>
  <si>
    <t>1973</t>
  </si>
  <si>
    <t>USDA Agriculture Handbook 74</t>
  </si>
  <si>
    <t>usda.gov</t>
  </si>
  <si>
    <t>Factores generales</t>
  </si>
  <si>
    <t>Cole TJ, Green PJ (LMS)</t>
  </si>
  <si>
    <t>1992</t>
  </si>
  <si>
    <t>Statistics in Medicine 11:1305-1319</t>
  </si>
  <si>
    <t>10.1002/sim.4780111005</t>
  </si>
  <si>
    <t>Método</t>
  </si>
  <si>
    <t>OMS — WHO Child Growth Standards</t>
  </si>
  <si>
    <t>2006</t>
  </si>
  <si>
    <t>MGRS · tablas LMS oficiales</t>
  </si>
  <si>
    <t>who.int</t>
  </si>
  <si>
    <t>Datos oficiales OMS (hechos publicados)</t>
  </si>
  <si>
    <t>Durnin JVGA, Womersley J</t>
  </si>
  <si>
    <t>1974</t>
  </si>
  <si>
    <t>Br J Nutr 32(1):77-97</t>
  </si>
  <si>
    <t>10.1079/bjn19740060</t>
  </si>
  <si>
    <t>Siri WE</t>
  </si>
  <si>
    <t>1961</t>
  </si>
  <si>
    <t>Techniques for Measuring Body Composition (NAS-NRC)</t>
  </si>
  <si>
    <t>Obra clásica; sólo la ecuación</t>
  </si>
  <si>
    <t>Brožek J, et al.</t>
  </si>
  <si>
    <t>1963</t>
  </si>
  <si>
    <t>Ann N Y Acad Sci 110:113-140</t>
  </si>
  <si>
    <t>10.1111/j.1749-6632.1963.tb17079.x</t>
  </si>
  <si>
    <t>Artículo con derechos; sólo la ecuación</t>
  </si>
  <si>
    <t>Jackson AS, Pollock ML (y Ward, 1980)</t>
  </si>
  <si>
    <t>1978/1980</t>
  </si>
  <si>
    <t>Br J Nutr 40:497-504 · Med Sci Sports Exerc 12:175-182</t>
  </si>
  <si>
    <t>Faulkner JA (deriv. Yuhasz)</t>
  </si>
  <si>
    <t>1968</t>
  </si>
  <si>
    <t>Uso deportivo extendido</t>
  </si>
  <si>
    <t>⚠ Atribución secundaria: verificar la primaria</t>
  </si>
  <si>
    <t>Hodgdon JA, Beckett MB (US Navy)</t>
  </si>
  <si>
    <t>Naval Health Research Center</t>
  </si>
  <si>
    <t>Deurenberg P, Weststrate JA, Seidell JC</t>
  </si>
  <si>
    <t>1991</t>
  </si>
  <si>
    <t>Br J Nutr 65(2):105-114</t>
  </si>
  <si>
    <t>Carter JEL, Heath BH (Heath–Carter)</t>
  </si>
  <si>
    <t>1990/2002</t>
  </si>
  <si>
    <t>The Heath-Carter Anthropometric Somatotype (Manual)</t>
  </si>
  <si>
    <t>Método; sólo ecuaciones y coeficientes</t>
  </si>
  <si>
    <t>2001/vig.</t>
  </si>
  <si>
    <t>International Standards for Anthropometric Assessment</t>
  </si>
  <si>
    <t>isak.global</t>
  </si>
  <si>
    <t>Estándar de medición</t>
  </si>
  <si>
    <t>MINSAL (Chile) / OMS</t>
  </si>
  <si>
    <t>vigente</t>
  </si>
  <si>
    <t>Normas técnicas de evaluación nutricional</t>
  </si>
  <si>
    <t>minsal.cl</t>
  </si>
  <si>
    <t>INTA, U. de Chile</t>
  </si>
  <si>
    <t>2018</t>
  </si>
  <si>
    <t>Tabla de Composición de Alimentos</t>
  </si>
  <si>
    <t>⚠ BLOQUEO: sin autorización de redistribución comercial</t>
  </si>
  <si>
    <t>Foster C, et al.</t>
  </si>
  <si>
    <t>1998/2001</t>
  </si>
  <si>
    <t>MSSE · J Strength Cond Res</t>
  </si>
  <si>
    <t>Carga, monotonía y strain</t>
  </si>
  <si>
    <t>Impey SG, et al. (Fuel for the work required)</t>
  </si>
  <si>
    <t>Sports Medicine 48(5):1031-1048</t>
  </si>
  <si>
    <t>10.1007/s40279-018-0867-7</t>
  </si>
  <si>
    <t>Periodización de CHO</t>
  </si>
  <si>
    <t>Jeukendrup AE</t>
  </si>
  <si>
    <t>2017</t>
  </si>
  <si>
    <t>Sports Medicine 47(Supl 1):51-63</t>
  </si>
  <si>
    <t>Periodización nutricional</t>
  </si>
  <si>
    <t>Jäger R, et al. (ISSN)</t>
  </si>
  <si>
    <t>J Int Soc Sports Nutr</t>
  </si>
  <si>
    <t>Posición sobre proteína</t>
  </si>
  <si>
    <t>Lally P, et al.</t>
  </si>
  <si>
    <t>2010</t>
  </si>
  <si>
    <t>Eur J Soc Psychol 40(6):998-1009</t>
  </si>
  <si>
    <t>American Council on Exercise (ACE)</t>
  </si>
  <si>
    <t>referencial</t>
  </si>
  <si>
    <t>Rangos divulgados de %grasa</t>
  </si>
  <si>
    <t>acefitness.org</t>
  </si>
  <si>
    <t>REFERENCIALES, no estándar oficial</t>
  </si>
  <si>
    <t>PENDIENTES DE VERIFICACIÓN PRIMARIA (nivel B): varias ecuaciones disponen de resumen primario o corroboración por pares, pero no se inspeccionó cada PDF completo. Faulkner (nivel C) es de atribución secundaria. Confirme la fuente primaria antes de un uso formal.</t>
  </si>
  <si>
    <t>Banco de verificación · el valor ESPERADO no lo calcula la fórmula del libro</t>
  </si>
  <si>
    <t>REGLA: 'Obtenido' aplica la fórmula de la biblioteca sobre las entradas; 'Esperado' se calculó de forma independiente. Estado = OK si |Obtenido−Esperado| ≤ tolerancia (CONFIG!B5). Edite una entrada y el estado debe seguir en OK: valida la transcripción del coeficiente.</t>
  </si>
  <si>
    <t>ID</t>
  </si>
  <si>
    <t>Descripción / entradas</t>
  </si>
  <si>
    <t>Ent.1</t>
  </si>
  <si>
    <t>Ent.2</t>
  </si>
  <si>
    <t>Ent.3</t>
  </si>
  <si>
    <t>Ent.4</t>
  </si>
  <si>
    <t>Obtenido</t>
  </si>
  <si>
    <t>Esperado</t>
  </si>
  <si>
    <t>Estado</t>
  </si>
  <si>
    <t>E01</t>
  </si>
  <si>
    <t>Energía</t>
  </si>
  <si>
    <t>Mifflin–St Jeor · hombre (P,T,E)</t>
  </si>
  <si>
    <t>E02</t>
  </si>
  <si>
    <t>Mifflin–St Jeor · mujer (P,T,E)</t>
  </si>
  <si>
    <t>E03</t>
  </si>
  <si>
    <t>Harris–Benedict rev. · hombre (P,T,E)</t>
  </si>
  <si>
    <t>E04</t>
  </si>
  <si>
    <t>Katch–McArdle / Cunningham 1991 (FFM)</t>
  </si>
  <si>
    <t>E05</t>
  </si>
  <si>
    <t>Cunningham 1980 (MLG)</t>
  </si>
  <si>
    <t>E06</t>
  </si>
  <si>
    <t>GET = GEB·PAL (GEB,PAL)</t>
  </si>
  <si>
    <t>E07</t>
  </si>
  <si>
    <t>GAF = GEB·(PAL−1) (GEB,PAL)</t>
  </si>
  <si>
    <t>E08</t>
  </si>
  <si>
    <t>Atwater (prot,HdeC,grasa g)</t>
  </si>
  <si>
    <t>C01</t>
  </si>
  <si>
    <t>Composición</t>
  </si>
  <si>
    <t>Siri (D)</t>
  </si>
  <si>
    <t>C02</t>
  </si>
  <si>
    <t>Brožek (D)</t>
  </si>
  <si>
    <t>C03</t>
  </si>
  <si>
    <t>Deurenberg · hombre (IMC,edad,sexo=1)</t>
  </si>
  <si>
    <t>C04</t>
  </si>
  <si>
    <t>Jackson–Pollock 7 · H (Σ7,edad)</t>
  </si>
  <si>
    <t>C05</t>
  </si>
  <si>
    <t>Jackson–Pollock 3 · H (Σ3,edad)</t>
  </si>
  <si>
    <t>C06</t>
  </si>
  <si>
    <t>Faulkner (Σ4)</t>
  </si>
  <si>
    <t>S01</t>
  </si>
  <si>
    <t>Somatotipo</t>
  </si>
  <si>
    <t>Endomorfia (Σ3=30, talla=170,18 → X=30)</t>
  </si>
  <si>
    <t>S02</t>
  </si>
  <si>
    <t>Ectomorfia HWR (talla,peso)</t>
  </si>
  <si>
    <t>S03</t>
  </si>
  <si>
    <t>Somatocarta Y = 2·meso−(endo+ecto)</t>
  </si>
  <si>
    <t>G01</t>
  </si>
  <si>
    <t>Crecimiento</t>
  </si>
  <si>
    <t>LMS invariante · X=M → z=0 (X,M,S,L)</t>
  </si>
  <si>
    <t>G02</t>
  </si>
  <si>
    <t>LMS numérico (X,M,S,L)</t>
  </si>
  <si>
    <t>G03</t>
  </si>
  <si>
    <t>LMS con L=0 · z=ln(X/M)/S (X,M,S)</t>
  </si>
  <si>
    <t>F01</t>
  </si>
  <si>
    <t>Fiabilidad</t>
  </si>
  <si>
    <t>ETM = √(Σd²/(2k)) · 3 pares (d1,d2,d3)</t>
  </si>
  <si>
    <t>F02</t>
  </si>
  <si>
    <t>MDC = ETM·√2·1,96 (ETM)</t>
  </si>
  <si>
    <t>D01</t>
  </si>
  <si>
    <t>Deporte</t>
  </si>
  <si>
    <t>Disponibilidad energética (ingesta,gastoEj,MLG)</t>
  </si>
  <si>
    <t>D02</t>
  </si>
  <si>
    <t>Tasa de sudoración (Δpeso kg,ingerido mL,orina mL,horas)</t>
  </si>
  <si>
    <t>D03</t>
  </si>
  <si>
    <t>Carga de sesión Foster (min,RPE)</t>
  </si>
  <si>
    <t>R01</t>
  </si>
  <si>
    <t>Renal</t>
  </si>
  <si>
    <t>Razón fósforo/proteína (P mg, prot g)</t>
  </si>
  <si>
    <t>RESUMEN</t>
  </si>
  <si>
    <t>Pruebas OK</t>
  </si>
  <si>
    <t>Constantes compartidas · edítelas aquí, no dentro de las fórmulas</t>
  </si>
  <si>
    <t>Toda constante transversal de la colección vive aquí. Las celdas ARENA son editables. Cambiar una constante debe reflejarse en las hojas de dominio y en PRUEBAS.</t>
  </si>
  <si>
    <t>C1 · PARÁMETROS Y COEFICIENTES COMPARTIDOS</t>
  </si>
  <si>
    <t>Parámetro</t>
  </si>
  <si>
    <t>Valor</t>
  </si>
  <si>
    <t>Unidad</t>
  </si>
  <si>
    <t>Tipo</t>
  </si>
  <si>
    <t>Nota / fuente</t>
  </si>
  <si>
    <t>Idioma</t>
  </si>
  <si>
    <t>Español (es-CL)</t>
  </si>
  <si>
    <t>Interfaz</t>
  </si>
  <si>
    <t>Tolerancia de las pruebas</t>
  </si>
  <si>
    <t>±</t>
  </si>
  <si>
    <t>Constante</t>
  </si>
  <si>
    <t>Margen |Obtenido−Esperado| en PRUEBAS</t>
  </si>
  <si>
    <t>Equivalente energético de 1 MET</t>
  </si>
  <si>
    <t>kcal/kg/h</t>
  </si>
  <si>
    <t>Compendio de Ainsworth 2011</t>
  </si>
  <si>
    <t>Horas del día</t>
  </si>
  <si>
    <t>h</t>
  </si>
  <si>
    <t>Base del factorial FAO</t>
  </si>
  <si>
    <t>Atwater · proteína</t>
  </si>
  <si>
    <t>Merrill &amp; Watt 1973</t>
  </si>
  <si>
    <t>Atwater · carbohidratos</t>
  </si>
  <si>
    <t>Atwater · grasa</t>
  </si>
  <si>
    <t>Atwater · alcohol</t>
  </si>
  <si>
    <t>Atwater · alcohol etílico</t>
  </si>
  <si>
    <t>Constante de Siri (num.)</t>
  </si>
  <si>
    <t>Constante de Siri (resta)</t>
  </si>
  <si>
    <t>idem</t>
  </si>
  <si>
    <t>Constante de Brožek (num.)</t>
  </si>
  <si>
    <t>Constante de Brožek (resta)</t>
  </si>
  <si>
    <t>Talla de referencia Heath–Carter</t>
  </si>
  <si>
    <t>cm</t>
  </si>
  <si>
    <t>Factor de corrección de la endomorfia</t>
  </si>
  <si>
    <t>Umbral alto HWR (ectomorfia)</t>
  </si>
  <si>
    <t>Tramo superior</t>
  </si>
  <si>
    <t>Umbral bajo HWR (ectomorfia)</t>
  </si>
  <si>
    <t>Verificado 2026-07-23 (no 38,35)</t>
  </si>
  <si>
    <t>ETM · límite intraevaluador</t>
  </si>
  <si>
    <t>Sugerencia</t>
  </si>
  <si>
    <t>ETM · límite interevaluador</t>
  </si>
  <si>
    <t>Z para MDC (95%)</t>
  </si>
  <si>
    <t>Normal estándar</t>
  </si>
  <si>
    <t>Disponibilidad energética · umbral</t>
  </si>
  <si>
    <t>Marco RED-S (orientador)</t>
  </si>
  <si>
    <t>Deshidratación · umbral</t>
  </si>
  <si>
    <t>% peso</t>
  </si>
  <si>
    <t>Editable</t>
  </si>
  <si>
    <t>Adherencia · umbral alto</t>
  </si>
  <si>
    <t>Lally/convención (editable)</t>
  </si>
  <si>
    <t>Adherencia · umbral medio</t>
  </si>
  <si>
    <t>Convención (editable)</t>
  </si>
  <si>
    <t>Progresión semanal de referencia</t>
  </si>
  <si>
    <t>Historial de versiones</t>
  </si>
  <si>
    <t>Cambio</t>
  </si>
  <si>
    <t>Motivo</t>
  </si>
  <si>
    <t>Versión inicial de NMX-15: biblioteca de referencia de fórmulas con 8 dominios, índice, bibliografía, banco de pruebas y constantes compartidas.</t>
  </si>
  <si>
    <t>Fase 8 · consolidar las ecuaciones de la colección en un único libro auditable.</t>
  </si>
  <si>
    <t>Equipo Nutrimetría</t>
  </si>
  <si>
    <t>Diseño visual, barra de navegación y paleta replicados de NMX-10 aprobado.</t>
  </si>
  <si>
    <t>Unificar la identidad de la colección.</t>
  </si>
  <si>
    <t>Construida sólo con los módulos disponibles (01,08,09,10,11,12,16,24,33,34,35,36,41,42). Quedan pendientes de integrar módulos no entregados (p. ej. 03,07,13,14,20,25).</t>
  </si>
  <si>
    <t>No inventar fórmulas de módulos ausentes; ampliar cuando se entreguen.</t>
  </si>
  <si>
    <t>El código NMX-15 se asignó como HERRAMIENTA (libro único de referencia), no como paquete con prefijo P.</t>
  </si>
  <si>
    <t>La biblioteca no agrupa archivos independientes; es un solo libro. Revisable si se trata como paquete.</t>
  </si>
  <si>
    <t>1.0.1</t>
  </si>
  <si>
    <t>2026-08-01</t>
  </si>
  <si>
    <t>Se actualiza la nota de cobertura: los módulos NMX-03, 07, 13, 14, 20 y 25 ya existen. La biblioteca es transversal y sus fórmulas de referencia (energía, composición, ingesta, conducta) ya cubren lo que esos módulos reutilizan; no introducen ecuaciones nuevas en esta biblioteca.</t>
  </si>
  <si>
    <t>Corrige la afirmación previa de que esos módulos no estaban entregados (v1.0), sin duplicar fórmulas.</t>
  </si>
  <si>
    <t>Valores MET60+ · adultos mayores</t>
  </si>
  <si>
    <t>Adultos ≥60 años</t>
  </si>
  <si>
    <t>Older Adult Compendium · MET60+ con baseline 2,7 mL O₂/kg/min; conversión documentada 0,810 kcal/kg/h.</t>
  </si>
  <si>
    <t>MET60+; kcal/kg/h</t>
  </si>
  <si>
    <t>No tratar MET60+ como MET estándar. Usar catálogo y códigos específicos de Older Adult Compendium.</t>
  </si>
  <si>
    <t>Valores METWC · usuarios de silla de ruedas</t>
  </si>
  <si>
    <t>Adultos usuarios de silla de ruedas; evidencia publicada predominantemente en adultos jóvenes/mediana edad</t>
  </si>
  <si>
    <t>Wheelchair Compendium · METWC; baseline 0,992 kcal/kg/h.</t>
  </si>
  <si>
    <t>METWC; kcal/kg/h</t>
  </si>
  <si>
    <t>No mezclar METWC con MET o MET60+. La publicación advierte cautela al extrapolar a adultos mayores; NMX-01 bloquea PAL automático en silla de ruedas ≥60.</t>
  </si>
  <si>
    <t>Conversión energética 2024 · comparación de Compendia</t>
  </si>
  <si>
    <t>Adultos, adultos mayores y usuarios de silla de ruedas</t>
  </si>
  <si>
    <t>Adult MET→kcal: MET×kg×h; METWC→kcal: METWC×0,992×kg×h; MET60+→kcal: MET60+×0,810×kg×h.</t>
  </si>
  <si>
    <t>kcal</t>
  </si>
  <si>
    <t>Ejemplos de conversión; siguen siendo estimaciones del Compendium, no calorimetría.</t>
  </si>
  <si>
    <t>Willis EA, Herrmann SD, Hastert M, Kracht CL, Barreira TV, Schuna JM Jr, Cai Z, Quan M, Conger SA, Brown WJ, Ainsworth BE. 2024</t>
  </si>
  <si>
    <t>Conger SA, Herrmann SD, Willis EA, Nightingale TE, Sherman JR, Ainsworth BE. 2024</t>
  </si>
  <si>
    <t>Herrmann SD, Conger SA, Willis EA, Ainsworth BE — Journal of Sport and Health Science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</si>
</sst>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164" formatCode="0.000000"/>
  </numFmts>
  <fonts count="19" x14ac:knownFonts="1">
    <font>
      <sz val="11"/>
      <color theme="1"/>
      <name val="Calibri"/>
      <family val="2"/>
      <charset val="1"/>
    </font>
    <font>
      <sz val="10"/>
      <name val="Arial"/>
    </font>
    <font>
      <b/>
      <sz val="20"/>
      <color rgb="FFFFFFFF"/>
      <name val="Arial"/>
      <charset val="1"/>
    </font>
    <font>
      <b/>
      <sz val="13"/>
      <color rgb="FFFFFFFF"/>
      <name val="Arial"/>
      <charset val="1"/>
    </font>
    <font>
      <b/>
      <sz val="10"/>
      <color rgb="FFFFFFFF"/>
      <name val="Calibri"/>
      <charset val="1"/>
    </font>
    <font>
      <b/>
      <sz val="11"/>
      <color rgb="FF1A1A1A"/>
      <name val="Arial"/>
      <charset val="1"/>
    </font>
    <font>
      <b/>
      <sz val="10"/>
      <color rgb="FF1A1A1A"/>
      <name val="Arial"/>
      <charset val="1"/>
    </font>
    <font>
      <b/>
      <sz val="11"/>
      <color rgb="FFFFFFFF"/>
      <name val="Arial"/>
      <charset val="1"/>
    </font>
    <font>
      <sz val="10"/>
      <color rgb="FF1A1A1A"/>
      <name val="Arial"/>
      <charset val="1"/>
    </font>
    <font>
      <sz val="9"/>
      <color rgb="FF1A1A1A"/>
      <name val="Arial"/>
      <charset val="1"/>
    </font>
    <font>
      <b/>
      <sz val="14"/>
      <color rgb="FFFFFFFF"/>
      <name val="Arial"/>
      <charset val="1"/>
    </font>
    <font>
      <b/>
      <sz val="12"/>
      <color rgb="FFFFFFFF"/>
      <name val="Arial"/>
      <charset val="1"/>
    </font>
    <font>
      <b/>
      <sz val="11"/>
      <color rgb="FFFFFFFF"/>
      <name val="Calibri"/>
      <charset val="1"/>
    </font>
    <font>
      <b/>
      <sz val="10"/>
      <color rgb="FFFFFFFF"/>
      <name val="Arial"/>
      <charset val="1"/>
    </font>
    <font>
      <b/>
      <sz val="10"/>
      <color rgb="FF155E6C"/>
      <name val="Arial"/>
      <charset val="1"/>
    </font>
    <font>
      <b/>
      <sz val="9"/>
      <color rgb="FF1A1A1A"/>
      <name val="Arial"/>
      <charset val="1"/>
    </font>
    <font>
      <b/>
      <sz val="9"/>
      <color rgb="FF1A1A1A"/>
      <name val="Arial"/>
    </font>
    <font>
      <sz val="9"/>
      <color rgb="FF1A1A1A"/>
      <name val="Arial"/>
    </font>
    <font>
      <b/>
      <sz val="11"/>
      <color rgb="FF0F3B44"/>
      <name val="Arial"/>
    </font>
  </fonts>
  <fills count="10">
    <fill>
      <patternFill patternType="none"/>
    </fill>
    <fill>
      <patternFill patternType="gray125"/>
    </fill>
    <fill>
      <patternFill patternType="solid">
        <fgColor rgb="FF0F3B44"/>
        <bgColor rgb="FF17324D"/>
      </patternFill>
    </fill>
    <fill>
      <patternFill patternType="solid">
        <fgColor rgb="FF1C6B72"/>
        <bgColor rgb="FF155E6C"/>
      </patternFill>
    </fill>
    <fill>
      <patternFill patternType="solid">
        <fgColor rgb="FF17324D"/>
        <bgColor rgb="FF0F3B44"/>
      </patternFill>
    </fill>
    <fill>
      <patternFill patternType="solid">
        <fgColor rgb="FFE7E0F5"/>
        <bgColor rgb="FFE2EFDA"/>
      </patternFill>
    </fill>
    <fill>
      <patternFill patternType="solid">
        <fgColor rgb="FFFBE4D5"/>
        <bgColor rgb="FFFFF6D8"/>
      </patternFill>
    </fill>
    <fill>
      <patternFill patternType="solid">
        <fgColor rgb="FFFFF6D8"/>
        <bgColor rgb="FFFBE4D5"/>
      </patternFill>
    </fill>
    <fill>
      <patternFill patternType="solid">
        <fgColor rgb="FFE2EFDA"/>
        <bgColor rgb="FFE7E0F5"/>
      </patternFill>
    </fill>
    <fill>
      <patternFill patternType="solid">
        <fgColor rgb="FFFFFFFF"/>
      </patternFill>
    </fill>
  </fills>
  <borders count="12">
    <border>
      <left/>
      <right/>
      <top/>
      <bottom/>
      <diagonal/>
    </border>
    <border>
      <left style="thin">
        <color rgb="FFBFC9CC"/>
      </left>
      <right style="thin">
        <color rgb="FFBFC9CC"/>
      </right>
      <top style="thin">
        <color rgb="FFBFC9CC"/>
      </top>
      <bottom style="thin">
        <color rgb="FFBFC9CC"/>
      </bottom>
      <diagonal/>
    </border>
    <border>
      <left style="thin">
        <color rgb="FFBFC9CC"/>
      </left>
      <right/>
      <top style="thin">
        <color rgb="FFBFC9CC"/>
      </top>
      <bottom style="thin">
        <color rgb="FFBFC9CC"/>
      </bottom>
      <diagonal/>
    </border>
    <border>
      <left style="thin">
        <color indexed="64"/>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indexed="64"/>
      </left>
      <right style="thin">
        <color indexed="64"/>
      </right>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style="thin">
        <color rgb="FFBFC9CC"/>
      </top>
      <bottom style="thin">
        <color rgb="FFBFC9CC"/>
      </bottom>
      <diagonal/>
    </border>
    <border>
      <left/>
      <right style="thin">
        <color rgb="FFBFC9CC"/>
      </right>
      <top style="thin">
        <color rgb="FFBFC9CC"/>
      </top>
      <bottom style="thin">
        <color rgb="FFBFC9CC"/>
      </bottom>
      <diagonal/>
    </border>
    <border>
      <left style="thin">
        <color rgb="FFB7C4C7"/>
      </left>
      <right style="thin">
        <color rgb="FFB7C4C7"/>
      </right>
      <top style="thin">
        <color rgb="FFB7C4C7"/>
      </top>
      <bottom style="thin">
        <color rgb="FFB7C4C7"/>
      </bottom>
      <diagonal/>
    </border>
  </borders>
  <cellStyleXfs count="2">
    <xf numFmtId="0" fontId="0" fillId="0" borderId="0"/>
    <xf numFmtId="41" fontId="1" fillId="0" borderId="0" applyBorder="0" applyAlignment="0" applyProtection="0"/>
  </cellStyleXfs>
  <cellXfs count="55">
    <xf numFmtId="0" fontId="0" fillId="0" borderId="0" xfId="0"/>
    <xf numFmtId="0" fontId="0" fillId="6" borderId="0" xfId="0" applyFill="1" applyBorder="1" applyAlignment="1" applyProtection="1"/>
    <xf numFmtId="0" fontId="0" fillId="5" borderId="0" xfId="0" applyFill="1" applyBorder="1" applyAlignment="1" applyProtection="1"/>
    <xf numFmtId="0" fontId="0" fillId="3" borderId="0" xfId="0" applyFill="1" applyBorder="1" applyAlignment="1" applyProtection="1"/>
    <xf numFmtId="0" fontId="8" fillId="5" borderId="0" xfId="0" applyFont="1" applyFill="1" applyBorder="1" applyAlignment="1" applyProtection="1">
      <alignment vertical="top" wrapText="1"/>
    </xf>
    <xf numFmtId="0" fontId="5" fillId="5" borderId="0" xfId="0" applyFont="1" applyFill="1" applyBorder="1" applyAlignment="1" applyProtection="1">
      <alignment horizontal="center" vertical="center"/>
    </xf>
    <xf numFmtId="0" fontId="8" fillId="6" borderId="0" xfId="0" applyFont="1" applyFill="1" applyBorder="1" applyAlignment="1" applyProtection="1">
      <alignment vertical="top" wrapText="1"/>
    </xf>
    <xf numFmtId="0" fontId="7" fillId="3" borderId="0" xfId="0" applyFont="1" applyFill="1" applyBorder="1" applyAlignment="1" applyProtection="1">
      <alignment vertical="center" wrapText="1"/>
    </xf>
    <xf numFmtId="0" fontId="3" fillId="3" borderId="0" xfId="0" applyFont="1" applyFill="1" applyBorder="1" applyAlignment="1" applyProtection="1">
      <alignment vertical="center" wrapText="1"/>
    </xf>
    <xf numFmtId="0" fontId="2" fillId="2" borderId="0" xfId="0" applyFont="1" applyFill="1" applyBorder="1" applyAlignment="1" applyProtection="1">
      <alignment vertical="center"/>
    </xf>
    <xf numFmtId="0" fontId="0" fillId="0" borderId="0" xfId="0" applyAlignment="1" applyProtection="1"/>
    <xf numFmtId="0" fontId="0" fillId="4" borderId="0" xfId="0" applyFill="1" applyAlignment="1" applyProtection="1"/>
    <xf numFmtId="0" fontId="13" fillId="3" borderId="1" xfId="0" applyFont="1" applyFill="1" applyBorder="1" applyAlignment="1" applyProtection="1">
      <alignment vertical="center" wrapText="1"/>
    </xf>
    <xf numFmtId="0" fontId="14" fillId="0" borderId="1" xfId="0" applyFont="1" applyBorder="1" applyAlignment="1" applyProtection="1">
      <alignment vertical="center"/>
    </xf>
    <xf numFmtId="0" fontId="8" fillId="0" borderId="1" xfId="0" applyFont="1" applyBorder="1" applyAlignment="1" applyProtection="1">
      <alignment horizontal="center" vertical="center"/>
    </xf>
    <xf numFmtId="0" fontId="9" fillId="0" borderId="1" xfId="0" applyFont="1" applyBorder="1" applyAlignment="1" applyProtection="1">
      <alignment vertical="top" wrapText="1"/>
    </xf>
    <xf numFmtId="0" fontId="6" fillId="0" borderId="1" xfId="0" applyFont="1" applyBorder="1" applyAlignment="1" applyProtection="1"/>
    <xf numFmtId="0" fontId="6" fillId="0" borderId="1" xfId="0" applyFont="1" applyBorder="1" applyAlignment="1" applyProtection="1">
      <alignment horizontal="center" vertical="center"/>
    </xf>
    <xf numFmtId="0" fontId="0" fillId="0" borderId="1" xfId="0" applyBorder="1" applyAlignment="1" applyProtection="1"/>
    <xf numFmtId="0" fontId="9" fillId="7" borderId="1" xfId="0" applyFont="1" applyFill="1" applyBorder="1" applyAlignment="1" applyProtection="1">
      <alignment horizontal="center" vertical="center"/>
    </xf>
    <xf numFmtId="0" fontId="9" fillId="0" borderId="1" xfId="0" applyFont="1" applyBorder="1" applyAlignment="1" applyProtection="1">
      <alignment horizontal="center" vertical="center"/>
    </xf>
    <xf numFmtId="164" fontId="9" fillId="0" borderId="1" xfId="0" applyNumberFormat="1" applyFont="1" applyBorder="1" applyAlignment="1" applyProtection="1">
      <alignment horizontal="center" vertical="center"/>
    </xf>
    <xf numFmtId="0" fontId="15" fillId="8" borderId="1" xfId="0" applyFont="1" applyFill="1" applyBorder="1" applyAlignment="1" applyProtection="1">
      <alignment horizontal="center" vertical="center"/>
    </xf>
    <xf numFmtId="0" fontId="6" fillId="0" borderId="0" xfId="0" applyFont="1" applyAlignment="1" applyProtection="1"/>
    <xf numFmtId="0" fontId="6" fillId="0" borderId="0" xfId="0" applyFont="1" applyAlignment="1" applyProtection="1">
      <alignment horizontal="center"/>
    </xf>
    <xf numFmtId="0" fontId="12" fillId="4" borderId="0" xfId="0" applyFont="1" applyFill="1" applyAlignment="1" applyProtection="1">
      <alignment vertical="center"/>
    </xf>
    <xf numFmtId="0" fontId="8" fillId="0" borderId="1" xfId="0" applyFont="1" applyBorder="1" applyAlignment="1" applyProtection="1">
      <alignment vertical="top" wrapText="1"/>
    </xf>
    <xf numFmtId="0" fontId="8" fillId="7" borderId="1" xfId="0" applyFont="1" applyFill="1" applyBorder="1" applyAlignment="1" applyProtection="1">
      <alignment horizontal="center" vertical="center"/>
    </xf>
    <xf numFmtId="0" fontId="9" fillId="0" borderId="1" xfId="0" applyFont="1" applyBorder="1" applyAlignment="1" applyProtection="1"/>
    <xf numFmtId="0" fontId="0" fillId="7" borderId="0" xfId="0" applyFill="1" applyBorder="1" applyAlignment="1" applyProtection="1"/>
    <xf numFmtId="0" fontId="0" fillId="8" borderId="0" xfId="0" applyFill="1" applyBorder="1" applyAlignment="1" applyProtection="1"/>
    <xf numFmtId="0" fontId="10" fillId="2" borderId="0" xfId="0" applyFont="1" applyFill="1" applyBorder="1" applyAlignment="1" applyProtection="1">
      <alignment vertical="center"/>
    </xf>
    <xf numFmtId="0" fontId="11" fillId="3" borderId="0" xfId="0" applyFont="1" applyFill="1" applyBorder="1" applyAlignment="1" applyProtection="1">
      <alignment vertical="center"/>
    </xf>
    <xf numFmtId="0" fontId="12" fillId="4" borderId="0" xfId="0" applyFont="1" applyFill="1" applyBorder="1" applyAlignment="1" applyProtection="1">
      <alignment vertical="center"/>
    </xf>
    <xf numFmtId="0" fontId="9" fillId="5" borderId="0" xfId="0" applyFont="1" applyFill="1" applyBorder="1" applyAlignment="1" applyProtection="1">
      <alignment vertical="top" wrapText="1"/>
    </xf>
    <xf numFmtId="0" fontId="9" fillId="0" borderId="2" xfId="0" applyFont="1" applyBorder="1" applyAlignment="1" applyProtection="1">
      <alignment vertical="top" wrapText="1"/>
    </xf>
    <xf numFmtId="0" fontId="9" fillId="6" borderId="0" xfId="0" applyFont="1" applyFill="1" applyBorder="1" applyAlignment="1" applyProtection="1">
      <alignment vertical="top" wrapText="1"/>
    </xf>
    <xf numFmtId="0" fontId="0" fillId="0" borderId="0" xfId="0" applyBorder="1" applyAlignment="1" applyProtection="1"/>
    <xf numFmtId="0" fontId="5" fillId="5" borderId="3" xfId="0" applyFont="1" applyFill="1" applyBorder="1" applyAlignment="1" applyProtection="1">
      <alignment vertical="center" wrapText="1"/>
    </xf>
    <xf numFmtId="0" fontId="5" fillId="5" borderId="5" xfId="0" applyFont="1" applyFill="1" applyBorder="1" applyAlignment="1" applyProtection="1">
      <alignment vertical="center" wrapText="1"/>
    </xf>
    <xf numFmtId="0" fontId="4" fillId="4" borderId="4" xfId="0" applyFont="1" applyFill="1" applyBorder="1" applyAlignment="1" applyProtection="1">
      <alignment horizontal="center" vertical="center"/>
    </xf>
    <xf numFmtId="0" fontId="4" fillId="4" borderId="6" xfId="0" applyFont="1" applyFill="1" applyBorder="1" applyAlignment="1" applyProtection="1">
      <alignment horizontal="center" vertical="center"/>
    </xf>
    <xf numFmtId="0" fontId="4" fillId="4" borderId="7" xfId="0" applyFont="1" applyFill="1" applyBorder="1" applyAlignment="1" applyProtection="1">
      <alignment horizontal="center" vertical="center"/>
    </xf>
    <xf numFmtId="0" fontId="4" fillId="4" borderId="8" xfId="0" applyFont="1" applyFill="1" applyBorder="1" applyAlignment="1" applyProtection="1">
      <alignment horizontal="center" vertical="center"/>
    </xf>
    <xf numFmtId="0" fontId="6" fillId="5" borderId="5" xfId="0" applyFont="1" applyFill="1" applyBorder="1" applyAlignment="1" applyProtection="1">
      <alignment horizontal="left" vertical="top" wrapText="1"/>
    </xf>
    <xf numFmtId="0" fontId="6" fillId="5" borderId="3" xfId="0" applyFont="1" applyFill="1" applyBorder="1" applyAlignment="1" applyProtection="1">
      <alignment horizontal="left" vertical="top" wrapText="1"/>
    </xf>
    <xf numFmtId="0" fontId="9" fillId="0" borderId="9" xfId="0" applyFont="1" applyBorder="1" applyAlignment="1" applyProtection="1">
      <alignment vertical="top" wrapText="1"/>
    </xf>
    <xf numFmtId="0" fontId="9" fillId="0" borderId="10" xfId="0" applyFont="1" applyBorder="1" applyAlignment="1" applyProtection="1">
      <alignment vertical="top" wrapText="1"/>
    </xf>
    <xf numFmtId="0" fontId="13" fillId="3" borderId="2" xfId="0" applyFont="1" applyFill="1" applyBorder="1" applyAlignment="1" applyProtection="1">
      <alignment horizontal="center" vertical="center" wrapText="1"/>
    </xf>
    <xf numFmtId="0" fontId="13" fillId="3" borderId="9" xfId="0" applyFont="1" applyFill="1" applyBorder="1" applyAlignment="1" applyProtection="1">
      <alignment horizontal="center" vertical="center" wrapText="1"/>
    </xf>
    <xf numFmtId="0" fontId="13" fillId="3" borderId="10" xfId="0" applyFont="1" applyFill="1" applyBorder="1" applyAlignment="1" applyProtection="1">
      <alignment horizontal="center" vertical="center" wrapText="1"/>
    </xf>
    <xf numFmtId="0" fontId="16" fillId="9" borderId="11" xfId="0" applyFont="1" applyFill="1" applyBorder="1" applyAlignment="1">
      <alignment vertical="top" wrapText="1"/>
    </xf>
    <xf numFmtId="0" fontId="17" fillId="9" borderId="11" xfId="0" applyFont="1" applyFill="1" applyBorder="1" applyAlignment="1">
      <alignment vertical="top" wrapText="1"/>
    </xf>
    <xf numFmtId="0" fontId="18" fillId="9" borderId="11" xfId="0" applyFont="1" applyFill="1" applyBorder="1" applyAlignment="1">
      <alignment horizontal="center" vertical="center"/>
    </xf>
    <xf numFmtId="41" fontId="1" fillId="0" borderId="11" xfId="1" applyBorder="1" applyAlignment="1">
      <alignment vertical="top" wrapText="1"/>
    </xf>
  </cellXfs>
  <cellStyles count="2">
    <cellStyle name="Millares [0]" xfId="1" builtinId="6"/>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C6B72"/>
      <rgbColor rgb="FFBFC9CC"/>
      <rgbColor rgb="FF808080"/>
      <rgbColor rgb="FF9999FF"/>
      <rgbColor rgb="FF993366"/>
      <rgbColor rgb="FFFFF6D8"/>
      <rgbColor rgb="FFCCFFFF"/>
      <rgbColor rgb="FF660066"/>
      <rgbColor rgb="FFFF8080"/>
      <rgbColor rgb="FF0066CC"/>
      <rgbColor rgb="FFE7E0F5"/>
      <rgbColor rgb="FF000080"/>
      <rgbColor rgb="FFFF00FF"/>
      <rgbColor rgb="FFFFFF00"/>
      <rgbColor rgb="FF00FFFF"/>
      <rgbColor rgb="FF800080"/>
      <rgbColor rgb="FF800000"/>
      <rgbColor rgb="FF155E6C"/>
      <rgbColor rgb="FF0000FF"/>
      <rgbColor rgb="FF00CCFF"/>
      <rgbColor rgb="FFCCFFFF"/>
      <rgbColor rgb="FFE2EFDA"/>
      <rgbColor rgb="FFFFFF99"/>
      <rgbColor rgb="FF99CCFF"/>
      <rgbColor rgb="FFFF99CC"/>
      <rgbColor rgb="FFCC99FF"/>
      <rgbColor rgb="FFFBE4D5"/>
      <rgbColor rgb="FF3366FF"/>
      <rgbColor rgb="FF33CCCC"/>
      <rgbColor rgb="FF99CC00"/>
      <rgbColor rgb="FFFFCC00"/>
      <rgbColor rgb="FFFF9900"/>
      <rgbColor rgb="FFFF6600"/>
      <rgbColor rgb="FF5A6B70"/>
      <rgbColor rgb="FF969696"/>
      <rgbColor rgb="FF17324D"/>
      <rgbColor rgb="FF339966"/>
      <rgbColor rgb="FF003300"/>
      <rgbColor rgb="FF1A1A1A"/>
      <rgbColor rgb="FF993300"/>
      <rgbColor rgb="FF993366"/>
      <rgbColor rgb="FF333399"/>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H36"/>
  <sheetViews>
    <sheetView showGridLines="0" zoomScaleNormal="100" workbookViewId="0">
      <pane ySplit="7" topLeftCell="A8" activePane="bottomLeft" state="frozen"/>
      <selection pane="bottomLeft" activeCell="C40" sqref="C40"/>
    </sheetView>
  </sheetViews>
  <sheetFormatPr baseColWidth="10" defaultColWidth="8.7109375" defaultRowHeight="15" x14ac:dyDescent="0.25"/>
  <cols>
    <col min="1" max="1" width="20" style="10" customWidth="1"/>
    <col min="2" max="2" width="12" style="10" customWidth="1"/>
    <col min="3" max="3" width="16" style="10" customWidth="1"/>
    <col min="4" max="5" width="14" style="10" customWidth="1"/>
    <col min="6" max="7" width="12" style="10" customWidth="1"/>
    <col min="8" max="8" width="53.140625" style="10" customWidth="1"/>
  </cols>
  <sheetData>
    <row r="1" spans="1:8" ht="30" customHeight="1" x14ac:dyDescent="0.25">
      <c r="A1" s="9" t="s">
        <v>0</v>
      </c>
      <c r="B1" s="9"/>
      <c r="C1" s="9"/>
      <c r="D1" s="9"/>
      <c r="E1" s="9"/>
      <c r="F1" s="9"/>
      <c r="G1" s="9"/>
      <c r="H1" s="9"/>
    </row>
    <row r="2" spans="1:8" ht="15" customHeight="1" x14ac:dyDescent="0.25">
      <c r="A2" s="8" t="s">
        <v>1</v>
      </c>
      <c r="B2" s="8"/>
      <c r="C2" s="8"/>
      <c r="D2" s="8"/>
      <c r="E2" s="8"/>
      <c r="F2" s="8"/>
      <c r="G2" s="8"/>
      <c r="H2" s="8"/>
    </row>
    <row r="3" spans="1:8" x14ac:dyDescent="0.25">
      <c r="A3" s="8"/>
      <c r="B3" s="8"/>
      <c r="C3" s="8"/>
      <c r="D3" s="8"/>
      <c r="E3" s="8"/>
      <c r="F3" s="8"/>
      <c r="G3" s="8"/>
      <c r="H3" s="8"/>
    </row>
    <row r="4" spans="1:8" ht="20.25" customHeight="1" x14ac:dyDescent="0.25">
      <c r="A4" s="40" t="str">
        <f>HYPERLINK("#INDICE!A1","▶  ÍNDICE")</f>
        <v>▶  ÍNDICE</v>
      </c>
      <c r="B4" s="40"/>
      <c r="C4" s="40" t="str">
        <f>HYPERLINK("#ENERGIA!A1","▶  ENERGÍA")</f>
        <v>▶  ENERGÍA</v>
      </c>
      <c r="D4" s="40"/>
      <c r="E4" s="40" t="str">
        <f>HYPERLINK("#CRECIMIENTO!A1","▶  CRECIM.")</f>
        <v>▶  CRECIM.</v>
      </c>
      <c r="F4" s="40"/>
      <c r="G4" s="40" t="str">
        <f>HYPERLINK("#COMPOSICION!A1","▶  COMPOS.")</f>
        <v>▶  COMPOS.</v>
      </c>
      <c r="H4" s="40"/>
    </row>
    <row r="5" spans="1:8" ht="20.25" customHeight="1" x14ac:dyDescent="0.25">
      <c r="A5" s="40" t="str">
        <f>HYPERLINK("#SOMATOTIPO!A1","▶  SOMATO.")</f>
        <v>▶  SOMATO.</v>
      </c>
      <c r="B5" s="40"/>
      <c r="C5" s="40" t="str">
        <f>HYPERLINK("#FIABILIDAD!A1","▶  FIABIL.")</f>
        <v>▶  FIABIL.</v>
      </c>
      <c r="D5" s="40"/>
      <c r="E5" s="40" t="str">
        <f>HYPERLINK("#DEPORTE!A1","▶  DEPORTE")</f>
        <v>▶  DEPORTE</v>
      </c>
      <c r="F5" s="40"/>
      <c r="G5" s="40" t="str">
        <f>HYPERLINK("#RENAL!A1","▶  RENAL")</f>
        <v>▶  RENAL</v>
      </c>
      <c r="H5" s="40"/>
    </row>
    <row r="6" spans="1:8" ht="20.25" customHeight="1" x14ac:dyDescent="0.25">
      <c r="A6" s="40" t="str">
        <f>HYPERLINK("#CONDUCTA!A1","▶  CONDUCTA")</f>
        <v>▶  CONDUCTA</v>
      </c>
      <c r="B6" s="40"/>
      <c r="C6" s="40" t="str">
        <f>HYPERLINK("#FUENTES!A1","▶  FUENTES")</f>
        <v>▶  FUENTES</v>
      </c>
      <c r="D6" s="40"/>
      <c r="E6" s="40" t="str">
        <f>HYPERLINK("#PRUEBAS!A1","▶  PRUEBAS")</f>
        <v>▶  PRUEBAS</v>
      </c>
      <c r="F6" s="40"/>
      <c r="G6" s="40" t="str">
        <f>HYPERLINK("#CONFIG!A1","▶  CONFIG")</f>
        <v>▶  CONFIG</v>
      </c>
      <c r="H6" s="40"/>
    </row>
    <row r="7" spans="1:8" ht="20.25" customHeight="1" x14ac:dyDescent="0.25">
      <c r="A7" s="41" t="str">
        <f>HYPERLINK("#CHANGELOG!A1","▶  CHANGELOG")</f>
        <v>▶  CHANGELOG</v>
      </c>
      <c r="B7" s="42"/>
      <c r="C7" s="42"/>
      <c r="D7" s="42"/>
      <c r="E7" s="42"/>
      <c r="F7" s="42"/>
      <c r="G7" s="42"/>
      <c r="H7" s="43"/>
    </row>
    <row r="8" spans="1:8" ht="15.75" customHeight="1" x14ac:dyDescent="0.25">
      <c r="A8" s="39" t="s">
        <v>2</v>
      </c>
      <c r="B8" s="39"/>
      <c r="C8" s="44" t="s">
        <v>3</v>
      </c>
      <c r="D8" s="44"/>
      <c r="E8" s="44"/>
      <c r="F8" s="44"/>
      <c r="G8" s="44"/>
      <c r="H8" s="44"/>
    </row>
    <row r="9" spans="1:8" ht="15.75" customHeight="1" x14ac:dyDescent="0.25">
      <c r="A9" s="38" t="s">
        <v>4</v>
      </c>
      <c r="B9" s="38"/>
      <c r="C9" s="45" t="s">
        <v>5</v>
      </c>
      <c r="D9" s="45"/>
      <c r="E9" s="45"/>
      <c r="F9" s="45"/>
      <c r="G9" s="45"/>
      <c r="H9" s="45"/>
    </row>
    <row r="10" spans="1:8" ht="15.75" customHeight="1" x14ac:dyDescent="0.25">
      <c r="A10" s="38" t="s">
        <v>6</v>
      </c>
      <c r="B10" s="38"/>
      <c r="C10" s="45" t="s">
        <v>7</v>
      </c>
      <c r="D10" s="45"/>
      <c r="E10" s="45"/>
      <c r="F10" s="45"/>
      <c r="G10" s="45"/>
      <c r="H10" s="45"/>
    </row>
    <row r="11" spans="1:8" ht="33.75" customHeight="1" x14ac:dyDescent="0.25">
      <c r="A11" s="38" t="s">
        <v>8</v>
      </c>
      <c r="B11" s="38"/>
      <c r="C11" s="45" t="s">
        <v>9</v>
      </c>
      <c r="D11" s="45"/>
      <c r="E11" s="45"/>
      <c r="F11" s="45"/>
      <c r="G11" s="45"/>
      <c r="H11" s="45"/>
    </row>
    <row r="12" spans="1:8" ht="60.75" customHeight="1" x14ac:dyDescent="0.25">
      <c r="A12" s="38" t="s">
        <v>10</v>
      </c>
      <c r="B12" s="38"/>
      <c r="C12" s="45" t="s">
        <v>11</v>
      </c>
      <c r="D12" s="45"/>
      <c r="E12" s="45"/>
      <c r="F12" s="45"/>
      <c r="G12" s="45"/>
      <c r="H12" s="45"/>
    </row>
    <row r="13" spans="1:8" ht="33.75" customHeight="1" x14ac:dyDescent="0.25">
      <c r="A13" s="38" t="s">
        <v>12</v>
      </c>
      <c r="B13" s="38"/>
      <c r="C13" s="45" t="s">
        <v>13</v>
      </c>
      <c r="D13" s="45"/>
      <c r="E13" s="45"/>
      <c r="F13" s="45"/>
      <c r="G13" s="45"/>
      <c r="H13" s="45"/>
    </row>
    <row r="14" spans="1:8" ht="15.75" customHeight="1" x14ac:dyDescent="0.25">
      <c r="A14" s="38" t="s">
        <v>14</v>
      </c>
      <c r="B14" s="38"/>
      <c r="C14" s="45" t="s">
        <v>15</v>
      </c>
      <c r="D14" s="45"/>
      <c r="E14" s="45"/>
      <c r="F14" s="45"/>
      <c r="G14" s="45"/>
      <c r="H14" s="45"/>
    </row>
    <row r="16" spans="1:8" ht="18" customHeight="1" x14ac:dyDescent="0.25">
      <c r="A16" s="7" t="s">
        <v>16</v>
      </c>
      <c r="B16" s="7"/>
      <c r="C16" s="7"/>
      <c r="D16" s="7"/>
      <c r="E16" s="7"/>
      <c r="F16" s="7"/>
      <c r="G16" s="7"/>
      <c r="H16" s="7"/>
    </row>
    <row r="17" spans="1:8" ht="27.75" customHeight="1" x14ac:dyDescent="0.25">
      <c r="A17" s="6" t="s">
        <v>17</v>
      </c>
      <c r="B17" s="6"/>
      <c r="C17" s="6"/>
      <c r="D17" s="6"/>
      <c r="E17" s="6"/>
      <c r="F17" s="6"/>
      <c r="G17" s="6"/>
      <c r="H17" s="6"/>
    </row>
    <row r="18" spans="1:8" ht="27.75" customHeight="1" x14ac:dyDescent="0.25">
      <c r="A18" s="6" t="s">
        <v>18</v>
      </c>
      <c r="B18" s="6"/>
      <c r="C18" s="6"/>
      <c r="D18" s="6"/>
      <c r="E18" s="6"/>
      <c r="F18" s="6"/>
      <c r="G18" s="6"/>
      <c r="H18" s="6"/>
    </row>
    <row r="19" spans="1:8" ht="27.75" customHeight="1" x14ac:dyDescent="0.25">
      <c r="A19" s="6" t="s">
        <v>19</v>
      </c>
      <c r="B19" s="6"/>
      <c r="C19" s="6"/>
      <c r="D19" s="6"/>
      <c r="E19" s="6"/>
      <c r="F19" s="6"/>
      <c r="G19" s="6"/>
      <c r="H19" s="6"/>
    </row>
    <row r="20" spans="1:8" ht="27.75" customHeight="1" x14ac:dyDescent="0.25">
      <c r="A20" s="6" t="s">
        <v>20</v>
      </c>
      <c r="B20" s="6"/>
      <c r="C20" s="6"/>
      <c r="D20" s="6"/>
      <c r="E20" s="6"/>
      <c r="F20" s="6"/>
      <c r="G20" s="6"/>
      <c r="H20" s="6"/>
    </row>
    <row r="21" spans="1:8" ht="27.75" customHeight="1" x14ac:dyDescent="0.25">
      <c r="A21" s="6" t="s">
        <v>21</v>
      </c>
      <c r="B21" s="6"/>
      <c r="C21" s="6"/>
      <c r="D21" s="6"/>
      <c r="E21" s="6"/>
      <c r="F21" s="6"/>
      <c r="G21" s="6"/>
      <c r="H21" s="6"/>
    </row>
    <row r="22" spans="1:8" ht="27.75" customHeight="1" x14ac:dyDescent="0.25">
      <c r="A22" s="6" t="s">
        <v>22</v>
      </c>
      <c r="B22" s="6"/>
      <c r="C22" s="6"/>
      <c r="D22" s="6"/>
      <c r="E22" s="6"/>
      <c r="F22" s="6"/>
      <c r="G22" s="6"/>
      <c r="H22" s="6"/>
    </row>
    <row r="24" spans="1:8" ht="18" customHeight="1" x14ac:dyDescent="0.25">
      <c r="A24" s="7" t="s">
        <v>23</v>
      </c>
      <c r="B24" s="7"/>
      <c r="C24" s="7"/>
      <c r="D24" s="7"/>
      <c r="E24" s="7"/>
      <c r="F24" s="7"/>
      <c r="G24" s="7"/>
      <c r="H24" s="7"/>
    </row>
    <row r="25" spans="1:8" ht="30" customHeight="1" x14ac:dyDescent="0.25">
      <c r="A25" s="5" t="s">
        <v>24</v>
      </c>
      <c r="B25" s="5"/>
      <c r="C25" s="4" t="s">
        <v>25</v>
      </c>
      <c r="D25" s="4"/>
      <c r="E25" s="4"/>
      <c r="F25" s="4"/>
      <c r="G25" s="4"/>
      <c r="H25" s="4"/>
    </row>
    <row r="26" spans="1:8" ht="30" customHeight="1" x14ac:dyDescent="0.25">
      <c r="A26" s="5" t="s">
        <v>26</v>
      </c>
      <c r="B26" s="5"/>
      <c r="C26" s="4" t="s">
        <v>27</v>
      </c>
      <c r="D26" s="4"/>
      <c r="E26" s="4"/>
      <c r="F26" s="4"/>
      <c r="G26" s="4"/>
      <c r="H26" s="4"/>
    </row>
    <row r="27" spans="1:8" ht="30" customHeight="1" x14ac:dyDescent="0.25">
      <c r="A27" s="5" t="s">
        <v>28</v>
      </c>
      <c r="B27" s="5"/>
      <c r="C27" s="4" t="s">
        <v>29</v>
      </c>
      <c r="D27" s="4"/>
      <c r="E27" s="4"/>
      <c r="F27" s="4"/>
      <c r="G27" s="4"/>
      <c r="H27" s="4"/>
    </row>
    <row r="28" spans="1:8" ht="30" customHeight="1" x14ac:dyDescent="0.25">
      <c r="A28" s="5" t="s">
        <v>30</v>
      </c>
      <c r="B28" s="5"/>
      <c r="C28" s="4" t="s">
        <v>31</v>
      </c>
      <c r="D28" s="4"/>
      <c r="E28" s="4"/>
      <c r="F28" s="4"/>
      <c r="G28" s="4"/>
      <c r="H28" s="4"/>
    </row>
    <row r="29" spans="1:8" ht="30" customHeight="1" x14ac:dyDescent="0.25">
      <c r="A29" s="5" t="s">
        <v>32</v>
      </c>
      <c r="B29" s="5"/>
      <c r="C29" s="4" t="s">
        <v>33</v>
      </c>
      <c r="D29" s="4"/>
      <c r="E29" s="4"/>
      <c r="F29" s="4"/>
      <c r="G29" s="4"/>
      <c r="H29" s="4"/>
    </row>
    <row r="31" spans="1:8" ht="18" customHeight="1" x14ac:dyDescent="0.25">
      <c r="A31" s="7" t="s">
        <v>34</v>
      </c>
      <c r="B31" s="7"/>
      <c r="C31" s="7"/>
      <c r="D31" s="7"/>
      <c r="E31" s="7"/>
      <c r="F31" s="7"/>
      <c r="G31" s="7"/>
      <c r="H31" s="7"/>
    </row>
    <row r="32" spans="1:8" ht="15" customHeight="1" x14ac:dyDescent="0.25">
      <c r="A32" s="3"/>
      <c r="B32" s="3"/>
      <c r="C32" s="35" t="s">
        <v>35</v>
      </c>
      <c r="D32" s="46"/>
      <c r="E32" s="46"/>
      <c r="F32" s="46"/>
      <c r="G32" s="46"/>
      <c r="H32" s="47"/>
    </row>
    <row r="33" spans="1:8" ht="15" customHeight="1" x14ac:dyDescent="0.25">
      <c r="A33" s="2"/>
      <c r="B33" s="2"/>
      <c r="C33" s="35" t="s">
        <v>36</v>
      </c>
      <c r="D33" s="46"/>
      <c r="E33" s="46"/>
      <c r="F33" s="46"/>
      <c r="G33" s="46"/>
      <c r="H33" s="47"/>
    </row>
    <row r="34" spans="1:8" ht="15" customHeight="1" x14ac:dyDescent="0.25">
      <c r="A34" s="1"/>
      <c r="B34" s="1"/>
      <c r="C34" s="35" t="s">
        <v>37</v>
      </c>
      <c r="D34" s="46"/>
      <c r="E34" s="46"/>
      <c r="F34" s="46"/>
      <c r="G34" s="46"/>
      <c r="H34" s="47"/>
    </row>
    <row r="35" spans="1:8" ht="15" customHeight="1" x14ac:dyDescent="0.25">
      <c r="A35" s="29"/>
      <c r="B35" s="29"/>
      <c r="C35" s="35" t="s">
        <v>38</v>
      </c>
      <c r="D35" s="46"/>
      <c r="E35" s="46"/>
      <c r="F35" s="46"/>
      <c r="G35" s="46"/>
      <c r="H35" s="47"/>
    </row>
    <row r="36" spans="1:8" ht="15" customHeight="1" x14ac:dyDescent="0.25">
      <c r="A36" s="30"/>
      <c r="B36" s="30"/>
      <c r="C36" s="35" t="s">
        <v>39</v>
      </c>
      <c r="D36" s="46"/>
      <c r="E36" s="46"/>
      <c r="F36" s="46"/>
      <c r="G36" s="46"/>
      <c r="H36" s="47"/>
    </row>
  </sheetData>
  <sheetProtection algorithmName="SHA-512" hashValue="PdqAfrJ/0T959+/JJIUXrOIDjwtAS8X2H9mvsk5vBX9E3hTo3wMC5yhT1AjKEV4MJctgC0c0RNq/qoy+JAq/vw==" saltValue="KFaCDpFPnZRq3ogpuNEZ5w==" spinCount="100000" sheet="1" objects="1" scenarios="1"/>
  <mergeCells count="58">
    <mergeCell ref="A34:B34"/>
    <mergeCell ref="C34:H34"/>
    <mergeCell ref="A35:B35"/>
    <mergeCell ref="C35:H35"/>
    <mergeCell ref="A36:B36"/>
    <mergeCell ref="C36:H36"/>
    <mergeCell ref="A31:H31"/>
    <mergeCell ref="A32:B32"/>
    <mergeCell ref="C32:H32"/>
    <mergeCell ref="A33:B33"/>
    <mergeCell ref="C33:H33"/>
    <mergeCell ref="A27:B27"/>
    <mergeCell ref="C27:H27"/>
    <mergeCell ref="A28:B28"/>
    <mergeCell ref="C28:H28"/>
    <mergeCell ref="A29:B29"/>
    <mergeCell ref="C29:H29"/>
    <mergeCell ref="A22:H22"/>
    <mergeCell ref="A24:H24"/>
    <mergeCell ref="A25:B25"/>
    <mergeCell ref="C25:H25"/>
    <mergeCell ref="A26:B26"/>
    <mergeCell ref="C26:H26"/>
    <mergeCell ref="A17:H17"/>
    <mergeCell ref="A18:H18"/>
    <mergeCell ref="A19:H19"/>
    <mergeCell ref="A20:H20"/>
    <mergeCell ref="A21:H21"/>
    <mergeCell ref="A13:B13"/>
    <mergeCell ref="C13:H13"/>
    <mergeCell ref="A14:B14"/>
    <mergeCell ref="C14:H14"/>
    <mergeCell ref="A16:H16"/>
    <mergeCell ref="A10:B10"/>
    <mergeCell ref="C10:H10"/>
    <mergeCell ref="A11:B11"/>
    <mergeCell ref="C11:H11"/>
    <mergeCell ref="A12:B12"/>
    <mergeCell ref="C12:H12"/>
    <mergeCell ref="A8:B8"/>
    <mergeCell ref="C8:H8"/>
    <mergeCell ref="A9:B9"/>
    <mergeCell ref="C9:H9"/>
    <mergeCell ref="A7:H7"/>
    <mergeCell ref="A5:B5"/>
    <mergeCell ref="C5:D5"/>
    <mergeCell ref="E5:F5"/>
    <mergeCell ref="G5:H5"/>
    <mergeCell ref="A6:B6"/>
    <mergeCell ref="C6:D6"/>
    <mergeCell ref="E6:F6"/>
    <mergeCell ref="G6:H6"/>
    <mergeCell ref="A1:H1"/>
    <mergeCell ref="A2:H3"/>
    <mergeCell ref="A4:B4"/>
    <mergeCell ref="C4:D4"/>
    <mergeCell ref="E4:F4"/>
    <mergeCell ref="G4:H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3B44"/>
  </sheetPr>
  <dimension ref="A1:H14"/>
  <sheetViews>
    <sheetView showGridLines="0" zoomScaleNormal="100" workbookViewId="0">
      <pane ySplit="5" topLeftCell="A6" activePane="bottomLeft" state="frozen"/>
      <selection pane="bottomLeft" activeCell="B17" sqref="B17"/>
    </sheetView>
  </sheetViews>
  <sheetFormatPr baseColWidth="10" defaultColWidth="8.7109375" defaultRowHeight="15" x14ac:dyDescent="0.25"/>
  <cols>
    <col min="1" max="1" width="25.140625" style="10" customWidth="1"/>
    <col min="2" max="2" width="14" style="10" customWidth="1"/>
    <col min="3" max="3" width="18" style="10" customWidth="1"/>
    <col min="4" max="4" width="24" style="10" customWidth="1"/>
    <col min="5" max="5" width="14" style="10" customWidth="1"/>
    <col min="6" max="6" width="12" style="10" customWidth="1"/>
    <col min="7" max="7" width="10" style="10" customWidth="1"/>
    <col min="8" max="8" width="28.85546875" style="10" customWidth="1"/>
  </cols>
  <sheetData>
    <row r="1" spans="1:8" ht="25.5" customHeight="1" x14ac:dyDescent="0.25">
      <c r="A1" s="31" t="s">
        <v>0</v>
      </c>
      <c r="B1" s="31"/>
      <c r="C1" s="31"/>
      <c r="D1" s="31"/>
      <c r="E1" s="31"/>
      <c r="F1" s="31"/>
      <c r="G1" s="31"/>
      <c r="H1" s="31"/>
    </row>
    <row r="2" spans="1:8" ht="19.5" customHeight="1" x14ac:dyDescent="0.25">
      <c r="A2" s="32" t="s">
        <v>40</v>
      </c>
      <c r="B2" s="32"/>
      <c r="C2" s="32"/>
      <c r="D2" s="32"/>
      <c r="E2" s="32"/>
      <c r="F2" s="32"/>
      <c r="G2" s="32"/>
      <c r="H2" s="32"/>
    </row>
    <row r="3" spans="1:8" ht="18" customHeight="1" x14ac:dyDescent="0.25">
      <c r="A3" s="33" t="str">
        <f>HYPERLINK("#INICIO!A1","◀ INICIO")</f>
        <v>◀ INICIO</v>
      </c>
      <c r="B3" s="33"/>
      <c r="C3" s="33" t="str">
        <f>HYPERLINK("#FUENTES!A1","▶ FUENTES")</f>
        <v>▶ FUENTES</v>
      </c>
      <c r="D3" s="33"/>
      <c r="E3" s="33" t="str">
        <f>HYPERLINK("#PRUEBAS!A1","▶ PRUEBAS")</f>
        <v>▶ PRUEBAS</v>
      </c>
      <c r="F3" s="33"/>
      <c r="G3" s="33" t="str">
        <f>HYPERLINK("#CONFIG!A1","▶ CONFIG")</f>
        <v>▶ CONFIG</v>
      </c>
      <c r="H3" s="33"/>
    </row>
    <row r="4" spans="1:8" ht="30" customHeight="1" x14ac:dyDescent="0.25">
      <c r="A4" s="34" t="s">
        <v>41</v>
      </c>
      <c r="B4" s="34"/>
      <c r="C4" s="34"/>
      <c r="D4" s="34"/>
      <c r="E4" s="34"/>
      <c r="F4" s="34"/>
      <c r="G4" s="34"/>
      <c r="H4" s="34"/>
    </row>
    <row r="5" spans="1:8" ht="25.5" customHeight="1" x14ac:dyDescent="0.25">
      <c r="A5" s="12" t="s">
        <v>42</v>
      </c>
      <c r="B5" s="12" t="s">
        <v>43</v>
      </c>
      <c r="C5" s="12" t="s">
        <v>44</v>
      </c>
      <c r="D5" s="48" t="s">
        <v>45</v>
      </c>
      <c r="E5" s="49"/>
      <c r="F5" s="49"/>
      <c r="G5" s="49"/>
      <c r="H5" s="50"/>
    </row>
    <row r="6" spans="1:8" ht="27.75" customHeight="1" x14ac:dyDescent="0.25">
      <c r="A6" s="13" t="str">
        <f>HYPERLINK("#ENERGIA!A1","ENERGIA")</f>
        <v>ENERGIA</v>
      </c>
      <c r="B6" s="14">
        <v>13</v>
      </c>
      <c r="C6" s="15" t="s">
        <v>46</v>
      </c>
      <c r="D6" s="35" t="s">
        <v>47</v>
      </c>
      <c r="E6" s="35"/>
      <c r="F6" s="35"/>
      <c r="G6" s="35"/>
      <c r="H6" s="35"/>
    </row>
    <row r="7" spans="1:8" ht="27.75" customHeight="1" x14ac:dyDescent="0.25">
      <c r="A7" s="13" t="str">
        <f>HYPERLINK("#CRECIMIENTO!A1","CRECIMIENTO")</f>
        <v>CRECIMIENTO</v>
      </c>
      <c r="B7" s="14">
        <v>5</v>
      </c>
      <c r="C7" s="15" t="s">
        <v>48</v>
      </c>
      <c r="D7" s="35" t="s">
        <v>49</v>
      </c>
      <c r="E7" s="35"/>
      <c r="F7" s="35"/>
      <c r="G7" s="35"/>
      <c r="H7" s="35"/>
    </row>
    <row r="8" spans="1:8" ht="27.75" customHeight="1" x14ac:dyDescent="0.25">
      <c r="A8" s="13" t="str">
        <f>HYPERLINK("#COMPOSICION!A1","COMPOSICION")</f>
        <v>COMPOSICION</v>
      </c>
      <c r="B8" s="14">
        <v>13</v>
      </c>
      <c r="C8" s="15" t="s">
        <v>50</v>
      </c>
      <c r="D8" s="35" t="s">
        <v>51</v>
      </c>
      <c r="E8" s="35"/>
      <c r="F8" s="35"/>
      <c r="G8" s="35"/>
      <c r="H8" s="35"/>
    </row>
    <row r="9" spans="1:8" ht="27.75" customHeight="1" x14ac:dyDescent="0.25">
      <c r="A9" s="13" t="str">
        <f>HYPERLINK("#SOMATOTIPO!A1","SOMATOTIPO")</f>
        <v>SOMATOTIPO</v>
      </c>
      <c r="B9" s="14">
        <v>5</v>
      </c>
      <c r="C9" s="15" t="s">
        <v>52</v>
      </c>
      <c r="D9" s="35" t="s">
        <v>53</v>
      </c>
      <c r="E9" s="35"/>
      <c r="F9" s="35"/>
      <c r="G9" s="35"/>
      <c r="H9" s="35"/>
    </row>
    <row r="10" spans="1:8" ht="27.75" customHeight="1" x14ac:dyDescent="0.25">
      <c r="A10" s="13" t="str">
        <f>HYPERLINK("#FIABILIDAD!A1","FIABILIDAD")</f>
        <v>FIABILIDAD</v>
      </c>
      <c r="B10" s="14">
        <v>7</v>
      </c>
      <c r="C10" s="15" t="s">
        <v>54</v>
      </c>
      <c r="D10" s="35" t="s">
        <v>55</v>
      </c>
      <c r="E10" s="35"/>
      <c r="F10" s="35"/>
      <c r="G10" s="35"/>
      <c r="H10" s="35"/>
    </row>
    <row r="11" spans="1:8" ht="27.75" customHeight="1" x14ac:dyDescent="0.25">
      <c r="A11" s="13" t="str">
        <f>HYPERLINK("#DEPORTE!A1","DEPORTE")</f>
        <v>DEPORTE</v>
      </c>
      <c r="B11" s="14">
        <v>11</v>
      </c>
      <c r="C11" s="15" t="s">
        <v>56</v>
      </c>
      <c r="D11" s="35" t="s">
        <v>57</v>
      </c>
      <c r="E11" s="35"/>
      <c r="F11" s="35"/>
      <c r="G11" s="35"/>
      <c r="H11" s="35"/>
    </row>
    <row r="12" spans="1:8" ht="27.75" customHeight="1" x14ac:dyDescent="0.25">
      <c r="A12" s="13" t="str">
        <f>HYPERLINK("#RENAL!A1","RENAL")</f>
        <v>RENAL</v>
      </c>
      <c r="B12" s="14">
        <v>4</v>
      </c>
      <c r="C12" s="15" t="s">
        <v>58</v>
      </c>
      <c r="D12" s="35" t="s">
        <v>59</v>
      </c>
      <c r="E12" s="35"/>
      <c r="F12" s="35"/>
      <c r="G12" s="35"/>
      <c r="H12" s="35"/>
    </row>
    <row r="13" spans="1:8" ht="27.75" customHeight="1" x14ac:dyDescent="0.25">
      <c r="A13" s="13" t="str">
        <f>HYPERLINK("#CONDUCTA!A1","CONDUCTA")</f>
        <v>CONDUCTA</v>
      </c>
      <c r="B13" s="14">
        <v>4</v>
      </c>
      <c r="C13" s="15" t="s">
        <v>60</v>
      </c>
      <c r="D13" s="35" t="s">
        <v>61</v>
      </c>
      <c r="E13" s="35"/>
      <c r="F13" s="35"/>
      <c r="G13" s="35"/>
      <c r="H13" s="35"/>
    </row>
    <row r="14" spans="1:8" x14ac:dyDescent="0.25">
      <c r="A14" s="16" t="s">
        <v>62</v>
      </c>
      <c r="B14" s="17">
        <f>SUM(B6:B13)</f>
        <v>62</v>
      </c>
      <c r="C14" s="18"/>
      <c r="D14" s="18"/>
      <c r="E14" s="18"/>
      <c r="F14" s="18"/>
      <c r="G14" s="18"/>
      <c r="H14" s="18"/>
    </row>
  </sheetData>
  <sheetProtection algorithmName="SHA-512" hashValue="iqgr+qgUNaqXh+3coQ7G3TjuYmedGtB53vyR7I/9ZOnSul0nspg6A/MweIprhK6nI2dGF8AFivGOkVOhygwD6g==" saltValue="fAuHiID/AETKgvxZlVvntg==" spinCount="100000" sheet="1" objects="1" scenarios="1"/>
  <mergeCells count="16">
    <mergeCell ref="D10:H10"/>
    <mergeCell ref="D11:H11"/>
    <mergeCell ref="D12:H12"/>
    <mergeCell ref="D13:H13"/>
    <mergeCell ref="D5:H5"/>
    <mergeCell ref="A4:H4"/>
    <mergeCell ref="D6:H6"/>
    <mergeCell ref="D7:H7"/>
    <mergeCell ref="D8:H8"/>
    <mergeCell ref="D9:H9"/>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H21"/>
  <sheetViews>
    <sheetView showGridLines="0" zoomScaleNormal="100" workbookViewId="0">
      <pane ySplit="5" topLeftCell="A12" activePane="bottomLeft" state="frozen"/>
      <selection pane="bottomLeft" activeCell="C25" sqref="C25"/>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63</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64</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0" customHeight="1" x14ac:dyDescent="0.25">
      <c r="A6" s="15" t="s">
        <v>73</v>
      </c>
      <c r="B6" s="15" t="s">
        <v>74</v>
      </c>
      <c r="C6" s="15" t="s">
        <v>75</v>
      </c>
      <c r="D6" s="15" t="s">
        <v>76</v>
      </c>
      <c r="E6" s="15" t="s">
        <v>77</v>
      </c>
      <c r="F6" s="15" t="s">
        <v>78</v>
      </c>
      <c r="G6" s="15" t="s">
        <v>79</v>
      </c>
      <c r="H6" s="15" t="s">
        <v>80</v>
      </c>
    </row>
    <row r="7" spans="1:8" ht="30" customHeight="1" x14ac:dyDescent="0.25">
      <c r="A7" s="15" t="s">
        <v>81</v>
      </c>
      <c r="B7" s="15" t="s">
        <v>82</v>
      </c>
      <c r="C7" s="15" t="s">
        <v>83</v>
      </c>
      <c r="D7" s="15" t="s">
        <v>84</v>
      </c>
      <c r="E7" s="15" t="s">
        <v>77</v>
      </c>
      <c r="F7" s="15" t="s">
        <v>85</v>
      </c>
      <c r="G7" s="15">
        <v>1</v>
      </c>
      <c r="H7" s="15" t="s">
        <v>80</v>
      </c>
    </row>
    <row r="8" spans="1:8" ht="30" customHeight="1" x14ac:dyDescent="0.25">
      <c r="A8" s="15" t="s">
        <v>87</v>
      </c>
      <c r="B8" s="15" t="s">
        <v>88</v>
      </c>
      <c r="C8" s="15" t="s">
        <v>89</v>
      </c>
      <c r="D8" s="15" t="s">
        <v>90</v>
      </c>
      <c r="E8" s="15" t="s">
        <v>91</v>
      </c>
      <c r="F8" s="15" t="s">
        <v>92</v>
      </c>
      <c r="G8" s="15" t="s">
        <v>86</v>
      </c>
      <c r="H8" s="15" t="s">
        <v>80</v>
      </c>
    </row>
    <row r="9" spans="1:8" ht="30" customHeight="1" x14ac:dyDescent="0.25">
      <c r="A9" s="15" t="s">
        <v>93</v>
      </c>
      <c r="B9" s="15" t="s">
        <v>94</v>
      </c>
      <c r="C9" s="15" t="s">
        <v>95</v>
      </c>
      <c r="D9" s="15" t="s">
        <v>96</v>
      </c>
      <c r="E9" s="15" t="s">
        <v>97</v>
      </c>
      <c r="F9" s="15" t="s">
        <v>98</v>
      </c>
      <c r="G9" s="15" t="s">
        <v>86</v>
      </c>
      <c r="H9" s="15" t="s">
        <v>80</v>
      </c>
    </row>
    <row r="10" spans="1:8" ht="30" customHeight="1" x14ac:dyDescent="0.25">
      <c r="A10" s="15" t="s">
        <v>99</v>
      </c>
      <c r="B10" s="15" t="s">
        <v>100</v>
      </c>
      <c r="C10" s="15" t="s">
        <v>101</v>
      </c>
      <c r="D10" s="15" t="s">
        <v>102</v>
      </c>
      <c r="E10" s="15" t="s">
        <v>103</v>
      </c>
      <c r="F10" s="15" t="s">
        <v>104</v>
      </c>
      <c r="G10" s="15" t="s">
        <v>79</v>
      </c>
      <c r="H10" s="15" t="s">
        <v>105</v>
      </c>
    </row>
    <row r="11" spans="1:8" ht="30" customHeight="1" x14ac:dyDescent="0.25">
      <c r="A11" s="15" t="s">
        <v>106</v>
      </c>
      <c r="B11" s="15" t="s">
        <v>107</v>
      </c>
      <c r="C11" s="15" t="s">
        <v>108</v>
      </c>
      <c r="D11" s="15" t="s">
        <v>109</v>
      </c>
      <c r="E11" s="15" t="s">
        <v>91</v>
      </c>
      <c r="F11" s="15" t="s">
        <v>110</v>
      </c>
      <c r="G11" s="15" t="s">
        <v>86</v>
      </c>
      <c r="H11" s="15" t="s">
        <v>80</v>
      </c>
    </row>
    <row r="12" spans="1:8" ht="39" customHeight="1" x14ac:dyDescent="0.25">
      <c r="A12" s="15" t="s">
        <v>111</v>
      </c>
      <c r="B12" s="15" t="s">
        <v>112</v>
      </c>
      <c r="C12" s="15" t="s">
        <v>113</v>
      </c>
      <c r="D12" s="15" t="s">
        <v>114</v>
      </c>
      <c r="E12" s="15" t="s">
        <v>91</v>
      </c>
      <c r="F12" s="15" t="s">
        <v>115</v>
      </c>
      <c r="G12" s="15" t="s">
        <v>116</v>
      </c>
      <c r="H12" s="15" t="s">
        <v>117</v>
      </c>
    </row>
    <row r="13" spans="1:8" ht="30" customHeight="1" x14ac:dyDescent="0.25">
      <c r="A13" s="15" t="s">
        <v>118</v>
      </c>
      <c r="B13" s="15" t="s">
        <v>119</v>
      </c>
      <c r="C13" s="15" t="s">
        <v>120</v>
      </c>
      <c r="D13" s="15" t="s">
        <v>121</v>
      </c>
      <c r="E13" s="15" t="s">
        <v>122</v>
      </c>
      <c r="F13" s="15" t="s">
        <v>123</v>
      </c>
      <c r="G13" s="15" t="s">
        <v>116</v>
      </c>
      <c r="H13" s="15" t="s">
        <v>117</v>
      </c>
    </row>
    <row r="14" spans="1:8" ht="30" customHeight="1" x14ac:dyDescent="0.25">
      <c r="A14" s="15" t="s">
        <v>124</v>
      </c>
      <c r="B14" s="15" t="s">
        <v>125</v>
      </c>
      <c r="C14" s="15" t="s">
        <v>126</v>
      </c>
      <c r="D14" s="15" t="s">
        <v>127</v>
      </c>
      <c r="E14" s="15" t="s">
        <v>128</v>
      </c>
      <c r="F14" s="15" t="s">
        <v>129</v>
      </c>
      <c r="G14" s="15" t="s">
        <v>116</v>
      </c>
      <c r="H14" s="15" t="s">
        <v>117</v>
      </c>
    </row>
    <row r="15" spans="1:8" ht="30" customHeight="1" x14ac:dyDescent="0.25">
      <c r="A15" s="15" t="s">
        <v>130</v>
      </c>
      <c r="B15" s="15" t="s">
        <v>131</v>
      </c>
      <c r="C15" s="15" t="s">
        <v>132</v>
      </c>
      <c r="D15" s="15" t="s">
        <v>133</v>
      </c>
      <c r="E15" s="15" t="s">
        <v>134</v>
      </c>
      <c r="F15" s="15" t="s">
        <v>135</v>
      </c>
      <c r="G15" s="15" t="s">
        <v>136</v>
      </c>
      <c r="H15" s="15" t="s">
        <v>117</v>
      </c>
    </row>
    <row r="16" spans="1:8" ht="30" customHeight="1" x14ac:dyDescent="0.25">
      <c r="A16" s="15" t="s">
        <v>137</v>
      </c>
      <c r="B16" s="15" t="s">
        <v>138</v>
      </c>
      <c r="C16" s="15" t="s">
        <v>139</v>
      </c>
      <c r="D16" s="15" t="s">
        <v>140</v>
      </c>
      <c r="E16" s="15" t="s">
        <v>141</v>
      </c>
      <c r="F16" s="15" t="s">
        <v>142</v>
      </c>
      <c r="G16" s="15" t="s">
        <v>136</v>
      </c>
      <c r="H16" s="15" t="s">
        <v>143</v>
      </c>
    </row>
    <row r="17" spans="1:8" ht="30" customHeight="1" x14ac:dyDescent="0.25">
      <c r="A17" s="15" t="s">
        <v>144</v>
      </c>
      <c r="B17" s="15" t="s">
        <v>145</v>
      </c>
      <c r="C17" s="15" t="s">
        <v>146</v>
      </c>
      <c r="D17" s="15" t="s">
        <v>147</v>
      </c>
      <c r="E17" s="15" t="s">
        <v>148</v>
      </c>
      <c r="F17" s="15" t="s">
        <v>149</v>
      </c>
      <c r="G17" s="15" t="s">
        <v>150</v>
      </c>
      <c r="H17" s="15" t="s">
        <v>117</v>
      </c>
    </row>
    <row r="18" spans="1:8" ht="39" customHeight="1" x14ac:dyDescent="0.25">
      <c r="A18" s="15" t="s">
        <v>151</v>
      </c>
      <c r="B18" s="15" t="s">
        <v>152</v>
      </c>
      <c r="C18" s="15" t="s">
        <v>153</v>
      </c>
      <c r="D18" s="15" t="s">
        <v>154</v>
      </c>
      <c r="E18" s="15" t="s">
        <v>155</v>
      </c>
      <c r="F18" s="15" t="s">
        <v>156</v>
      </c>
      <c r="G18" s="15" t="s">
        <v>157</v>
      </c>
      <c r="H18" s="15" t="s">
        <v>158</v>
      </c>
    </row>
    <row r="19" spans="1:8" ht="50.25" customHeight="1" x14ac:dyDescent="0.25">
      <c r="A19" s="51" t="s">
        <v>696</v>
      </c>
      <c r="B19" s="52" t="s">
        <v>711</v>
      </c>
      <c r="C19" s="52" t="s">
        <v>697</v>
      </c>
      <c r="D19" s="52" t="s">
        <v>698</v>
      </c>
      <c r="E19" s="52" t="s">
        <v>699</v>
      </c>
      <c r="F19" s="52" t="s">
        <v>700</v>
      </c>
      <c r="G19" s="54">
        <v>1</v>
      </c>
      <c r="H19" s="53" t="s">
        <v>117</v>
      </c>
    </row>
    <row r="20" spans="1:8" ht="50.25" customHeight="1" x14ac:dyDescent="0.25">
      <c r="A20" s="51" t="s">
        <v>701</v>
      </c>
      <c r="B20" s="52" t="s">
        <v>712</v>
      </c>
      <c r="C20" s="52" t="s">
        <v>702</v>
      </c>
      <c r="D20" s="52" t="s">
        <v>703</v>
      </c>
      <c r="E20" s="52" t="s">
        <v>704</v>
      </c>
      <c r="F20" s="52" t="s">
        <v>705</v>
      </c>
      <c r="G20" s="52">
        <v>1</v>
      </c>
      <c r="H20" s="53" t="s">
        <v>117</v>
      </c>
    </row>
    <row r="21" spans="1:8" ht="50.25" customHeight="1" x14ac:dyDescent="0.25">
      <c r="A21" s="51" t="s">
        <v>706</v>
      </c>
      <c r="B21" s="52" t="s">
        <v>713</v>
      </c>
      <c r="C21" s="52" t="s">
        <v>707</v>
      </c>
      <c r="D21" s="52" t="s">
        <v>708</v>
      </c>
      <c r="E21" s="52" t="s">
        <v>709</v>
      </c>
      <c r="F21" s="52" t="s">
        <v>710</v>
      </c>
      <c r="G21" s="52">
        <v>1</v>
      </c>
      <c r="H21" s="53" t="s">
        <v>117</v>
      </c>
    </row>
  </sheetData>
  <sheetProtection algorithmName="SHA-512" hashValue="QRmZonQYtGm5utWc5cH5Dg4HmmkBznxPJfsHud82uH5JRD8c+V3J7K6FDdcgi6kcugJH3RWkupYa2ecWBEPmWg==" saltValue="Motwlu/A9SByn5z/fQ5YyA=="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C6B72"/>
  </sheetPr>
  <dimension ref="A1:H10"/>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159</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160</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0" customHeight="1" x14ac:dyDescent="0.25">
      <c r="A6" s="15" t="s">
        <v>161</v>
      </c>
      <c r="B6" s="15" t="s">
        <v>162</v>
      </c>
      <c r="C6" s="15" t="s">
        <v>163</v>
      </c>
      <c r="D6" s="15" t="s">
        <v>164</v>
      </c>
      <c r="E6" s="15" t="s">
        <v>122</v>
      </c>
      <c r="F6" s="15" t="s">
        <v>165</v>
      </c>
      <c r="G6" s="15" t="s">
        <v>48</v>
      </c>
      <c r="H6" s="15" t="s">
        <v>80</v>
      </c>
    </row>
    <row r="7" spans="1:8" ht="30" customHeight="1" x14ac:dyDescent="0.25">
      <c r="A7" s="15" t="s">
        <v>166</v>
      </c>
      <c r="B7" s="15" t="s">
        <v>167</v>
      </c>
      <c r="C7" s="15" t="s">
        <v>168</v>
      </c>
      <c r="D7" s="15" t="s">
        <v>169</v>
      </c>
      <c r="E7" s="15" t="s">
        <v>170</v>
      </c>
      <c r="F7" s="15" t="s">
        <v>171</v>
      </c>
      <c r="G7" s="15" t="s">
        <v>48</v>
      </c>
      <c r="H7" s="15" t="s">
        <v>117</v>
      </c>
    </row>
    <row r="8" spans="1:8" ht="30" customHeight="1" x14ac:dyDescent="0.25">
      <c r="A8" s="15" t="s">
        <v>172</v>
      </c>
      <c r="B8" s="15" t="s">
        <v>173</v>
      </c>
      <c r="C8" s="15" t="s">
        <v>174</v>
      </c>
      <c r="D8" s="15" t="s">
        <v>175</v>
      </c>
      <c r="E8" s="15" t="s">
        <v>176</v>
      </c>
      <c r="F8" s="15" t="s">
        <v>177</v>
      </c>
      <c r="G8" s="15" t="s">
        <v>48</v>
      </c>
      <c r="H8" s="15" t="s">
        <v>117</v>
      </c>
    </row>
    <row r="9" spans="1:8" ht="30" customHeight="1" x14ac:dyDescent="0.25">
      <c r="A9" s="15" t="s">
        <v>178</v>
      </c>
      <c r="B9" s="15" t="s">
        <v>179</v>
      </c>
      <c r="C9" s="15" t="s">
        <v>180</v>
      </c>
      <c r="D9" s="15" t="s">
        <v>181</v>
      </c>
      <c r="E9" s="15" t="s">
        <v>126</v>
      </c>
      <c r="F9" s="15" t="s">
        <v>182</v>
      </c>
      <c r="G9" s="15" t="s">
        <v>48</v>
      </c>
      <c r="H9" s="15" t="s">
        <v>117</v>
      </c>
    </row>
    <row r="10" spans="1:8" ht="30" customHeight="1" x14ac:dyDescent="0.25">
      <c r="A10" s="15" t="s">
        <v>183</v>
      </c>
      <c r="B10" s="15" t="s">
        <v>184</v>
      </c>
      <c r="C10" s="15" t="s">
        <v>185</v>
      </c>
      <c r="D10" s="15" t="s">
        <v>186</v>
      </c>
      <c r="E10" s="15" t="s">
        <v>176</v>
      </c>
      <c r="F10" s="15" t="s">
        <v>187</v>
      </c>
      <c r="G10" s="15" t="s">
        <v>48</v>
      </c>
      <c r="H10" s="15" t="s">
        <v>117</v>
      </c>
    </row>
  </sheetData>
  <sheetProtection algorithmName="SHA-512" hashValue="m3IBq+tt80xktSvdCErmejgaDkNh9j9/KgPSmCzX8Y8dK0ynIsUYOaYNxYOacYA2Zui1xJSAeuLt6sll1W0dJg==" saltValue="mpDP8N9IMLkKeEatxRAVuQ=="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C6B72"/>
  </sheetPr>
  <dimension ref="A1:H18"/>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188</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189</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9" customHeight="1" x14ac:dyDescent="0.25">
      <c r="A6" s="15" t="s">
        <v>190</v>
      </c>
      <c r="B6" s="15" t="s">
        <v>191</v>
      </c>
      <c r="C6" s="15" t="s">
        <v>192</v>
      </c>
      <c r="D6" s="15" t="s">
        <v>193</v>
      </c>
      <c r="E6" s="15" t="s">
        <v>194</v>
      </c>
      <c r="F6" s="15" t="s">
        <v>195</v>
      </c>
      <c r="G6" s="15" t="s">
        <v>196</v>
      </c>
      <c r="H6" s="15" t="s">
        <v>80</v>
      </c>
    </row>
    <row r="7" spans="1:8" ht="30" customHeight="1" x14ac:dyDescent="0.25">
      <c r="A7" s="15" t="s">
        <v>197</v>
      </c>
      <c r="B7" s="15" t="s">
        <v>198</v>
      </c>
      <c r="C7" s="15" t="s">
        <v>199</v>
      </c>
      <c r="D7" s="15" t="s">
        <v>200</v>
      </c>
      <c r="E7" s="15" t="s">
        <v>201</v>
      </c>
      <c r="F7" s="15" t="s">
        <v>202</v>
      </c>
      <c r="G7" s="15" t="s">
        <v>203</v>
      </c>
      <c r="H7" s="15" t="s">
        <v>80</v>
      </c>
    </row>
    <row r="8" spans="1:8" ht="30" customHeight="1" x14ac:dyDescent="0.25">
      <c r="A8" s="15" t="s">
        <v>204</v>
      </c>
      <c r="B8" s="15" t="s">
        <v>205</v>
      </c>
      <c r="C8" s="15" t="s">
        <v>206</v>
      </c>
      <c r="D8" s="15" t="s">
        <v>207</v>
      </c>
      <c r="E8" s="15" t="s">
        <v>201</v>
      </c>
      <c r="F8" s="15" t="s">
        <v>208</v>
      </c>
      <c r="G8" s="15" t="s">
        <v>203</v>
      </c>
      <c r="H8" s="15" t="s">
        <v>80</v>
      </c>
    </row>
    <row r="9" spans="1:8" ht="30" customHeight="1" x14ac:dyDescent="0.25">
      <c r="A9" s="15" t="s">
        <v>209</v>
      </c>
      <c r="B9" s="15" t="s">
        <v>198</v>
      </c>
      <c r="C9" s="15" t="s">
        <v>210</v>
      </c>
      <c r="D9" s="15" t="s">
        <v>211</v>
      </c>
      <c r="E9" s="15" t="s">
        <v>201</v>
      </c>
      <c r="F9" s="15" t="s">
        <v>212</v>
      </c>
      <c r="G9" s="15" t="s">
        <v>203</v>
      </c>
      <c r="H9" s="15" t="s">
        <v>80</v>
      </c>
    </row>
    <row r="10" spans="1:8" ht="30" customHeight="1" x14ac:dyDescent="0.25">
      <c r="A10" s="15" t="s">
        <v>213</v>
      </c>
      <c r="B10" s="15" t="s">
        <v>214</v>
      </c>
      <c r="C10" s="15" t="s">
        <v>215</v>
      </c>
      <c r="D10" s="15" t="s">
        <v>216</v>
      </c>
      <c r="E10" s="15" t="s">
        <v>217</v>
      </c>
      <c r="F10" s="15" t="s">
        <v>218</v>
      </c>
      <c r="G10" s="15" t="s">
        <v>203</v>
      </c>
      <c r="H10" s="15" t="s">
        <v>158</v>
      </c>
    </row>
    <row r="11" spans="1:8" ht="30" customHeight="1" x14ac:dyDescent="0.25">
      <c r="A11" s="15" t="s">
        <v>219</v>
      </c>
      <c r="B11" s="15" t="s">
        <v>220</v>
      </c>
      <c r="C11" s="15" t="s">
        <v>221</v>
      </c>
      <c r="D11" s="15" t="s">
        <v>222</v>
      </c>
      <c r="E11" s="15" t="s">
        <v>223</v>
      </c>
      <c r="F11" s="15" t="s">
        <v>224</v>
      </c>
      <c r="G11" s="15" t="s">
        <v>196</v>
      </c>
      <c r="H11" s="15" t="s">
        <v>80</v>
      </c>
    </row>
    <row r="12" spans="1:8" ht="30" customHeight="1" x14ac:dyDescent="0.25">
      <c r="A12" s="15" t="s">
        <v>225</v>
      </c>
      <c r="B12" s="15" t="s">
        <v>226</v>
      </c>
      <c r="C12" s="15" t="s">
        <v>227</v>
      </c>
      <c r="D12" s="15" t="s">
        <v>228</v>
      </c>
      <c r="E12" s="15" t="s">
        <v>223</v>
      </c>
      <c r="F12" s="15" t="s">
        <v>229</v>
      </c>
      <c r="G12" s="15" t="s">
        <v>196</v>
      </c>
      <c r="H12" s="15" t="s">
        <v>80</v>
      </c>
    </row>
    <row r="13" spans="1:8" ht="39" customHeight="1" x14ac:dyDescent="0.25">
      <c r="A13" s="15" t="s">
        <v>230</v>
      </c>
      <c r="B13" s="15" t="s">
        <v>231</v>
      </c>
      <c r="C13" s="15" t="s">
        <v>232</v>
      </c>
      <c r="D13" s="15" t="s">
        <v>233</v>
      </c>
      <c r="E13" s="15" t="s">
        <v>234</v>
      </c>
      <c r="F13" s="15" t="s">
        <v>235</v>
      </c>
      <c r="G13" s="15" t="s">
        <v>236</v>
      </c>
      <c r="H13" s="15" t="s">
        <v>80</v>
      </c>
    </row>
    <row r="14" spans="1:8" ht="30" customHeight="1" x14ac:dyDescent="0.25">
      <c r="A14" s="15" t="s">
        <v>237</v>
      </c>
      <c r="B14" s="15" t="s">
        <v>238</v>
      </c>
      <c r="C14" s="15" t="s">
        <v>239</v>
      </c>
      <c r="D14" s="15" t="s">
        <v>240</v>
      </c>
      <c r="E14" s="15" t="s">
        <v>241</v>
      </c>
      <c r="F14" s="15" t="s">
        <v>242</v>
      </c>
      <c r="G14" s="15" t="s">
        <v>236</v>
      </c>
      <c r="H14" s="15" t="s">
        <v>80</v>
      </c>
    </row>
    <row r="15" spans="1:8" ht="30" customHeight="1" x14ac:dyDescent="0.25">
      <c r="A15" s="15" t="s">
        <v>243</v>
      </c>
      <c r="B15" s="15" t="s">
        <v>244</v>
      </c>
      <c r="C15" s="15" t="s">
        <v>245</v>
      </c>
      <c r="D15" s="15" t="s">
        <v>246</v>
      </c>
      <c r="E15" s="15" t="s">
        <v>247</v>
      </c>
      <c r="F15" s="15" t="s">
        <v>248</v>
      </c>
      <c r="G15" s="15" t="s">
        <v>249</v>
      </c>
      <c r="H15" s="15" t="s">
        <v>143</v>
      </c>
    </row>
    <row r="16" spans="1:8" ht="30" customHeight="1" x14ac:dyDescent="0.25">
      <c r="A16" s="15" t="s">
        <v>250</v>
      </c>
      <c r="B16" s="15" t="s">
        <v>251</v>
      </c>
      <c r="C16" s="15" t="s">
        <v>252</v>
      </c>
      <c r="D16" s="15" t="s">
        <v>253</v>
      </c>
      <c r="E16" s="15" t="s">
        <v>254</v>
      </c>
      <c r="F16" s="15" t="s">
        <v>255</v>
      </c>
      <c r="G16" s="15" t="s">
        <v>236</v>
      </c>
      <c r="H16" s="15" t="s">
        <v>117</v>
      </c>
    </row>
    <row r="17" spans="1:8" ht="30" customHeight="1" x14ac:dyDescent="0.25">
      <c r="A17" s="15" t="s">
        <v>256</v>
      </c>
      <c r="B17" s="15" t="s">
        <v>251</v>
      </c>
      <c r="C17" s="15" t="s">
        <v>257</v>
      </c>
      <c r="D17" s="15" t="s">
        <v>258</v>
      </c>
      <c r="E17" s="15" t="s">
        <v>259</v>
      </c>
      <c r="F17" s="15" t="s">
        <v>260</v>
      </c>
      <c r="G17" s="15" t="s">
        <v>236</v>
      </c>
      <c r="H17" s="15" t="s">
        <v>117</v>
      </c>
    </row>
    <row r="18" spans="1:8" ht="30" customHeight="1" x14ac:dyDescent="0.25">
      <c r="A18" s="15" t="s">
        <v>261</v>
      </c>
      <c r="B18" s="15" t="s">
        <v>262</v>
      </c>
      <c r="C18" s="15" t="s">
        <v>263</v>
      </c>
      <c r="D18" s="15" t="s">
        <v>264</v>
      </c>
      <c r="E18" s="15" t="s">
        <v>265</v>
      </c>
      <c r="F18" s="15" t="s">
        <v>266</v>
      </c>
      <c r="G18" s="15" t="s">
        <v>196</v>
      </c>
      <c r="H18" s="15" t="s">
        <v>158</v>
      </c>
    </row>
  </sheetData>
  <sheetProtection algorithmName="SHA-512" hashValue="QwpvLJc/tCYy2VWTDxusUb4BFKIHx+3xkexFvldHEBeWQjP2Kx0dpTxm7AFLFI0DWRBJ/xKQLd+lSjR1J2PXyw==" saltValue="3lcOKlYMDnY88QEuiJmEyw=="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C6B72"/>
  </sheetPr>
  <dimension ref="A1:H10"/>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267</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268</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0" customHeight="1" x14ac:dyDescent="0.25">
      <c r="A6" s="15" t="s">
        <v>269</v>
      </c>
      <c r="B6" s="15" t="s">
        <v>270</v>
      </c>
      <c r="C6" s="15" t="s">
        <v>271</v>
      </c>
      <c r="D6" s="15" t="s">
        <v>272</v>
      </c>
      <c r="E6" s="15" t="s">
        <v>273</v>
      </c>
      <c r="F6" s="15" t="s">
        <v>274</v>
      </c>
      <c r="G6" s="15" t="s">
        <v>52</v>
      </c>
      <c r="H6" s="15" t="s">
        <v>117</v>
      </c>
    </row>
    <row r="7" spans="1:8" ht="39" customHeight="1" x14ac:dyDescent="0.25">
      <c r="A7" s="15" t="s">
        <v>275</v>
      </c>
      <c r="B7" s="15" t="s">
        <v>276</v>
      </c>
      <c r="C7" s="15" t="s">
        <v>277</v>
      </c>
      <c r="D7" s="15" t="s">
        <v>278</v>
      </c>
      <c r="E7" s="15" t="s">
        <v>279</v>
      </c>
      <c r="F7" s="15" t="s">
        <v>280</v>
      </c>
      <c r="G7" s="15" t="s">
        <v>52</v>
      </c>
      <c r="H7" s="15" t="s">
        <v>117</v>
      </c>
    </row>
    <row r="8" spans="1:8" ht="30" customHeight="1" x14ac:dyDescent="0.25">
      <c r="A8" s="15" t="s">
        <v>281</v>
      </c>
      <c r="B8" s="15" t="s">
        <v>276</v>
      </c>
      <c r="C8" s="15" t="s">
        <v>282</v>
      </c>
      <c r="D8" s="15" t="s">
        <v>283</v>
      </c>
      <c r="E8" s="15" t="s">
        <v>259</v>
      </c>
      <c r="F8" s="15" t="s">
        <v>284</v>
      </c>
      <c r="G8" s="15" t="s">
        <v>52</v>
      </c>
      <c r="H8" s="15" t="s">
        <v>117</v>
      </c>
    </row>
    <row r="9" spans="1:8" ht="30" customHeight="1" x14ac:dyDescent="0.25">
      <c r="A9" s="15" t="s">
        <v>285</v>
      </c>
      <c r="B9" s="15" t="s">
        <v>276</v>
      </c>
      <c r="C9" s="15" t="s">
        <v>286</v>
      </c>
      <c r="D9" s="15" t="s">
        <v>287</v>
      </c>
      <c r="E9" s="15" t="s">
        <v>273</v>
      </c>
      <c r="F9" s="15" t="s">
        <v>288</v>
      </c>
      <c r="G9" s="15" t="s">
        <v>52</v>
      </c>
      <c r="H9" s="15" t="s">
        <v>117</v>
      </c>
    </row>
    <row r="10" spans="1:8" ht="30" customHeight="1" x14ac:dyDescent="0.25">
      <c r="A10" s="15" t="s">
        <v>289</v>
      </c>
      <c r="B10" s="15" t="s">
        <v>276</v>
      </c>
      <c r="C10" s="15" t="s">
        <v>290</v>
      </c>
      <c r="D10" s="15" t="s">
        <v>291</v>
      </c>
      <c r="E10" s="15" t="s">
        <v>273</v>
      </c>
      <c r="F10" s="15" t="s">
        <v>292</v>
      </c>
      <c r="G10" s="15" t="s">
        <v>52</v>
      </c>
      <c r="H10" s="15" t="s">
        <v>117</v>
      </c>
    </row>
  </sheetData>
  <sheetProtection algorithmName="SHA-512" hashValue="NthPFQqG9vcZ4e5PjW1DSzPWqCiYghmKn0uuwh3DJl/R6tq5ENxUoi1AhnG7K9jLuFYuVEPxxVEvmbQ/SkmEhg==" saltValue="cadwxuR8qUVfAfiVQEwbmA=="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C6B72"/>
  </sheetPr>
  <dimension ref="A1:H12"/>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293</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294</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0" customHeight="1" x14ac:dyDescent="0.25">
      <c r="A6" s="15" t="s">
        <v>295</v>
      </c>
      <c r="B6" s="15" t="s">
        <v>296</v>
      </c>
      <c r="C6" s="15" t="s">
        <v>297</v>
      </c>
      <c r="D6" s="15" t="s">
        <v>298</v>
      </c>
      <c r="E6" s="15" t="s">
        <v>299</v>
      </c>
      <c r="F6" s="15" t="s">
        <v>300</v>
      </c>
      <c r="G6" s="15" t="s">
        <v>301</v>
      </c>
      <c r="H6" s="15" t="s">
        <v>117</v>
      </c>
    </row>
    <row r="7" spans="1:8" ht="30" customHeight="1" x14ac:dyDescent="0.25">
      <c r="A7" s="15" t="s">
        <v>302</v>
      </c>
      <c r="B7" s="15" t="s">
        <v>296</v>
      </c>
      <c r="C7" s="15" t="s">
        <v>126</v>
      </c>
      <c r="D7" s="15" t="s">
        <v>303</v>
      </c>
      <c r="E7" s="15" t="s">
        <v>265</v>
      </c>
      <c r="F7" s="15" t="s">
        <v>304</v>
      </c>
      <c r="G7" s="15" t="s">
        <v>305</v>
      </c>
      <c r="H7" s="15" t="s">
        <v>117</v>
      </c>
    </row>
    <row r="8" spans="1:8" ht="30" customHeight="1" x14ac:dyDescent="0.25">
      <c r="A8" s="15" t="s">
        <v>306</v>
      </c>
      <c r="B8" s="15" t="s">
        <v>296</v>
      </c>
      <c r="C8" s="15" t="s">
        <v>307</v>
      </c>
      <c r="D8" s="15" t="s">
        <v>308</v>
      </c>
      <c r="E8" s="15" t="s">
        <v>265</v>
      </c>
      <c r="F8" s="15" t="s">
        <v>309</v>
      </c>
      <c r="G8" s="15" t="s">
        <v>301</v>
      </c>
      <c r="H8" s="15" t="s">
        <v>117</v>
      </c>
    </row>
    <row r="9" spans="1:8" ht="30" customHeight="1" x14ac:dyDescent="0.25">
      <c r="A9" s="15" t="s">
        <v>310</v>
      </c>
      <c r="B9" s="15" t="s">
        <v>311</v>
      </c>
      <c r="C9" s="15" t="s">
        <v>126</v>
      </c>
      <c r="D9" s="15" t="s">
        <v>312</v>
      </c>
      <c r="E9" s="15" t="s">
        <v>273</v>
      </c>
      <c r="F9" s="15" t="s">
        <v>313</v>
      </c>
      <c r="G9" s="15" t="s">
        <v>305</v>
      </c>
      <c r="H9" s="15" t="s">
        <v>117</v>
      </c>
    </row>
    <row r="10" spans="1:8" ht="30" customHeight="1" x14ac:dyDescent="0.25">
      <c r="A10" s="15" t="s">
        <v>314</v>
      </c>
      <c r="B10" s="15" t="s">
        <v>315</v>
      </c>
      <c r="C10" s="15" t="s">
        <v>126</v>
      </c>
      <c r="D10" s="15" t="s">
        <v>316</v>
      </c>
      <c r="E10" s="15" t="s">
        <v>299</v>
      </c>
      <c r="F10" s="15" t="s">
        <v>317</v>
      </c>
      <c r="G10" s="15" t="s">
        <v>305</v>
      </c>
      <c r="H10" s="15" t="s">
        <v>117</v>
      </c>
    </row>
    <row r="11" spans="1:8" ht="30" customHeight="1" x14ac:dyDescent="0.25">
      <c r="A11" s="15" t="s">
        <v>318</v>
      </c>
      <c r="B11" s="15" t="s">
        <v>319</v>
      </c>
      <c r="C11" s="15" t="s">
        <v>126</v>
      </c>
      <c r="D11" s="15" t="s">
        <v>320</v>
      </c>
      <c r="E11" s="15" t="s">
        <v>299</v>
      </c>
      <c r="F11" s="15" t="s">
        <v>321</v>
      </c>
      <c r="G11" s="15" t="s">
        <v>305</v>
      </c>
      <c r="H11" s="15" t="s">
        <v>117</v>
      </c>
    </row>
    <row r="12" spans="1:8" ht="30" customHeight="1" x14ac:dyDescent="0.25">
      <c r="A12" s="15" t="s">
        <v>322</v>
      </c>
      <c r="B12" s="15" t="s">
        <v>296</v>
      </c>
      <c r="C12" s="15" t="s">
        <v>323</v>
      </c>
      <c r="D12" s="15" t="s">
        <v>324</v>
      </c>
      <c r="E12" s="15" t="s">
        <v>325</v>
      </c>
      <c r="F12" s="15" t="s">
        <v>326</v>
      </c>
      <c r="G12" s="15" t="s">
        <v>305</v>
      </c>
      <c r="H12" s="15" t="s">
        <v>117</v>
      </c>
    </row>
  </sheetData>
  <sheetProtection algorithmName="SHA-512" hashValue="1JSeD1wo3R9CDlwktBqf37uVw+/SREFwhpxQP+7XxImePpwy/u600rYYuV0zb25MkVMV0G5kKbZrOKy+wKgAhw==" saltValue="XXQ5wrUjzPBJR/8do+Uxtg=="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C6B72"/>
  </sheetPr>
  <dimension ref="A1:H9"/>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327</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6" t="s">
        <v>328</v>
      </c>
      <c r="B4" s="36"/>
      <c r="C4" s="36"/>
      <c r="D4" s="36"/>
      <c r="E4" s="36"/>
      <c r="F4" s="36"/>
      <c r="G4" s="36"/>
      <c r="H4" s="36"/>
    </row>
    <row r="5" spans="1:8" x14ac:dyDescent="0.25">
      <c r="A5" s="12" t="s">
        <v>65</v>
      </c>
      <c r="B5" s="12" t="s">
        <v>66</v>
      </c>
      <c r="C5" s="12" t="s">
        <v>67</v>
      </c>
      <c r="D5" s="12" t="s">
        <v>68</v>
      </c>
      <c r="E5" s="12" t="s">
        <v>69</v>
      </c>
      <c r="F5" s="12" t="s">
        <v>70</v>
      </c>
      <c r="G5" s="12" t="s">
        <v>71</v>
      </c>
      <c r="H5" s="12" t="s">
        <v>72</v>
      </c>
    </row>
    <row r="6" spans="1:8" ht="30" customHeight="1" x14ac:dyDescent="0.25">
      <c r="A6" s="15" t="s">
        <v>329</v>
      </c>
      <c r="B6" s="15" t="s">
        <v>330</v>
      </c>
      <c r="C6" s="15" t="s">
        <v>331</v>
      </c>
      <c r="D6" s="15" t="s">
        <v>332</v>
      </c>
      <c r="E6" s="15" t="s">
        <v>333</v>
      </c>
      <c r="F6" s="15" t="s">
        <v>334</v>
      </c>
      <c r="G6" s="15" t="s">
        <v>58</v>
      </c>
      <c r="H6" s="15" t="s">
        <v>117</v>
      </c>
    </row>
    <row r="7" spans="1:8" ht="30" customHeight="1" x14ac:dyDescent="0.25">
      <c r="A7" s="15" t="s">
        <v>335</v>
      </c>
      <c r="B7" s="15" t="s">
        <v>336</v>
      </c>
      <c r="C7" s="15" t="s">
        <v>337</v>
      </c>
      <c r="D7" s="15" t="s">
        <v>338</v>
      </c>
      <c r="E7" s="15" t="s">
        <v>339</v>
      </c>
      <c r="F7" s="15" t="s">
        <v>340</v>
      </c>
      <c r="G7" s="15" t="s">
        <v>58</v>
      </c>
      <c r="H7" s="15" t="s">
        <v>158</v>
      </c>
    </row>
    <row r="8" spans="1:8" ht="30" customHeight="1" x14ac:dyDescent="0.25">
      <c r="A8" s="15" t="s">
        <v>341</v>
      </c>
      <c r="B8" s="15" t="s">
        <v>342</v>
      </c>
      <c r="C8" s="15" t="s">
        <v>343</v>
      </c>
      <c r="D8" s="15" t="s">
        <v>344</v>
      </c>
      <c r="E8" s="15" t="s">
        <v>126</v>
      </c>
      <c r="F8" s="15" t="s">
        <v>345</v>
      </c>
      <c r="G8" s="15" t="s">
        <v>58</v>
      </c>
      <c r="H8" s="15" t="s">
        <v>117</v>
      </c>
    </row>
    <row r="9" spans="1:8" ht="30" customHeight="1" x14ac:dyDescent="0.25">
      <c r="A9" s="15" t="s">
        <v>346</v>
      </c>
      <c r="B9" s="15" t="s">
        <v>347</v>
      </c>
      <c r="C9" s="15" t="s">
        <v>126</v>
      </c>
      <c r="D9" s="15" t="s">
        <v>348</v>
      </c>
      <c r="E9" s="15" t="s">
        <v>126</v>
      </c>
      <c r="F9" s="15" t="s">
        <v>349</v>
      </c>
      <c r="G9" s="15" t="s">
        <v>58</v>
      </c>
      <c r="H9" s="15" t="s">
        <v>117</v>
      </c>
    </row>
  </sheetData>
  <sheetProtection algorithmName="SHA-512" hashValue="rFvNwD1g2ad5KBZhN42Hc8ywsIwaLaCBwj68bsQqUCIwxXGJMbI71XZ/3MDE1VP4eA7d/F8YV105D4Zj+nZETw==" saltValue="ltS0eRUm4FcExNE9Nr/Dpg=="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B72"/>
  </sheetPr>
  <dimension ref="A1:H16"/>
  <sheetViews>
    <sheetView showGridLines="0" zoomScaleNormal="100" workbookViewId="0">
      <pane ySplit="5" topLeftCell="A6" activePane="bottomLeft" state="frozen"/>
      <selection pane="bottomLeft" activeCell="D20" sqref="D20"/>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350</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351</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9" customHeight="1" x14ac:dyDescent="0.25">
      <c r="A6" s="15" t="s">
        <v>352</v>
      </c>
      <c r="B6" s="15" t="s">
        <v>353</v>
      </c>
      <c r="C6" s="15" t="s">
        <v>354</v>
      </c>
      <c r="D6" s="15" t="s">
        <v>355</v>
      </c>
      <c r="E6" s="15" t="s">
        <v>356</v>
      </c>
      <c r="F6" s="15" t="s">
        <v>357</v>
      </c>
      <c r="G6" s="15" t="s">
        <v>358</v>
      </c>
      <c r="H6" s="15" t="s">
        <v>143</v>
      </c>
    </row>
    <row r="7" spans="1:8" ht="30" customHeight="1" x14ac:dyDescent="0.25">
      <c r="A7" s="15" t="s">
        <v>359</v>
      </c>
      <c r="B7" s="15" t="s">
        <v>360</v>
      </c>
      <c r="C7" s="15" t="s">
        <v>361</v>
      </c>
      <c r="D7" s="15" t="s">
        <v>362</v>
      </c>
      <c r="E7" s="15" t="s">
        <v>363</v>
      </c>
      <c r="F7" s="15" t="s">
        <v>364</v>
      </c>
      <c r="G7" s="15" t="s">
        <v>358</v>
      </c>
      <c r="H7" s="15" t="s">
        <v>80</v>
      </c>
    </row>
    <row r="8" spans="1:8" ht="30" customHeight="1" x14ac:dyDescent="0.25">
      <c r="A8" s="15" t="s">
        <v>365</v>
      </c>
      <c r="B8" s="15" t="s">
        <v>366</v>
      </c>
      <c r="C8" s="15" t="s">
        <v>126</v>
      </c>
      <c r="D8" s="15" t="s">
        <v>367</v>
      </c>
      <c r="E8" s="15" t="s">
        <v>265</v>
      </c>
      <c r="F8" s="15" t="s">
        <v>368</v>
      </c>
      <c r="G8" s="15" t="s">
        <v>358</v>
      </c>
      <c r="H8" s="15" t="s">
        <v>80</v>
      </c>
    </row>
    <row r="9" spans="1:8" ht="30" customHeight="1" x14ac:dyDescent="0.25">
      <c r="A9" s="15" t="s">
        <v>369</v>
      </c>
      <c r="B9" s="15" t="s">
        <v>370</v>
      </c>
      <c r="C9" s="15" t="s">
        <v>371</v>
      </c>
      <c r="D9" s="15" t="s">
        <v>372</v>
      </c>
      <c r="E9" s="15" t="s">
        <v>373</v>
      </c>
      <c r="F9" s="15" t="s">
        <v>374</v>
      </c>
      <c r="G9" s="15" t="s">
        <v>375</v>
      </c>
      <c r="H9" s="15" t="s">
        <v>80</v>
      </c>
    </row>
    <row r="10" spans="1:8" ht="30" customHeight="1" x14ac:dyDescent="0.25">
      <c r="A10" s="15" t="s">
        <v>376</v>
      </c>
      <c r="B10" s="15" t="s">
        <v>377</v>
      </c>
      <c r="C10" s="15" t="s">
        <v>378</v>
      </c>
      <c r="D10" s="15" t="s">
        <v>379</v>
      </c>
      <c r="E10" s="15" t="s">
        <v>380</v>
      </c>
      <c r="F10" s="15" t="s">
        <v>381</v>
      </c>
      <c r="G10" s="15" t="s">
        <v>375</v>
      </c>
      <c r="H10" s="15" t="s">
        <v>80</v>
      </c>
    </row>
    <row r="11" spans="1:8" ht="30" customHeight="1" x14ac:dyDescent="0.25">
      <c r="A11" s="15" t="s">
        <v>382</v>
      </c>
      <c r="B11" s="15" t="s">
        <v>383</v>
      </c>
      <c r="C11" s="15" t="s">
        <v>126</v>
      </c>
      <c r="D11" s="15" t="s">
        <v>384</v>
      </c>
      <c r="E11" s="15" t="s">
        <v>273</v>
      </c>
      <c r="F11" s="15" t="s">
        <v>385</v>
      </c>
      <c r="G11" s="15" t="s">
        <v>375</v>
      </c>
      <c r="H11" s="15" t="s">
        <v>158</v>
      </c>
    </row>
    <row r="12" spans="1:8" ht="30" customHeight="1" x14ac:dyDescent="0.25">
      <c r="A12" s="15" t="s">
        <v>386</v>
      </c>
      <c r="B12" s="15" t="s">
        <v>387</v>
      </c>
      <c r="C12" s="15" t="s">
        <v>126</v>
      </c>
      <c r="D12" s="15" t="s">
        <v>388</v>
      </c>
      <c r="E12" s="15" t="s">
        <v>265</v>
      </c>
      <c r="F12" s="15" t="s">
        <v>389</v>
      </c>
      <c r="G12" s="15" t="s">
        <v>375</v>
      </c>
      <c r="H12" s="15" t="s">
        <v>158</v>
      </c>
    </row>
    <row r="13" spans="1:8" ht="30" customHeight="1" x14ac:dyDescent="0.25">
      <c r="A13" s="15" t="s">
        <v>390</v>
      </c>
      <c r="B13" s="15" t="s">
        <v>391</v>
      </c>
      <c r="C13" s="15" t="s">
        <v>366</v>
      </c>
      <c r="D13" s="15" t="s">
        <v>392</v>
      </c>
      <c r="E13" s="15" t="s">
        <v>393</v>
      </c>
      <c r="F13" s="15" t="s">
        <v>394</v>
      </c>
      <c r="G13" s="15" t="s">
        <v>395</v>
      </c>
      <c r="H13" s="15" t="s">
        <v>143</v>
      </c>
    </row>
    <row r="14" spans="1:8" ht="30" customHeight="1" x14ac:dyDescent="0.25">
      <c r="A14" s="15" t="s">
        <v>396</v>
      </c>
      <c r="B14" s="15" t="s">
        <v>397</v>
      </c>
      <c r="C14" s="15" t="s">
        <v>398</v>
      </c>
      <c r="D14" s="15" t="s">
        <v>399</v>
      </c>
      <c r="E14" s="15" t="s">
        <v>393</v>
      </c>
      <c r="F14" s="15" t="s">
        <v>400</v>
      </c>
      <c r="G14" s="15" t="s">
        <v>395</v>
      </c>
      <c r="H14" s="15" t="s">
        <v>117</v>
      </c>
    </row>
    <row r="15" spans="1:8" ht="30" customHeight="1" x14ac:dyDescent="0.25">
      <c r="A15" s="15" t="s">
        <v>401</v>
      </c>
      <c r="B15" s="15" t="s">
        <v>366</v>
      </c>
      <c r="C15" s="15" t="s">
        <v>126</v>
      </c>
      <c r="D15" s="15" t="s">
        <v>402</v>
      </c>
      <c r="E15" s="15" t="s">
        <v>403</v>
      </c>
      <c r="F15" s="15" t="s">
        <v>404</v>
      </c>
      <c r="G15" s="15" t="s">
        <v>395</v>
      </c>
      <c r="H15" s="15" t="s">
        <v>117</v>
      </c>
    </row>
    <row r="16" spans="1:8" ht="30" customHeight="1" x14ac:dyDescent="0.25">
      <c r="A16" s="15" t="s">
        <v>405</v>
      </c>
      <c r="B16" s="15" t="s">
        <v>406</v>
      </c>
      <c r="C16" s="15" t="s">
        <v>398</v>
      </c>
      <c r="D16" s="15" t="s">
        <v>407</v>
      </c>
      <c r="E16" s="15" t="s">
        <v>408</v>
      </c>
      <c r="F16" s="15" t="s">
        <v>409</v>
      </c>
      <c r="G16" s="15" t="s">
        <v>395</v>
      </c>
      <c r="H16" s="15" t="s">
        <v>117</v>
      </c>
    </row>
  </sheetData>
  <sheetProtection algorithmName="SHA-512" hashValue="4+CsEAV1SsXpnEa/ilngN+3RVdiQFS7eyEJXnUnoe6DmBOSHMYgcxXIGOFN4iHElGAx4+kxK9PnT4qdTseV/Yw==" saltValue="kRrheD923+AADFXdg5RqFA=="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B72"/>
  </sheetPr>
  <dimension ref="A1:H9"/>
  <sheetViews>
    <sheetView showGridLines="0" zoomScaleNormal="100" workbookViewId="0">
      <pane ySplit="5" topLeftCell="A6" activePane="bottomLeft" state="frozen"/>
      <selection pane="bottomLeft" sqref="A1:H1"/>
    </sheetView>
  </sheetViews>
  <sheetFormatPr baseColWidth="10" defaultColWidth="8.7109375" defaultRowHeight="15" x14ac:dyDescent="0.25"/>
  <cols>
    <col min="1" max="1" width="22" style="10" customWidth="1"/>
    <col min="2" max="2" width="20" style="10" customWidth="1"/>
    <col min="3" max="3" width="26" style="10" customWidth="1"/>
    <col min="4" max="4" width="48" style="10" customWidth="1"/>
    <col min="5" max="5" width="15" style="10" customWidth="1"/>
    <col min="6" max="6" width="34" style="10" customWidth="1"/>
    <col min="7" max="7" width="10" style="10" customWidth="1"/>
    <col min="8" max="8" width="7" style="10" customWidth="1"/>
  </cols>
  <sheetData>
    <row r="1" spans="1:8" ht="25.5" customHeight="1" x14ac:dyDescent="0.25">
      <c r="A1" s="31" t="s">
        <v>0</v>
      </c>
      <c r="B1" s="31"/>
      <c r="C1" s="31"/>
      <c r="D1" s="31"/>
      <c r="E1" s="31"/>
      <c r="F1" s="31"/>
      <c r="G1" s="31"/>
      <c r="H1" s="31"/>
    </row>
    <row r="2" spans="1:8" ht="19.5" customHeight="1" x14ac:dyDescent="0.25">
      <c r="A2" s="32" t="s">
        <v>410</v>
      </c>
      <c r="B2" s="32"/>
      <c r="C2" s="32"/>
      <c r="D2" s="32"/>
      <c r="E2" s="32"/>
      <c r="F2" s="32"/>
      <c r="G2" s="32"/>
      <c r="H2" s="32"/>
    </row>
    <row r="3" spans="1:8" ht="18" customHeight="1" x14ac:dyDescent="0.25">
      <c r="A3" s="33" t="str">
        <f>HYPERLINK("#INICIO!A1","◀ INICIO")</f>
        <v>◀ INICIO</v>
      </c>
      <c r="B3" s="33"/>
      <c r="C3" s="33" t="str">
        <f>HYPERLINK("#INDICE!A1","◀ ÍNDICE")</f>
        <v>◀ ÍNDICE</v>
      </c>
      <c r="D3" s="33"/>
      <c r="E3" s="33" t="str">
        <f>HYPERLINK("#FUENTES!A1","▶ FUENTES")</f>
        <v>▶ FUENTES</v>
      </c>
      <c r="F3" s="33"/>
      <c r="G3" s="33" t="str">
        <f>HYPERLINK("#PRUEBAS!A1","▶ PRUEBAS")</f>
        <v>▶ PRUEBAS</v>
      </c>
      <c r="H3" s="33"/>
    </row>
    <row r="4" spans="1:8" ht="25.5" customHeight="1" x14ac:dyDescent="0.25">
      <c r="A4" s="34" t="s">
        <v>411</v>
      </c>
      <c r="B4" s="34"/>
      <c r="C4" s="34"/>
      <c r="D4" s="34"/>
      <c r="E4" s="34"/>
      <c r="F4" s="34"/>
      <c r="G4" s="34"/>
      <c r="H4" s="34"/>
    </row>
    <row r="5" spans="1:8" x14ac:dyDescent="0.25">
      <c r="A5" s="12" t="s">
        <v>65</v>
      </c>
      <c r="B5" s="12" t="s">
        <v>66</v>
      </c>
      <c r="C5" s="12" t="s">
        <v>67</v>
      </c>
      <c r="D5" s="12" t="s">
        <v>68</v>
      </c>
      <c r="E5" s="12" t="s">
        <v>69</v>
      </c>
      <c r="F5" s="12" t="s">
        <v>70</v>
      </c>
      <c r="G5" s="12" t="s">
        <v>71</v>
      </c>
      <c r="H5" s="12" t="s">
        <v>72</v>
      </c>
    </row>
    <row r="6" spans="1:8" ht="30" customHeight="1" x14ac:dyDescent="0.25">
      <c r="A6" s="15" t="s">
        <v>412</v>
      </c>
      <c r="B6" s="15" t="s">
        <v>413</v>
      </c>
      <c r="C6" s="15" t="s">
        <v>414</v>
      </c>
      <c r="D6" s="15" t="s">
        <v>415</v>
      </c>
      <c r="E6" s="15" t="s">
        <v>416</v>
      </c>
      <c r="F6" s="15" t="s">
        <v>417</v>
      </c>
      <c r="G6" s="15" t="s">
        <v>418</v>
      </c>
      <c r="H6" s="15" t="s">
        <v>117</v>
      </c>
    </row>
    <row r="7" spans="1:8" ht="30" customHeight="1" x14ac:dyDescent="0.25">
      <c r="A7" s="15" t="s">
        <v>419</v>
      </c>
      <c r="B7" s="15" t="s">
        <v>420</v>
      </c>
      <c r="C7" s="15" t="s">
        <v>126</v>
      </c>
      <c r="D7" s="15" t="s">
        <v>421</v>
      </c>
      <c r="E7" s="15" t="s">
        <v>416</v>
      </c>
      <c r="F7" s="15" t="s">
        <v>422</v>
      </c>
      <c r="G7" s="15" t="s">
        <v>418</v>
      </c>
      <c r="H7" s="15" t="s">
        <v>80</v>
      </c>
    </row>
    <row r="8" spans="1:8" ht="30" customHeight="1" x14ac:dyDescent="0.25">
      <c r="A8" s="15" t="s">
        <v>423</v>
      </c>
      <c r="B8" s="15" t="s">
        <v>387</v>
      </c>
      <c r="C8" s="15" t="s">
        <v>424</v>
      </c>
      <c r="D8" s="15" t="s">
        <v>425</v>
      </c>
      <c r="E8" s="15" t="s">
        <v>265</v>
      </c>
      <c r="F8" s="15" t="s">
        <v>426</v>
      </c>
      <c r="G8" s="15" t="s">
        <v>418</v>
      </c>
      <c r="H8" s="15" t="s">
        <v>158</v>
      </c>
    </row>
    <row r="9" spans="1:8" ht="39" customHeight="1" x14ac:dyDescent="0.25">
      <c r="A9" s="15" t="s">
        <v>427</v>
      </c>
      <c r="B9" s="15" t="s">
        <v>428</v>
      </c>
      <c r="C9" s="15" t="s">
        <v>429</v>
      </c>
      <c r="D9" s="15" t="s">
        <v>430</v>
      </c>
      <c r="E9" s="15" t="s">
        <v>126</v>
      </c>
      <c r="F9" s="15" t="s">
        <v>431</v>
      </c>
      <c r="G9" s="15" t="s">
        <v>432</v>
      </c>
      <c r="H9" s="15" t="s">
        <v>158</v>
      </c>
    </row>
  </sheetData>
  <sheetProtection algorithmName="SHA-512" hashValue="SEhIv0m4vfHMGjJh9np3e3FlfKhghB0MmN11QC8basy5ksBA7xBrR5T1PdgRLXENZhQncHMyv4d0R3cKAooQBw==" saltValue="7hZ5pHQ6inYyE6xnDzDhQw==" spinCount="100000" sheet="1" objects="1" scenarios="1"/>
  <mergeCells count="7">
    <mergeCell ref="A4:H4"/>
    <mergeCell ref="A1:H1"/>
    <mergeCell ref="A2:H2"/>
    <mergeCell ref="A3:B3"/>
    <mergeCell ref="C3:D3"/>
    <mergeCell ref="E3:F3"/>
    <mergeCell ref="G3:H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A6B70"/>
  </sheetPr>
  <dimension ref="A1:G35"/>
  <sheetViews>
    <sheetView showGridLines="0" zoomScaleNormal="100" workbookViewId="0">
      <pane ySplit="5" topLeftCell="A6" activePane="bottomLeft" state="frozen"/>
      <selection pane="bottomLeft" sqref="A1:G1"/>
    </sheetView>
  </sheetViews>
  <sheetFormatPr baseColWidth="10" defaultColWidth="8.7109375" defaultRowHeight="15" x14ac:dyDescent="0.25"/>
  <cols>
    <col min="1" max="1" width="30" style="10" customWidth="1"/>
    <col min="2" max="2" width="11" style="10" customWidth="1"/>
    <col min="3" max="3" width="34" style="10" customWidth="1"/>
    <col min="4" max="4" width="24" style="10" customWidth="1"/>
    <col min="5" max="5" width="7" style="10" customWidth="1"/>
    <col min="6" max="6" width="30" style="10" customWidth="1"/>
    <col min="7" max="7" width="4" style="10" customWidth="1"/>
  </cols>
  <sheetData>
    <row r="1" spans="1:7" ht="25.5" customHeight="1" x14ac:dyDescent="0.25">
      <c r="A1" s="31" t="s">
        <v>0</v>
      </c>
      <c r="B1" s="31"/>
      <c r="C1" s="31"/>
      <c r="D1" s="31"/>
      <c r="E1" s="31"/>
      <c r="F1" s="31"/>
      <c r="G1" s="31"/>
    </row>
    <row r="2" spans="1:7" ht="19.5" customHeight="1" x14ac:dyDescent="0.25">
      <c r="A2" s="32" t="s">
        <v>433</v>
      </c>
      <c r="B2" s="32"/>
      <c r="C2" s="32"/>
      <c r="D2" s="32"/>
      <c r="E2" s="32"/>
      <c r="F2" s="32"/>
      <c r="G2" s="32"/>
    </row>
    <row r="3" spans="1:7" ht="18" customHeight="1" x14ac:dyDescent="0.25">
      <c r="A3" s="33" t="str">
        <f>HYPERLINK("#INICIO!A1","◀ INICIO")</f>
        <v>◀ INICIO</v>
      </c>
      <c r="B3" s="33"/>
      <c r="C3" s="33" t="str">
        <f>HYPERLINK("#INDICE!A1","◀ ÍNDICE")</f>
        <v>◀ ÍNDICE</v>
      </c>
      <c r="D3" s="33"/>
      <c r="E3" s="33" t="str">
        <f>HYPERLINK("#PRUEBAS!A1","▶ PRUEBAS")</f>
        <v>▶ PRUEBAS</v>
      </c>
      <c r="F3" s="33"/>
      <c r="G3" s="11"/>
    </row>
    <row r="4" spans="1:7" ht="31.5" customHeight="1" x14ac:dyDescent="0.25">
      <c r="A4" s="34" t="s">
        <v>434</v>
      </c>
      <c r="B4" s="34"/>
      <c r="C4" s="34"/>
      <c r="D4" s="34"/>
      <c r="E4" s="34"/>
      <c r="F4" s="34"/>
      <c r="G4" s="34"/>
    </row>
    <row r="5" spans="1:7" x14ac:dyDescent="0.25">
      <c r="A5" s="12" t="s">
        <v>435</v>
      </c>
      <c r="B5" s="12" t="s">
        <v>436</v>
      </c>
      <c r="C5" s="12" t="s">
        <v>437</v>
      </c>
      <c r="D5" s="12" t="s">
        <v>438</v>
      </c>
      <c r="E5" s="12" t="s">
        <v>72</v>
      </c>
      <c r="F5" s="12" t="s">
        <v>439</v>
      </c>
      <c r="G5" s="12"/>
    </row>
    <row r="6" spans="1:7" ht="24" customHeight="1" x14ac:dyDescent="0.25">
      <c r="A6" s="15" t="s">
        <v>440</v>
      </c>
      <c r="B6" s="15" t="s">
        <v>441</v>
      </c>
      <c r="C6" s="15" t="s">
        <v>442</v>
      </c>
      <c r="D6" s="15" t="s">
        <v>126</v>
      </c>
      <c r="E6" s="15" t="s">
        <v>80</v>
      </c>
      <c r="F6" s="15" t="s">
        <v>443</v>
      </c>
      <c r="G6" s="15"/>
    </row>
    <row r="7" spans="1:7" ht="24" customHeight="1" x14ac:dyDescent="0.25">
      <c r="A7" s="15" t="s">
        <v>444</v>
      </c>
      <c r="B7" s="15" t="s">
        <v>445</v>
      </c>
      <c r="C7" s="15" t="s">
        <v>446</v>
      </c>
      <c r="D7" s="15" t="s">
        <v>126</v>
      </c>
      <c r="E7" s="15" t="s">
        <v>80</v>
      </c>
      <c r="F7" s="15" t="s">
        <v>447</v>
      </c>
      <c r="G7" s="15"/>
    </row>
    <row r="8" spans="1:7" ht="24" customHeight="1" x14ac:dyDescent="0.25">
      <c r="A8" s="15" t="s">
        <v>448</v>
      </c>
      <c r="B8" s="15" t="s">
        <v>449</v>
      </c>
      <c r="C8" s="15" t="s">
        <v>450</v>
      </c>
      <c r="D8" s="15" t="s">
        <v>126</v>
      </c>
      <c r="E8" s="15" t="s">
        <v>80</v>
      </c>
      <c r="F8" s="15" t="s">
        <v>447</v>
      </c>
      <c r="G8" s="15"/>
    </row>
    <row r="9" spans="1:7" ht="24" customHeight="1" x14ac:dyDescent="0.25">
      <c r="A9" s="15" t="s">
        <v>451</v>
      </c>
      <c r="B9" s="15" t="s">
        <v>452</v>
      </c>
      <c r="C9" s="15" t="s">
        <v>453</v>
      </c>
      <c r="D9" s="15" t="s">
        <v>126</v>
      </c>
      <c r="E9" s="15" t="s">
        <v>80</v>
      </c>
      <c r="F9" s="15" t="s">
        <v>454</v>
      </c>
      <c r="G9" s="15"/>
    </row>
    <row r="10" spans="1:7" ht="24" customHeight="1" x14ac:dyDescent="0.25">
      <c r="A10" s="15" t="s">
        <v>455</v>
      </c>
      <c r="B10" s="15" t="s">
        <v>456</v>
      </c>
      <c r="C10" s="15" t="s">
        <v>457</v>
      </c>
      <c r="D10" s="15" t="s">
        <v>126</v>
      </c>
      <c r="E10" s="15" t="s">
        <v>80</v>
      </c>
      <c r="F10" s="15" t="s">
        <v>458</v>
      </c>
      <c r="G10" s="15"/>
    </row>
    <row r="11" spans="1:7" ht="24" customHeight="1" x14ac:dyDescent="0.25">
      <c r="A11" s="15" t="s">
        <v>459</v>
      </c>
      <c r="B11" s="15" t="s">
        <v>460</v>
      </c>
      <c r="C11" s="15" t="s">
        <v>461</v>
      </c>
      <c r="D11" s="15" t="s">
        <v>126</v>
      </c>
      <c r="E11" s="15" t="s">
        <v>117</v>
      </c>
      <c r="F11" s="15" t="s">
        <v>447</v>
      </c>
      <c r="G11" s="15"/>
    </row>
    <row r="12" spans="1:7" ht="24" customHeight="1" x14ac:dyDescent="0.25">
      <c r="A12" s="15" t="s">
        <v>462</v>
      </c>
      <c r="B12" s="15" t="s">
        <v>463</v>
      </c>
      <c r="C12" s="15" t="s">
        <v>464</v>
      </c>
      <c r="D12" s="15" t="s">
        <v>465</v>
      </c>
      <c r="E12" s="15" t="s">
        <v>117</v>
      </c>
      <c r="F12" s="15" t="s">
        <v>466</v>
      </c>
      <c r="G12" s="15"/>
    </row>
    <row r="13" spans="1:7" ht="24" customHeight="1" x14ac:dyDescent="0.25">
      <c r="A13" s="15" t="s">
        <v>467</v>
      </c>
      <c r="B13" s="15" t="s">
        <v>468</v>
      </c>
      <c r="C13" s="15" t="s">
        <v>469</v>
      </c>
      <c r="D13" s="15" t="s">
        <v>126</v>
      </c>
      <c r="E13" s="15" t="s">
        <v>117</v>
      </c>
      <c r="F13" s="15" t="s">
        <v>470</v>
      </c>
      <c r="G13" s="15"/>
    </row>
    <row r="14" spans="1:7" ht="24" customHeight="1" x14ac:dyDescent="0.25">
      <c r="A14" s="15" t="s">
        <v>471</v>
      </c>
      <c r="B14" s="15" t="s">
        <v>463</v>
      </c>
      <c r="C14" s="15" t="s">
        <v>472</v>
      </c>
      <c r="D14" s="15" t="s">
        <v>126</v>
      </c>
      <c r="E14" s="15" t="s">
        <v>143</v>
      </c>
      <c r="F14" s="15" t="s">
        <v>473</v>
      </c>
      <c r="G14" s="15"/>
    </row>
    <row r="15" spans="1:7" ht="24" customHeight="1" x14ac:dyDescent="0.25">
      <c r="A15" s="15" t="s">
        <v>474</v>
      </c>
      <c r="B15" s="15" t="s">
        <v>475</v>
      </c>
      <c r="C15" s="15" t="s">
        <v>476</v>
      </c>
      <c r="D15" s="15" t="s">
        <v>477</v>
      </c>
      <c r="E15" s="15" t="s">
        <v>117</v>
      </c>
      <c r="F15" s="15" t="s">
        <v>478</v>
      </c>
      <c r="G15" s="15"/>
    </row>
    <row r="16" spans="1:7" ht="24" customHeight="1" x14ac:dyDescent="0.25">
      <c r="A16" s="15" t="s">
        <v>479</v>
      </c>
      <c r="B16" s="15" t="s">
        <v>480</v>
      </c>
      <c r="C16" s="15" t="s">
        <v>481</v>
      </c>
      <c r="D16" s="15" t="s">
        <v>482</v>
      </c>
      <c r="E16" s="15" t="s">
        <v>80</v>
      </c>
      <c r="F16" s="15" t="s">
        <v>483</v>
      </c>
      <c r="G16" s="15"/>
    </row>
    <row r="17" spans="1:7" ht="24" customHeight="1" x14ac:dyDescent="0.25">
      <c r="A17" s="15" t="s">
        <v>484</v>
      </c>
      <c r="B17" s="15" t="s">
        <v>485</v>
      </c>
      <c r="C17" s="15" t="s">
        <v>486</v>
      </c>
      <c r="D17" s="15" t="s">
        <v>487</v>
      </c>
      <c r="E17" s="15" t="s">
        <v>117</v>
      </c>
      <c r="F17" s="15" t="s">
        <v>488</v>
      </c>
      <c r="G17" s="15"/>
    </row>
    <row r="18" spans="1:7" ht="24" customHeight="1" x14ac:dyDescent="0.25">
      <c r="A18" s="15" t="s">
        <v>489</v>
      </c>
      <c r="B18" s="15" t="s">
        <v>490</v>
      </c>
      <c r="C18" s="15" t="s">
        <v>491</v>
      </c>
      <c r="D18" s="15" t="s">
        <v>492</v>
      </c>
      <c r="E18" s="15" t="s">
        <v>80</v>
      </c>
      <c r="F18" s="15" t="s">
        <v>447</v>
      </c>
      <c r="G18" s="15"/>
    </row>
    <row r="19" spans="1:7" ht="24" customHeight="1" x14ac:dyDescent="0.25">
      <c r="A19" s="15" t="s">
        <v>493</v>
      </c>
      <c r="B19" s="15" t="s">
        <v>494</v>
      </c>
      <c r="C19" s="15" t="s">
        <v>495</v>
      </c>
      <c r="D19" s="15" t="s">
        <v>126</v>
      </c>
      <c r="E19" s="15" t="s">
        <v>80</v>
      </c>
      <c r="F19" s="15" t="s">
        <v>496</v>
      </c>
      <c r="G19" s="15"/>
    </row>
    <row r="20" spans="1:7" ht="24" customHeight="1" x14ac:dyDescent="0.25">
      <c r="A20" s="15" t="s">
        <v>497</v>
      </c>
      <c r="B20" s="15" t="s">
        <v>498</v>
      </c>
      <c r="C20" s="15" t="s">
        <v>499</v>
      </c>
      <c r="D20" s="15" t="s">
        <v>500</v>
      </c>
      <c r="E20" s="15" t="s">
        <v>80</v>
      </c>
      <c r="F20" s="15" t="s">
        <v>501</v>
      </c>
      <c r="G20" s="15"/>
    </row>
    <row r="21" spans="1:7" ht="24" customHeight="1" x14ac:dyDescent="0.25">
      <c r="A21" s="15" t="s">
        <v>502</v>
      </c>
      <c r="B21" s="15" t="s">
        <v>503</v>
      </c>
      <c r="C21" s="15" t="s">
        <v>504</v>
      </c>
      <c r="D21" s="15" t="s">
        <v>126</v>
      </c>
      <c r="E21" s="15" t="s">
        <v>80</v>
      </c>
      <c r="F21" s="15" t="s">
        <v>447</v>
      </c>
      <c r="G21" s="15"/>
    </row>
    <row r="22" spans="1:7" ht="24" customHeight="1" x14ac:dyDescent="0.25">
      <c r="A22" s="15" t="s">
        <v>505</v>
      </c>
      <c r="B22" s="15" t="s">
        <v>506</v>
      </c>
      <c r="C22" s="15" t="s">
        <v>507</v>
      </c>
      <c r="D22" s="15" t="s">
        <v>126</v>
      </c>
      <c r="E22" s="15" t="s">
        <v>158</v>
      </c>
      <c r="F22" s="15" t="s">
        <v>508</v>
      </c>
      <c r="G22" s="15"/>
    </row>
    <row r="23" spans="1:7" ht="24" customHeight="1" x14ac:dyDescent="0.25">
      <c r="A23" s="15" t="s">
        <v>509</v>
      </c>
      <c r="B23" s="15" t="s">
        <v>445</v>
      </c>
      <c r="C23" s="15" t="s">
        <v>510</v>
      </c>
      <c r="D23" s="15" t="s">
        <v>126</v>
      </c>
      <c r="E23" s="15" t="s">
        <v>80</v>
      </c>
      <c r="F23" s="15" t="s">
        <v>447</v>
      </c>
      <c r="G23" s="15"/>
    </row>
    <row r="24" spans="1:7" ht="24" customHeight="1" x14ac:dyDescent="0.25">
      <c r="A24" s="15" t="s">
        <v>511</v>
      </c>
      <c r="B24" s="15" t="s">
        <v>512</v>
      </c>
      <c r="C24" s="15" t="s">
        <v>513</v>
      </c>
      <c r="D24" s="15" t="s">
        <v>126</v>
      </c>
      <c r="E24" s="15" t="s">
        <v>80</v>
      </c>
      <c r="F24" s="15" t="s">
        <v>447</v>
      </c>
      <c r="G24" s="15"/>
    </row>
    <row r="25" spans="1:7" ht="24" customHeight="1" x14ac:dyDescent="0.25">
      <c r="A25" s="15" t="s">
        <v>514</v>
      </c>
      <c r="B25" s="15" t="s">
        <v>515</v>
      </c>
      <c r="C25" s="15" t="s">
        <v>516</v>
      </c>
      <c r="D25" s="15" t="s">
        <v>126</v>
      </c>
      <c r="E25" s="15" t="s">
        <v>117</v>
      </c>
      <c r="F25" s="15" t="s">
        <v>517</v>
      </c>
      <c r="G25" s="15"/>
    </row>
    <row r="26" spans="1:7" ht="24" customHeight="1" x14ac:dyDescent="0.25">
      <c r="A26" s="15" t="s">
        <v>296</v>
      </c>
      <c r="B26" s="15" t="s">
        <v>518</v>
      </c>
      <c r="C26" s="15" t="s">
        <v>519</v>
      </c>
      <c r="D26" s="15" t="s">
        <v>520</v>
      </c>
      <c r="E26" s="15" t="s">
        <v>117</v>
      </c>
      <c r="F26" s="15" t="s">
        <v>521</v>
      </c>
      <c r="G26" s="15"/>
    </row>
    <row r="27" spans="1:7" ht="24" customHeight="1" x14ac:dyDescent="0.25">
      <c r="A27" s="15" t="s">
        <v>522</v>
      </c>
      <c r="B27" s="15" t="s">
        <v>523</v>
      </c>
      <c r="C27" s="15" t="s">
        <v>524</v>
      </c>
      <c r="D27" s="15" t="s">
        <v>525</v>
      </c>
      <c r="E27" s="15" t="s">
        <v>117</v>
      </c>
      <c r="F27" s="15" t="s">
        <v>183</v>
      </c>
      <c r="G27" s="15"/>
    </row>
    <row r="28" spans="1:7" ht="24" customHeight="1" x14ac:dyDescent="0.25">
      <c r="A28" s="15" t="s">
        <v>526</v>
      </c>
      <c r="B28" s="15" t="s">
        <v>527</v>
      </c>
      <c r="C28" s="15" t="s">
        <v>528</v>
      </c>
      <c r="D28" s="15" t="s">
        <v>126</v>
      </c>
      <c r="E28" s="15" t="s">
        <v>117</v>
      </c>
      <c r="F28" s="15" t="s">
        <v>529</v>
      </c>
      <c r="G28" s="15"/>
    </row>
    <row r="29" spans="1:7" ht="24" customHeight="1" x14ac:dyDescent="0.25">
      <c r="A29" s="15" t="s">
        <v>530</v>
      </c>
      <c r="B29" s="15" t="s">
        <v>531</v>
      </c>
      <c r="C29" s="15" t="s">
        <v>532</v>
      </c>
      <c r="D29" s="15" t="s">
        <v>126</v>
      </c>
      <c r="E29" s="15" t="s">
        <v>80</v>
      </c>
      <c r="F29" s="15" t="s">
        <v>533</v>
      </c>
      <c r="G29" s="15"/>
    </row>
    <row r="30" spans="1:7" ht="24" customHeight="1" x14ac:dyDescent="0.25">
      <c r="A30" s="15" t="s">
        <v>534</v>
      </c>
      <c r="B30" s="15" t="s">
        <v>527</v>
      </c>
      <c r="C30" s="15" t="s">
        <v>535</v>
      </c>
      <c r="D30" s="15" t="s">
        <v>536</v>
      </c>
      <c r="E30" s="15" t="s">
        <v>117</v>
      </c>
      <c r="F30" s="15" t="s">
        <v>537</v>
      </c>
      <c r="G30" s="15"/>
    </row>
    <row r="31" spans="1:7" ht="24" customHeight="1" x14ac:dyDescent="0.25">
      <c r="A31" s="15" t="s">
        <v>538</v>
      </c>
      <c r="B31" s="15" t="s">
        <v>539</v>
      </c>
      <c r="C31" s="15" t="s">
        <v>540</v>
      </c>
      <c r="D31" s="15" t="s">
        <v>126</v>
      </c>
      <c r="E31" s="15" t="s">
        <v>117</v>
      </c>
      <c r="F31" s="15" t="s">
        <v>541</v>
      </c>
      <c r="G31" s="15"/>
    </row>
    <row r="32" spans="1:7" ht="24" customHeight="1" x14ac:dyDescent="0.25">
      <c r="A32" s="15" t="s">
        <v>542</v>
      </c>
      <c r="B32" s="15" t="s">
        <v>539</v>
      </c>
      <c r="C32" s="15" t="s">
        <v>543</v>
      </c>
      <c r="D32" s="15" t="s">
        <v>126</v>
      </c>
      <c r="E32" s="15" t="s">
        <v>117</v>
      </c>
      <c r="F32" s="15" t="s">
        <v>544</v>
      </c>
      <c r="G32" s="15"/>
    </row>
    <row r="33" spans="1:7" ht="24" customHeight="1" x14ac:dyDescent="0.25">
      <c r="A33" s="15" t="s">
        <v>545</v>
      </c>
      <c r="B33" s="15" t="s">
        <v>546</v>
      </c>
      <c r="C33" s="15" t="s">
        <v>547</v>
      </c>
      <c r="D33" s="15" t="s">
        <v>126</v>
      </c>
      <c r="E33" s="15" t="s">
        <v>117</v>
      </c>
      <c r="F33" s="15" t="s">
        <v>412</v>
      </c>
      <c r="G33" s="15"/>
    </row>
    <row r="34" spans="1:7" ht="24" customHeight="1" x14ac:dyDescent="0.25">
      <c r="A34" s="15" t="s">
        <v>548</v>
      </c>
      <c r="B34" s="15" t="s">
        <v>549</v>
      </c>
      <c r="C34" s="15" t="s">
        <v>550</v>
      </c>
      <c r="D34" s="15" t="s">
        <v>551</v>
      </c>
      <c r="E34" s="15" t="s">
        <v>158</v>
      </c>
      <c r="F34" s="15" t="s">
        <v>552</v>
      </c>
      <c r="G34" s="15"/>
    </row>
    <row r="35" spans="1:7" ht="30" customHeight="1" x14ac:dyDescent="0.25">
      <c r="A35" s="36" t="s">
        <v>553</v>
      </c>
      <c r="B35" s="36"/>
      <c r="C35" s="36"/>
      <c r="D35" s="36"/>
      <c r="E35" s="36"/>
      <c r="F35" s="36"/>
      <c r="G35" s="36"/>
    </row>
  </sheetData>
  <sheetProtection algorithmName="SHA-512" hashValue="n5UHywHJeF0Z3bTJs8Shnvjx1Ii9WbR4GeicE64I1M68THp9igdwY8mJT+/pFecUzKzWMQPB1ea/RFsANFHYFA==" saltValue="iB7b4lqPvYtHeZvkAp+ZuA==" spinCount="100000" sheet="1" objects="1" scenarios="1"/>
  <mergeCells count="7">
    <mergeCell ref="A4:G4"/>
    <mergeCell ref="A35:G35"/>
    <mergeCell ref="A1:G1"/>
    <mergeCell ref="A2:G2"/>
    <mergeCell ref="A3:B3"/>
    <mergeCell ref="C3:D3"/>
    <mergeCell ref="E3:F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A6B70"/>
  </sheetPr>
  <dimension ref="A1:J33"/>
  <sheetViews>
    <sheetView showGridLines="0" zoomScaleNormal="100" workbookViewId="0">
      <pane ySplit="5" topLeftCell="A6" activePane="bottomLeft" state="frozen"/>
      <selection pane="bottomLeft" sqref="A1:J1"/>
    </sheetView>
  </sheetViews>
  <sheetFormatPr baseColWidth="10" defaultColWidth="8.7109375" defaultRowHeight="15" x14ac:dyDescent="0.25"/>
  <cols>
    <col min="1" max="1" width="6" style="10" customWidth="1"/>
    <col min="2" max="2" width="13" style="10" customWidth="1"/>
    <col min="3" max="3" width="34" style="10" customWidth="1"/>
    <col min="4" max="7" width="9" style="10" customWidth="1"/>
    <col min="8" max="9" width="13" style="10" customWidth="1"/>
    <col min="10" max="10" width="10" style="10" customWidth="1"/>
  </cols>
  <sheetData>
    <row r="1" spans="1:10" ht="25.5" customHeight="1" x14ac:dyDescent="0.25">
      <c r="A1" s="31" t="s">
        <v>0</v>
      </c>
      <c r="B1" s="31"/>
      <c r="C1" s="31"/>
      <c r="D1" s="31"/>
      <c r="E1" s="31"/>
      <c r="F1" s="31"/>
      <c r="G1" s="31"/>
      <c r="H1" s="31"/>
      <c r="I1" s="31"/>
      <c r="J1" s="31"/>
    </row>
    <row r="2" spans="1:10" ht="19.5" customHeight="1" x14ac:dyDescent="0.25">
      <c r="A2" s="32" t="s">
        <v>554</v>
      </c>
      <c r="B2" s="32"/>
      <c r="C2" s="32"/>
      <c r="D2" s="32"/>
      <c r="E2" s="32"/>
      <c r="F2" s="32"/>
      <c r="G2" s="32"/>
      <c r="H2" s="32"/>
      <c r="I2" s="32"/>
      <c r="J2" s="32"/>
    </row>
    <row r="3" spans="1:10" ht="18" customHeight="1" x14ac:dyDescent="0.25">
      <c r="A3" s="33" t="str">
        <f>HYPERLINK("#INICIO!A1","◀ INICIO")</f>
        <v>◀ INICIO</v>
      </c>
      <c r="B3" s="33"/>
      <c r="C3" s="33" t="str">
        <f>HYPERLINK("#INDICE!A1","◀ ÍNDICE")</f>
        <v>◀ ÍNDICE</v>
      </c>
      <c r="D3" s="33"/>
      <c r="E3" s="33" t="str">
        <f>HYPERLINK("#CONFIG!A1","▶ CONFIG")</f>
        <v>▶ CONFIG</v>
      </c>
      <c r="F3" s="33"/>
      <c r="G3" s="11"/>
      <c r="H3" s="11"/>
      <c r="I3" s="11"/>
      <c r="J3" s="11"/>
    </row>
    <row r="4" spans="1:10" ht="31.5" customHeight="1" x14ac:dyDescent="0.25">
      <c r="A4" s="34" t="s">
        <v>555</v>
      </c>
      <c r="B4" s="34"/>
      <c r="C4" s="34"/>
      <c r="D4" s="34"/>
      <c r="E4" s="34"/>
      <c r="F4" s="34"/>
      <c r="G4" s="34"/>
      <c r="H4" s="34"/>
      <c r="I4" s="34"/>
      <c r="J4" s="34"/>
    </row>
    <row r="5" spans="1:10" x14ac:dyDescent="0.25">
      <c r="A5" s="12" t="s">
        <v>556</v>
      </c>
      <c r="B5" s="12" t="s">
        <v>42</v>
      </c>
      <c r="C5" s="12" t="s">
        <v>557</v>
      </c>
      <c r="D5" s="12" t="s">
        <v>558</v>
      </c>
      <c r="E5" s="12" t="s">
        <v>559</v>
      </c>
      <c r="F5" s="12" t="s">
        <v>560</v>
      </c>
      <c r="G5" s="12" t="s">
        <v>561</v>
      </c>
      <c r="H5" s="12" t="s">
        <v>562</v>
      </c>
      <c r="I5" s="12" t="s">
        <v>563</v>
      </c>
      <c r="J5" s="12" t="s">
        <v>564</v>
      </c>
    </row>
    <row r="6" spans="1:10" ht="25.5" customHeight="1" x14ac:dyDescent="0.25">
      <c r="A6" s="16" t="s">
        <v>565</v>
      </c>
      <c r="B6" s="15" t="s">
        <v>566</v>
      </c>
      <c r="C6" s="15" t="s">
        <v>567</v>
      </c>
      <c r="D6" s="19">
        <v>70</v>
      </c>
      <c r="E6" s="19">
        <v>175</v>
      </c>
      <c r="F6" s="19">
        <v>30</v>
      </c>
      <c r="G6" s="20"/>
      <c r="H6" s="21">
        <f>10*D6+6.25*E6-5*F6+5</f>
        <v>1648.75</v>
      </c>
      <c r="I6" s="21">
        <v>1648.75</v>
      </c>
      <c r="J6" s="22" t="str">
        <f>IF(ABS(H6-I6)&lt;=CONFIG!$B$8,"OK","REVISAR")</f>
        <v>OK</v>
      </c>
    </row>
    <row r="7" spans="1:10" ht="25.5" customHeight="1" x14ac:dyDescent="0.25">
      <c r="A7" s="16" t="s">
        <v>568</v>
      </c>
      <c r="B7" s="15" t="s">
        <v>566</v>
      </c>
      <c r="C7" s="15" t="s">
        <v>569</v>
      </c>
      <c r="D7" s="19">
        <v>62</v>
      </c>
      <c r="E7" s="19">
        <v>162</v>
      </c>
      <c r="F7" s="19">
        <v>45</v>
      </c>
      <c r="G7" s="20"/>
      <c r="H7" s="21">
        <f>10*D7+6.25*E7-5*F7-161</f>
        <v>1246.5</v>
      </c>
      <c r="I7" s="21">
        <v>1246.5</v>
      </c>
      <c r="J7" s="22" t="str">
        <f>IF(ABS(H7-I7)&lt;=CONFIG!$B$8,"OK","REVISAR")</f>
        <v>OK</v>
      </c>
    </row>
    <row r="8" spans="1:10" ht="25.5" customHeight="1" x14ac:dyDescent="0.25">
      <c r="A8" s="16" t="s">
        <v>570</v>
      </c>
      <c r="B8" s="15" t="s">
        <v>566</v>
      </c>
      <c r="C8" s="15" t="s">
        <v>571</v>
      </c>
      <c r="D8" s="19">
        <v>70</v>
      </c>
      <c r="E8" s="19">
        <v>175</v>
      </c>
      <c r="F8" s="19">
        <v>30</v>
      </c>
      <c r="G8" s="20"/>
      <c r="H8" s="21">
        <f>88.362+13.397*D8+4.799*E8-5.677*F8</f>
        <v>1695.6670000000001</v>
      </c>
      <c r="I8" s="21">
        <v>1695.6669999999999</v>
      </c>
      <c r="J8" s="22" t="str">
        <f>IF(ABS(H8-I8)&lt;=CONFIG!$B$8,"OK","REVISAR")</f>
        <v>OK</v>
      </c>
    </row>
    <row r="9" spans="1:10" ht="25.5" customHeight="1" x14ac:dyDescent="0.25">
      <c r="A9" s="16" t="s">
        <v>572</v>
      </c>
      <c r="B9" s="15" t="s">
        <v>566</v>
      </c>
      <c r="C9" s="15" t="s">
        <v>573</v>
      </c>
      <c r="D9" s="19">
        <v>60</v>
      </c>
      <c r="E9" s="20"/>
      <c r="F9" s="20"/>
      <c r="G9" s="20"/>
      <c r="H9" s="21">
        <f>370+21.6*D9</f>
        <v>1666</v>
      </c>
      <c r="I9" s="21">
        <v>1666</v>
      </c>
      <c r="J9" s="22" t="str">
        <f>IF(ABS(H9-I9)&lt;=CONFIG!$B$8,"OK","REVISAR")</f>
        <v>OK</v>
      </c>
    </row>
    <row r="10" spans="1:10" ht="25.5" customHeight="1" x14ac:dyDescent="0.25">
      <c r="A10" s="16" t="s">
        <v>574</v>
      </c>
      <c r="B10" s="15" t="s">
        <v>566</v>
      </c>
      <c r="C10" s="15" t="s">
        <v>575</v>
      </c>
      <c r="D10" s="19">
        <v>60</v>
      </c>
      <c r="E10" s="20"/>
      <c r="F10" s="20"/>
      <c r="G10" s="20"/>
      <c r="H10" s="21">
        <f>500+22*D10</f>
        <v>1820</v>
      </c>
      <c r="I10" s="21">
        <v>1820</v>
      </c>
      <c r="J10" s="22" t="str">
        <f>IF(ABS(H10-I10)&lt;=CONFIG!$B$8,"OK","REVISAR")</f>
        <v>OK</v>
      </c>
    </row>
    <row r="11" spans="1:10" ht="25.5" customHeight="1" x14ac:dyDescent="0.25">
      <c r="A11" s="16" t="s">
        <v>576</v>
      </c>
      <c r="B11" s="15" t="s">
        <v>566</v>
      </c>
      <c r="C11" s="15" t="s">
        <v>577</v>
      </c>
      <c r="D11" s="19">
        <v>1648.75</v>
      </c>
      <c r="E11" s="19">
        <v>1.6</v>
      </c>
      <c r="F11" s="20"/>
      <c r="G11" s="20"/>
      <c r="H11" s="21">
        <f>D11*E11</f>
        <v>2638</v>
      </c>
      <c r="I11" s="21">
        <v>2638</v>
      </c>
      <c r="J11" s="22" t="str">
        <f>IF(ABS(H11-I11)&lt;=CONFIG!$B$8,"OK","REVISAR")</f>
        <v>OK</v>
      </c>
    </row>
    <row r="12" spans="1:10" ht="25.5" customHeight="1" x14ac:dyDescent="0.25">
      <c r="A12" s="16" t="s">
        <v>578</v>
      </c>
      <c r="B12" s="15" t="s">
        <v>566</v>
      </c>
      <c r="C12" s="15" t="s">
        <v>579</v>
      </c>
      <c r="D12" s="19">
        <v>1650</v>
      </c>
      <c r="E12" s="19">
        <v>1.6</v>
      </c>
      <c r="F12" s="20"/>
      <c r="G12" s="20"/>
      <c r="H12" s="21">
        <f>D12*(E12-1)</f>
        <v>990.00000000000011</v>
      </c>
      <c r="I12" s="21">
        <v>990</v>
      </c>
      <c r="J12" s="22" t="str">
        <f>IF(ABS(H12-I12)&lt;=CONFIG!$B$8,"OK","REVISAR")</f>
        <v>OK</v>
      </c>
    </row>
    <row r="13" spans="1:10" ht="25.5" customHeight="1" x14ac:dyDescent="0.25">
      <c r="A13" s="16" t="s">
        <v>580</v>
      </c>
      <c r="B13" s="15" t="s">
        <v>566</v>
      </c>
      <c r="C13" s="15" t="s">
        <v>581</v>
      </c>
      <c r="D13" s="19">
        <v>50</v>
      </c>
      <c r="E13" s="19">
        <v>200</v>
      </c>
      <c r="F13" s="19">
        <v>70</v>
      </c>
      <c r="G13" s="20"/>
      <c r="H13" s="21">
        <f>4*D13+4*E13+9*F13</f>
        <v>1630</v>
      </c>
      <c r="I13" s="21">
        <v>1630</v>
      </c>
      <c r="J13" s="22" t="str">
        <f>IF(ABS(H13-I13)&lt;=CONFIG!$B$8,"OK","REVISAR")</f>
        <v>OK</v>
      </c>
    </row>
    <row r="14" spans="1:10" ht="25.5" customHeight="1" x14ac:dyDescent="0.25">
      <c r="A14" s="16" t="s">
        <v>582</v>
      </c>
      <c r="B14" s="15" t="s">
        <v>583</v>
      </c>
      <c r="C14" s="15" t="s">
        <v>584</v>
      </c>
      <c r="D14" s="19">
        <v>1.05</v>
      </c>
      <c r="E14" s="20"/>
      <c r="F14" s="20"/>
      <c r="G14" s="20"/>
      <c r="H14" s="21">
        <f>495/D14-450</f>
        <v>21.428571428571388</v>
      </c>
      <c r="I14" s="21">
        <v>21.428571000000002</v>
      </c>
      <c r="J14" s="22" t="str">
        <f>IF(ABS(H14-I14)&lt;=CONFIG!$B$8,"OK","REVISAR")</f>
        <v>OK</v>
      </c>
    </row>
    <row r="15" spans="1:10" ht="25.5" customHeight="1" x14ac:dyDescent="0.25">
      <c r="A15" s="16" t="s">
        <v>585</v>
      </c>
      <c r="B15" s="15" t="s">
        <v>583</v>
      </c>
      <c r="C15" s="15" t="s">
        <v>586</v>
      </c>
      <c r="D15" s="19">
        <v>1.05</v>
      </c>
      <c r="E15" s="20"/>
      <c r="F15" s="20"/>
      <c r="G15" s="20"/>
      <c r="H15" s="21">
        <f>457/D15-414</f>
        <v>21.238095238095241</v>
      </c>
      <c r="I15" s="21">
        <v>21.238095000000001</v>
      </c>
      <c r="J15" s="22" t="str">
        <f>IF(ABS(H15-I15)&lt;=CONFIG!$B$8,"OK","REVISAR")</f>
        <v>OK</v>
      </c>
    </row>
    <row r="16" spans="1:10" ht="25.5" customHeight="1" x14ac:dyDescent="0.25">
      <c r="A16" s="16" t="s">
        <v>587</v>
      </c>
      <c r="B16" s="15" t="s">
        <v>583</v>
      </c>
      <c r="C16" s="15" t="s">
        <v>588</v>
      </c>
      <c r="D16" s="19">
        <v>25</v>
      </c>
      <c r="E16" s="19">
        <v>40</v>
      </c>
      <c r="F16" s="19">
        <v>1</v>
      </c>
      <c r="G16" s="20"/>
      <c r="H16" s="21">
        <f>1.2*D16+0.23*E16-10.8*F16-5.4</f>
        <v>23</v>
      </c>
      <c r="I16" s="21">
        <v>23</v>
      </c>
      <c r="J16" s="22" t="str">
        <f>IF(ABS(H16-I16)&lt;=CONFIG!$B$8,"OK","REVISAR")</f>
        <v>OK</v>
      </c>
    </row>
    <row r="17" spans="1:10" ht="25.5" customHeight="1" x14ac:dyDescent="0.25">
      <c r="A17" s="16" t="s">
        <v>589</v>
      </c>
      <c r="B17" s="15" t="s">
        <v>583</v>
      </c>
      <c r="C17" s="15" t="s">
        <v>590</v>
      </c>
      <c r="D17" s="19">
        <v>100</v>
      </c>
      <c r="E17" s="19">
        <v>30</v>
      </c>
      <c r="F17" s="20"/>
      <c r="G17" s="20"/>
      <c r="H17" s="21">
        <f>1.112-0.00043499*D17+0.00000055*D17^2-0.00028826*E17</f>
        <v>1.0653532000000001</v>
      </c>
      <c r="I17" s="21">
        <v>1.065353</v>
      </c>
      <c r="J17" s="22" t="str">
        <f>IF(ABS(H17-I17)&lt;=CONFIG!$B$8,"OK","REVISAR")</f>
        <v>OK</v>
      </c>
    </row>
    <row r="18" spans="1:10" ht="25.5" customHeight="1" x14ac:dyDescent="0.25">
      <c r="A18" s="16" t="s">
        <v>591</v>
      </c>
      <c r="B18" s="15" t="s">
        <v>583</v>
      </c>
      <c r="C18" s="15" t="s">
        <v>592</v>
      </c>
      <c r="D18" s="19">
        <v>90</v>
      </c>
      <c r="E18" s="19">
        <v>30</v>
      </c>
      <c r="F18" s="20"/>
      <c r="G18" s="20"/>
      <c r="H18" s="21">
        <f>1.10938-0.0008267*D18+0.0000016*D18^2-0.0002574*E18</f>
        <v>1.0402150000000001</v>
      </c>
      <c r="I18" s="21">
        <v>1.0402149999999999</v>
      </c>
      <c r="J18" s="22" t="str">
        <f>IF(ABS(H18-I18)&lt;=CONFIG!$B$8,"OK","REVISAR")</f>
        <v>OK</v>
      </c>
    </row>
    <row r="19" spans="1:10" ht="25.5" customHeight="1" x14ac:dyDescent="0.25">
      <c r="A19" s="16" t="s">
        <v>593</v>
      </c>
      <c r="B19" s="15" t="s">
        <v>583</v>
      </c>
      <c r="C19" s="15" t="s">
        <v>594</v>
      </c>
      <c r="D19" s="19">
        <v>40</v>
      </c>
      <c r="E19" s="20"/>
      <c r="F19" s="20"/>
      <c r="G19" s="20"/>
      <c r="H19" s="21">
        <f>0.153*D19+5.783</f>
        <v>11.903</v>
      </c>
      <c r="I19" s="21">
        <v>11.903</v>
      </c>
      <c r="J19" s="22" t="str">
        <f>IF(ABS(H19-I19)&lt;=CONFIG!$B$8,"OK","REVISAR")</f>
        <v>OK</v>
      </c>
    </row>
    <row r="20" spans="1:10" ht="25.5" customHeight="1" x14ac:dyDescent="0.25">
      <c r="A20" s="16" t="s">
        <v>595</v>
      </c>
      <c r="B20" s="15" t="s">
        <v>596</v>
      </c>
      <c r="C20" s="15" t="s">
        <v>597</v>
      </c>
      <c r="D20" s="19">
        <v>30</v>
      </c>
      <c r="E20" s="19">
        <v>170.18</v>
      </c>
      <c r="F20" s="20"/>
      <c r="G20" s="20"/>
      <c r="H20" s="21">
        <f>-0.7182+0.1451*(D20*(170.18/E20))-0.00068*(D20*(170.18/E20))^2+0.0000014*(D20*(170.18/E20))^3</f>
        <v>3.0605999999999995</v>
      </c>
      <c r="I20" s="21">
        <v>3.0606</v>
      </c>
      <c r="J20" s="22" t="str">
        <f>IF(ABS(H20-I20)&lt;=CONFIG!$B$8,"OK","REVISAR")</f>
        <v>OK</v>
      </c>
    </row>
    <row r="21" spans="1:10" ht="25.5" customHeight="1" x14ac:dyDescent="0.25">
      <c r="A21" s="16" t="s">
        <v>598</v>
      </c>
      <c r="B21" s="15" t="s">
        <v>596</v>
      </c>
      <c r="C21" s="15" t="s">
        <v>599</v>
      </c>
      <c r="D21" s="19">
        <v>176</v>
      </c>
      <c r="E21" s="19">
        <v>70</v>
      </c>
      <c r="F21" s="20"/>
      <c r="G21" s="20"/>
      <c r="H21" s="21">
        <f>0.732*(D21/E21^(1/3))-28.58</f>
        <v>2.6801508092595618</v>
      </c>
      <c r="I21" s="21">
        <v>2.680151</v>
      </c>
      <c r="J21" s="22" t="str">
        <f>IF(ABS(H21-I21)&lt;=CONFIG!$B$8,"OK","REVISAR")</f>
        <v>OK</v>
      </c>
    </row>
    <row r="22" spans="1:10" ht="25.5" customHeight="1" x14ac:dyDescent="0.25">
      <c r="A22" s="16" t="s">
        <v>600</v>
      </c>
      <c r="B22" s="15" t="s">
        <v>596</v>
      </c>
      <c r="C22" s="15" t="s">
        <v>601</v>
      </c>
      <c r="D22" s="19">
        <v>4.5</v>
      </c>
      <c r="E22" s="19">
        <v>3.06</v>
      </c>
      <c r="F22" s="19">
        <v>2.68</v>
      </c>
      <c r="G22" s="20"/>
      <c r="H22" s="21">
        <f>2*D22-(E22+F22)</f>
        <v>3.26</v>
      </c>
      <c r="I22" s="21">
        <v>3.26</v>
      </c>
      <c r="J22" s="22" t="str">
        <f>IF(ABS(H22-I22)&lt;=CONFIG!$B$8,"OK","REVISAR")</f>
        <v>OK</v>
      </c>
    </row>
    <row r="23" spans="1:10" ht="25.5" customHeight="1" x14ac:dyDescent="0.25">
      <c r="A23" s="16" t="s">
        <v>602</v>
      </c>
      <c r="B23" s="15" t="s">
        <v>603</v>
      </c>
      <c r="C23" s="15" t="s">
        <v>604</v>
      </c>
      <c r="D23" s="19">
        <v>7</v>
      </c>
      <c r="E23" s="19">
        <v>7</v>
      </c>
      <c r="F23" s="19">
        <v>0.12</v>
      </c>
      <c r="G23" s="19">
        <v>1</v>
      </c>
      <c r="H23" s="21">
        <f>((D23/E23)^G23-1)/(G23*F23)</f>
        <v>0</v>
      </c>
      <c r="I23" s="21">
        <v>0</v>
      </c>
      <c r="J23" s="22" t="str">
        <f>IF(ABS(H23-I23)&lt;=CONFIG!$B$8,"OK","REVISAR")</f>
        <v>OK</v>
      </c>
    </row>
    <row r="24" spans="1:10" ht="25.5" customHeight="1" x14ac:dyDescent="0.25">
      <c r="A24" s="16" t="s">
        <v>605</v>
      </c>
      <c r="B24" s="15" t="s">
        <v>603</v>
      </c>
      <c r="C24" s="15" t="s">
        <v>606</v>
      </c>
      <c r="D24" s="19">
        <v>7.84</v>
      </c>
      <c r="E24" s="19">
        <v>7</v>
      </c>
      <c r="F24" s="19">
        <v>0.12</v>
      </c>
      <c r="G24" s="19">
        <v>1</v>
      </c>
      <c r="H24" s="21">
        <f>((D24/E24)^G24-1)/(G24*F24)</f>
        <v>0.99999999999999911</v>
      </c>
      <c r="I24" s="21">
        <v>1</v>
      </c>
      <c r="J24" s="22" t="str">
        <f>IF(ABS(H24-I24)&lt;=CONFIG!$B$8,"OK","REVISAR")</f>
        <v>OK</v>
      </c>
    </row>
    <row r="25" spans="1:10" ht="25.5" customHeight="1" x14ac:dyDescent="0.25">
      <c r="A25" s="16" t="s">
        <v>607</v>
      </c>
      <c r="B25" s="15" t="s">
        <v>603</v>
      </c>
      <c r="C25" s="15" t="s">
        <v>608</v>
      </c>
      <c r="D25" s="19">
        <v>7.7</v>
      </c>
      <c r="E25" s="19">
        <v>7</v>
      </c>
      <c r="F25" s="19">
        <v>0.1</v>
      </c>
      <c r="G25" s="20"/>
      <c r="H25" s="21">
        <f>LN(D25/E25)/F25</f>
        <v>0.95310179804324935</v>
      </c>
      <c r="I25" s="21">
        <v>0.953102</v>
      </c>
      <c r="J25" s="22" t="str">
        <f>IF(ABS(H25-I25)&lt;=CONFIG!$B$8,"OK","REVISAR")</f>
        <v>OK</v>
      </c>
    </row>
    <row r="26" spans="1:10" ht="25.5" customHeight="1" x14ac:dyDescent="0.25">
      <c r="A26" s="16" t="s">
        <v>609</v>
      </c>
      <c r="B26" s="15" t="s">
        <v>610</v>
      </c>
      <c r="C26" s="15" t="s">
        <v>611</v>
      </c>
      <c r="D26" s="19">
        <v>1</v>
      </c>
      <c r="E26" s="19">
        <v>0</v>
      </c>
      <c r="F26" s="19">
        <v>1</v>
      </c>
      <c r="G26" s="20"/>
      <c r="H26" s="21">
        <f>SQRT((D26^2+E26^2+F26^2)/(2*3))</f>
        <v>0.57735026918962573</v>
      </c>
      <c r="I26" s="21">
        <v>0.57735000000000003</v>
      </c>
      <c r="J26" s="22" t="str">
        <f>IF(ABS(H26-I26)&lt;=CONFIG!$B$8,"OK","REVISAR")</f>
        <v>OK</v>
      </c>
    </row>
    <row r="27" spans="1:10" ht="25.5" customHeight="1" x14ac:dyDescent="0.25">
      <c r="A27" s="16" t="s">
        <v>612</v>
      </c>
      <c r="B27" s="15" t="s">
        <v>610</v>
      </c>
      <c r="C27" s="15" t="s">
        <v>613</v>
      </c>
      <c r="D27" s="19">
        <v>0.57735026918962595</v>
      </c>
      <c r="E27" s="20"/>
      <c r="F27" s="20"/>
      <c r="G27" s="20"/>
      <c r="H27" s="21">
        <f>D27*SQRT(2)*1.96</f>
        <v>1.6003332986183436</v>
      </c>
      <c r="I27" s="21">
        <v>1.600333</v>
      </c>
      <c r="J27" s="22" t="str">
        <f>IF(ABS(H27-I27)&lt;=CONFIG!$B$8,"OK","REVISAR")</f>
        <v>OK</v>
      </c>
    </row>
    <row r="28" spans="1:10" ht="25.5" customHeight="1" x14ac:dyDescent="0.25">
      <c r="A28" s="16" t="s">
        <v>614</v>
      </c>
      <c r="B28" s="15" t="s">
        <v>615</v>
      </c>
      <c r="C28" s="15" t="s">
        <v>616</v>
      </c>
      <c r="D28" s="19">
        <v>2500</v>
      </c>
      <c r="E28" s="19">
        <v>600</v>
      </c>
      <c r="F28" s="19">
        <v>50</v>
      </c>
      <c r="G28" s="20"/>
      <c r="H28" s="21">
        <f>(D28-E28)/F28</f>
        <v>38</v>
      </c>
      <c r="I28" s="21">
        <v>38</v>
      </c>
      <c r="J28" s="22" t="str">
        <f>IF(ABS(H28-I28)&lt;=CONFIG!$B$8,"OK","REVISAR")</f>
        <v>OK</v>
      </c>
    </row>
    <row r="29" spans="1:10" ht="25.5" customHeight="1" x14ac:dyDescent="0.25">
      <c r="A29" s="16" t="s">
        <v>617</v>
      </c>
      <c r="B29" s="15" t="s">
        <v>615</v>
      </c>
      <c r="C29" s="15" t="s">
        <v>618</v>
      </c>
      <c r="D29" s="19">
        <v>1</v>
      </c>
      <c r="E29" s="19">
        <v>500</v>
      </c>
      <c r="F29" s="19">
        <v>100</v>
      </c>
      <c r="G29" s="19">
        <v>1.5</v>
      </c>
      <c r="H29" s="21">
        <f>(D29*1000+E29-F29)/G29</f>
        <v>933.33333333333337</v>
      </c>
      <c r="I29" s="21">
        <v>933.33333300000004</v>
      </c>
      <c r="J29" s="22" t="str">
        <f>IF(ABS(H29-I29)&lt;=CONFIG!$B$8,"OK","REVISAR")</f>
        <v>OK</v>
      </c>
    </row>
    <row r="30" spans="1:10" ht="25.5" customHeight="1" x14ac:dyDescent="0.25">
      <c r="A30" s="16" t="s">
        <v>619</v>
      </c>
      <c r="B30" s="15" t="s">
        <v>615</v>
      </c>
      <c r="C30" s="15" t="s">
        <v>620</v>
      </c>
      <c r="D30" s="19">
        <v>60</v>
      </c>
      <c r="E30" s="19">
        <v>7</v>
      </c>
      <c r="F30" s="20"/>
      <c r="G30" s="20"/>
      <c r="H30" s="21">
        <f>D30*E30</f>
        <v>420</v>
      </c>
      <c r="I30" s="21">
        <v>420</v>
      </c>
      <c r="J30" s="22" t="str">
        <f>IF(ABS(H30-I30)&lt;=CONFIG!$B$8,"OK","REVISAR")</f>
        <v>OK</v>
      </c>
    </row>
    <row r="31" spans="1:10" ht="25.5" customHeight="1" x14ac:dyDescent="0.25">
      <c r="A31" s="16" t="s">
        <v>621</v>
      </c>
      <c r="B31" s="15" t="s">
        <v>622</v>
      </c>
      <c r="C31" s="15" t="s">
        <v>623</v>
      </c>
      <c r="D31" s="19">
        <v>200</v>
      </c>
      <c r="E31" s="19">
        <v>20</v>
      </c>
      <c r="F31" s="20"/>
      <c r="G31" s="20"/>
      <c r="H31" s="21">
        <f>D31/E31</f>
        <v>10</v>
      </c>
      <c r="I31" s="21">
        <v>10</v>
      </c>
      <c r="J31" s="22" t="str">
        <f>IF(ABS(H31-I31)&lt;=CONFIG!$B$8,"OK","REVISAR")</f>
        <v>OK</v>
      </c>
    </row>
    <row r="32" spans="1:10" ht="18" customHeight="1" x14ac:dyDescent="0.25">
      <c r="A32" s="7" t="s">
        <v>624</v>
      </c>
      <c r="B32" s="7"/>
      <c r="C32" s="7"/>
      <c r="D32" s="7"/>
      <c r="E32" s="7"/>
      <c r="F32" s="7"/>
      <c r="G32" s="7"/>
      <c r="H32" s="7"/>
      <c r="I32" s="7"/>
      <c r="J32" s="7"/>
    </row>
    <row r="33" spans="1:10" x14ac:dyDescent="0.25">
      <c r="A33" s="23" t="s">
        <v>625</v>
      </c>
      <c r="B33" s="37"/>
      <c r="C33" s="37"/>
      <c r="H33" s="24">
        <f>COUNTIF(J6:J31,"OK")</f>
        <v>26</v>
      </c>
      <c r="I33" s="24">
        <v>26</v>
      </c>
      <c r="J33" s="23" t="str">
        <f>IF(H33=I33,"TODO OK","REVISAR")</f>
        <v>TODO OK</v>
      </c>
    </row>
  </sheetData>
  <mergeCells count="8">
    <mergeCell ref="A4:J4"/>
    <mergeCell ref="A32:J32"/>
    <mergeCell ref="B33:C33"/>
    <mergeCell ref="A1:J1"/>
    <mergeCell ref="A2:J2"/>
    <mergeCell ref="A3:B3"/>
    <mergeCell ref="C3:D3"/>
    <mergeCell ref="E3:F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A6B70"/>
  </sheetPr>
  <dimension ref="A1:E29"/>
  <sheetViews>
    <sheetView showGridLines="0" zoomScaleNormal="100" workbookViewId="0">
      <pane ySplit="6" topLeftCell="A7" activePane="bottomLeft" state="frozen"/>
      <selection pane="bottomLeft" sqref="A1:E1"/>
    </sheetView>
  </sheetViews>
  <sheetFormatPr baseColWidth="10" defaultColWidth="8.7109375" defaultRowHeight="15" x14ac:dyDescent="0.25"/>
  <cols>
    <col min="1" max="1" width="30" style="10" customWidth="1"/>
    <col min="2" max="2" width="16" style="10" customWidth="1"/>
    <col min="3" max="3" width="15" style="10" customWidth="1"/>
    <col min="4" max="4" width="12" style="10" customWidth="1"/>
    <col min="5" max="5" width="34" style="10" customWidth="1"/>
  </cols>
  <sheetData>
    <row r="1" spans="1:5" ht="25.5" customHeight="1" x14ac:dyDescent="0.25">
      <c r="A1" s="31" t="s">
        <v>0</v>
      </c>
      <c r="B1" s="31"/>
      <c r="C1" s="31"/>
      <c r="D1" s="31"/>
      <c r="E1" s="31"/>
    </row>
    <row r="2" spans="1:5" ht="19.5" customHeight="1" x14ac:dyDescent="0.25">
      <c r="A2" s="32" t="s">
        <v>626</v>
      </c>
      <c r="B2" s="32"/>
      <c r="C2" s="32"/>
      <c r="D2" s="32"/>
      <c r="E2" s="32"/>
    </row>
    <row r="3" spans="1:5" ht="18" customHeight="1" x14ac:dyDescent="0.25">
      <c r="A3" s="33" t="str">
        <f>HYPERLINK("#INICIO!A1","◀ INICIO")</f>
        <v>◀ INICIO</v>
      </c>
      <c r="B3" s="33"/>
      <c r="C3" s="33" t="str">
        <f>HYPERLINK("#INDICE!A1","◀ ÍNDICE")</f>
        <v>◀ ÍNDICE</v>
      </c>
      <c r="D3" s="33"/>
      <c r="E3" s="25" t="str">
        <f>HYPERLINK("#PRUEBAS!A1","▶ PRUEBAS")</f>
        <v>▶ PRUEBAS</v>
      </c>
    </row>
    <row r="4" spans="1:5" ht="21.75" customHeight="1" x14ac:dyDescent="0.25">
      <c r="A4" s="34" t="s">
        <v>627</v>
      </c>
      <c r="B4" s="34"/>
      <c r="C4" s="34"/>
      <c r="D4" s="34"/>
      <c r="E4" s="34"/>
    </row>
    <row r="5" spans="1:5" ht="18" customHeight="1" x14ac:dyDescent="0.25">
      <c r="A5" s="7" t="s">
        <v>628</v>
      </c>
      <c r="B5" s="7"/>
      <c r="C5" s="7"/>
      <c r="D5" s="7"/>
      <c r="E5" s="7"/>
    </row>
    <row r="6" spans="1:5" x14ac:dyDescent="0.25">
      <c r="A6" s="12" t="s">
        <v>629</v>
      </c>
      <c r="B6" s="12" t="s">
        <v>630</v>
      </c>
      <c r="C6" s="12" t="s">
        <v>631</v>
      </c>
      <c r="D6" s="12" t="s">
        <v>632</v>
      </c>
      <c r="E6" s="12" t="s">
        <v>633</v>
      </c>
    </row>
    <row r="7" spans="1:5" ht="21.75" customHeight="1" x14ac:dyDescent="0.25">
      <c r="A7" s="26" t="s">
        <v>634</v>
      </c>
      <c r="B7" s="27" t="s">
        <v>635</v>
      </c>
      <c r="C7" s="20" t="s">
        <v>126</v>
      </c>
      <c r="D7" s="28" t="s">
        <v>126</v>
      </c>
      <c r="E7" s="15" t="s">
        <v>636</v>
      </c>
    </row>
    <row r="8" spans="1:5" ht="21.75" customHeight="1" x14ac:dyDescent="0.25">
      <c r="A8" s="26" t="s">
        <v>637</v>
      </c>
      <c r="B8" s="27">
        <v>1E-3</v>
      </c>
      <c r="C8" s="20" t="s">
        <v>638</v>
      </c>
      <c r="D8" s="28" t="s">
        <v>639</v>
      </c>
      <c r="E8" s="15" t="s">
        <v>640</v>
      </c>
    </row>
    <row r="9" spans="1:5" ht="21.75" customHeight="1" x14ac:dyDescent="0.25">
      <c r="A9" s="26" t="s">
        <v>641</v>
      </c>
      <c r="B9" s="27">
        <v>1</v>
      </c>
      <c r="C9" s="20" t="s">
        <v>642</v>
      </c>
      <c r="D9" s="28" t="s">
        <v>639</v>
      </c>
      <c r="E9" s="15" t="s">
        <v>643</v>
      </c>
    </row>
    <row r="10" spans="1:5" ht="21.75" customHeight="1" x14ac:dyDescent="0.25">
      <c r="A10" s="26" t="s">
        <v>644</v>
      </c>
      <c r="B10" s="27">
        <v>24</v>
      </c>
      <c r="C10" s="20" t="s">
        <v>645</v>
      </c>
      <c r="D10" s="28" t="s">
        <v>639</v>
      </c>
      <c r="E10" s="15" t="s">
        <v>646</v>
      </c>
    </row>
    <row r="11" spans="1:5" ht="21.75" customHeight="1" x14ac:dyDescent="0.25">
      <c r="A11" s="26" t="s">
        <v>647</v>
      </c>
      <c r="B11" s="27">
        <v>4</v>
      </c>
      <c r="C11" s="20" t="s">
        <v>148</v>
      </c>
      <c r="D11" s="28" t="s">
        <v>639</v>
      </c>
      <c r="E11" s="15" t="s">
        <v>648</v>
      </c>
    </row>
    <row r="12" spans="1:5" ht="21.75" customHeight="1" x14ac:dyDescent="0.25">
      <c r="A12" s="26" t="s">
        <v>649</v>
      </c>
      <c r="B12" s="27">
        <v>4</v>
      </c>
      <c r="C12" s="20" t="s">
        <v>148</v>
      </c>
      <c r="D12" s="28" t="s">
        <v>639</v>
      </c>
      <c r="E12" s="15" t="s">
        <v>648</v>
      </c>
    </row>
    <row r="13" spans="1:5" ht="21.75" customHeight="1" x14ac:dyDescent="0.25">
      <c r="A13" s="26" t="s">
        <v>650</v>
      </c>
      <c r="B13" s="27">
        <v>9</v>
      </c>
      <c r="C13" s="20" t="s">
        <v>148</v>
      </c>
      <c r="D13" s="28" t="s">
        <v>639</v>
      </c>
      <c r="E13" s="15" t="s">
        <v>648</v>
      </c>
    </row>
    <row r="14" spans="1:5" ht="21.75" customHeight="1" x14ac:dyDescent="0.25">
      <c r="A14" s="26" t="s">
        <v>651</v>
      </c>
      <c r="B14" s="27">
        <v>7</v>
      </c>
      <c r="C14" s="20" t="s">
        <v>148</v>
      </c>
      <c r="D14" s="28" t="s">
        <v>639</v>
      </c>
      <c r="E14" s="15" t="s">
        <v>652</v>
      </c>
    </row>
    <row r="15" spans="1:5" ht="21.75" customHeight="1" x14ac:dyDescent="0.25">
      <c r="A15" s="26" t="s">
        <v>653</v>
      </c>
      <c r="B15" s="27">
        <v>495</v>
      </c>
      <c r="C15" s="20" t="s">
        <v>126</v>
      </c>
      <c r="D15" s="28" t="s">
        <v>639</v>
      </c>
      <c r="E15" s="15" t="s">
        <v>222</v>
      </c>
    </row>
    <row r="16" spans="1:5" ht="21.75" customHeight="1" x14ac:dyDescent="0.25">
      <c r="A16" s="26" t="s">
        <v>654</v>
      </c>
      <c r="B16" s="27">
        <v>450</v>
      </c>
      <c r="C16" s="20" t="s">
        <v>126</v>
      </c>
      <c r="D16" s="28" t="s">
        <v>639</v>
      </c>
      <c r="E16" s="15" t="s">
        <v>655</v>
      </c>
    </row>
    <row r="17" spans="1:5" ht="21.75" customHeight="1" x14ac:dyDescent="0.25">
      <c r="A17" s="26" t="s">
        <v>656</v>
      </c>
      <c r="B17" s="27">
        <v>457</v>
      </c>
      <c r="C17" s="20" t="s">
        <v>126</v>
      </c>
      <c r="D17" s="28" t="s">
        <v>639</v>
      </c>
      <c r="E17" s="15" t="s">
        <v>228</v>
      </c>
    </row>
    <row r="18" spans="1:5" ht="21.75" customHeight="1" x14ac:dyDescent="0.25">
      <c r="A18" s="26" t="s">
        <v>657</v>
      </c>
      <c r="B18" s="27">
        <v>414</v>
      </c>
      <c r="C18" s="20" t="s">
        <v>126</v>
      </c>
      <c r="D18" s="28" t="s">
        <v>639</v>
      </c>
      <c r="E18" s="15" t="s">
        <v>655</v>
      </c>
    </row>
    <row r="19" spans="1:5" ht="21.75" customHeight="1" x14ac:dyDescent="0.25">
      <c r="A19" s="26" t="s">
        <v>658</v>
      </c>
      <c r="B19" s="27">
        <v>170.18</v>
      </c>
      <c r="C19" s="20" t="s">
        <v>659</v>
      </c>
      <c r="D19" s="28" t="s">
        <v>639</v>
      </c>
      <c r="E19" s="15" t="s">
        <v>660</v>
      </c>
    </row>
    <row r="20" spans="1:5" ht="21.75" customHeight="1" x14ac:dyDescent="0.25">
      <c r="A20" s="26" t="s">
        <v>661</v>
      </c>
      <c r="B20" s="27">
        <v>40.75</v>
      </c>
      <c r="C20" s="20" t="s">
        <v>126</v>
      </c>
      <c r="D20" s="28" t="s">
        <v>639</v>
      </c>
      <c r="E20" s="15" t="s">
        <v>662</v>
      </c>
    </row>
    <row r="21" spans="1:5" ht="21.75" customHeight="1" x14ac:dyDescent="0.25">
      <c r="A21" s="26" t="s">
        <v>663</v>
      </c>
      <c r="B21" s="27">
        <v>38.25</v>
      </c>
      <c r="C21" s="20" t="s">
        <v>126</v>
      </c>
      <c r="D21" s="28" t="s">
        <v>639</v>
      </c>
      <c r="E21" s="15" t="s">
        <v>664</v>
      </c>
    </row>
    <row r="22" spans="1:5" ht="21.75" customHeight="1" x14ac:dyDescent="0.25">
      <c r="A22" s="26" t="s">
        <v>665</v>
      </c>
      <c r="B22" s="27">
        <v>0.05</v>
      </c>
      <c r="C22" s="20" t="s">
        <v>265</v>
      </c>
      <c r="D22" s="28" t="s">
        <v>666</v>
      </c>
      <c r="E22" s="15" t="s">
        <v>296</v>
      </c>
    </row>
    <row r="23" spans="1:5" ht="21.75" customHeight="1" x14ac:dyDescent="0.25">
      <c r="A23" s="26" t="s">
        <v>667</v>
      </c>
      <c r="B23" s="27">
        <v>7.4999999999999997E-2</v>
      </c>
      <c r="C23" s="20" t="s">
        <v>265</v>
      </c>
      <c r="D23" s="28" t="s">
        <v>666</v>
      </c>
      <c r="E23" s="15" t="s">
        <v>296</v>
      </c>
    </row>
    <row r="24" spans="1:5" ht="21.75" customHeight="1" x14ac:dyDescent="0.25">
      <c r="A24" s="26" t="s">
        <v>668</v>
      </c>
      <c r="B24" s="27">
        <v>1.96</v>
      </c>
      <c r="C24" s="20" t="s">
        <v>126</v>
      </c>
      <c r="D24" s="28" t="s">
        <v>639</v>
      </c>
      <c r="E24" s="15" t="s">
        <v>669</v>
      </c>
    </row>
    <row r="25" spans="1:5" ht="21.75" customHeight="1" x14ac:dyDescent="0.25">
      <c r="A25" s="26" t="s">
        <v>670</v>
      </c>
      <c r="B25" s="27">
        <v>30</v>
      </c>
      <c r="C25" s="20" t="s">
        <v>356</v>
      </c>
      <c r="D25" s="28" t="s">
        <v>666</v>
      </c>
      <c r="E25" s="15" t="s">
        <v>671</v>
      </c>
    </row>
    <row r="26" spans="1:5" ht="21.75" customHeight="1" x14ac:dyDescent="0.25">
      <c r="A26" s="26" t="s">
        <v>672</v>
      </c>
      <c r="B26" s="27">
        <v>0.02</v>
      </c>
      <c r="C26" s="20" t="s">
        <v>673</v>
      </c>
      <c r="D26" s="28" t="s">
        <v>666</v>
      </c>
      <c r="E26" s="15" t="s">
        <v>674</v>
      </c>
    </row>
    <row r="27" spans="1:5" ht="21.75" customHeight="1" x14ac:dyDescent="0.25">
      <c r="A27" s="26" t="s">
        <v>675</v>
      </c>
      <c r="B27" s="27">
        <v>0.8</v>
      </c>
      <c r="C27" s="20" t="s">
        <v>265</v>
      </c>
      <c r="D27" s="28" t="s">
        <v>666</v>
      </c>
      <c r="E27" s="15" t="s">
        <v>676</v>
      </c>
    </row>
    <row r="28" spans="1:5" ht="21.75" customHeight="1" x14ac:dyDescent="0.25">
      <c r="A28" s="26" t="s">
        <v>677</v>
      </c>
      <c r="B28" s="27">
        <v>0.6</v>
      </c>
      <c r="C28" s="20" t="s">
        <v>265</v>
      </c>
      <c r="D28" s="28" t="s">
        <v>666</v>
      </c>
      <c r="E28" s="15" t="s">
        <v>678</v>
      </c>
    </row>
    <row r="29" spans="1:5" ht="21.75" customHeight="1" x14ac:dyDescent="0.25">
      <c r="A29" s="26" t="s">
        <v>679</v>
      </c>
      <c r="B29" s="27">
        <v>0.1</v>
      </c>
      <c r="C29" s="20" t="s">
        <v>265</v>
      </c>
      <c r="D29" s="28" t="s">
        <v>666</v>
      </c>
      <c r="E29" s="15" t="s">
        <v>678</v>
      </c>
    </row>
  </sheetData>
  <mergeCells count="6">
    <mergeCell ref="A5:E5"/>
    <mergeCell ref="A1:E1"/>
    <mergeCell ref="A2:E2"/>
    <mergeCell ref="A3:B3"/>
    <mergeCell ref="C3:D3"/>
    <mergeCell ref="A4:E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A6B70"/>
  </sheetPr>
  <dimension ref="A1:E10"/>
  <sheetViews>
    <sheetView showGridLines="0" tabSelected="1" zoomScaleNormal="100" workbookViewId="0">
      <selection sqref="A1:E1"/>
    </sheetView>
  </sheetViews>
  <sheetFormatPr baseColWidth="10" defaultColWidth="8.7109375" defaultRowHeight="15" x14ac:dyDescent="0.25"/>
  <cols>
    <col min="1" max="1" width="9" style="10" customWidth="1"/>
    <col min="2" max="2" width="12" style="10" customWidth="1"/>
    <col min="3" max="3" width="44" style="10" customWidth="1"/>
    <col min="4" max="4" width="40" style="10" customWidth="1"/>
    <col min="5" max="5" width="16" style="10" customWidth="1"/>
  </cols>
  <sheetData>
    <row r="1" spans="1:5" ht="25.5" customHeight="1" x14ac:dyDescent="0.25">
      <c r="A1" s="31" t="s">
        <v>0</v>
      </c>
      <c r="B1" s="31"/>
      <c r="C1" s="31"/>
      <c r="D1" s="31"/>
      <c r="E1" s="31"/>
    </row>
    <row r="2" spans="1:5" ht="19.5" customHeight="1" x14ac:dyDescent="0.25">
      <c r="A2" s="32" t="s">
        <v>680</v>
      </c>
      <c r="B2" s="32"/>
      <c r="C2" s="32"/>
      <c r="D2" s="32"/>
      <c r="E2" s="32"/>
    </row>
    <row r="3" spans="1:5" ht="18" customHeight="1" x14ac:dyDescent="0.25">
      <c r="A3" s="33" t="str">
        <f>HYPERLINK("#INICIO!A1","◀ INICIO")</f>
        <v>◀ INICIO</v>
      </c>
      <c r="B3" s="33"/>
      <c r="C3" s="33" t="str">
        <f>HYPERLINK("#INDICE!A1","◀ ÍNDICE")</f>
        <v>◀ ÍNDICE</v>
      </c>
      <c r="D3" s="33"/>
      <c r="E3" s="11"/>
    </row>
    <row r="5" spans="1:5" x14ac:dyDescent="0.25">
      <c r="A5" s="12" t="s">
        <v>4</v>
      </c>
      <c r="B5" s="12" t="s">
        <v>6</v>
      </c>
      <c r="C5" s="12" t="s">
        <v>681</v>
      </c>
      <c r="D5" s="12" t="s">
        <v>682</v>
      </c>
      <c r="E5" s="12" t="s">
        <v>14</v>
      </c>
    </row>
    <row r="6" spans="1:5" ht="39.75" customHeight="1" x14ac:dyDescent="0.25">
      <c r="A6" s="15" t="s">
        <v>5</v>
      </c>
      <c r="B6" s="15" t="s">
        <v>7</v>
      </c>
      <c r="C6" s="15" t="s">
        <v>683</v>
      </c>
      <c r="D6" s="15" t="s">
        <v>684</v>
      </c>
      <c r="E6" s="15" t="s">
        <v>685</v>
      </c>
    </row>
    <row r="7" spans="1:5" ht="39.75" customHeight="1" x14ac:dyDescent="0.25">
      <c r="A7" s="15" t="s">
        <v>5</v>
      </c>
      <c r="B7" s="15" t="s">
        <v>7</v>
      </c>
      <c r="C7" s="15" t="s">
        <v>686</v>
      </c>
      <c r="D7" s="15" t="s">
        <v>687</v>
      </c>
      <c r="E7" s="15" t="s">
        <v>685</v>
      </c>
    </row>
    <row r="8" spans="1:5" ht="39.75" customHeight="1" x14ac:dyDescent="0.25">
      <c r="A8" s="15" t="s">
        <v>5</v>
      </c>
      <c r="B8" s="15" t="s">
        <v>7</v>
      </c>
      <c r="C8" s="15" t="s">
        <v>688</v>
      </c>
      <c r="D8" s="15" t="s">
        <v>689</v>
      </c>
      <c r="E8" s="15" t="s">
        <v>685</v>
      </c>
    </row>
    <row r="9" spans="1:5" ht="39.75" customHeight="1" x14ac:dyDescent="0.25">
      <c r="A9" s="15" t="s">
        <v>5</v>
      </c>
      <c r="B9" s="15" t="s">
        <v>7</v>
      </c>
      <c r="C9" s="15" t="s">
        <v>690</v>
      </c>
      <c r="D9" s="15" t="s">
        <v>691</v>
      </c>
      <c r="E9" s="15" t="s">
        <v>685</v>
      </c>
    </row>
    <row r="10" spans="1:5" ht="72" x14ac:dyDescent="0.25">
      <c r="A10" s="15" t="s">
        <v>692</v>
      </c>
      <c r="B10" s="15" t="s">
        <v>693</v>
      </c>
      <c r="C10" s="15" t="s">
        <v>694</v>
      </c>
      <c r="D10" s="15" t="s">
        <v>695</v>
      </c>
      <c r="E10" s="15" t="s">
        <v>685</v>
      </c>
    </row>
  </sheetData>
  <sheetProtection algorithmName="SHA-512" hashValue="Oi0Vp41GSNCXiaYppfEtT2SrwNFdJTfY3H5RTu4gpiwb+KB15+r68RdtWtJ8W4BqNFnb0M+8dTkAvPR8aSQq1Q==" saltValue="I7vQa9QRvx8XKaHvsDbyKg==" spinCount="100000" sheet="1" objects="1" scenarios="1"/>
  <mergeCells count="4">
    <mergeCell ref="A1:E1"/>
    <mergeCell ref="A2:E2"/>
    <mergeCell ref="A3:B3"/>
    <mergeCell ref="C3:D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INICIO</vt:lpstr>
      <vt:lpstr>INDICE</vt:lpstr>
      <vt:lpstr>ENERGIA</vt:lpstr>
      <vt:lpstr>CRECIMIENTO</vt:lpstr>
      <vt:lpstr>COMPOSICION</vt:lpstr>
      <vt:lpstr>SOMATOTIPO</vt:lpstr>
      <vt:lpstr>FIABILIDAD</vt:lpstr>
      <vt:lpstr>RENAL</vt:lpstr>
      <vt:lpstr>DEPORTE</vt:lpstr>
      <vt:lpstr>CONDUCTA</vt:lpstr>
      <vt:lpstr>FUENTES</vt:lpstr>
      <vt:lpstr>PRUEBAS</vt:lpstr>
      <vt:lpstr>CONFIG</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0</cp:revision>
  <dcterms:created xsi:type="dcterms:W3CDTF">2026-07-24T22:53:32Z</dcterms:created>
  <dcterms:modified xsi:type="dcterms:W3CDTF">2026-08-12T18:47:35Z</dcterms:modified>
  <dc:language>en-US</dc:language>
</cp:coreProperties>
</file>
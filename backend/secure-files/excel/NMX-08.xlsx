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Downloads\"/>
    </mc:Choice>
  </mc:AlternateContent>
  <xr:revisionPtr revIDLastSave="0" documentId="13_ncr:1_{D5059122-5663-4076-8922-AC55FEC87CB1}" xr6:coauthVersionLast="47" xr6:coauthVersionMax="47" xr10:uidLastSave="{00000000-0000-0000-0000-000000000000}"/>
  <bookViews>
    <workbookView xWindow="-120" yWindow="-120" windowWidth="29040" windowHeight="15840" tabRatio="748" activeTab="11" xr2:uid="{00000000-000D-0000-FFFF-FFFF00000000}"/>
  </bookViews>
  <sheets>
    <sheet name="INICIO" sheetId="1" r:id="rId1"/>
    <sheet name="IDENTIFICACION" sheetId="2" r:id="rId2"/>
    <sheet name="ENTRENAMIENTO" sheetId="3" r:id="rId3"/>
    <sheet name="ANTROPOMETRIA" sheetId="4" r:id="rId4"/>
    <sheet name="HIDRATACION" sheetId="5" r:id="rId5"/>
    <sheet name="SUPLEMENTOS" sheetId="6" r:id="rId6"/>
    <sheet name="TAMIZAJE" sheetId="7" r:id="rId7"/>
    <sheet name="DIAGNOSTICO" sheetId="8" r:id="rId8"/>
    <sheet name="FUENTES" sheetId="9" r:id="rId9"/>
    <sheet name="PRUEBAS" sheetId="10" r:id="rId10"/>
    <sheet name="CONFIG" sheetId="11" r:id="rId11"/>
    <sheet name="CHANGELOG" sheetId="12" r:id="rId12"/>
  </sheets>
  <definedNames>
    <definedName name="k_tol">CONFIG!$E$26</definedName>
    <definedName name="lim_DE">CONFIG!$A$8:$A$10</definedName>
    <definedName name="lst_carga">CONFIG!$A$17:$A$20</definedName>
    <definedName name="lst_fase">CONFIG!$G$30:$G$33</definedName>
    <definedName name="lst_menstrual">CONFIG!$M$30:$M$35</definedName>
    <definedName name="lst_nivel">CONFIG!$D$30:$D$34</definedName>
    <definedName name="lst_sexo">CONFIG!$A$30:$A$31</definedName>
    <definedName name="lst_si">CONFIG!$J$30:$J$32</definedName>
    <definedName name="rng_carga">CONFIG!$A$17:$F$20</definedName>
    <definedName name="rng_DE">CONFIG!$A$8:$C$10</definedName>
    <definedName name="u_desh">CONFIG!$E$23</definedName>
    <definedName name="u_repMax">CONFIG!$E$25</definedName>
    <definedName name="u_repMin">CONFIG!$E$24</definedName>
    <definedName name="v_eee">ENTRENAMIENTO!$C$28</definedName>
    <definedName name="v_horas">ENTRENAMIENTO!$C$25</definedName>
    <definedName name="v_mlg">ANTROPOMETRIA!$C$17</definedName>
    <definedName name="v_peso">ANTROPOMETRIA!$C$7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2" l="1"/>
  <c r="A4" i="11"/>
  <c r="C25" i="10"/>
  <c r="E25" i="10" s="1"/>
  <c r="A4" i="10"/>
  <c r="A4" i="9"/>
  <c r="C41" i="8"/>
  <c r="C40" i="8"/>
  <c r="C37" i="8"/>
  <c r="C7" i="8"/>
  <c r="A4" i="8"/>
  <c r="C14" i="7"/>
  <c r="C24" i="7" s="1"/>
  <c r="C21" i="10" s="1"/>
  <c r="E21" i="10" s="1"/>
  <c r="A4" i="7"/>
  <c r="C26" i="6"/>
  <c r="C24" i="10" s="1"/>
  <c r="E24" i="10" s="1"/>
  <c r="C25" i="6"/>
  <c r="C23" i="10" s="1"/>
  <c r="E23" i="10" s="1"/>
  <c r="A4" i="6"/>
  <c r="C19" i="5"/>
  <c r="C20" i="5" s="1"/>
  <c r="C18" i="10" s="1"/>
  <c r="E18" i="10" s="1"/>
  <c r="C17" i="5"/>
  <c r="C15" i="10" s="1"/>
  <c r="E15" i="10" s="1"/>
  <c r="A4" i="5"/>
  <c r="C19" i="4"/>
  <c r="C18" i="4"/>
  <c r="C17" i="4"/>
  <c r="C9" i="7" s="1"/>
  <c r="C16" i="4"/>
  <c r="C11" i="10" s="1"/>
  <c r="E11" i="10" s="1"/>
  <c r="C15" i="4"/>
  <c r="C10" i="10" s="1"/>
  <c r="E10" i="10" s="1"/>
  <c r="A4" i="4"/>
  <c r="C26" i="3"/>
  <c r="F22" i="3"/>
  <c r="C28" i="3" s="1"/>
  <c r="D22" i="3"/>
  <c r="C25" i="3" s="1"/>
  <c r="A4" i="3"/>
  <c r="A4" i="2"/>
  <c r="E7" i="1"/>
  <c r="C7" i="1"/>
  <c r="A7" i="1"/>
  <c r="O5" i="1"/>
  <c r="M5" i="1"/>
  <c r="K5" i="1"/>
  <c r="I5" i="1"/>
  <c r="G5" i="1"/>
  <c r="E5" i="1"/>
  <c r="C5" i="1"/>
  <c r="A5" i="1"/>
  <c r="C29" i="3" l="1"/>
  <c r="C14" i="10" s="1"/>
  <c r="E14" i="10" s="1"/>
  <c r="C17" i="10"/>
  <c r="E17" i="10" s="1"/>
  <c r="C8" i="7"/>
  <c r="C10" i="7" s="1"/>
  <c r="C13" i="10"/>
  <c r="E13" i="10" s="1"/>
  <c r="C21" i="5"/>
  <c r="C18" i="5"/>
  <c r="C27" i="6"/>
  <c r="C9" i="8"/>
  <c r="C9" i="10"/>
  <c r="E9" i="10" s="1"/>
  <c r="C27" i="3"/>
  <c r="C38" i="8"/>
  <c r="C39" i="8"/>
  <c r="C12" i="10"/>
  <c r="E12" i="10" s="1"/>
  <c r="C42" i="8" l="1"/>
  <c r="C26" i="10" s="1"/>
  <c r="E26" i="10" s="1"/>
  <c r="B34" i="3"/>
  <c r="D34" i="3" s="1"/>
  <c r="C34" i="3"/>
  <c r="E34" i="3" s="1"/>
  <c r="B33" i="3"/>
  <c r="D33" i="3" s="1"/>
  <c r="C33" i="3"/>
  <c r="E33" i="3" s="1"/>
  <c r="C8" i="8"/>
  <c r="C16" i="10"/>
  <c r="E16" i="10" s="1"/>
  <c r="C10" i="8"/>
  <c r="C22" i="5"/>
  <c r="C11" i="7"/>
  <c r="C20" i="10" s="1"/>
  <c r="E20" i="10" s="1"/>
  <c r="C19" i="10"/>
  <c r="E19" i="10" s="1"/>
  <c r="C25" i="7"/>
  <c r="C11" i="8" l="1"/>
  <c r="C12" i="8"/>
  <c r="C22" i="10"/>
  <c r="E22" i="10" s="1"/>
  <c r="C28" i="10" s="1"/>
  <c r="D28" i="10" l="1"/>
  <c r="E28" i="10" s="1"/>
</calcChain>
</file>

<file path=xl/sharedStrings.xml><?xml version="1.0" encoding="utf-8"?>
<sst xmlns="http://schemas.openxmlformats.org/spreadsheetml/2006/main" count="514" uniqueCount="418">
  <si>
    <t>NUTRIMETRÍA  ·  NMX-08</t>
  </si>
  <si>
    <t>Historia clínica de nutrición deportiva · versión 1.0 · Fase 5 · registros clínicos</t>
  </si>
  <si>
    <t>Navegación — use las pestañas inferiores del libro</t>
  </si>
  <si>
    <t>Datos del deportista</t>
  </si>
  <si>
    <t>Carga y sesiones</t>
  </si>
  <si>
    <t>Composición corporal</t>
  </si>
  <si>
    <t>Tasa de sudoración</t>
  </si>
  <si>
    <t>Registro y antidopaje</t>
  </si>
  <si>
    <t>Disponibilidad energética</t>
  </si>
  <si>
    <t>Diagnóstico y plan</t>
  </si>
  <si>
    <t>Trazabilidad</t>
  </si>
  <si>
    <t>Control de calidad</t>
  </si>
  <si>
    <t>Constantes</t>
  </si>
  <si>
    <t>Historial</t>
  </si>
  <si>
    <t>Código del producto</t>
  </si>
  <si>
    <t>NMX-08</t>
  </si>
  <si>
    <t>Versión</t>
  </si>
  <si>
    <t>1.0</t>
  </si>
  <si>
    <t>Fecha</t>
  </si>
  <si>
    <t>2026-07-19</t>
  </si>
  <si>
    <t>Formato</t>
  </si>
  <si>
    <t>.xlsx sin macros · Microsoft 365 (Windows) y Excel 2021</t>
  </si>
  <si>
    <t>Responsable</t>
  </si>
  <si>
    <t>Equipo Nutrimetría (completar por el titular)</t>
  </si>
  <si>
    <t>AVISO DE ALCANCE — LÉALO ANTES DE USAR</t>
  </si>
  <si>
    <t>EXACTITUD MATEMÁTICA ≠ VALIDACIÓN CLÍNICA. Este archivo NO está validado clínicamente y no constituye diagnóstico ni prescripción.</t>
  </si>
  <si>
    <t>APLICA A: personas deportistas ADULTAS (≥18 años) en condición estable, en contexto de evaluación nutricional profesional.</t>
  </si>
  <si>
    <t>NO APLICA A: menores de edad · embarazo · lactancia · deportistas con patología aguda o descompensada · población con requerimientos clínicos especiales sin supervisión médica.</t>
  </si>
  <si>
    <t>La disponibilidad energética que calcula este libro es una ESTIMACIÓN de tamizaje: depende de la ingesta y del gasto por ejercicio que usted ingrese, y ninguno de los dos se mide aquí.</t>
  </si>
  <si>
    <t>Toda indicación de suplementos exige verificación previa contra la lista de prohibiciones vigente y coordinación con el médico del equipo. El deportista responde por lo que hay en su organismo.</t>
  </si>
  <si>
    <t>Ante sospecha de deficiencia energética relativa o de trastorno de la conducta alimentaria, la conducta segura es derivar y aumentar el aporte energético, nunca restringir.</t>
  </si>
  <si>
    <t>PROPÓSITO Y ALCANCE</t>
  </si>
  <si>
    <t>Propósito</t>
  </si>
  <si>
    <t>Documentar la valoración nutricional de una persona deportista y tamizar la disponibilidad energética, con trazabilidad del registro y resguardo antidopaje.</t>
  </si>
  <si>
    <t>Población</t>
  </si>
  <si>
    <t>Deportistas adultos de cualquier disciplina, en nivel recreativo a profesional.</t>
  </si>
  <si>
    <t>Uso</t>
  </si>
  <si>
    <t>Registro clínico de apoyo. El diagnóstico, la indicación y el seguimiento son responsabilidad del profesional que firma la ficha.</t>
  </si>
  <si>
    <t>Compatibilidad</t>
  </si>
  <si>
    <t>.xlsx sin macros · Microsoft 365 (Windows) y Excel 2021 · sin funciones matriciales.</t>
  </si>
  <si>
    <t>Privacidad</t>
  </si>
  <si>
    <t>Contiene datos sensibles de salud. Los datos permanecen en el archivo local; el libro no transmite información. Guárdelo con acceso restringido.</t>
  </si>
  <si>
    <t>FLUJO DE USO</t>
  </si>
  <si>
    <t>Complete IDENTIFICACIÓN con el perfil deportivo, los antecedentes y la autorización de registro.</t>
  </si>
  <si>
    <t>Cargue en ENTRENAMIENTO las sesiones de una semana habitual: de ahí salen la carga y el gasto por ejercicio.</t>
  </si>
  <si>
    <t>Registre en ANTROPOMETRÍA el peso, la talla y el porcentaje de grasa con su método.</t>
  </si>
  <si>
    <t>Mida la tasa de sudoración en HIDRATACIÓN con un pesaje antes y después de una sesión.</t>
  </si>
  <si>
    <t>Registre en SUPLEMENTOS cada producto y deje constancia de la verificación antidopaje.</t>
  </si>
  <si>
    <t>Revise TAMIZAJE: es el corazón del módulo. La disponibilidad energética se lee junto a las señales clínicas.</t>
  </si>
  <si>
    <t>Redacte en DIAGNÓSTICO el juicio profesional y el plan, y revise los controles del registro.</t>
  </si>
  <si>
    <t>Historia clínica de nutrición deportiva · identificación del deportista</t>
  </si>
  <si>
    <t>DATOS PERSONALES</t>
  </si>
  <si>
    <t>Nombre completo</t>
  </si>
  <si>
    <t>Caso de ejemplo</t>
  </si>
  <si>
    <t>Documento de identidad</t>
  </si>
  <si>
    <t>—</t>
  </si>
  <si>
    <t>Fecha de nacimiento</t>
  </si>
  <si>
    <t>2002-04-18</t>
  </si>
  <si>
    <t>Edad (años)</t>
  </si>
  <si>
    <t>Sexo</t>
  </si>
  <si>
    <t>Femenino</t>
  </si>
  <si>
    <t>Teléfono de contacto</t>
  </si>
  <si>
    <t>Persona de contacto ante urgencia</t>
  </si>
  <si>
    <t>PERFIL DEPORTIVO</t>
  </si>
  <si>
    <t>Deporte o disciplina</t>
  </si>
  <si>
    <t>Atletismo · medio fondo</t>
  </si>
  <si>
    <t>Prueba o posición</t>
  </si>
  <si>
    <t>1500 metros</t>
  </si>
  <si>
    <t>Nivel competitivo</t>
  </si>
  <si>
    <t>Federado nacional</t>
  </si>
  <si>
    <t>Años de práctica</t>
  </si>
  <si>
    <t>Fase de la temporada</t>
  </si>
  <si>
    <t>Competitiva</t>
  </si>
  <si>
    <t>Próxima competencia relevante</t>
  </si>
  <si>
    <t>2026-09-06</t>
  </si>
  <si>
    <t>Club, equipo o federación</t>
  </si>
  <si>
    <t>Entrenador responsable</t>
  </si>
  <si>
    <t>¿Está sujeto a control antidopaje?</t>
  </si>
  <si>
    <t>Sí</t>
  </si>
  <si>
    <t>ANTECEDENTES DE SALUD</t>
  </si>
  <si>
    <t>Antecedentes médicos</t>
  </si>
  <si>
    <t>Anemia ferropénica tratada el año pasado.</t>
  </si>
  <si>
    <t>Lesiones en los últimos 12 meses</t>
  </si>
  <si>
    <t>Fractura por estrés en tibia derecha hace 7 meses.</t>
  </si>
  <si>
    <t>Cirugías previas</t>
  </si>
  <si>
    <t>No refiere.</t>
  </si>
  <si>
    <t>Fármacos de uso habitual</t>
  </si>
  <si>
    <t>Alergias alimentarias</t>
  </si>
  <si>
    <t>Intolerancias alimentarias</t>
  </si>
  <si>
    <t>Refiere molestias con lácteos antes de entrenar.</t>
  </si>
  <si>
    <t>Molestias digestivas durante el ejercicio</t>
  </si>
  <si>
    <t>Sí, distensión en carreras largas.</t>
  </si>
  <si>
    <t>Estado del ciclo menstrual</t>
  </si>
  <si>
    <t>Amenorrea</t>
  </si>
  <si>
    <t>Meses sin menstruación (si corresponde)</t>
  </si>
  <si>
    <t>TRAZABILIDAD DEL REGISTRO</t>
  </si>
  <si>
    <t>Número de ficha</t>
  </si>
  <si>
    <t>2026-0008</t>
  </si>
  <si>
    <t>Fecha de la atención</t>
  </si>
  <si>
    <t>Profesional que registra</t>
  </si>
  <si>
    <t>Registro profesional</t>
  </si>
  <si>
    <t>¿Autoriza el registro de sus datos?</t>
  </si>
  <si>
    <t>¿Autoriza compartir con el cuerpo técnico?</t>
  </si>
  <si>
    <t>Esta ficha contiene datos sensibles de salud, sujetos a secreto profesional. La información compartida con el cuerpo técnico debe limitarse a lo estrictamente necesario para el desempeño y siempre con autorización expresa del deportista.</t>
  </si>
  <si>
    <t>Carga de entrenamiento y gasto por ejercicio</t>
  </si>
  <si>
    <t>SESIONES DE UNA SEMANA HABITUAL</t>
  </si>
  <si>
    <t>Día</t>
  </si>
  <si>
    <t>Sesión</t>
  </si>
  <si>
    <t>Tipo de trabajo</t>
  </si>
  <si>
    <t>Duración (min)</t>
  </si>
  <si>
    <t>Intensidad percibida (1-10)</t>
  </si>
  <si>
    <t>Gasto estimado (kcal)</t>
  </si>
  <si>
    <t>Horario</t>
  </si>
  <si>
    <t>Observaciones</t>
  </si>
  <si>
    <t>Lunes</t>
  </si>
  <si>
    <t>Mañana</t>
  </si>
  <si>
    <t>Rodaje suave</t>
  </si>
  <si>
    <t>07:00</t>
  </si>
  <si>
    <t>Tarde</t>
  </si>
  <si>
    <t>Gimnasio · fuerza</t>
  </si>
  <si>
    <t>18:00</t>
  </si>
  <si>
    <t>Martes</t>
  </si>
  <si>
    <t>Series en pista</t>
  </si>
  <si>
    <t>Sesión de calidad</t>
  </si>
  <si>
    <t>Miércoles</t>
  </si>
  <si>
    <t>Jueves</t>
  </si>
  <si>
    <t>Series en cuesta</t>
  </si>
  <si>
    <t>Viernes</t>
  </si>
  <si>
    <t>Rodaje regenerativo</t>
  </si>
  <si>
    <t>07:30</t>
  </si>
  <si>
    <t>Sábado</t>
  </si>
  <si>
    <t>Fondo</t>
  </si>
  <si>
    <t>08:00</t>
  </si>
  <si>
    <t>Domingo</t>
  </si>
  <si>
    <t>Descanso</t>
  </si>
  <si>
    <t>TOTAL SEMANAL</t>
  </si>
  <si>
    <t>SÍNTESIS DE LA CARGA</t>
  </si>
  <si>
    <t>Horas de entrenamiento por semana</t>
  </si>
  <si>
    <t>Sesiones por semana</t>
  </si>
  <si>
    <t>Gasto semanal por ejercicio (kcal)</t>
  </si>
  <si>
    <t>Gasto diario promedio por ejercicio (kcal)</t>
  </si>
  <si>
    <t>Categoría de carga</t>
  </si>
  <si>
    <t>REQUERIMIENTOS SEGÚN LA CARGA (referencia por kilo de peso)</t>
  </si>
  <si>
    <t>Nutriente</t>
  </si>
  <si>
    <t>Mínimo (g/kg)</t>
  </si>
  <si>
    <t>Máximo (g/kg)</t>
  </si>
  <si>
    <t>Mínimo (g/día)</t>
  </si>
  <si>
    <t>Máximo (g/día)</t>
  </si>
  <si>
    <t>Hidratos de carbono</t>
  </si>
  <si>
    <t>Proteínas</t>
  </si>
  <si>
    <t>El gasto por ejercicio de cada sesión es una ESTIMACIÓN que usted ingresa; el libro no lo calcula ni lo valida. Para decisiones finas conviene apoyarse en medición directa o en registros del propio deportista. Los rangos de hidratos de carbono y proteína son referencias por carga, no prescripciones individuales.</t>
  </si>
  <si>
    <t>Composición corporal y control de peso</t>
  </si>
  <si>
    <t>MEDICIONES</t>
  </si>
  <si>
    <t>Peso actual (kg)</t>
  </si>
  <si>
    <t>Balanza calibrada, en ayunas y tras vaciar la vejiga</t>
  </si>
  <si>
    <t>Talla (m)</t>
  </si>
  <si>
    <t>Estadiómetro</t>
  </si>
  <si>
    <t>Porcentaje de grasa corporal</t>
  </si>
  <si>
    <t>Indique el método en el campo siguiente</t>
  </si>
  <si>
    <t>Método de estimación de la grasa</t>
  </si>
  <si>
    <t>Pliegues · protocolo ISAK 7 sitios</t>
  </si>
  <si>
    <t>Peso de referencia de temporada (kg)</t>
  </si>
  <si>
    <t>Peso en que la deportista rinde y se siente bien</t>
  </si>
  <si>
    <t>Peso mínimo acordado con el equipo (kg)</t>
  </si>
  <si>
    <t>Límite bajo el cual NO se desciende</t>
  </si>
  <si>
    <t>COMPOSICIÓN CALCULADA</t>
  </si>
  <si>
    <t>Índice de masa corporal</t>
  </si>
  <si>
    <t>Masa grasa (kg)</t>
  </si>
  <si>
    <t>MASA LIBRE DE GRASA (kg)</t>
  </si>
  <si>
    <t>Diferencia con el peso de referencia (kg)</t>
  </si>
  <si>
    <t>Control del peso mínimo acordado</t>
  </si>
  <si>
    <t>El índice de masa corporal NO es un indicador válido de composición corporal en deportistas: la masa muscular eleva el peso sin que exista exceso de grasa. Se incluye solo como dato de contexto. Evite fijar metas de peso o de porcentaje de grasa sin una justificación de rendimiento y sin acuerdo explícito con el deportista y el equipo médico: la presión por el peso es un factor de riesgo reconocido de trastornos de la conducta alimentaria en el deporte.</t>
  </si>
  <si>
    <t>Tasa de sudoración y estrategia de reposición</t>
  </si>
  <si>
    <t>MEDICIÓN EN UNA SESIÓN</t>
  </si>
  <si>
    <t>Fecha de la medición</t>
  </si>
  <si>
    <t>2026-07-15</t>
  </si>
  <si>
    <t>Tipo de sesión</t>
  </si>
  <si>
    <t>Duración de la sesión (horas)</t>
  </si>
  <si>
    <t>Temperatura ambiente (°C)</t>
  </si>
  <si>
    <t>Peso antes de la sesión (kg)</t>
  </si>
  <si>
    <t>Sin ropa o con ropa seca mínima, tras orinar</t>
  </si>
  <si>
    <t>Peso después de la sesión (kg)</t>
  </si>
  <si>
    <t>Secarse el sudor antes de pesarse</t>
  </si>
  <si>
    <t>Líquido ingerido durante la sesión (mL)</t>
  </si>
  <si>
    <t>Orina emitida durante la sesión (mL)</t>
  </si>
  <si>
    <t>RESULTADOS</t>
  </si>
  <si>
    <t>Pérdida de peso en la sesión (mL)</t>
  </si>
  <si>
    <t>TASA DE SUDORACIÓN (mL por hora)</t>
  </si>
  <si>
    <t>Deshidratación (% del peso corporal)</t>
  </si>
  <si>
    <t>Evaluación de la deshidratación</t>
  </si>
  <si>
    <t>Reposición sugerida tras la sesión (mL)</t>
  </si>
  <si>
    <t>Consumo sugerido durante la sesión (mL por hora)</t>
  </si>
  <si>
    <t>La tasa de sudoración es específica de cada persona, sesión y clima: mídala en condiciones parecidas a las de competencia y repítala al cambiar de estación o de altitud. Beber MÁS de lo que se pierde no es inocuo: la sobrehidratación puede provocar hiponatremia. Estas cifras orientan una estrategia, no reemplazan la supervisión del equipo de salud.</t>
  </si>
  <si>
    <t>Registro de suplementos y resguardo antidopaje</t>
  </si>
  <si>
    <t>RESPONSABILIDAD ESTRICTA: en el deporte competitivo, el deportista responde por toda sustancia presente en su organismo, aunque la haya consumido sin saberlo. Los suplementos NO están sujetos al control sanitario de un medicamento y se han documentado productos contaminados con sustancias prohibidas no declaradas en la etiqueta. Ningún suplemento debe indicarse sin verificar la lista de prohibiciones vigente de la Agencia Mundial Antidopaje y sin coordinar con el médico del equipo.</t>
  </si>
  <si>
    <t>SUPLEMENTOS EN USO</t>
  </si>
  <si>
    <t>Producto</t>
  </si>
  <si>
    <t>Marca y lote</t>
  </si>
  <si>
    <t>Motivo de uso</t>
  </si>
  <si>
    <t>Dosis</t>
  </si>
  <si>
    <t>Frecuencia</t>
  </si>
  <si>
    <t>Desde cuándo</t>
  </si>
  <si>
    <t>¿Quién lo indicó?</t>
  </si>
  <si>
    <t>¿Verificado contra la lista de prohibiciones?</t>
  </si>
  <si>
    <t>Fecha de verificación</t>
  </si>
  <si>
    <t>Hierro (sulfato ferroso)</t>
  </si>
  <si>
    <t>Antecedente de anemia</t>
  </si>
  <si>
    <t>1 comprimido</t>
  </si>
  <si>
    <t>Diaria</t>
  </si>
  <si>
    <t>2025-11</t>
  </si>
  <si>
    <t>Médico tratante</t>
  </si>
  <si>
    <t>Con vitamina C, lejos del té</t>
  </si>
  <si>
    <t>Bebida deportiva</t>
  </si>
  <si>
    <t>Reposición en sesiones largas</t>
  </si>
  <si>
    <t>500 mL</t>
  </si>
  <si>
    <t>En sesiones &gt;60 min</t>
  </si>
  <si>
    <t>2024-03</t>
  </si>
  <si>
    <t>Nutricionista</t>
  </si>
  <si>
    <t>Cafeína</t>
  </si>
  <si>
    <t>Rendimiento en competencia</t>
  </si>
  <si>
    <t>3 mg/kg</t>
  </si>
  <si>
    <t>Solo competencia</t>
  </si>
  <si>
    <t>2025-08</t>
  </si>
  <si>
    <t>Probada previamente en entrenamiento</t>
  </si>
  <si>
    <t>CONTROL DEL REGISTRO</t>
  </si>
  <si>
    <t>Suplementos registrados</t>
  </si>
  <si>
    <t>Sin verificación antidopaje registrada</t>
  </si>
  <si>
    <t>Estado de la verificación</t>
  </si>
  <si>
    <t>Este libro NO reproduce la lista de sustancias prohibidas ni la sustituye: esa lista se actualiza cada año y debe consultarse en su versión vigente y oficial. Aquí solo se deja constancia de que la verificación se realizó, por quién y en qué fecha. Cualquier uso terapéutico de una sustancia prohibida requiere la autorización correspondiente tramitada por vía médica.</t>
  </si>
  <si>
    <t>Disponibilidad energética y señales de deficiencia energética relativa</t>
  </si>
  <si>
    <t>ESTIMACIÓN DE LA DISPONIBILIDAD ENERGÉTICA</t>
  </si>
  <si>
    <t>Ingesta energética estimada (kcal/día)</t>
  </si>
  <si>
    <t>Obténgala de un recordatorio de 24 h o de un registro de varios días</t>
  </si>
  <si>
    <t>Gasto por ejercicio (kcal/día)</t>
  </si>
  <si>
    <t>Promedio diario tomado de la hoja ENTRENAMIENTO</t>
  </si>
  <si>
    <t>Masa libre de grasa (kg)</t>
  </si>
  <si>
    <t>Calculada en la hoja ANTROPOMETRÍA</t>
  </si>
  <si>
    <t>DISPONIBILIDAD ENERGÉTICA (kcal/kg de masa libre de grasa al día)</t>
  </si>
  <si>
    <t>Clasificación</t>
  </si>
  <si>
    <t>SEÑALES CLÍNICAS ASOCIADAS</t>
  </si>
  <si>
    <t>Alteración del ciclo menstrual</t>
  </si>
  <si>
    <t>Fracturas por estrés o lesiones óseas</t>
  </si>
  <si>
    <t>Fatiga persistente o rendimiento estancado</t>
  </si>
  <si>
    <t>Alteraciones digestivas frecuentes</t>
  </si>
  <si>
    <t>Enfermedades respiratorias a repetición</t>
  </si>
  <si>
    <t>No</t>
  </si>
  <si>
    <t>Estado de ánimo bajo o irritabilidad</t>
  </si>
  <si>
    <t>Preocupación excesiva por el peso o la figura</t>
  </si>
  <si>
    <t>No se consultó</t>
  </si>
  <si>
    <t>Restricción alimentaria referida o conductas compensatorias</t>
  </si>
  <si>
    <t>SÍNTESIS DEL TAMIZAJE</t>
  </si>
  <si>
    <t>Señales presentes</t>
  </si>
  <si>
    <t>LECTURA DEL TAMIZAJE</t>
  </si>
  <si>
    <t>Este tamizaje NO diagnostica. La deficiencia energética relativa en el deporte es un cuadro clínico que diagnostica un equipo médico, con instrumentos validados que este libro no reproduce. Una disponibilidad energética baja estimada obliga a descartar también un trastorno de la conducta alimentaria, cuya prevalencia es mayor en deportes de resistencia, de categorías por peso y estéticos. Ante sospecha, la conducta segura es aumentar el aporte y reducir la carga, nunca al revés.</t>
  </si>
  <si>
    <t>Diagnóstico nutricional deportivo y plan de intervención</t>
  </si>
  <si>
    <t>SÍNTESIS DE LA VALORACIÓN</t>
  </si>
  <si>
    <t>Perfil deportivo</t>
  </si>
  <si>
    <t>Carga de entrenamiento</t>
  </si>
  <si>
    <t>Hidratación</t>
  </si>
  <si>
    <t>Resultado del tamizaje</t>
  </si>
  <si>
    <t>DIAGNÓSTICO NUTRICIONAL</t>
  </si>
  <si>
    <t>PROBLEMA (qué ocurre)</t>
  </si>
  <si>
    <t>Disponibilidad energética baja en deportista de resistencia.</t>
  </si>
  <si>
    <t>ETIOLOGÍA (a qué se debe)</t>
  </si>
  <si>
    <t>Ingesta energética insuficiente para la carga de entrenamiento actual, sin intención declarada de bajar de peso.</t>
  </si>
  <si>
    <t>SIGNOS Y SÍNTOMAS (en qué se evidencia)</t>
  </si>
  <si>
    <t>Disponibilidad energética estimada bajo el umbral de referencia; amenorrea de 5 meses; antecedente de fractura por estrés; fatiga persistente y molestias digestivas.</t>
  </si>
  <si>
    <t>Diagnóstico en una frase</t>
  </si>
  <si>
    <t>Deficiencia energética relativa en el deporte, sospechada por disponibilidad energética baja junto a amenorrea y antecedente de lesión ósea por estrés.</t>
  </si>
  <si>
    <t>Nivel de riesgo</t>
  </si>
  <si>
    <t>Alto</t>
  </si>
  <si>
    <t>¿Requiere derivación médica?</t>
  </si>
  <si>
    <t>A quién y por qué</t>
  </si>
  <si>
    <t>Medicina del deporte y ginecología por amenorrea; evaluación de salud ósea por el antecedente de fractura por estrés; salud mental si se confirman conductas restrictivas.</t>
  </si>
  <si>
    <t>PLAN DE INTERVENCIÓN</t>
  </si>
  <si>
    <t>Objetivo general</t>
  </si>
  <si>
    <t>Restablecer la disponibilidad energética antes de cualquier objetivo de composición corporal.</t>
  </si>
  <si>
    <t>Objetivos específicos</t>
  </si>
  <si>
    <t>Aumentar la ingesta en forma progresiva hasta superar el umbral de referencia. Recuperar el ciclo menstrual. Sostener la carga sin incrementarla durante la fase de recuperación.</t>
  </si>
  <si>
    <t>Estrategia de aporte energético</t>
  </si>
  <si>
    <t>Incorporar colaciones alrededor de las sesiones y aumentar la densidad energética de las comidas principales.</t>
  </si>
  <si>
    <t>Aporte en torno al entrenamiento</t>
  </si>
  <si>
    <t>Hidratos de carbono antes y después de las sesiones de calidad; proteína distribuida en el día.</t>
  </si>
  <si>
    <t>Estrategia de hidratación</t>
  </si>
  <si>
    <t>Reponer según la tasa de sudoración medida; ajustar en calor.</t>
  </si>
  <si>
    <t>Suplementación acordada</t>
  </si>
  <si>
    <t>Mantener hierro bajo indicación médica; sin incorporaciones nuevas sin verificación.</t>
  </si>
  <si>
    <t>Educación entregada</t>
  </si>
  <si>
    <t>Relación entre energía disponible, salud ósea y ciclo menstrual.</t>
  </si>
  <si>
    <t>Acuerdos con el deportista</t>
  </si>
  <si>
    <t>No reducir peso durante esta fase; registrar molestias digestivas.</t>
  </si>
  <si>
    <t>Coordinación con el cuerpo técnico</t>
  </si>
  <si>
    <t>Informar la indicación de no incrementar carga.</t>
  </si>
  <si>
    <t>Fecha del próximo control</t>
  </si>
  <si>
    <t>2026-08-16</t>
  </si>
  <si>
    <t>Qué se evaluará</t>
  </si>
  <si>
    <t>Ingesta, peso, ciclo menstrual, fatiga y adherencia.</t>
  </si>
  <si>
    <t>¿Está registrada la autorización del deportista?</t>
  </si>
  <si>
    <t>¿Están completos peso, talla y grasa corporal?</t>
  </si>
  <si>
    <t>¿Todos los suplementos tienen verificación antidopaje?</t>
  </si>
  <si>
    <t>¿Se registró el diagnóstico nutricional?</t>
  </si>
  <si>
    <t>¿Se dejó fecha de próximo control?</t>
  </si>
  <si>
    <t>Controles pendientes</t>
  </si>
  <si>
    <t>El diagnóstico nutricional es un juicio profesional que este libro no genera ni valida: la síntesis reúne los datos registrados, pero la interpretación y la conducta son de quien firma la ficha. En deporte competitivo, toda indicación debe coordinarse con el equipo médico y respetar la normativa antidopaje vigente.</t>
  </si>
  <si>
    <t>Fuentes, métodos y trazabilidad</t>
  </si>
  <si>
    <t>MÉTODOS Y CRITERIOS APLICADOS</t>
  </si>
  <si>
    <t>Elemento</t>
  </si>
  <si>
    <t>Alcance y origen</t>
  </si>
  <si>
    <t>Se calcula como (ingesta energética − gasto por ejercicio) dividido por la masa libre de grasa, expresado en kilocalorías por kilo de masa libre de grasa al día. Es el indicador central del modelo de deficiencia energética relativa en el deporte. El umbral orientador de 30 kcal/kg de masa libre de grasa al día proviene de estudios en mujeres deportistas y NO es un punto de corte diagnóstico individual.</t>
  </si>
  <si>
    <t>Deficiencia energética relativa en el deporte</t>
  </si>
  <si>
    <t>Marco conceptual del Comité Olímpico Internacional que amplía la tríada de la deportista a ambos sexos y a múltiples sistemas: óseo, endocrino, metabólico, hematológico, inmunológico, cardiovascular, digestivo y psicológico. Este libro aplica sus ideas como TAMIZAJE y no reproduce ninguna herramienta de evaluación de riesgo, que tiene autoría propia y debe aplicarse por separado.</t>
  </si>
  <si>
    <t>Hidratos de carbono y proteína por carga</t>
  </si>
  <si>
    <t>Rangos de referencia de uso extendido en nutrición deportiva, expresados por kilo de peso corporal y escalados según horas de entrenamiento. Son referencias poblacionales EDITABLES en CONFIG, no prescripciones individuales.</t>
  </si>
  <si>
    <t>Se estima como la pérdida de peso durante la sesión más el líquido ingerido, menos la orina emitida, dividido por la duración en horas. Supone que un gramo de peso perdido equivale a un mililitro de sudor, aproximación válida para sesiones de duración habitual.</t>
  </si>
  <si>
    <t>Umbral de deshidratación</t>
  </si>
  <si>
    <t>La pérdida superior al 2% del peso corporal se asocia con deterioro del rendimiento, especialmente en calor. Es un valor orientador y editable.</t>
  </si>
  <si>
    <t>Masa libre de grasa</t>
  </si>
  <si>
    <t>Se deriva del peso y del porcentaje de grasa que usted ingrese. La exactitud depende íntegramente del método de estimación empleado, que debe quedar registrado en la hoja ANTROPOMETRÍA.</t>
  </si>
  <si>
    <t>Se incluye solo como dato de contexto. NO es un indicador válido de composición corporal en población deportiva.</t>
  </si>
  <si>
    <t>Antidopaje</t>
  </si>
  <si>
    <t>Este libro no reproduce ni sustituye la lista de sustancias y métodos prohibidos, que se actualiza anualmente y debe consultarse en su versión oficial vigente. Solo deja constancia documental de que la verificación se realizó, por quién y en qué fecha. El principio de responsabilidad estricta hace responsable al deportista por cualquier sustancia presente en su organismo.</t>
  </si>
  <si>
    <t>Instrumentos no reproducidos</t>
  </si>
  <si>
    <t>No se incluyen cuestionarios validados de tamizaje de trastornos alimentarios, de riesgo nutricional ni de evaluación de deficiencia energética. Aplíquelos por separado y registre solo el instrumento y su resultado.</t>
  </si>
  <si>
    <t>Qué NO resuelve este libro</t>
  </si>
  <si>
    <t>No calcula el gasto por ejercicio, que usted ingresa; no evalúa técnica deportiva; no reemplaza la evaluación médica ni la ficha clínica institucional; no está validado clínicamente.</t>
  </si>
  <si>
    <t>Los valores de referencia precargados en CONFIG son puntos de partida editables. Confirme siempre los criterios vigentes que utiliza en su práctica y los protocolos de la institución o federación con que trabaja.</t>
  </si>
  <si>
    <t>Control de calidad del motor de cálculo</t>
  </si>
  <si>
    <t>Los valores esperados se calcularon de forma independiente del motor del libro (verificación externa).</t>
  </si>
  <si>
    <t>Bloque</t>
  </si>
  <si>
    <t>Descripción de la prueba</t>
  </si>
  <si>
    <t>Obtenido</t>
  </si>
  <si>
    <t>Esperado</t>
  </si>
  <si>
    <t>Estado</t>
  </si>
  <si>
    <t>A</t>
  </si>
  <si>
    <t>Masa libre de grasa (58 kg con 18% de grasa)</t>
  </si>
  <si>
    <t>Índice de masa corporal (58 kg y 1,68 m)</t>
  </si>
  <si>
    <t>B</t>
  </si>
  <si>
    <t>Horas semanales de entrenamiento</t>
  </si>
  <si>
    <t>Gasto diario promedio por ejercicio</t>
  </si>
  <si>
    <t>Categoría de carga asignada</t>
  </si>
  <si>
    <t>Moderada</t>
  </si>
  <si>
    <t>C</t>
  </si>
  <si>
    <t>Tasa de sudoración (mL/h)</t>
  </si>
  <si>
    <t>Deshidratación como fracción del peso</t>
  </si>
  <si>
    <t>La deshidratación queda bajo el umbral del 2%</t>
  </si>
  <si>
    <t>BAJO</t>
  </si>
  <si>
    <t>D</t>
  </si>
  <si>
    <t>DISPONIBILIDAD ENERGÉTICA del caso</t>
  </si>
  <si>
    <t>Clasificación de la disponibilidad energética</t>
  </si>
  <si>
    <t>Baja · riesgo de RED-S</t>
  </si>
  <si>
    <t>Señales clínicas presentes</t>
  </si>
  <si>
    <t>El tamizaje activa la sospecha alta</t>
  </si>
  <si>
    <t>ACTIVA</t>
  </si>
  <si>
    <t>E</t>
  </si>
  <si>
    <t>Suplementos sin verificación antidopaje</t>
  </si>
  <si>
    <t>F</t>
  </si>
  <si>
    <t>Un valor ausente NO se interpreta como cero</t>
  </si>
  <si>
    <t>ND</t>
  </si>
  <si>
    <t>Controles pendientes del registro</t>
  </si>
  <si>
    <t>RESUMEN</t>
  </si>
  <si>
    <t>Pruebas aprobadas</t>
  </si>
  <si>
    <t>Configuración · constantes y criterios de referencia</t>
  </si>
  <si>
    <t>DISPONIBILIDAD ENERGÉTICA (kcal por kg de masa libre de grasa al día)</t>
  </si>
  <si>
    <t>Límite inferior</t>
  </si>
  <si>
    <t>Categoría</t>
  </si>
  <si>
    <t>Reducida · vigilar</t>
  </si>
  <si>
    <t>Óptima</t>
  </si>
  <si>
    <t>El umbral de 30 kcal/kg de masa libre de grasa al día es un valor orientador ampliamente citado, no un punto de corte diagnóstico: la disponibilidad energética baja se sospecha, no se diagnostica, con una sola estimación. Requiere confirmación clínica y evaluación de todo el cuadro.</t>
  </si>
  <si>
    <t>REQUERIMIENTOS POR CARGA DE ENTRENAMIENTO (g por kg de peso al día)</t>
  </si>
  <si>
    <t>Carga</t>
  </si>
  <si>
    <t>Horas semanales</t>
  </si>
  <si>
    <t>H de C mínimo</t>
  </si>
  <si>
    <t>H de C máximo</t>
  </si>
  <si>
    <t>Proteína mínima</t>
  </si>
  <si>
    <t>Proteína máxima</t>
  </si>
  <si>
    <t>Ligera</t>
  </si>
  <si>
    <t>Alta</t>
  </si>
  <si>
    <t>Muy alta</t>
  </si>
  <si>
    <t>UMBRALES DE HIDRATACIÓN Y CONTROL</t>
  </si>
  <si>
    <t>Pérdida de peso que compromete el rendimiento</t>
  </si>
  <si>
    <t>% del peso</t>
  </si>
  <si>
    <t>Reposición mínima sobre la pérdida</t>
  </si>
  <si>
    <t>factor</t>
  </si>
  <si>
    <t>Reposición máxima sobre la pérdida</t>
  </si>
  <si>
    <t>Tolerancia de las pruebas</t>
  </si>
  <si>
    <t>±</t>
  </si>
  <si>
    <t>LISTAS DESPLEGABLES</t>
  </si>
  <si>
    <t>SEXO</t>
  </si>
  <si>
    <t>NIVEL</t>
  </si>
  <si>
    <t>FASE</t>
  </si>
  <si>
    <t>SI</t>
  </si>
  <si>
    <t>MENSTRUAL</t>
  </si>
  <si>
    <t>Recreativo</t>
  </si>
  <si>
    <t>Pretemporada</t>
  </si>
  <si>
    <t>Ciclos regulares</t>
  </si>
  <si>
    <t>Masculino</t>
  </si>
  <si>
    <t>Federado regional</t>
  </si>
  <si>
    <t>Ciclos irregulares</t>
  </si>
  <si>
    <t>Transición o descanso</t>
  </si>
  <si>
    <t>Selección nacional</t>
  </si>
  <si>
    <t>Recuperación de lesión</t>
  </si>
  <si>
    <t>Anticoncepción hormonal</t>
  </si>
  <si>
    <t>Profesional</t>
  </si>
  <si>
    <t>No corresponde</t>
  </si>
  <si>
    <t>Prefiere no responder</t>
  </si>
  <si>
    <t>Historial de versiones</t>
  </si>
  <si>
    <t>Cambio</t>
  </si>
  <si>
    <t>Motivo</t>
  </si>
  <si>
    <t>Versión inicial de NMX-08: historia clínica de nutrición deportiva con perfil del deportista, carga de entrenamiento, composición corporal, tasa de sudoración, registro de suplementos con resguardo antidopaje, tamizaje de disponibilidad energética y diagnóstico con plan.</t>
  </si>
  <si>
    <t>Fase 5 · Registros clínicos.</t>
  </si>
  <si>
    <t>Tamizaje de disponibilidad energética como eje del módulo, con lectura combinada de la cifra y las señales clínicas.</t>
  </si>
  <si>
    <t>La deficiencia energética relativa es el problema nutricional de mayor impacto en el deporte de resistencia y suele pasar inadvertida con peso normal.</t>
  </si>
  <si>
    <t>Registro de suplementos con verificación antidopaje obligatoria y conteo de pendientes.</t>
  </si>
  <si>
    <t>El principio de responsabilidad estricta hace responsable al deportista de toda sustancia presente en su organismo.</t>
  </si>
  <si>
    <t>Alerta automática ante alteración del ciclo menstrual y control del peso mínimo acordado.</t>
  </si>
  <si>
    <t>Ambos son signos de alarma que no deben quedar sujetos a que alguien los recuerde.</t>
  </si>
  <si>
    <t>Diseño visual y barra de navegación replicados de NMX-10 aprobado.</t>
  </si>
  <si>
    <t>Unificar la identidad de la colección.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</si>
</sst>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b/>
      <sz val="20"/>
      <color rgb="FFFFFFFF"/>
      <name val="Arial"/>
      <family val="2"/>
    </font>
    <font>
      <b/>
      <sz val="14"/>
      <color rgb="FFFFFFFF"/>
      <name val="Arial"/>
      <family val="2"/>
    </font>
    <font>
      <b/>
      <sz val="10"/>
      <color rgb="FFFFFFFF"/>
      <name val="Aptos"/>
    </font>
    <font>
      <b/>
      <sz val="11"/>
      <color rgb="FFFFFFFF"/>
      <name val="Arial"/>
      <family val="2"/>
    </font>
    <font>
      <b/>
      <sz val="10"/>
      <color rgb="FFFFFFFF"/>
      <name val="Arial"/>
      <family val="2"/>
    </font>
    <font>
      <b/>
      <sz val="10"/>
      <color rgb="FF0000CC"/>
      <name val="Arial"/>
      <family val="2"/>
    </font>
    <font>
      <sz val="10"/>
      <color rgb="FF1A1A1A"/>
      <name val="Arial"/>
      <family val="2"/>
    </font>
    <font>
      <b/>
      <sz val="10"/>
      <color rgb="FF1A1A1A"/>
      <name val="Arial"/>
      <family val="2"/>
    </font>
    <font>
      <sz val="9"/>
      <color rgb="FF5A6B70"/>
      <name val="Arial"/>
      <family val="2"/>
    </font>
    <font>
      <b/>
      <sz val="11"/>
      <color rgb="FF1A1A1A"/>
      <name val="Arial"/>
      <family val="2"/>
    </font>
    <font>
      <b/>
      <sz val="10"/>
      <color rgb="FFB45309"/>
      <name val="Arial"/>
      <family val="2"/>
    </font>
    <font>
      <b/>
      <sz val="12"/>
      <color rgb="FF1A1A1A"/>
      <name val="Arial"/>
      <family val="2"/>
    </font>
    <font>
      <b/>
      <sz val="11"/>
      <color rgb="FFB45309"/>
      <name val="Arial"/>
      <family val="2"/>
    </font>
    <font>
      <sz val="9"/>
      <color rgb="FF1A1A1A"/>
      <name val="Arial"/>
      <family val="2"/>
    </font>
    <font>
      <b/>
      <sz val="9"/>
      <color rgb="FF1A1A1A"/>
      <name val="Arial"/>
      <family val="2"/>
    </font>
    <font>
      <b/>
      <sz val="10"/>
      <color rgb="FF1C6B72"/>
      <name val="Arial"/>
      <family val="2"/>
    </font>
    <font>
      <sz val="11"/>
      <color rgb="FF155E6C"/>
      <name val="Aptos"/>
    </font>
    <font>
      <sz val="12"/>
      <color theme="1"/>
      <name val="Calibri"/>
      <family val="2"/>
      <scheme val="minor"/>
    </font>
    <font>
      <b/>
      <i/>
      <sz val="11"/>
      <color rgb="FF1A1A1A"/>
      <name val="Arial"/>
      <family val="2"/>
    </font>
  </fonts>
  <fills count="11">
    <fill>
      <patternFill patternType="none"/>
    </fill>
    <fill>
      <patternFill patternType="gray125"/>
    </fill>
    <fill>
      <patternFill patternType="solid">
        <fgColor rgb="FF15303A"/>
      </patternFill>
    </fill>
    <fill>
      <patternFill patternType="solid">
        <fgColor rgb="FF1C6B72"/>
      </patternFill>
    </fill>
    <fill>
      <patternFill patternType="solid">
        <fgColor rgb="FF17324D"/>
      </patternFill>
    </fill>
    <fill>
      <patternFill patternType="solid">
        <fgColor rgb="FFFCEFCE"/>
      </patternFill>
    </fill>
    <fill>
      <patternFill patternType="solid">
        <fgColor rgb="FFF3F6F5"/>
      </patternFill>
    </fill>
    <fill>
      <patternFill patternType="solid">
        <fgColor rgb="FFFBE4D5"/>
      </patternFill>
    </fill>
    <fill>
      <patternFill patternType="solid">
        <fgColor rgb="FFE7E0F5"/>
      </patternFill>
    </fill>
    <fill>
      <patternFill patternType="solid">
        <fgColor rgb="FFDCEFF1"/>
      </patternFill>
    </fill>
    <fill>
      <patternFill patternType="solid">
        <fgColor rgb="FFDCEEDD"/>
      </patternFill>
    </fill>
  </fills>
  <borders count="15">
    <border>
      <left/>
      <right/>
      <top/>
      <bottom/>
      <diagonal/>
    </border>
    <border>
      <left style="thin">
        <color rgb="FFB7C7CB"/>
      </left>
      <right style="thin">
        <color rgb="FFB7C7CB"/>
      </right>
      <top style="thin">
        <color rgb="FFB7C7CB"/>
      </top>
      <bottom style="thin">
        <color rgb="FFB7C7CB"/>
      </bottom>
      <diagonal/>
    </border>
    <border>
      <left/>
      <right/>
      <top style="thin">
        <color rgb="FFB7C7CB"/>
      </top>
      <bottom/>
      <diagonal/>
    </border>
    <border>
      <left/>
      <right style="thin">
        <color rgb="FFB7C7CB"/>
      </right>
      <top style="thin">
        <color rgb="FFB7C7CB"/>
      </top>
      <bottom/>
      <diagonal/>
    </border>
    <border>
      <left/>
      <right style="thin">
        <color rgb="FFB7C7CB"/>
      </right>
      <top style="thin">
        <color rgb="FFB7C7CB"/>
      </top>
      <bottom style="thin">
        <color rgb="FFB7C7CB"/>
      </bottom>
      <diagonal/>
    </border>
    <border>
      <left/>
      <right/>
      <top style="thin">
        <color rgb="FFB7C7CB"/>
      </top>
      <bottom style="thin">
        <color rgb="FFB7C7CB"/>
      </bottom>
      <diagonal/>
    </border>
    <border>
      <left style="thin">
        <color rgb="FFB7C7CB"/>
      </left>
      <right/>
      <top/>
      <bottom/>
      <diagonal/>
    </border>
    <border>
      <left/>
      <right style="thin">
        <color rgb="FFB7C7CB"/>
      </right>
      <top/>
      <bottom/>
      <diagonal/>
    </border>
    <border>
      <left style="thin">
        <color rgb="FFB7C7CB"/>
      </left>
      <right/>
      <top/>
      <bottom style="thin">
        <color rgb="FFB7C7CB"/>
      </bottom>
      <diagonal/>
    </border>
    <border>
      <left/>
      <right/>
      <top/>
      <bottom style="thin">
        <color rgb="FFB7C7CB"/>
      </bottom>
      <diagonal/>
    </border>
    <border>
      <left/>
      <right style="thin">
        <color rgb="FFB7C7CB"/>
      </right>
      <top/>
      <bottom style="thin">
        <color rgb="FFB7C7CB"/>
      </bottom>
      <diagonal/>
    </border>
    <border>
      <left style="thin">
        <color rgb="FFB7C7CB"/>
      </left>
      <right/>
      <top style="thin">
        <color rgb="FFB7C7CB"/>
      </top>
      <bottom/>
      <diagonal/>
    </border>
    <border>
      <left style="thin">
        <color rgb="FFB7C7CB"/>
      </left>
      <right/>
      <top style="thin">
        <color rgb="FFB7C7CB"/>
      </top>
      <bottom style="thin">
        <color rgb="FFB7C7CB"/>
      </bottom>
      <diagonal/>
    </border>
    <border>
      <left style="thin">
        <color indexed="64"/>
      </left>
      <right style="thin">
        <color indexed="64"/>
      </right>
      <top style="thin">
        <color indexed="64"/>
      </top>
      <bottom style="thin">
        <color indexed="64"/>
      </bottom>
      <diagonal/>
    </border>
    <border>
      <left style="thin">
        <color rgb="FFB7C7CB"/>
      </left>
      <right style="thin">
        <color rgb="FFB7C7CB"/>
      </right>
      <top style="thin">
        <color rgb="FFB7C7CB"/>
      </top>
      <bottom/>
      <diagonal/>
    </border>
  </borders>
  <cellStyleXfs count="1">
    <xf numFmtId="0" fontId="0" fillId="0" borderId="0"/>
  </cellStyleXfs>
  <cellXfs count="112">
    <xf numFmtId="0" fontId="0" fillId="0" borderId="0" xfId="0"/>
    <xf numFmtId="0" fontId="5" fillId="3"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center" vertical="center"/>
    </xf>
    <xf numFmtId="0" fontId="8" fillId="9" borderId="1" xfId="0" applyFont="1" applyFill="1" applyBorder="1" applyAlignment="1">
      <alignment horizontal="center" vertical="center"/>
    </xf>
    <xf numFmtId="0" fontId="5" fillId="3" borderId="1" xfId="0" applyFont="1" applyFill="1" applyBorder="1" applyAlignment="1">
      <alignment horizontal="center" vertical="center"/>
    </xf>
    <xf numFmtId="0" fontId="7" fillId="6" borderId="1" xfId="0" applyFont="1" applyFill="1" applyBorder="1" applyAlignment="1">
      <alignment horizontal="left" vertical="center"/>
    </xf>
    <xf numFmtId="0" fontId="7" fillId="6" borderId="1" xfId="0" applyFont="1" applyFill="1" applyBorder="1" applyAlignment="1">
      <alignment horizontal="center" vertical="center"/>
    </xf>
    <xf numFmtId="164" fontId="8" fillId="10" borderId="1" xfId="0" applyNumberFormat="1" applyFont="1" applyFill="1" applyBorder="1" applyAlignment="1">
      <alignment horizontal="center" vertical="center"/>
    </xf>
    <xf numFmtId="0" fontId="14" fillId="6" borderId="1" xfId="0" applyFont="1" applyFill="1" applyBorder="1" applyAlignment="1">
      <alignment horizontal="left" vertical="top" wrapText="1"/>
    </xf>
    <xf numFmtId="0" fontId="9" fillId="0" borderId="0" xfId="0" applyFont="1" applyAlignment="1">
      <alignment horizontal="left" vertical="center"/>
    </xf>
    <xf numFmtId="0" fontId="5" fillId="3"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xf>
    <xf numFmtId="0" fontId="15" fillId="10" borderId="1" xfId="0" applyFont="1" applyFill="1" applyBorder="1" applyAlignment="1">
      <alignment horizontal="center" vertical="center"/>
    </xf>
    <xf numFmtId="0" fontId="16" fillId="9" borderId="1" xfId="0" applyFont="1" applyFill="1" applyBorder="1" applyAlignment="1">
      <alignment horizontal="center" vertical="center"/>
    </xf>
    <xf numFmtId="0" fontId="16" fillId="9" borderId="1" xfId="0" applyFont="1" applyFill="1" applyBorder="1" applyAlignment="1">
      <alignment horizontal="left" vertical="center"/>
    </xf>
    <xf numFmtId="0" fontId="5" fillId="3" borderId="14" xfId="0" applyFont="1" applyFill="1" applyBorder="1" applyAlignment="1">
      <alignment horizontal="center" vertical="center" wrapText="1"/>
    </xf>
    <xf numFmtId="0" fontId="15" fillId="6" borderId="13" xfId="0" applyFont="1" applyFill="1" applyBorder="1" applyAlignment="1">
      <alignment horizontal="left" vertical="center" wrapText="1"/>
    </xf>
    <xf numFmtId="0" fontId="6" fillId="5" borderId="13" xfId="0" applyFont="1" applyFill="1" applyBorder="1" applyAlignment="1">
      <alignment horizontal="left" vertical="center" wrapText="1"/>
    </xf>
    <xf numFmtId="0" fontId="8" fillId="8"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4" fillId="3" borderId="1" xfId="0" applyFont="1" applyFill="1" applyBorder="1" applyAlignment="1">
      <alignment horizontal="left" vertical="center"/>
    </xf>
    <xf numFmtId="0" fontId="0" fillId="3" borderId="1" xfId="0" applyFill="1" applyBorder="1"/>
    <xf numFmtId="0" fontId="17" fillId="9" borderId="1" xfId="0" applyFont="1" applyFill="1" applyBorder="1" applyAlignment="1">
      <alignment horizontal="center" vertical="center" wrapText="1"/>
    </xf>
    <xf numFmtId="0" fontId="10" fillId="8" borderId="1" xfId="0" applyFont="1" applyFill="1" applyBorder="1" applyAlignment="1">
      <alignment horizontal="left" vertical="center"/>
    </xf>
    <xf numFmtId="0" fontId="2" fillId="3" borderId="0" xfId="0" applyFont="1" applyFill="1" applyAlignment="1">
      <alignment horizontal="left" vertical="center" wrapText="1"/>
    </xf>
    <xf numFmtId="0" fontId="0" fillId="3" borderId="0" xfId="0" applyFill="1"/>
    <xf numFmtId="0" fontId="1" fillId="2" borderId="0" xfId="0" applyFont="1" applyFill="1" applyAlignment="1">
      <alignment horizontal="left" vertical="center"/>
    </xf>
    <xf numFmtId="0" fontId="0" fillId="2" borderId="0" xfId="0" applyFill="1"/>
    <xf numFmtId="0" fontId="8" fillId="7" borderId="1" xfId="0" applyFont="1" applyFill="1" applyBorder="1" applyAlignment="1">
      <alignment horizontal="left" vertical="center" wrapText="1"/>
    </xf>
    <xf numFmtId="0" fontId="0" fillId="7" borderId="1" xfId="0" applyFill="1" applyBorder="1"/>
    <xf numFmtId="0" fontId="12" fillId="9" borderId="1" xfId="0" applyFont="1" applyFill="1" applyBorder="1" applyAlignment="1">
      <alignment horizontal="center" vertical="center"/>
    </xf>
    <xf numFmtId="0" fontId="2" fillId="3" borderId="1" xfId="0" applyFont="1" applyFill="1" applyBorder="1" applyAlignment="1">
      <alignment horizontal="left" vertical="center"/>
    </xf>
    <xf numFmtId="0" fontId="6" fillId="5" borderId="1" xfId="0" applyFont="1" applyFill="1" applyBorder="1" applyAlignment="1">
      <alignment horizontal="left" vertical="center" wrapText="1"/>
    </xf>
    <xf numFmtId="0" fontId="0" fillId="0" borderId="5" xfId="0" applyBorder="1"/>
    <xf numFmtId="0" fontId="0" fillId="0" borderId="4" xfId="0" applyBorder="1"/>
    <xf numFmtId="0" fontId="0" fillId="0" borderId="0" xfId="0"/>
    <xf numFmtId="0" fontId="3" fillId="4" borderId="6" xfId="0" applyFont="1" applyFill="1" applyBorder="1" applyAlignment="1">
      <alignment horizontal="center" vertical="center"/>
    </xf>
    <xf numFmtId="0" fontId="3" fillId="4" borderId="0" xfId="0" applyFont="1" applyFill="1" applyBorder="1" applyAlignment="1">
      <alignment horizontal="center" vertical="center"/>
    </xf>
    <xf numFmtId="0" fontId="8" fillId="7" borderId="1" xfId="0" applyFont="1" applyFill="1" applyBorder="1" applyAlignment="1">
      <alignment horizontal="left" vertical="top" wrapText="1"/>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8" fillId="6" borderId="1" xfId="0" applyFont="1" applyFill="1" applyBorder="1" applyAlignment="1">
      <alignment horizontal="left" vertical="center" wrapText="1"/>
    </xf>
    <xf numFmtId="0" fontId="8" fillId="9" borderId="1" xfId="0" applyFont="1" applyFill="1" applyBorder="1" applyAlignment="1">
      <alignment horizontal="left" vertical="center"/>
    </xf>
    <xf numFmtId="0" fontId="9" fillId="0" borderId="0" xfId="0" applyFont="1" applyAlignment="1">
      <alignment horizontal="left" vertical="center" wrapText="1"/>
    </xf>
    <xf numFmtId="0" fontId="10" fillId="10" borderId="1" xfId="0" applyFont="1" applyFill="1" applyBorder="1" applyAlignment="1">
      <alignment horizontal="left" vertical="center"/>
    </xf>
    <xf numFmtId="0" fontId="11" fillId="7" borderId="1" xfId="0" applyFont="1" applyFill="1" applyBorder="1" applyAlignment="1">
      <alignment horizontal="left" vertical="center"/>
    </xf>
    <xf numFmtId="10" fontId="8" fillId="6" borderId="1" xfId="0" applyNumberFormat="1" applyFont="1" applyFill="1" applyBorder="1" applyAlignment="1">
      <alignment horizontal="left" vertical="center" wrapText="1"/>
    </xf>
    <xf numFmtId="0" fontId="13" fillId="7" borderId="1" xfId="0" applyFont="1" applyFill="1" applyBorder="1" applyAlignment="1">
      <alignment horizontal="left" vertical="center" wrapText="1"/>
    </xf>
    <xf numFmtId="0" fontId="12" fillId="10" borderId="1" xfId="0" applyFont="1" applyFill="1" applyBorder="1" applyAlignment="1">
      <alignment horizontal="left" vertical="center"/>
    </xf>
    <xf numFmtId="0" fontId="13" fillId="7"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4" fillId="6" borderId="13" xfId="0" applyFont="1" applyFill="1" applyBorder="1" applyAlignment="1">
      <alignment horizontal="left" vertical="center" wrapText="1"/>
    </xf>
    <xf numFmtId="0" fontId="1" fillId="2" borderId="0" xfId="0" applyFont="1" applyFill="1" applyAlignment="1">
      <alignment vertical="center"/>
    </xf>
    <xf numFmtId="0" fontId="2" fillId="3" borderId="0" xfId="0" applyFont="1" applyFill="1" applyAlignment="1">
      <alignment vertical="center" wrapText="1"/>
    </xf>
    <xf numFmtId="0" fontId="0" fillId="3" borderId="0" xfId="0" applyFill="1" applyAlignment="1"/>
    <xf numFmtId="0" fontId="4" fillId="3" borderId="12" xfId="0" applyFont="1" applyFill="1" applyBorder="1" applyAlignment="1">
      <alignment vertical="center"/>
    </xf>
    <xf numFmtId="0" fontId="4" fillId="3" borderId="5" xfId="0" applyFont="1" applyFill="1" applyBorder="1" applyAlignment="1">
      <alignment vertical="center"/>
    </xf>
    <xf numFmtId="0" fontId="4" fillId="3" borderId="4" xfId="0" applyFont="1" applyFill="1" applyBorder="1" applyAlignment="1">
      <alignment vertical="center"/>
    </xf>
    <xf numFmtId="0" fontId="7" fillId="6" borderId="1" xfId="0" applyFont="1" applyFill="1" applyBorder="1" applyAlignment="1">
      <alignment horizontal="left" vertical="center"/>
    </xf>
    <xf numFmtId="0" fontId="10" fillId="7" borderId="1" xfId="0" applyFont="1" applyFill="1" applyBorder="1" applyAlignment="1">
      <alignment horizontal="left" vertical="top" wrapText="1"/>
    </xf>
    <xf numFmtId="0" fontId="0" fillId="0" borderId="2" xfId="0" applyFont="1" applyBorder="1"/>
    <xf numFmtId="0" fontId="0" fillId="0" borderId="3" xfId="0" applyFont="1" applyBorder="1"/>
    <xf numFmtId="0" fontId="0" fillId="0" borderId="6" xfId="0" applyFont="1" applyBorder="1"/>
    <xf numFmtId="0" fontId="0" fillId="0" borderId="0" xfId="0" applyFont="1"/>
    <xf numFmtId="0" fontId="0" fillId="0" borderId="7" xfId="0" applyFont="1" applyBorder="1"/>
    <xf numFmtId="0" fontId="0" fillId="0" borderId="8" xfId="0" applyFont="1" applyBorder="1"/>
    <xf numFmtId="0" fontId="0" fillId="0" borderId="9" xfId="0" applyFont="1" applyBorder="1"/>
    <xf numFmtId="0" fontId="0" fillId="0" borderId="10" xfId="0" applyFont="1" applyBorder="1"/>
    <xf numFmtId="0" fontId="12" fillId="7" borderId="1" xfId="0" applyFont="1" applyFill="1" applyBorder="1" applyAlignment="1">
      <alignment horizontal="left" vertical="top" wrapText="1"/>
    </xf>
    <xf numFmtId="0" fontId="18" fillId="0" borderId="2" xfId="0" applyFont="1" applyBorder="1"/>
    <xf numFmtId="0" fontId="18" fillId="0" borderId="3" xfId="0" applyFont="1" applyBorder="1"/>
    <xf numFmtId="0" fontId="18" fillId="0" borderId="6" xfId="0" applyFont="1" applyBorder="1"/>
    <xf numFmtId="0" fontId="18" fillId="0" borderId="0" xfId="0" applyFont="1"/>
    <xf numFmtId="0" fontId="18" fillId="0" borderId="7" xfId="0" applyFont="1" applyBorder="1"/>
    <xf numFmtId="0" fontId="18" fillId="0" borderId="8" xfId="0" applyFont="1" applyBorder="1"/>
    <xf numFmtId="0" fontId="18" fillId="0" borderId="9" xfId="0" applyFont="1" applyBorder="1"/>
    <xf numFmtId="0" fontId="18" fillId="0" borderId="10" xfId="0" applyFont="1" applyBorder="1"/>
    <xf numFmtId="0" fontId="19" fillId="6" borderId="1" xfId="0" applyFont="1" applyFill="1" applyBorder="1" applyAlignment="1">
      <alignment horizontal="left" vertical="center"/>
    </xf>
    <xf numFmtId="0" fontId="6" fillId="5" borderId="12" xfId="0" applyFont="1" applyFill="1" applyBorder="1" applyAlignment="1">
      <alignment horizontal="left" vertical="center"/>
    </xf>
    <xf numFmtId="0" fontId="6" fillId="5" borderId="5" xfId="0" applyFont="1" applyFill="1" applyBorder="1" applyAlignment="1">
      <alignment horizontal="left" vertical="center"/>
    </xf>
    <xf numFmtId="0" fontId="6" fillId="5" borderId="4" xfId="0" applyFont="1" applyFill="1" applyBorder="1" applyAlignment="1">
      <alignment horizontal="left" vertical="center"/>
    </xf>
    <xf numFmtId="0" fontId="5" fillId="3" borderId="1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0" fillId="7" borderId="11"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7" borderId="6" xfId="0" applyFont="1" applyFill="1" applyBorder="1" applyAlignment="1">
      <alignment horizontal="center" vertical="top" wrapText="1"/>
    </xf>
    <xf numFmtId="0" fontId="10" fillId="7" borderId="0" xfId="0" applyFont="1" applyFill="1" applyBorder="1" applyAlignment="1">
      <alignment horizontal="center" vertical="top" wrapText="1"/>
    </xf>
    <xf numFmtId="0" fontId="10" fillId="7" borderId="8" xfId="0" applyFont="1" applyFill="1" applyBorder="1" applyAlignment="1">
      <alignment horizontal="center" vertical="top" wrapText="1"/>
    </xf>
    <xf numFmtId="0" fontId="10" fillId="7" borderId="9" xfId="0" applyFont="1" applyFill="1" applyBorder="1" applyAlignment="1">
      <alignment horizontal="center" vertical="top" wrapText="1"/>
    </xf>
    <xf numFmtId="0" fontId="12" fillId="7" borderId="11" xfId="0" applyFont="1" applyFill="1" applyBorder="1" applyAlignment="1">
      <alignment horizontal="center" vertical="top" wrapText="1"/>
    </xf>
    <xf numFmtId="0" fontId="12" fillId="7" borderId="2"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0" xfId="0" applyFont="1" applyFill="1" applyBorder="1" applyAlignment="1">
      <alignment horizontal="center" vertical="top" wrapText="1"/>
    </xf>
    <xf numFmtId="0" fontId="12" fillId="7" borderId="8" xfId="0" applyFont="1" applyFill="1" applyBorder="1" applyAlignment="1">
      <alignment horizontal="center" vertical="top" wrapText="1"/>
    </xf>
    <xf numFmtId="0" fontId="12" fillId="7" borderId="9" xfId="0" applyFont="1" applyFill="1" applyBorder="1" applyAlignment="1">
      <alignment horizontal="center" vertical="top" wrapText="1"/>
    </xf>
    <xf numFmtId="0" fontId="5" fillId="3" borderId="12" xfId="0" applyFont="1" applyFill="1" applyBorder="1" applyAlignment="1">
      <alignment horizontal="center" vertical="center"/>
    </xf>
    <xf numFmtId="0" fontId="5" fillId="3" borderId="5" xfId="0" applyFont="1" applyFill="1" applyBorder="1" applyAlignment="1">
      <alignment horizontal="center" vertical="center"/>
    </xf>
    <xf numFmtId="0" fontId="7" fillId="6" borderId="1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4" xfId="0" applyFont="1" applyFill="1" applyBorder="1" applyAlignment="1">
      <alignment horizontal="center" vertical="center"/>
    </xf>
    <xf numFmtId="0" fontId="5" fillId="3" borderId="4"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4"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Q38"/>
  <sheetViews>
    <sheetView showGridLines="0" topLeftCell="A10" zoomScaleNormal="100" workbookViewId="0">
      <selection activeCell="T31" sqref="T31"/>
    </sheetView>
  </sheetViews>
  <sheetFormatPr baseColWidth="10" defaultColWidth="9.140625" defaultRowHeight="15"/>
  <cols>
    <col min="1" max="1" width="18.5703125" customWidth="1"/>
    <col min="2" max="2" width="1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0"/>
      <c r="C1" s="30"/>
      <c r="D1" s="30"/>
      <c r="E1" s="30"/>
      <c r="F1" s="30"/>
      <c r="G1" s="30"/>
      <c r="H1" s="30"/>
      <c r="I1" s="30"/>
      <c r="J1" s="30"/>
      <c r="K1" s="30"/>
      <c r="L1" s="30"/>
      <c r="M1" s="30"/>
      <c r="N1" s="30"/>
      <c r="O1" s="30"/>
      <c r="P1" s="30"/>
      <c r="Q1" s="30"/>
    </row>
    <row r="2" spans="1:17" ht="15" customHeight="1">
      <c r="A2" s="27" t="s">
        <v>1</v>
      </c>
      <c r="B2" s="28"/>
      <c r="C2" s="28"/>
      <c r="D2" s="28"/>
      <c r="E2" s="28"/>
      <c r="F2" s="28"/>
      <c r="G2" s="28"/>
      <c r="H2" s="28"/>
      <c r="I2" s="28"/>
      <c r="J2" s="28"/>
      <c r="K2" s="28"/>
      <c r="L2" s="28"/>
      <c r="M2" s="28"/>
      <c r="N2" s="28"/>
      <c r="O2" s="28"/>
      <c r="P2" s="28"/>
      <c r="Q2" s="28"/>
    </row>
    <row r="3" spans="1:17" ht="15" customHeight="1">
      <c r="A3" s="28"/>
      <c r="B3" s="28"/>
      <c r="C3" s="28"/>
      <c r="D3" s="28"/>
      <c r="E3" s="28"/>
      <c r="F3" s="28"/>
      <c r="G3" s="28"/>
      <c r="H3" s="28"/>
      <c r="I3" s="28"/>
      <c r="J3" s="28"/>
      <c r="K3" s="28"/>
      <c r="L3" s="28"/>
      <c r="M3" s="28"/>
      <c r="N3" s="28"/>
      <c r="O3" s="28"/>
      <c r="P3" s="28"/>
      <c r="Q3" s="28"/>
    </row>
    <row r="4" spans="1:17" ht="27.75" customHeight="1">
      <c r="A4" s="34" t="s">
        <v>2</v>
      </c>
      <c r="B4" s="24"/>
      <c r="C4" s="24"/>
      <c r="D4" s="24"/>
      <c r="E4" s="24"/>
      <c r="F4" s="24"/>
      <c r="G4" s="24"/>
      <c r="H4" s="24"/>
      <c r="I4" s="24"/>
      <c r="J4" s="24"/>
      <c r="K4" s="24"/>
      <c r="L4" s="24"/>
      <c r="M4" s="24"/>
      <c r="N4" s="24"/>
      <c r="O4" s="24"/>
      <c r="P4" s="24"/>
      <c r="Q4" s="24"/>
    </row>
    <row r="5" spans="1:17" ht="27.75" customHeight="1">
      <c r="A5" s="22" t="str">
        <f>HYPERLINK("#IDENTIFICACION!A1","▶  IDENTIFICACION")</f>
        <v>▶  IDENTIFICACION</v>
      </c>
      <c r="B5" s="22"/>
      <c r="C5" s="22" t="str">
        <f>HYPERLINK("#ENTRENAMIENTO!A1","▶  ENTRENAMIENTO")</f>
        <v>▶  ENTRENAMIENTO</v>
      </c>
      <c r="D5" s="22"/>
      <c r="E5" s="22" t="str">
        <f>HYPERLINK("#ANTROPOMETRIA!A1","▶  ANTROPOMETRIA")</f>
        <v>▶  ANTROPOMETRIA</v>
      </c>
      <c r="F5" s="22"/>
      <c r="G5" s="22" t="str">
        <f>HYPERLINK("#HIDRATACION!A1","▶  HIDRATACION")</f>
        <v>▶  HIDRATACION</v>
      </c>
      <c r="H5" s="22"/>
      <c r="I5" s="22" t="str">
        <f>HYPERLINK("#SUPLEMENTOS!A1","▶  SUPLEMENTOS")</f>
        <v>▶  SUPLEMENTOS</v>
      </c>
      <c r="J5" s="22"/>
      <c r="K5" s="22" t="str">
        <f>HYPERLINK("#TAMIZAJE!A1","▶  TAMIZAJE")</f>
        <v>▶  TAMIZAJE</v>
      </c>
      <c r="L5" s="22"/>
      <c r="M5" s="22" t="str">
        <f>HYPERLINK("#DIAGNOSTICO!A1","▶  DIAGNOSTICO")</f>
        <v>▶  DIAGNOSTICO</v>
      </c>
      <c r="N5" s="22"/>
      <c r="O5" s="22" t="str">
        <f>HYPERLINK("#FUENTES!A1","▶  FUENTES")</f>
        <v>▶  FUENTES</v>
      </c>
      <c r="P5" s="22"/>
      <c r="Q5" s="22"/>
    </row>
    <row r="6" spans="1:17" ht="29.25" customHeight="1">
      <c r="A6" s="25" t="s">
        <v>3</v>
      </c>
      <c r="B6" s="25"/>
      <c r="C6" s="25" t="s">
        <v>4</v>
      </c>
      <c r="D6" s="25"/>
      <c r="E6" s="25" t="s">
        <v>5</v>
      </c>
      <c r="F6" s="25"/>
      <c r="G6" s="25" t="s">
        <v>6</v>
      </c>
      <c r="H6" s="25"/>
      <c r="I6" s="25" t="s">
        <v>7</v>
      </c>
      <c r="J6" s="25"/>
      <c r="K6" s="25" t="s">
        <v>8</v>
      </c>
      <c r="L6" s="25"/>
      <c r="M6" s="25" t="s">
        <v>9</v>
      </c>
      <c r="N6" s="25"/>
      <c r="O6" s="25" t="s">
        <v>10</v>
      </c>
      <c r="P6" s="25"/>
      <c r="Q6" s="25"/>
    </row>
    <row r="7" spans="1:17" ht="27.75" customHeight="1">
      <c r="A7" s="22" t="str">
        <f>HYPERLINK("#PRUEBAS!A1","▶  PRUEBAS")</f>
        <v>▶  PRUEBAS</v>
      </c>
      <c r="B7" s="22"/>
      <c r="C7" s="22" t="str">
        <f>HYPERLINK("#CONFIG!A1","▶  CONFIG")</f>
        <v>▶  CONFIG</v>
      </c>
      <c r="D7" s="22"/>
      <c r="E7" s="22" t="str">
        <f>HYPERLINK("#CHANGELOG!A1","▶  CHANGELOG")</f>
        <v>▶  CHANGELOG</v>
      </c>
      <c r="F7" s="22"/>
    </row>
    <row r="8" spans="1:17" ht="29.25" customHeight="1">
      <c r="A8" s="25" t="s">
        <v>11</v>
      </c>
      <c r="B8" s="25"/>
      <c r="C8" s="25" t="s">
        <v>12</v>
      </c>
      <c r="D8" s="25"/>
      <c r="E8" s="25" t="s">
        <v>13</v>
      </c>
      <c r="F8" s="25"/>
    </row>
    <row r="10" spans="1:17" ht="15" customHeight="1">
      <c r="A10" s="26" t="s">
        <v>14</v>
      </c>
      <c r="B10" s="26"/>
      <c r="C10" s="21" t="s">
        <v>15</v>
      </c>
      <c r="D10" s="21"/>
      <c r="E10" s="21"/>
      <c r="F10" s="21"/>
      <c r="G10" s="21"/>
      <c r="H10" s="21"/>
      <c r="I10" s="21"/>
      <c r="J10" s="21"/>
      <c r="K10" s="21"/>
    </row>
    <row r="11" spans="1:17" ht="15" customHeight="1">
      <c r="A11" s="26" t="s">
        <v>16</v>
      </c>
      <c r="B11" s="26"/>
      <c r="C11" s="21" t="s">
        <v>17</v>
      </c>
      <c r="D11" s="21"/>
      <c r="E11" s="21"/>
      <c r="F11" s="21"/>
      <c r="G11" s="21"/>
      <c r="H11" s="21"/>
      <c r="I11" s="21"/>
      <c r="J11" s="21"/>
      <c r="K11" s="21"/>
    </row>
    <row r="12" spans="1:17" ht="15" customHeight="1">
      <c r="A12" s="26" t="s">
        <v>18</v>
      </c>
      <c r="B12" s="26"/>
      <c r="C12" s="21" t="s">
        <v>19</v>
      </c>
      <c r="D12" s="21"/>
      <c r="E12" s="21"/>
      <c r="F12" s="21"/>
      <c r="G12" s="21"/>
      <c r="H12" s="21"/>
      <c r="I12" s="21"/>
      <c r="J12" s="21"/>
      <c r="K12" s="21"/>
    </row>
    <row r="13" spans="1:17" ht="15" customHeight="1">
      <c r="A13" s="26" t="s">
        <v>20</v>
      </c>
      <c r="B13" s="26"/>
      <c r="C13" s="21" t="s">
        <v>21</v>
      </c>
      <c r="D13" s="21"/>
      <c r="E13" s="21"/>
      <c r="F13" s="21"/>
      <c r="G13" s="21"/>
      <c r="H13" s="21"/>
      <c r="I13" s="21"/>
      <c r="J13" s="21"/>
      <c r="K13" s="21"/>
    </row>
    <row r="14" spans="1:17" ht="15" customHeight="1">
      <c r="A14" s="26" t="s">
        <v>22</v>
      </c>
      <c r="B14" s="26"/>
      <c r="C14" s="21" t="s">
        <v>23</v>
      </c>
      <c r="D14" s="21"/>
      <c r="E14" s="21"/>
      <c r="F14" s="21"/>
      <c r="G14" s="21"/>
      <c r="H14" s="21"/>
      <c r="I14" s="21"/>
      <c r="J14" s="21"/>
      <c r="K14" s="21"/>
    </row>
    <row r="16" spans="1:17" ht="20.100000000000001" customHeight="1">
      <c r="A16" s="23" t="s">
        <v>24</v>
      </c>
      <c r="B16" s="24"/>
      <c r="C16" s="24"/>
      <c r="D16" s="24"/>
      <c r="E16" s="24"/>
      <c r="F16" s="24"/>
      <c r="G16" s="24"/>
      <c r="H16" s="24"/>
      <c r="I16" s="24"/>
      <c r="J16" s="24"/>
      <c r="K16" s="24"/>
      <c r="L16" s="24"/>
      <c r="M16" s="24"/>
      <c r="N16" s="24"/>
      <c r="O16" s="24"/>
      <c r="P16" s="24"/>
      <c r="Q16" s="24"/>
    </row>
    <row r="17" spans="1:17" ht="26.1" customHeight="1">
      <c r="A17" s="31" t="s">
        <v>25</v>
      </c>
      <c r="B17" s="32"/>
      <c r="C17" s="32"/>
      <c r="D17" s="32"/>
      <c r="E17" s="32"/>
      <c r="F17" s="32"/>
      <c r="G17" s="32"/>
      <c r="H17" s="32"/>
      <c r="I17" s="32"/>
      <c r="J17" s="32"/>
      <c r="K17" s="32"/>
      <c r="L17" s="32"/>
      <c r="M17" s="32"/>
      <c r="N17" s="32"/>
      <c r="O17" s="32"/>
      <c r="P17" s="32"/>
      <c r="Q17" s="32"/>
    </row>
    <row r="18" spans="1:17" ht="26.1" customHeight="1">
      <c r="A18" s="31" t="s">
        <v>26</v>
      </c>
      <c r="B18" s="32"/>
      <c r="C18" s="32"/>
      <c r="D18" s="32"/>
      <c r="E18" s="32"/>
      <c r="F18" s="32"/>
      <c r="G18" s="32"/>
      <c r="H18" s="32"/>
      <c r="I18" s="32"/>
      <c r="J18" s="32"/>
      <c r="K18" s="32"/>
      <c r="L18" s="32"/>
      <c r="M18" s="32"/>
      <c r="N18" s="32"/>
      <c r="O18" s="32"/>
      <c r="P18" s="32"/>
      <c r="Q18" s="32"/>
    </row>
    <row r="19" spans="1:17" ht="26.1" customHeight="1">
      <c r="A19" s="31" t="s">
        <v>27</v>
      </c>
      <c r="B19" s="32"/>
      <c r="C19" s="32"/>
      <c r="D19" s="32"/>
      <c r="E19" s="32"/>
      <c r="F19" s="32"/>
      <c r="G19" s="32"/>
      <c r="H19" s="32"/>
      <c r="I19" s="32"/>
      <c r="J19" s="32"/>
      <c r="K19" s="32"/>
      <c r="L19" s="32"/>
      <c r="M19" s="32"/>
      <c r="N19" s="32"/>
      <c r="O19" s="32"/>
      <c r="P19" s="32"/>
      <c r="Q19" s="32"/>
    </row>
    <row r="20" spans="1:17" ht="26.1" customHeight="1">
      <c r="A20" s="31" t="s">
        <v>28</v>
      </c>
      <c r="B20" s="32"/>
      <c r="C20" s="32"/>
      <c r="D20" s="32"/>
      <c r="E20" s="32"/>
      <c r="F20" s="32"/>
      <c r="G20" s="32"/>
      <c r="H20" s="32"/>
      <c r="I20" s="32"/>
      <c r="J20" s="32"/>
      <c r="K20" s="32"/>
      <c r="L20" s="32"/>
      <c r="M20" s="32"/>
      <c r="N20" s="32"/>
      <c r="O20" s="32"/>
      <c r="P20" s="32"/>
      <c r="Q20" s="32"/>
    </row>
    <row r="21" spans="1:17" ht="26.1" customHeight="1">
      <c r="A21" s="31" t="s">
        <v>29</v>
      </c>
      <c r="B21" s="32"/>
      <c r="C21" s="32"/>
      <c r="D21" s="32"/>
      <c r="E21" s="32"/>
      <c r="F21" s="32"/>
      <c r="G21" s="32"/>
      <c r="H21" s="32"/>
      <c r="I21" s="32"/>
      <c r="J21" s="32"/>
      <c r="K21" s="32"/>
      <c r="L21" s="32"/>
      <c r="M21" s="32"/>
      <c r="N21" s="32"/>
      <c r="O21" s="32"/>
      <c r="P21" s="32"/>
      <c r="Q21" s="32"/>
    </row>
    <row r="22" spans="1:17" ht="26.1" customHeight="1">
      <c r="A22" s="31" t="s">
        <v>30</v>
      </c>
      <c r="B22" s="32"/>
      <c r="C22" s="32"/>
      <c r="D22" s="32"/>
      <c r="E22" s="32"/>
      <c r="F22" s="32"/>
      <c r="G22" s="32"/>
      <c r="H22" s="32"/>
      <c r="I22" s="32"/>
      <c r="J22" s="32"/>
      <c r="K22" s="32"/>
      <c r="L22" s="32"/>
      <c r="M22" s="32"/>
      <c r="N22" s="32"/>
      <c r="O22" s="32"/>
      <c r="P22" s="32"/>
      <c r="Q22" s="32"/>
    </row>
    <row r="24" spans="1:17" ht="20.100000000000001" customHeight="1">
      <c r="A24" s="23" t="s">
        <v>31</v>
      </c>
      <c r="B24" s="24"/>
      <c r="C24" s="24"/>
      <c r="D24" s="24"/>
      <c r="E24" s="24"/>
      <c r="F24" s="24"/>
      <c r="G24" s="24"/>
      <c r="H24" s="24"/>
      <c r="I24" s="24"/>
      <c r="J24" s="24"/>
      <c r="K24" s="24"/>
      <c r="L24" s="24"/>
      <c r="M24" s="24"/>
      <c r="N24" s="24"/>
      <c r="O24" s="24"/>
      <c r="P24" s="24"/>
      <c r="Q24" s="24"/>
    </row>
    <row r="25" spans="1:17" ht="30.75" customHeight="1">
      <c r="A25" s="26" t="s">
        <v>32</v>
      </c>
      <c r="B25" s="26"/>
      <c r="C25" s="21" t="s">
        <v>33</v>
      </c>
      <c r="D25" s="21"/>
      <c r="E25" s="21"/>
      <c r="F25" s="21"/>
      <c r="G25" s="21"/>
      <c r="H25" s="21"/>
      <c r="I25" s="21"/>
      <c r="J25" s="21"/>
      <c r="K25" s="21"/>
    </row>
    <row r="26" spans="1:17" ht="30.75" customHeight="1">
      <c r="A26" s="26" t="s">
        <v>34</v>
      </c>
      <c r="B26" s="26"/>
      <c r="C26" s="21" t="s">
        <v>35</v>
      </c>
      <c r="D26" s="21"/>
      <c r="E26" s="21"/>
      <c r="F26" s="21"/>
      <c r="G26" s="21"/>
      <c r="H26" s="21"/>
      <c r="I26" s="21"/>
      <c r="J26" s="21"/>
      <c r="K26" s="21"/>
    </row>
    <row r="27" spans="1:17" ht="30.75" customHeight="1">
      <c r="A27" s="26" t="s">
        <v>36</v>
      </c>
      <c r="B27" s="26"/>
      <c r="C27" s="21" t="s">
        <v>37</v>
      </c>
      <c r="D27" s="21"/>
      <c r="E27" s="21"/>
      <c r="F27" s="21"/>
      <c r="G27" s="21"/>
      <c r="H27" s="21"/>
      <c r="I27" s="21"/>
      <c r="J27" s="21"/>
      <c r="K27" s="21"/>
    </row>
    <row r="28" spans="1:17" ht="30.75" customHeight="1">
      <c r="A28" s="26" t="s">
        <v>38</v>
      </c>
      <c r="B28" s="26"/>
      <c r="C28" s="21" t="s">
        <v>39</v>
      </c>
      <c r="D28" s="21"/>
      <c r="E28" s="21"/>
      <c r="F28" s="21"/>
      <c r="G28" s="21"/>
      <c r="H28" s="21"/>
      <c r="I28" s="21"/>
      <c r="J28" s="21"/>
      <c r="K28" s="21"/>
    </row>
    <row r="29" spans="1:17" ht="30.75" customHeight="1">
      <c r="A29" s="26" t="s">
        <v>40</v>
      </c>
      <c r="B29" s="26"/>
      <c r="C29" s="21" t="s">
        <v>41</v>
      </c>
      <c r="D29" s="21"/>
      <c r="E29" s="21"/>
      <c r="F29" s="21"/>
      <c r="G29" s="21"/>
      <c r="H29" s="21"/>
      <c r="I29" s="21"/>
      <c r="J29" s="21"/>
      <c r="K29" s="21"/>
    </row>
    <row r="31" spans="1:17" ht="20.100000000000001" customHeight="1">
      <c r="A31" s="23" t="s">
        <v>42</v>
      </c>
      <c r="B31" s="24"/>
      <c r="C31" s="24"/>
      <c r="D31" s="24"/>
      <c r="E31" s="24"/>
      <c r="F31" s="24"/>
      <c r="G31" s="24"/>
      <c r="H31" s="24"/>
      <c r="I31" s="24"/>
      <c r="J31" s="24"/>
      <c r="K31" s="24"/>
      <c r="L31" s="24"/>
      <c r="M31" s="24"/>
      <c r="N31" s="24"/>
      <c r="O31" s="24"/>
      <c r="P31" s="24"/>
      <c r="Q31" s="24"/>
    </row>
    <row r="32" spans="1:17" ht="20.100000000000001" customHeight="1">
      <c r="A32" s="33">
        <v>1</v>
      </c>
      <c r="B32" s="33"/>
      <c r="C32" s="21" t="s">
        <v>43</v>
      </c>
      <c r="D32" s="21"/>
      <c r="E32" s="21"/>
      <c r="F32" s="21"/>
      <c r="G32" s="21"/>
      <c r="H32" s="21"/>
      <c r="I32" s="21"/>
      <c r="J32" s="21"/>
      <c r="K32" s="21"/>
      <c r="L32" s="21"/>
      <c r="M32" s="21"/>
      <c r="N32" s="21"/>
      <c r="O32" s="21"/>
      <c r="P32" s="21"/>
      <c r="Q32" s="21"/>
    </row>
    <row r="33" spans="1:17" ht="20.100000000000001" customHeight="1">
      <c r="A33" s="33">
        <v>2</v>
      </c>
      <c r="B33" s="33"/>
      <c r="C33" s="21" t="s">
        <v>44</v>
      </c>
      <c r="D33" s="21"/>
      <c r="E33" s="21"/>
      <c r="F33" s="21"/>
      <c r="G33" s="21"/>
      <c r="H33" s="21"/>
      <c r="I33" s="21"/>
      <c r="J33" s="21"/>
      <c r="K33" s="21"/>
      <c r="L33" s="21"/>
      <c r="M33" s="21"/>
      <c r="N33" s="21"/>
      <c r="O33" s="21"/>
      <c r="P33" s="21"/>
      <c r="Q33" s="21"/>
    </row>
    <row r="34" spans="1:17" ht="20.100000000000001" customHeight="1">
      <c r="A34" s="33">
        <v>3</v>
      </c>
      <c r="B34" s="33"/>
      <c r="C34" s="21" t="s">
        <v>45</v>
      </c>
      <c r="D34" s="21"/>
      <c r="E34" s="21"/>
      <c r="F34" s="21"/>
      <c r="G34" s="21"/>
      <c r="H34" s="21"/>
      <c r="I34" s="21"/>
      <c r="J34" s="21"/>
      <c r="K34" s="21"/>
      <c r="L34" s="21"/>
      <c r="M34" s="21"/>
      <c r="N34" s="21"/>
      <c r="O34" s="21"/>
      <c r="P34" s="21"/>
      <c r="Q34" s="21"/>
    </row>
    <row r="35" spans="1:17" ht="20.100000000000001" customHeight="1">
      <c r="A35" s="33">
        <v>4</v>
      </c>
      <c r="B35" s="33"/>
      <c r="C35" s="21" t="s">
        <v>46</v>
      </c>
      <c r="D35" s="21"/>
      <c r="E35" s="21"/>
      <c r="F35" s="21"/>
      <c r="G35" s="21"/>
      <c r="H35" s="21"/>
      <c r="I35" s="21"/>
      <c r="J35" s="21"/>
      <c r="K35" s="21"/>
      <c r="L35" s="21"/>
      <c r="M35" s="21"/>
      <c r="N35" s="21"/>
      <c r="O35" s="21"/>
      <c r="P35" s="21"/>
      <c r="Q35" s="21"/>
    </row>
    <row r="36" spans="1:17" ht="20.100000000000001" customHeight="1">
      <c r="A36" s="33">
        <v>5</v>
      </c>
      <c r="B36" s="33"/>
      <c r="C36" s="21" t="s">
        <v>47</v>
      </c>
      <c r="D36" s="21"/>
      <c r="E36" s="21"/>
      <c r="F36" s="21"/>
      <c r="G36" s="21"/>
      <c r="H36" s="21"/>
      <c r="I36" s="21"/>
      <c r="J36" s="21"/>
      <c r="K36" s="21"/>
      <c r="L36" s="21"/>
      <c r="M36" s="21"/>
      <c r="N36" s="21"/>
      <c r="O36" s="21"/>
      <c r="P36" s="21"/>
      <c r="Q36" s="21"/>
    </row>
    <row r="37" spans="1:17" ht="20.100000000000001" customHeight="1">
      <c r="A37" s="33">
        <v>6</v>
      </c>
      <c r="B37" s="33"/>
      <c r="C37" s="21" t="s">
        <v>48</v>
      </c>
      <c r="D37" s="21"/>
      <c r="E37" s="21"/>
      <c r="F37" s="21"/>
      <c r="G37" s="21"/>
      <c r="H37" s="21"/>
      <c r="I37" s="21"/>
      <c r="J37" s="21"/>
      <c r="K37" s="21"/>
      <c r="L37" s="21"/>
      <c r="M37" s="21"/>
      <c r="N37" s="21"/>
      <c r="O37" s="21"/>
      <c r="P37" s="21"/>
      <c r="Q37" s="21"/>
    </row>
    <row r="38" spans="1:17" ht="20.100000000000001" customHeight="1">
      <c r="A38" s="33">
        <v>7</v>
      </c>
      <c r="B38" s="33"/>
      <c r="C38" s="21" t="s">
        <v>49</v>
      </c>
      <c r="D38" s="21"/>
      <c r="E38" s="21"/>
      <c r="F38" s="21"/>
      <c r="G38" s="21"/>
      <c r="H38" s="21"/>
      <c r="I38" s="21"/>
      <c r="J38" s="21"/>
      <c r="K38" s="21"/>
      <c r="L38" s="21"/>
      <c r="M38" s="21"/>
      <c r="N38" s="21"/>
      <c r="O38" s="21"/>
      <c r="P38" s="21"/>
      <c r="Q38" s="21"/>
    </row>
  </sheetData>
  <sheetProtection algorithmName="SHA-512" hashValue="fAf2DB5j8oFmgOZEvmieNHCxAcfhBLr2kCekjogOCxY0edWx8jzMfPRQokhBrOuOs1930vw8yLgXxgDHzjAAnQ==" saltValue="JScP6HhWc9zGbW/GCWynjg==" spinCount="100000" sheet="1" objects="1" scenarios="1"/>
  <mergeCells count="68">
    <mergeCell ref="A38:B38"/>
    <mergeCell ref="C14:K14"/>
    <mergeCell ref="A4:Q4"/>
    <mergeCell ref="A10:B10"/>
    <mergeCell ref="A20:Q20"/>
    <mergeCell ref="A28:B28"/>
    <mergeCell ref="A13:B13"/>
    <mergeCell ref="C26:K26"/>
    <mergeCell ref="K6:L6"/>
    <mergeCell ref="C35:Q35"/>
    <mergeCell ref="A34:B34"/>
    <mergeCell ref="C29:K29"/>
    <mergeCell ref="C38:Q38"/>
    <mergeCell ref="A33:B33"/>
    <mergeCell ref="C28:K28"/>
    <mergeCell ref="A5:B5"/>
    <mergeCell ref="C32:Q32"/>
    <mergeCell ref="A36:B36"/>
    <mergeCell ref="G5:H5"/>
    <mergeCell ref="C13:K13"/>
    <mergeCell ref="A32:B32"/>
    <mergeCell ref="I5:J5"/>
    <mergeCell ref="A14:B14"/>
    <mergeCell ref="G6:H6"/>
    <mergeCell ref="E6:F6"/>
    <mergeCell ref="C12:K12"/>
    <mergeCell ref="C11:K11"/>
    <mergeCell ref="A25:B25"/>
    <mergeCell ref="C27:K27"/>
    <mergeCell ref="C37:Q37"/>
    <mergeCell ref="C34:Q34"/>
    <mergeCell ref="A35:B35"/>
    <mergeCell ref="A22:Q22"/>
    <mergeCell ref="A17:Q17"/>
    <mergeCell ref="A37:B37"/>
    <mergeCell ref="A16:Q16"/>
    <mergeCell ref="A19:Q19"/>
    <mergeCell ref="A27:B27"/>
    <mergeCell ref="A12:B12"/>
    <mergeCell ref="A26:B26"/>
    <mergeCell ref="A18:Q18"/>
    <mergeCell ref="A2:Q3"/>
    <mergeCell ref="M5:N5"/>
    <mergeCell ref="A1:Q1"/>
    <mergeCell ref="A6:B6"/>
    <mergeCell ref="E8:F8"/>
    <mergeCell ref="A7:B7"/>
    <mergeCell ref="M6:N6"/>
    <mergeCell ref="C7:D7"/>
    <mergeCell ref="O6:Q6"/>
    <mergeCell ref="A8:B8"/>
    <mergeCell ref="C8:D8"/>
    <mergeCell ref="C36:Q36"/>
    <mergeCell ref="E7:F7"/>
    <mergeCell ref="A31:Q31"/>
    <mergeCell ref="O5:Q5"/>
    <mergeCell ref="C6:D6"/>
    <mergeCell ref="I6:J6"/>
    <mergeCell ref="C10:K10"/>
    <mergeCell ref="C25:K25"/>
    <mergeCell ref="A11:B11"/>
    <mergeCell ref="C5:D5"/>
    <mergeCell ref="A24:Q24"/>
    <mergeCell ref="E5:F5"/>
    <mergeCell ref="K5:L5"/>
    <mergeCell ref="A21:Q21"/>
    <mergeCell ref="C33:Q33"/>
    <mergeCell ref="A29:B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Q46"/>
  <sheetViews>
    <sheetView showGridLines="0" workbookViewId="0">
      <selection activeCell="B54" sqref="B54"/>
    </sheetView>
  </sheetViews>
  <sheetFormatPr baseColWidth="10" defaultColWidth="9.140625" defaultRowHeight="15"/>
  <cols>
    <col min="1" max="1" width="22.140625" customWidth="1"/>
    <col min="2" max="2" width="26.570312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50</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39" t="str">
        <f>HYPERLINK("#INICIO!A1","▶  VOLVER A INICIO")</f>
        <v>▶  VOLVER A INICIO</v>
      </c>
      <c r="B4" s="40"/>
      <c r="C4" s="40"/>
      <c r="D4" s="40"/>
    </row>
    <row r="6" spans="1:17" ht="20.100000000000001" customHeight="1">
      <c r="A6" s="23" t="s">
        <v>51</v>
      </c>
      <c r="B6" s="36"/>
      <c r="C6" s="36"/>
      <c r="D6" s="36"/>
      <c r="E6" s="36"/>
      <c r="F6" s="36"/>
      <c r="G6" s="36"/>
      <c r="H6" s="36"/>
      <c r="I6" s="36"/>
      <c r="J6" s="36"/>
      <c r="K6" s="36"/>
      <c r="L6" s="36"/>
      <c r="M6" s="36"/>
      <c r="N6" s="36"/>
      <c r="O6" s="36"/>
      <c r="P6" s="36"/>
      <c r="Q6" s="37"/>
    </row>
    <row r="7" spans="1:17" ht="18" customHeight="1">
      <c r="A7" s="26" t="s">
        <v>52</v>
      </c>
      <c r="B7" s="37"/>
      <c r="C7" s="35" t="s">
        <v>53</v>
      </c>
      <c r="D7" s="36"/>
      <c r="E7" s="36"/>
      <c r="F7" s="36"/>
      <c r="G7" s="36"/>
      <c r="H7" s="36"/>
      <c r="I7" s="36"/>
      <c r="J7" s="36"/>
      <c r="K7" s="37"/>
    </row>
    <row r="8" spans="1:17" ht="18" customHeight="1">
      <c r="A8" s="26" t="s">
        <v>54</v>
      </c>
      <c r="B8" s="37"/>
      <c r="C8" s="35" t="s">
        <v>55</v>
      </c>
      <c r="D8" s="36"/>
      <c r="E8" s="36"/>
      <c r="F8" s="36"/>
      <c r="G8" s="36"/>
      <c r="H8" s="36"/>
      <c r="I8" s="36"/>
      <c r="J8" s="36"/>
      <c r="K8" s="37"/>
    </row>
    <row r="9" spans="1:17" ht="18" customHeight="1">
      <c r="A9" s="26" t="s">
        <v>56</v>
      </c>
      <c r="B9" s="37"/>
      <c r="C9" s="35" t="s">
        <v>57</v>
      </c>
      <c r="D9" s="36"/>
      <c r="E9" s="36"/>
      <c r="F9" s="36"/>
      <c r="G9" s="36"/>
      <c r="H9" s="36"/>
      <c r="I9" s="36"/>
      <c r="J9" s="36"/>
      <c r="K9" s="37"/>
    </row>
    <row r="10" spans="1:17" ht="18" customHeight="1">
      <c r="A10" s="26" t="s">
        <v>58</v>
      </c>
      <c r="B10" s="37"/>
      <c r="C10" s="35">
        <v>24</v>
      </c>
      <c r="D10" s="36"/>
      <c r="E10" s="36"/>
      <c r="F10" s="36"/>
      <c r="G10" s="36"/>
      <c r="H10" s="36"/>
      <c r="I10" s="36"/>
      <c r="J10" s="36"/>
      <c r="K10" s="37"/>
    </row>
    <row r="11" spans="1:17" ht="18" customHeight="1">
      <c r="A11" s="26" t="s">
        <v>59</v>
      </c>
      <c r="B11" s="37"/>
      <c r="C11" s="35" t="s">
        <v>395</v>
      </c>
      <c r="D11" s="36"/>
      <c r="E11" s="36"/>
      <c r="F11" s="36"/>
      <c r="G11" s="36"/>
      <c r="H11" s="36"/>
      <c r="I11" s="36"/>
      <c r="J11" s="36"/>
      <c r="K11" s="37"/>
    </row>
    <row r="12" spans="1:17" ht="18" customHeight="1">
      <c r="A12" s="26" t="s">
        <v>61</v>
      </c>
      <c r="B12" s="37"/>
      <c r="C12" s="35" t="s">
        <v>55</v>
      </c>
      <c r="D12" s="36"/>
      <c r="E12" s="36"/>
      <c r="F12" s="36"/>
      <c r="G12" s="36"/>
      <c r="H12" s="36"/>
      <c r="I12" s="36"/>
      <c r="J12" s="36"/>
      <c r="K12" s="37"/>
    </row>
    <row r="13" spans="1:17" ht="18" customHeight="1">
      <c r="A13" s="26" t="s">
        <v>62</v>
      </c>
      <c r="B13" s="37"/>
      <c r="C13" s="35" t="s">
        <v>55</v>
      </c>
      <c r="D13" s="36"/>
      <c r="E13" s="36"/>
      <c r="F13" s="36"/>
      <c r="G13" s="36"/>
      <c r="H13" s="36"/>
      <c r="I13" s="36"/>
      <c r="J13" s="36"/>
      <c r="K13" s="37"/>
    </row>
    <row r="15" spans="1:17" ht="20.100000000000001" customHeight="1">
      <c r="A15" s="23" t="s">
        <v>63</v>
      </c>
      <c r="B15" s="36"/>
      <c r="C15" s="36"/>
      <c r="D15" s="36"/>
      <c r="E15" s="36"/>
      <c r="F15" s="36"/>
      <c r="G15" s="36"/>
      <c r="H15" s="36"/>
      <c r="I15" s="36"/>
      <c r="J15" s="36"/>
      <c r="K15" s="36"/>
      <c r="L15" s="36"/>
      <c r="M15" s="36"/>
      <c r="N15" s="36"/>
      <c r="O15" s="36"/>
      <c r="P15" s="36"/>
      <c r="Q15" s="37"/>
    </row>
    <row r="16" spans="1:17" ht="18" customHeight="1">
      <c r="A16" s="26" t="s">
        <v>64</v>
      </c>
      <c r="B16" s="37"/>
      <c r="C16" s="35" t="s">
        <v>65</v>
      </c>
      <c r="D16" s="36"/>
      <c r="E16" s="36"/>
      <c r="F16" s="36"/>
      <c r="G16" s="36"/>
      <c r="H16" s="36"/>
      <c r="I16" s="36"/>
      <c r="J16" s="36"/>
      <c r="K16" s="37"/>
    </row>
    <row r="17" spans="1:17" ht="18" customHeight="1">
      <c r="A17" s="26" t="s">
        <v>66</v>
      </c>
      <c r="B17" s="37"/>
      <c r="C17" s="35" t="s">
        <v>67</v>
      </c>
      <c r="D17" s="36"/>
      <c r="E17" s="36"/>
      <c r="F17" s="36"/>
      <c r="G17" s="36"/>
      <c r="H17" s="36"/>
      <c r="I17" s="36"/>
      <c r="J17" s="36"/>
      <c r="K17" s="37"/>
    </row>
    <row r="18" spans="1:17" ht="18" customHeight="1">
      <c r="A18" s="26" t="s">
        <v>68</v>
      </c>
      <c r="B18" s="37"/>
      <c r="C18" s="35" t="s">
        <v>392</v>
      </c>
      <c r="D18" s="36"/>
      <c r="E18" s="36"/>
      <c r="F18" s="36"/>
      <c r="G18" s="36"/>
      <c r="H18" s="36"/>
      <c r="I18" s="36"/>
      <c r="J18" s="36"/>
      <c r="K18" s="37"/>
    </row>
    <row r="19" spans="1:17" ht="18" customHeight="1">
      <c r="A19" s="26" t="s">
        <v>70</v>
      </c>
      <c r="B19" s="37"/>
      <c r="C19" s="35">
        <v>8</v>
      </c>
      <c r="D19" s="36"/>
      <c r="E19" s="36"/>
      <c r="F19" s="36"/>
      <c r="G19" s="36"/>
      <c r="H19" s="36"/>
      <c r="I19" s="36"/>
      <c r="J19" s="36"/>
      <c r="K19" s="37"/>
    </row>
    <row r="20" spans="1:17" ht="18" customHeight="1">
      <c r="A20" s="26" t="s">
        <v>71</v>
      </c>
      <c r="B20" s="37"/>
      <c r="C20" s="35" t="s">
        <v>72</v>
      </c>
      <c r="D20" s="36"/>
      <c r="E20" s="36"/>
      <c r="F20" s="36"/>
      <c r="G20" s="36"/>
      <c r="H20" s="36"/>
      <c r="I20" s="36"/>
      <c r="J20" s="36"/>
      <c r="K20" s="37"/>
    </row>
    <row r="21" spans="1:17" ht="18" customHeight="1">
      <c r="A21" s="26" t="s">
        <v>73</v>
      </c>
      <c r="B21" s="37"/>
      <c r="C21" s="35" t="s">
        <v>74</v>
      </c>
      <c r="D21" s="36"/>
      <c r="E21" s="36"/>
      <c r="F21" s="36"/>
      <c r="G21" s="36"/>
      <c r="H21" s="36"/>
      <c r="I21" s="36"/>
      <c r="J21" s="36"/>
      <c r="K21" s="37"/>
    </row>
    <row r="22" spans="1:17" ht="18" customHeight="1">
      <c r="A22" s="26" t="s">
        <v>75</v>
      </c>
      <c r="B22" s="37"/>
      <c r="C22" s="35" t="s">
        <v>55</v>
      </c>
      <c r="D22" s="36"/>
      <c r="E22" s="36"/>
      <c r="F22" s="36"/>
      <c r="G22" s="36"/>
      <c r="H22" s="36"/>
      <c r="I22" s="36"/>
      <c r="J22" s="36"/>
      <c r="K22" s="37"/>
    </row>
    <row r="23" spans="1:17" ht="18" customHeight="1">
      <c r="A23" s="26" t="s">
        <v>76</v>
      </c>
      <c r="B23" s="37"/>
      <c r="C23" s="35" t="s">
        <v>55</v>
      </c>
      <c r="D23" s="36"/>
      <c r="E23" s="36"/>
      <c r="F23" s="36"/>
      <c r="G23" s="36"/>
      <c r="H23" s="36"/>
      <c r="I23" s="36"/>
      <c r="J23" s="36"/>
      <c r="K23" s="37"/>
    </row>
    <row r="24" spans="1:17" ht="18" customHeight="1">
      <c r="A24" s="26" t="s">
        <v>77</v>
      </c>
      <c r="B24" s="37"/>
      <c r="C24" s="35" t="s">
        <v>245</v>
      </c>
      <c r="D24" s="36"/>
      <c r="E24" s="36"/>
      <c r="F24" s="36"/>
      <c r="G24" s="36"/>
      <c r="H24" s="36"/>
      <c r="I24" s="36"/>
      <c r="J24" s="36"/>
      <c r="K24" s="37"/>
    </row>
    <row r="26" spans="1:17" ht="20.100000000000001" customHeight="1">
      <c r="A26" s="23" t="s">
        <v>79</v>
      </c>
      <c r="B26" s="36"/>
      <c r="C26" s="36"/>
      <c r="D26" s="36"/>
      <c r="E26" s="36"/>
      <c r="F26" s="36"/>
      <c r="G26" s="36"/>
      <c r="H26" s="36"/>
      <c r="I26" s="36"/>
      <c r="J26" s="36"/>
      <c r="K26" s="36"/>
      <c r="L26" s="36"/>
      <c r="M26" s="36"/>
      <c r="N26" s="36"/>
      <c r="O26" s="36"/>
      <c r="P26" s="36"/>
      <c r="Q26" s="37"/>
    </row>
    <row r="27" spans="1:17" ht="18" customHeight="1">
      <c r="A27" s="26" t="s">
        <v>80</v>
      </c>
      <c r="B27" s="37"/>
      <c r="C27" s="35" t="s">
        <v>81</v>
      </c>
      <c r="D27" s="36"/>
      <c r="E27" s="36"/>
      <c r="F27" s="36"/>
      <c r="G27" s="36"/>
      <c r="H27" s="36"/>
      <c r="I27" s="36"/>
      <c r="J27" s="36"/>
      <c r="K27" s="37"/>
    </row>
    <row r="28" spans="1:17" ht="18" customHeight="1">
      <c r="A28" s="26" t="s">
        <v>82</v>
      </c>
      <c r="B28" s="37"/>
      <c r="C28" s="35" t="s">
        <v>83</v>
      </c>
      <c r="D28" s="36"/>
      <c r="E28" s="36"/>
      <c r="F28" s="36"/>
      <c r="G28" s="36"/>
      <c r="H28" s="36"/>
      <c r="I28" s="36"/>
      <c r="J28" s="36"/>
      <c r="K28" s="37"/>
    </row>
    <row r="29" spans="1:17" ht="18" customHeight="1">
      <c r="A29" s="26" t="s">
        <v>84</v>
      </c>
      <c r="B29" s="37"/>
      <c r="C29" s="35" t="s">
        <v>85</v>
      </c>
      <c r="D29" s="36"/>
      <c r="E29" s="36"/>
      <c r="F29" s="36"/>
      <c r="G29" s="36"/>
      <c r="H29" s="36"/>
      <c r="I29" s="36"/>
      <c r="J29" s="36"/>
      <c r="K29" s="37"/>
    </row>
    <row r="30" spans="1:17" ht="18" customHeight="1">
      <c r="A30" s="26" t="s">
        <v>86</v>
      </c>
      <c r="B30" s="37"/>
      <c r="C30" s="35" t="s">
        <v>85</v>
      </c>
      <c r="D30" s="36"/>
      <c r="E30" s="36"/>
      <c r="F30" s="36"/>
      <c r="G30" s="36"/>
      <c r="H30" s="36"/>
      <c r="I30" s="36"/>
      <c r="J30" s="36"/>
      <c r="K30" s="37"/>
    </row>
    <row r="31" spans="1:17" ht="18" customHeight="1">
      <c r="A31" s="26" t="s">
        <v>87</v>
      </c>
      <c r="B31" s="37"/>
      <c r="C31" s="35" t="s">
        <v>85</v>
      </c>
      <c r="D31" s="36"/>
      <c r="E31" s="36"/>
      <c r="F31" s="36"/>
      <c r="G31" s="36"/>
      <c r="H31" s="36"/>
      <c r="I31" s="36"/>
      <c r="J31" s="36"/>
      <c r="K31" s="37"/>
    </row>
    <row r="32" spans="1:17" ht="18" customHeight="1">
      <c r="A32" s="26" t="s">
        <v>88</v>
      </c>
      <c r="B32" s="37"/>
      <c r="C32" s="35" t="s">
        <v>89</v>
      </c>
      <c r="D32" s="36"/>
      <c r="E32" s="36"/>
      <c r="F32" s="36"/>
      <c r="G32" s="36"/>
      <c r="H32" s="36"/>
      <c r="I32" s="36"/>
      <c r="J32" s="36"/>
      <c r="K32" s="37"/>
    </row>
    <row r="33" spans="1:17" ht="18" customHeight="1">
      <c r="A33" s="26" t="s">
        <v>90</v>
      </c>
      <c r="B33" s="37"/>
      <c r="C33" s="35" t="s">
        <v>91</v>
      </c>
      <c r="D33" s="36"/>
      <c r="E33" s="36"/>
      <c r="F33" s="36"/>
      <c r="G33" s="36"/>
      <c r="H33" s="36"/>
      <c r="I33" s="36"/>
      <c r="J33" s="36"/>
      <c r="K33" s="37"/>
    </row>
    <row r="34" spans="1:17" ht="18" customHeight="1">
      <c r="A34" s="26" t="s">
        <v>92</v>
      </c>
      <c r="B34" s="37"/>
      <c r="C34" s="35" t="s">
        <v>403</v>
      </c>
      <c r="D34" s="36"/>
      <c r="E34" s="36"/>
      <c r="F34" s="36"/>
      <c r="G34" s="36"/>
      <c r="H34" s="36"/>
      <c r="I34" s="36"/>
      <c r="J34" s="36"/>
      <c r="K34" s="37"/>
    </row>
    <row r="35" spans="1:17" ht="18" customHeight="1">
      <c r="A35" s="26" t="s">
        <v>94</v>
      </c>
      <c r="B35" s="37"/>
      <c r="C35" s="35">
        <v>5</v>
      </c>
      <c r="D35" s="36"/>
      <c r="E35" s="36"/>
      <c r="F35" s="36"/>
      <c r="G35" s="36"/>
      <c r="H35" s="36"/>
      <c r="I35" s="36"/>
      <c r="J35" s="36"/>
      <c r="K35" s="37"/>
    </row>
    <row r="37" spans="1:17" ht="20.100000000000001" customHeight="1">
      <c r="A37" s="23" t="s">
        <v>95</v>
      </c>
      <c r="B37" s="36"/>
      <c r="C37" s="36"/>
      <c r="D37" s="36"/>
      <c r="E37" s="36"/>
      <c r="F37" s="36"/>
      <c r="G37" s="36"/>
      <c r="H37" s="36"/>
      <c r="I37" s="36"/>
      <c r="J37" s="36"/>
      <c r="K37" s="36"/>
      <c r="L37" s="36"/>
      <c r="M37" s="36"/>
      <c r="N37" s="36"/>
      <c r="O37" s="36"/>
      <c r="P37" s="36"/>
      <c r="Q37" s="37"/>
    </row>
    <row r="38" spans="1:17" ht="18" customHeight="1">
      <c r="A38" s="26" t="s">
        <v>96</v>
      </c>
      <c r="B38" s="37"/>
      <c r="C38" s="35" t="s">
        <v>97</v>
      </c>
      <c r="D38" s="36"/>
      <c r="E38" s="36"/>
      <c r="F38" s="36"/>
      <c r="G38" s="36"/>
      <c r="H38" s="36"/>
      <c r="I38" s="36"/>
      <c r="J38" s="36"/>
      <c r="K38" s="37"/>
    </row>
    <row r="39" spans="1:17" ht="18" customHeight="1">
      <c r="A39" s="26" t="s">
        <v>98</v>
      </c>
      <c r="B39" s="37"/>
      <c r="C39" s="35" t="s">
        <v>19</v>
      </c>
      <c r="D39" s="36"/>
      <c r="E39" s="36"/>
      <c r="F39" s="36"/>
      <c r="G39" s="36"/>
      <c r="H39" s="36"/>
      <c r="I39" s="36"/>
      <c r="J39" s="36"/>
      <c r="K39" s="37"/>
    </row>
    <row r="40" spans="1:17" ht="18" customHeight="1">
      <c r="A40" s="26" t="s">
        <v>99</v>
      </c>
      <c r="B40" s="37"/>
      <c r="C40" s="35" t="s">
        <v>55</v>
      </c>
      <c r="D40" s="36"/>
      <c r="E40" s="36"/>
      <c r="F40" s="36"/>
      <c r="G40" s="36"/>
      <c r="H40" s="36"/>
      <c r="I40" s="36"/>
      <c r="J40" s="36"/>
      <c r="K40" s="37"/>
    </row>
    <row r="41" spans="1:17" ht="18" customHeight="1">
      <c r="A41" s="26" t="s">
        <v>100</v>
      </c>
      <c r="B41" s="37"/>
      <c r="C41" s="35" t="s">
        <v>55</v>
      </c>
      <c r="D41" s="36"/>
      <c r="E41" s="36"/>
      <c r="F41" s="36"/>
      <c r="G41" s="36"/>
      <c r="H41" s="36"/>
      <c r="I41" s="36"/>
      <c r="J41" s="36"/>
      <c r="K41" s="37"/>
    </row>
    <row r="42" spans="1:17" ht="18" customHeight="1">
      <c r="A42" s="26" t="s">
        <v>101</v>
      </c>
      <c r="B42" s="37"/>
      <c r="C42" s="35" t="s">
        <v>78</v>
      </c>
      <c r="D42" s="36"/>
      <c r="E42" s="36"/>
      <c r="F42" s="36"/>
      <c r="G42" s="36"/>
      <c r="H42" s="36"/>
      <c r="I42" s="36"/>
      <c r="J42" s="36"/>
      <c r="K42" s="37"/>
    </row>
    <row r="43" spans="1:17" ht="18" customHeight="1">
      <c r="A43" s="26" t="s">
        <v>102</v>
      </c>
      <c r="B43" s="37"/>
      <c r="C43" s="35" t="s">
        <v>78</v>
      </c>
      <c r="D43" s="36"/>
      <c r="E43" s="36"/>
      <c r="F43" s="36"/>
      <c r="G43" s="36"/>
      <c r="H43" s="36"/>
      <c r="I43" s="36"/>
      <c r="J43" s="36"/>
      <c r="K43" s="37"/>
    </row>
    <row r="45" spans="1:17">
      <c r="A45" s="41" t="s">
        <v>103</v>
      </c>
      <c r="B45" s="42"/>
      <c r="C45" s="42"/>
      <c r="D45" s="42"/>
      <c r="E45" s="42"/>
      <c r="F45" s="42"/>
      <c r="G45" s="42"/>
      <c r="H45" s="42"/>
      <c r="I45" s="42"/>
      <c r="J45" s="42"/>
      <c r="K45" s="42"/>
      <c r="L45" s="42"/>
      <c r="M45" s="42"/>
      <c r="N45" s="42"/>
      <c r="O45" s="42"/>
      <c r="P45" s="42"/>
      <c r="Q45" s="43"/>
    </row>
    <row r="46" spans="1:17">
      <c r="A46" s="44"/>
      <c r="B46" s="45"/>
      <c r="C46" s="45"/>
      <c r="D46" s="45"/>
      <c r="E46" s="45"/>
      <c r="F46" s="45"/>
      <c r="G46" s="45"/>
      <c r="H46" s="45"/>
      <c r="I46" s="45"/>
      <c r="J46" s="45"/>
      <c r="K46" s="45"/>
      <c r="L46" s="45"/>
      <c r="M46" s="45"/>
      <c r="N46" s="45"/>
      <c r="O46" s="45"/>
      <c r="P46" s="45"/>
      <c r="Q46" s="46"/>
    </row>
  </sheetData>
  <sheetProtection algorithmName="SHA-512" hashValue="AesdzdoN/P4l43wwHDvBuGNOxjBNJdX6GForHF5304cN5/j+p4KhtKIa0mBTptZDr33u6njFtC8WZAzX0Kw74w==" saltValue="G/1Ro/LPziApPjFUl3YbJw==" spinCount="100000" sheet="1" objects="1" scenarios="1"/>
  <protectedRanges>
    <protectedRange sqref="C38:K43" name="Rango4"/>
    <protectedRange sqref="C27:K35" name="Rango3"/>
    <protectedRange sqref="C16:K24" name="Rango2"/>
    <protectedRange sqref="C7:K13" name="Rango1"/>
  </protectedRanges>
  <mergeCells count="70">
    <mergeCell ref="A4:D4"/>
    <mergeCell ref="A45:Q46"/>
    <mergeCell ref="C42:K42"/>
    <mergeCell ref="A43:B43"/>
    <mergeCell ref="C35:K35"/>
    <mergeCell ref="A19:B19"/>
    <mergeCell ref="A28:B28"/>
    <mergeCell ref="A40:B40"/>
    <mergeCell ref="A31:B31"/>
    <mergeCell ref="C20:K20"/>
    <mergeCell ref="A39:B39"/>
    <mergeCell ref="A34:B34"/>
    <mergeCell ref="C29:K29"/>
    <mergeCell ref="A42:B42"/>
    <mergeCell ref="A17:B17"/>
    <mergeCell ref="A8:B8"/>
    <mergeCell ref="C34:K34"/>
    <mergeCell ref="A22:B22"/>
    <mergeCell ref="A35:B35"/>
    <mergeCell ref="C24:K24"/>
    <mergeCell ref="A20:B20"/>
    <mergeCell ref="C30:K30"/>
    <mergeCell ref="C33:K33"/>
    <mergeCell ref="A10:B10"/>
    <mergeCell ref="A13:B13"/>
    <mergeCell ref="A9:B9"/>
    <mergeCell ref="A15:Q15"/>
    <mergeCell ref="A30:B30"/>
    <mergeCell ref="C10:K10"/>
    <mergeCell ref="A23:B23"/>
    <mergeCell ref="A1:Q1"/>
    <mergeCell ref="C21:K21"/>
    <mergeCell ref="A6:Q6"/>
    <mergeCell ref="A16:B16"/>
    <mergeCell ref="C11:K11"/>
    <mergeCell ref="A7:B7"/>
    <mergeCell ref="C17:K17"/>
    <mergeCell ref="C8:K8"/>
    <mergeCell ref="A18:B18"/>
    <mergeCell ref="A12:B12"/>
    <mergeCell ref="C7:K7"/>
    <mergeCell ref="A21:B21"/>
    <mergeCell ref="C19:K19"/>
    <mergeCell ref="C13:K13"/>
    <mergeCell ref="C18:K18"/>
    <mergeCell ref="C9:K9"/>
    <mergeCell ref="A2:Q3"/>
    <mergeCell ref="C31:K31"/>
    <mergeCell ref="C43:K43"/>
    <mergeCell ref="C12:K12"/>
    <mergeCell ref="C27:K27"/>
    <mergeCell ref="A41:B41"/>
    <mergeCell ref="C23:K23"/>
    <mergeCell ref="C39:K39"/>
    <mergeCell ref="A27:B27"/>
    <mergeCell ref="A37:Q37"/>
    <mergeCell ref="C32:K32"/>
    <mergeCell ref="C38:K38"/>
    <mergeCell ref="A33:B33"/>
    <mergeCell ref="C28:K28"/>
    <mergeCell ref="C16:K16"/>
    <mergeCell ref="A24:B24"/>
    <mergeCell ref="C41:K41"/>
    <mergeCell ref="A11:B11"/>
    <mergeCell ref="C22:K22"/>
    <mergeCell ref="C40:K40"/>
    <mergeCell ref="A26:Q26"/>
    <mergeCell ref="A32:B32"/>
    <mergeCell ref="A38:B38"/>
    <mergeCell ref="A29:B29"/>
  </mergeCells>
  <dataValidations count="5">
    <dataValidation type="list" allowBlank="1" sqref="C11" xr:uid="{00000000-0002-0000-0100-000000000000}">
      <formula1>lst_sexo</formula1>
    </dataValidation>
    <dataValidation type="list" allowBlank="1" sqref="C18" xr:uid="{00000000-0002-0000-0100-000001000000}">
      <formula1>lst_nivel</formula1>
    </dataValidation>
    <dataValidation type="list" allowBlank="1" sqref="C20" xr:uid="{00000000-0002-0000-0100-000002000000}">
      <formula1>lst_fase</formula1>
    </dataValidation>
    <dataValidation type="list" allowBlank="1" sqref="C24 C42:C43 C33" xr:uid="{00000000-0002-0000-0100-000003000000}">
      <formula1>lst_si</formula1>
    </dataValidation>
    <dataValidation type="list" allowBlank="1" sqref="C34" xr:uid="{00000000-0002-0000-0100-000005000000}">
      <formula1>lst_menstrual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6B72"/>
  </sheetPr>
  <dimension ref="A1:Q37"/>
  <sheetViews>
    <sheetView showGridLines="0" topLeftCell="A19" workbookViewId="0">
      <selection activeCell="C48" sqref="C48"/>
    </sheetView>
  </sheetViews>
  <sheetFormatPr baseColWidth="10" defaultColWidth="9.140625" defaultRowHeight="15"/>
  <cols>
    <col min="1" max="1" width="22.7109375" customWidth="1"/>
    <col min="2" max="2" width="22.28515625" customWidth="1"/>
    <col min="3" max="3" width="25.85546875" customWidth="1"/>
    <col min="4" max="4" width="15.85546875" customWidth="1"/>
    <col min="5" max="5" width="20.28515625" customWidth="1"/>
    <col min="6" max="7" width="15.85546875" customWidth="1"/>
    <col min="8" max="8" width="17.42578125" bestFit="1"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104</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22" t="str">
        <f>HYPERLINK("#INICIO!A1","▶  VOLVER A INICIO")</f>
        <v>▶  VOLVER A INICIO</v>
      </c>
      <c r="B4" s="37"/>
    </row>
    <row r="6" spans="1:17" ht="20.100000000000001" customHeight="1">
      <c r="A6" s="23" t="s">
        <v>105</v>
      </c>
      <c r="B6" s="36"/>
      <c r="C6" s="36"/>
      <c r="D6" s="36"/>
      <c r="E6" s="36"/>
      <c r="F6" s="36"/>
      <c r="G6" s="36"/>
      <c r="H6" s="36"/>
      <c r="I6" s="36"/>
      <c r="J6" s="36"/>
      <c r="K6" s="36"/>
      <c r="L6" s="36"/>
      <c r="M6" s="36"/>
      <c r="N6" s="36"/>
      <c r="O6" s="36"/>
      <c r="P6" s="36"/>
      <c r="Q6" s="37"/>
    </row>
    <row r="7" spans="1:17" ht="33.950000000000003" customHeight="1">
      <c r="A7" s="1" t="s">
        <v>106</v>
      </c>
      <c r="B7" s="1" t="s">
        <v>107</v>
      </c>
      <c r="C7" s="1" t="s">
        <v>108</v>
      </c>
      <c r="D7" s="1" t="s">
        <v>109</v>
      </c>
      <c r="E7" s="1" t="s">
        <v>110</v>
      </c>
      <c r="F7" s="1" t="s">
        <v>111</v>
      </c>
      <c r="G7" s="1" t="s">
        <v>112</v>
      </c>
      <c r="H7" s="89" t="s">
        <v>113</v>
      </c>
      <c r="I7" s="90"/>
      <c r="J7" s="91"/>
    </row>
    <row r="8" spans="1:17">
      <c r="A8" s="3" t="s">
        <v>114</v>
      </c>
      <c r="B8" s="3" t="s">
        <v>115</v>
      </c>
      <c r="C8" s="3" t="s">
        <v>116</v>
      </c>
      <c r="D8" s="4">
        <v>60</v>
      </c>
      <c r="E8" s="4">
        <v>4</v>
      </c>
      <c r="F8" s="4">
        <v>480</v>
      </c>
      <c r="G8" s="3" t="s">
        <v>117</v>
      </c>
      <c r="H8" s="86"/>
      <c r="I8" s="87"/>
      <c r="J8" s="88"/>
    </row>
    <row r="9" spans="1:17">
      <c r="A9" s="3" t="s">
        <v>114</v>
      </c>
      <c r="B9" s="3" t="s">
        <v>118</v>
      </c>
      <c r="C9" s="3" t="s">
        <v>119</v>
      </c>
      <c r="D9" s="4">
        <v>50</v>
      </c>
      <c r="E9" s="4">
        <v>6</v>
      </c>
      <c r="F9" s="4">
        <v>260</v>
      </c>
      <c r="G9" s="3" t="s">
        <v>120</v>
      </c>
      <c r="H9" s="86"/>
      <c r="I9" s="87"/>
      <c r="J9" s="88"/>
    </row>
    <row r="10" spans="1:17">
      <c r="A10" s="3" t="s">
        <v>121</v>
      </c>
      <c r="B10" s="3" t="s">
        <v>115</v>
      </c>
      <c r="C10" s="3" t="s">
        <v>122</v>
      </c>
      <c r="D10" s="4">
        <v>75</v>
      </c>
      <c r="E10" s="4">
        <v>8</v>
      </c>
      <c r="F10" s="4">
        <v>760</v>
      </c>
      <c r="G10" s="3" t="s">
        <v>117</v>
      </c>
      <c r="H10" s="86" t="s">
        <v>123</v>
      </c>
      <c r="I10" s="87"/>
      <c r="J10" s="88"/>
    </row>
    <row r="11" spans="1:17">
      <c r="A11" s="3" t="s">
        <v>124</v>
      </c>
      <c r="B11" s="3" t="s">
        <v>115</v>
      </c>
      <c r="C11" s="3" t="s">
        <v>116</v>
      </c>
      <c r="D11" s="4">
        <v>55</v>
      </c>
      <c r="E11" s="4">
        <v>4</v>
      </c>
      <c r="F11" s="4">
        <v>440</v>
      </c>
      <c r="G11" s="3" t="s">
        <v>117</v>
      </c>
      <c r="H11" s="86"/>
      <c r="I11" s="87"/>
      <c r="J11" s="88"/>
    </row>
    <row r="12" spans="1:17">
      <c r="A12" s="3" t="s">
        <v>125</v>
      </c>
      <c r="B12" s="3" t="s">
        <v>115</v>
      </c>
      <c r="C12" s="3" t="s">
        <v>126</v>
      </c>
      <c r="D12" s="4">
        <v>70</v>
      </c>
      <c r="E12" s="4">
        <v>9</v>
      </c>
      <c r="F12" s="4">
        <v>720</v>
      </c>
      <c r="G12" s="3" t="s">
        <v>117</v>
      </c>
      <c r="H12" s="86" t="s">
        <v>123</v>
      </c>
      <c r="I12" s="87"/>
      <c r="J12" s="88"/>
    </row>
    <row r="13" spans="1:17">
      <c r="A13" s="3" t="s">
        <v>127</v>
      </c>
      <c r="B13" s="3" t="s">
        <v>115</v>
      </c>
      <c r="C13" s="3" t="s">
        <v>128</v>
      </c>
      <c r="D13" s="4">
        <v>40</v>
      </c>
      <c r="E13" s="4">
        <v>3</v>
      </c>
      <c r="F13" s="4">
        <v>300</v>
      </c>
      <c r="G13" s="3" t="s">
        <v>129</v>
      </c>
      <c r="H13" s="86"/>
      <c r="I13" s="87"/>
      <c r="J13" s="88"/>
    </row>
    <row r="14" spans="1:17">
      <c r="A14" s="3" t="s">
        <v>130</v>
      </c>
      <c r="B14" s="3" t="s">
        <v>115</v>
      </c>
      <c r="C14" s="3" t="s">
        <v>131</v>
      </c>
      <c r="D14" s="4">
        <v>95</v>
      </c>
      <c r="E14" s="4">
        <v>6</v>
      </c>
      <c r="F14" s="4">
        <v>900</v>
      </c>
      <c r="G14" s="3" t="s">
        <v>132</v>
      </c>
      <c r="H14" s="86"/>
      <c r="I14" s="87"/>
      <c r="J14" s="88"/>
    </row>
    <row r="15" spans="1:17">
      <c r="A15" s="3" t="s">
        <v>133</v>
      </c>
      <c r="B15" s="3" t="s">
        <v>55</v>
      </c>
      <c r="C15" s="3" t="s">
        <v>134</v>
      </c>
      <c r="D15" s="4">
        <v>0</v>
      </c>
      <c r="E15" s="4">
        <v>0</v>
      </c>
      <c r="F15" s="4">
        <v>0</v>
      </c>
      <c r="G15" s="3" t="s">
        <v>55</v>
      </c>
      <c r="H15" s="86"/>
      <c r="I15" s="87"/>
      <c r="J15" s="88"/>
    </row>
    <row r="16" spans="1:17">
      <c r="A16" s="3"/>
      <c r="B16" s="3"/>
      <c r="C16" s="3"/>
      <c r="D16" s="4"/>
      <c r="E16" s="4"/>
      <c r="F16" s="4"/>
      <c r="G16" s="3"/>
      <c r="H16" s="86"/>
      <c r="I16" s="87"/>
      <c r="J16" s="88"/>
    </row>
    <row r="17" spans="1:17">
      <c r="A17" s="3"/>
      <c r="B17" s="3"/>
      <c r="C17" s="3"/>
      <c r="D17" s="4"/>
      <c r="E17" s="4"/>
      <c r="F17" s="4"/>
      <c r="G17" s="3"/>
      <c r="H17" s="86"/>
      <c r="I17" s="87"/>
      <c r="J17" s="88"/>
    </row>
    <row r="18" spans="1:17">
      <c r="A18" s="3"/>
      <c r="B18" s="3"/>
      <c r="C18" s="3"/>
      <c r="D18" s="4"/>
      <c r="E18" s="4"/>
      <c r="F18" s="4"/>
      <c r="G18" s="3"/>
      <c r="H18" s="86"/>
      <c r="I18" s="87"/>
      <c r="J18" s="88"/>
    </row>
    <row r="19" spans="1:17">
      <c r="A19" s="3"/>
      <c r="B19" s="3"/>
      <c r="C19" s="3"/>
      <c r="D19" s="4"/>
      <c r="E19" s="4"/>
      <c r="F19" s="4"/>
      <c r="G19" s="3"/>
      <c r="H19" s="86"/>
      <c r="I19" s="87"/>
      <c r="J19" s="88"/>
    </row>
    <row r="20" spans="1:17">
      <c r="A20" s="3"/>
      <c r="B20" s="3"/>
      <c r="C20" s="3"/>
      <c r="D20" s="4"/>
      <c r="E20" s="4"/>
      <c r="F20" s="4"/>
      <c r="G20" s="3"/>
      <c r="H20" s="86"/>
      <c r="I20" s="87"/>
      <c r="J20" s="88"/>
    </row>
    <row r="21" spans="1:17">
      <c r="A21" s="3"/>
      <c r="B21" s="3"/>
      <c r="C21" s="3"/>
      <c r="D21" s="4"/>
      <c r="E21" s="4"/>
      <c r="F21" s="4"/>
      <c r="G21" s="3"/>
      <c r="H21" s="86"/>
      <c r="I21" s="87"/>
      <c r="J21" s="88"/>
    </row>
    <row r="22" spans="1:17">
      <c r="A22" s="48" t="s">
        <v>135</v>
      </c>
      <c r="B22" s="36"/>
      <c r="C22" s="37"/>
      <c r="D22" s="5">
        <f>SUM(D8:D21)</f>
        <v>445</v>
      </c>
      <c r="E22" s="5"/>
      <c r="F22" s="5">
        <f>SUM(F8:F21)</f>
        <v>3860</v>
      </c>
      <c r="G22" s="5"/>
      <c r="H22" s="5"/>
    </row>
    <row r="24" spans="1:17" ht="20.100000000000001" customHeight="1">
      <c r="A24" s="23" t="s">
        <v>136</v>
      </c>
      <c r="B24" s="36"/>
      <c r="C24" s="36"/>
      <c r="D24" s="36"/>
      <c r="E24" s="36"/>
      <c r="F24" s="36"/>
      <c r="G24" s="36"/>
      <c r="H24" s="36"/>
      <c r="I24" s="36"/>
      <c r="J24" s="36"/>
      <c r="K24" s="36"/>
      <c r="L24" s="36"/>
      <c r="M24" s="36"/>
      <c r="N24" s="36"/>
      <c r="O24" s="36"/>
      <c r="P24" s="36"/>
      <c r="Q24" s="37"/>
    </row>
    <row r="25" spans="1:17" ht="18" customHeight="1">
      <c r="A25" s="26" t="s">
        <v>137</v>
      </c>
      <c r="B25" s="37"/>
      <c r="C25" s="47">
        <f>IF(NOT(ISNUMBER(ENTRENAMIENTO!$D$22)),"ND",ENTRENAMIENTO!$D$22/60)</f>
        <v>7.416666666666667</v>
      </c>
      <c r="D25" s="36"/>
      <c r="E25" s="36"/>
      <c r="F25" s="36"/>
      <c r="G25" s="36"/>
      <c r="H25" s="36"/>
      <c r="I25" s="36"/>
      <c r="J25" s="36"/>
      <c r="K25" s="37"/>
    </row>
    <row r="26" spans="1:17" ht="18" customHeight="1">
      <c r="A26" s="26" t="s">
        <v>138</v>
      </c>
      <c r="B26" s="37"/>
      <c r="C26" s="47">
        <f>COUNTIFS(B8:B21,"&lt;&gt;",D8:D21,"&gt;0")</f>
        <v>7</v>
      </c>
      <c r="D26" s="36"/>
      <c r="E26" s="36"/>
      <c r="F26" s="36"/>
      <c r="G26" s="36"/>
      <c r="H26" s="36"/>
      <c r="I26" s="36"/>
      <c r="J26" s="36"/>
      <c r="K26" s="37"/>
    </row>
    <row r="27" spans="1:17" ht="18" customHeight="1">
      <c r="A27" s="26" t="s">
        <v>139</v>
      </c>
      <c r="B27" s="37"/>
      <c r="C27" s="47">
        <f>ENTRENAMIENTO!$F$22</f>
        <v>3860</v>
      </c>
      <c r="D27" s="36"/>
      <c r="E27" s="36"/>
      <c r="F27" s="36"/>
      <c r="G27" s="36"/>
      <c r="H27" s="36"/>
      <c r="I27" s="36"/>
      <c r="J27" s="36"/>
      <c r="K27" s="37"/>
    </row>
    <row r="28" spans="1:17" ht="18" customHeight="1">
      <c r="A28" s="26" t="s">
        <v>140</v>
      </c>
      <c r="B28" s="37"/>
      <c r="C28" s="47">
        <f>IF(NOT(ISNUMBER(ENTRENAMIENTO!$F$22)),"ND",ENTRENAMIENTO!$F$22/7)</f>
        <v>551.42857142857144</v>
      </c>
      <c r="D28" s="36"/>
      <c r="E28" s="36"/>
      <c r="F28" s="36"/>
      <c r="G28" s="36"/>
      <c r="H28" s="36"/>
      <c r="I28" s="36"/>
      <c r="J28" s="36"/>
      <c r="K28" s="37"/>
    </row>
    <row r="29" spans="1:17" ht="18" customHeight="1">
      <c r="A29" s="26" t="s">
        <v>141</v>
      </c>
      <c r="B29" s="37"/>
      <c r="C29" s="47" t="str">
        <f>IF(NOT(ISNUMBER(C25)),"ND",IF(C25&lt;5,INDEX(rng_carga,1,1),IF(C25&lt;10,INDEX(rng_carga,2,1),IF(C25&lt;15,INDEX(rng_carga,3,1),INDEX(rng_carga,4,1)))))</f>
        <v>Moderada</v>
      </c>
      <c r="D29" s="36"/>
      <c r="E29" s="36"/>
      <c r="F29" s="36"/>
      <c r="G29" s="36"/>
      <c r="H29" s="36"/>
      <c r="I29" s="36"/>
      <c r="J29" s="36"/>
      <c r="K29" s="37"/>
    </row>
    <row r="31" spans="1:17" ht="20.100000000000001" customHeight="1">
      <c r="A31" s="23" t="s">
        <v>142</v>
      </c>
      <c r="B31" s="36"/>
      <c r="C31" s="36"/>
      <c r="D31" s="36"/>
      <c r="E31" s="36"/>
      <c r="F31" s="36"/>
      <c r="G31" s="36"/>
      <c r="H31" s="36"/>
      <c r="I31" s="36"/>
      <c r="J31" s="36"/>
      <c r="K31" s="36"/>
      <c r="L31" s="36"/>
      <c r="M31" s="36"/>
      <c r="N31" s="36"/>
      <c r="O31" s="36"/>
      <c r="P31" s="36"/>
      <c r="Q31" s="37"/>
    </row>
    <row r="32" spans="1:17">
      <c r="A32" s="6" t="s">
        <v>143</v>
      </c>
      <c r="B32" s="6" t="s">
        <v>144</v>
      </c>
      <c r="C32" s="6" t="s">
        <v>145</v>
      </c>
      <c r="D32" s="6" t="s">
        <v>146</v>
      </c>
      <c r="E32" s="6" t="s">
        <v>147</v>
      </c>
    </row>
    <row r="33" spans="1:17" ht="25.5" customHeight="1">
      <c r="A33" s="85" t="s">
        <v>148</v>
      </c>
      <c r="B33" s="8">
        <f>IF(COUNTIF(lst_carga,C29)=0,"ND",INDEX(rng_carga,MATCH(C29,lst_carga,0),3))</f>
        <v>5</v>
      </c>
      <c r="C33" s="8">
        <f>IF(COUNTIF(lst_carga,C29)=0,"ND",INDEX(rng_carga,MATCH(C29,lst_carga,0),4))</f>
        <v>7</v>
      </c>
      <c r="D33" s="9">
        <f>IF(OR(NOT(ISNUMBER(B33)),NOT(ISNUMBER(v_peso))),"ND",B33*v_peso)</f>
        <v>290</v>
      </c>
      <c r="E33" s="9">
        <f>IF(OR(NOT(ISNUMBER(C33)),NOT(ISNUMBER(v_peso))),"ND",C33*v_peso)</f>
        <v>406</v>
      </c>
    </row>
    <row r="34" spans="1:17" ht="25.5" customHeight="1">
      <c r="A34" s="85" t="s">
        <v>149</v>
      </c>
      <c r="B34" s="8">
        <f>IF(COUNTIF(lst_carga,C29)=0,"ND",INDEX(rng_carga,MATCH(C29,lst_carga,0),5))</f>
        <v>1.2</v>
      </c>
      <c r="C34" s="8">
        <f>IF(COUNTIF(lst_carga,C29)=0,"ND",INDEX(rng_carga,MATCH(C29,lst_carga,0),6))</f>
        <v>1.6</v>
      </c>
      <c r="D34" s="9">
        <f>IF(OR(NOT(ISNUMBER(B34)),NOT(ISNUMBER(v_peso))),"ND",B34*v_peso)</f>
        <v>69.599999999999994</v>
      </c>
      <c r="E34" s="9">
        <f>IF(OR(NOT(ISNUMBER(C34)),NOT(ISNUMBER(v_peso))),"ND",C34*v_peso)</f>
        <v>92.800000000000011</v>
      </c>
    </row>
    <row r="35" spans="1:17">
      <c r="A35" s="76" t="s">
        <v>150</v>
      </c>
      <c r="B35" s="77"/>
      <c r="C35" s="77"/>
      <c r="D35" s="77"/>
      <c r="E35" s="77"/>
      <c r="F35" s="77"/>
      <c r="G35" s="77"/>
      <c r="H35" s="77"/>
      <c r="I35" s="77"/>
      <c r="J35" s="77"/>
      <c r="K35" s="77"/>
      <c r="L35" s="77"/>
      <c r="M35" s="77"/>
      <c r="N35" s="77"/>
      <c r="O35" s="77"/>
      <c r="P35" s="77"/>
      <c r="Q35" s="78"/>
    </row>
    <row r="36" spans="1:17">
      <c r="A36" s="79"/>
      <c r="B36" s="80"/>
      <c r="C36" s="80"/>
      <c r="D36" s="80"/>
      <c r="E36" s="80"/>
      <c r="F36" s="80"/>
      <c r="G36" s="80"/>
      <c r="H36" s="80"/>
      <c r="I36" s="80"/>
      <c r="J36" s="80"/>
      <c r="K36" s="80"/>
      <c r="L36" s="80"/>
      <c r="M36" s="80"/>
      <c r="N36" s="80"/>
      <c r="O36" s="80"/>
      <c r="P36" s="80"/>
      <c r="Q36" s="81"/>
    </row>
    <row r="37" spans="1:17">
      <c r="A37" s="82"/>
      <c r="B37" s="83"/>
      <c r="C37" s="83"/>
      <c r="D37" s="83"/>
      <c r="E37" s="83"/>
      <c r="F37" s="83"/>
      <c r="G37" s="83"/>
      <c r="H37" s="83"/>
      <c r="I37" s="83"/>
      <c r="J37" s="83"/>
      <c r="K37" s="83"/>
      <c r="L37" s="83"/>
      <c r="M37" s="83"/>
      <c r="N37" s="83"/>
      <c r="O37" s="83"/>
      <c r="P37" s="83"/>
      <c r="Q37" s="84"/>
    </row>
  </sheetData>
  <sheetProtection algorithmName="SHA-512" hashValue="TcaYQsdEdmpzuU4fmDDjcSQ4OnDOKahEvT+POH/tP1j1o3PcOv9hsKIlC5aqsjJRXR2w9tU55q66fvpq08Dcqw==" saltValue="6Jz7Q1IgZKX4HkNRg9xBCA==" spinCount="100000" sheet="1" objects="1" scenarios="1"/>
  <protectedRanges>
    <protectedRange sqref="A8:J21" name="Rango2"/>
    <protectedRange sqref="A8:H21" name="Rango1"/>
  </protectedRanges>
  <mergeCells count="33">
    <mergeCell ref="H7:J7"/>
    <mergeCell ref="A2:Q3"/>
    <mergeCell ref="C26:K26"/>
    <mergeCell ref="A27:B27"/>
    <mergeCell ref="A1:Q1"/>
    <mergeCell ref="C29:K29"/>
    <mergeCell ref="A4:B4"/>
    <mergeCell ref="H8:J8"/>
    <mergeCell ref="H9:J9"/>
    <mergeCell ref="H10:J10"/>
    <mergeCell ref="H11:J11"/>
    <mergeCell ref="H12:J12"/>
    <mergeCell ref="H13:J13"/>
    <mergeCell ref="H14:J14"/>
    <mergeCell ref="H15:J15"/>
    <mergeCell ref="H16:J16"/>
    <mergeCell ref="H17:J17"/>
    <mergeCell ref="A31:Q31"/>
    <mergeCell ref="A26:B26"/>
    <mergeCell ref="A35:Q37"/>
    <mergeCell ref="A6:Q6"/>
    <mergeCell ref="C25:K25"/>
    <mergeCell ref="A29:B29"/>
    <mergeCell ref="C27:K27"/>
    <mergeCell ref="A25:B25"/>
    <mergeCell ref="C28:K28"/>
    <mergeCell ref="A22:C22"/>
    <mergeCell ref="A24:Q24"/>
    <mergeCell ref="A28:B28"/>
    <mergeCell ref="H18:J18"/>
    <mergeCell ref="H19:J19"/>
    <mergeCell ref="H20:J20"/>
    <mergeCell ref="H21:J21"/>
  </mergeCells>
  <pageMargins left="0.75" right="0.75" top="1" bottom="1" header="0.5" footer="0.5"/>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7E0F5"/>
  </sheetPr>
  <dimension ref="A1:Q24"/>
  <sheetViews>
    <sheetView showGridLines="0" workbookViewId="0">
      <selection activeCell="A21" sqref="A21:Q24"/>
    </sheetView>
  </sheetViews>
  <sheetFormatPr baseColWidth="10" defaultColWidth="9.140625" defaultRowHeight="15"/>
  <cols>
    <col min="1" max="1" width="23.5703125" customWidth="1"/>
    <col min="2" max="2" width="24.2851562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151</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22" t="str">
        <f>HYPERLINK("#INICIO!A1","▶  VOLVER A INICIO")</f>
        <v>▶  VOLVER A INICIO</v>
      </c>
      <c r="B4" s="37"/>
    </row>
    <row r="6" spans="1:17" ht="20.100000000000001" customHeight="1">
      <c r="A6" s="23" t="s">
        <v>152</v>
      </c>
      <c r="B6" s="36"/>
      <c r="C6" s="36"/>
      <c r="D6" s="36"/>
      <c r="E6" s="36"/>
      <c r="F6" s="36"/>
      <c r="G6" s="36"/>
      <c r="H6" s="36"/>
      <c r="I6" s="36"/>
      <c r="J6" s="36"/>
      <c r="K6" s="36"/>
      <c r="L6" s="36"/>
      <c r="M6" s="36"/>
      <c r="N6" s="36"/>
      <c r="O6" s="36"/>
      <c r="P6" s="36"/>
      <c r="Q6" s="37"/>
    </row>
    <row r="7" spans="1:17" ht="18" customHeight="1">
      <c r="A7" s="26" t="s">
        <v>153</v>
      </c>
      <c r="B7" s="37"/>
      <c r="C7" s="35">
        <v>58</v>
      </c>
      <c r="D7" s="36"/>
      <c r="E7" s="36"/>
      <c r="F7" s="36"/>
      <c r="G7" s="36"/>
      <c r="H7" s="36"/>
      <c r="I7" s="36"/>
      <c r="J7" s="36"/>
      <c r="K7" s="37"/>
      <c r="L7" s="49" t="s">
        <v>154</v>
      </c>
      <c r="M7" s="38"/>
      <c r="N7" s="38"/>
      <c r="O7" s="38"/>
      <c r="P7" s="38"/>
      <c r="Q7" s="38"/>
    </row>
    <row r="8" spans="1:17" ht="18" customHeight="1">
      <c r="A8" s="26" t="s">
        <v>155</v>
      </c>
      <c r="B8" s="37"/>
      <c r="C8" s="35">
        <v>1.68</v>
      </c>
      <c r="D8" s="36"/>
      <c r="E8" s="36"/>
      <c r="F8" s="36"/>
      <c r="G8" s="36"/>
      <c r="H8" s="36"/>
      <c r="I8" s="36"/>
      <c r="J8" s="36"/>
      <c r="K8" s="37"/>
      <c r="L8" s="49" t="s">
        <v>156</v>
      </c>
      <c r="M8" s="38"/>
      <c r="N8" s="38"/>
      <c r="O8" s="38"/>
      <c r="P8" s="38"/>
      <c r="Q8" s="38"/>
    </row>
    <row r="9" spans="1:17" ht="18" customHeight="1">
      <c r="A9" s="26" t="s">
        <v>157</v>
      </c>
      <c r="B9" s="37"/>
      <c r="C9" s="35">
        <v>18</v>
      </c>
      <c r="D9" s="36"/>
      <c r="E9" s="36"/>
      <c r="F9" s="36"/>
      <c r="G9" s="36"/>
      <c r="H9" s="36"/>
      <c r="I9" s="36"/>
      <c r="J9" s="36"/>
      <c r="K9" s="37"/>
      <c r="L9" s="49" t="s">
        <v>158</v>
      </c>
      <c r="M9" s="38"/>
      <c r="N9" s="38"/>
      <c r="O9" s="38"/>
      <c r="P9" s="38"/>
      <c r="Q9" s="38"/>
    </row>
    <row r="10" spans="1:17" ht="18" customHeight="1">
      <c r="A10" s="26" t="s">
        <v>159</v>
      </c>
      <c r="B10" s="37"/>
      <c r="C10" s="35" t="s">
        <v>160</v>
      </c>
      <c r="D10" s="36"/>
      <c r="E10" s="36"/>
      <c r="F10" s="36"/>
      <c r="G10" s="36"/>
      <c r="H10" s="36"/>
      <c r="I10" s="36"/>
      <c r="J10" s="36"/>
      <c r="K10" s="37"/>
    </row>
    <row r="11" spans="1:17" ht="18" customHeight="1">
      <c r="A11" s="26" t="s">
        <v>161</v>
      </c>
      <c r="B11" s="37"/>
      <c r="C11" s="35">
        <v>60.5</v>
      </c>
      <c r="D11" s="36"/>
      <c r="E11" s="36"/>
      <c r="F11" s="36"/>
      <c r="G11" s="36"/>
      <c r="H11" s="36"/>
      <c r="I11" s="36"/>
      <c r="J11" s="36"/>
      <c r="K11" s="37"/>
      <c r="L11" s="49" t="s">
        <v>162</v>
      </c>
      <c r="M11" s="38"/>
      <c r="N11" s="38"/>
      <c r="O11" s="38"/>
      <c r="P11" s="38"/>
      <c r="Q11" s="38"/>
    </row>
    <row r="12" spans="1:17" ht="18" customHeight="1">
      <c r="A12" s="26" t="s">
        <v>163</v>
      </c>
      <c r="B12" s="37"/>
      <c r="C12" s="35">
        <v>57</v>
      </c>
      <c r="D12" s="36"/>
      <c r="E12" s="36"/>
      <c r="F12" s="36"/>
      <c r="G12" s="36"/>
      <c r="H12" s="36"/>
      <c r="I12" s="36"/>
      <c r="J12" s="36"/>
      <c r="K12" s="37"/>
      <c r="L12" s="49" t="s">
        <v>164</v>
      </c>
      <c r="M12" s="38"/>
      <c r="N12" s="38"/>
      <c r="O12" s="38"/>
      <c r="P12" s="38"/>
      <c r="Q12" s="38"/>
    </row>
    <row r="14" spans="1:17" ht="20.100000000000001" customHeight="1">
      <c r="A14" s="23" t="s">
        <v>165</v>
      </c>
      <c r="B14" s="36"/>
      <c r="C14" s="36"/>
      <c r="D14" s="36"/>
      <c r="E14" s="36"/>
      <c r="F14" s="36"/>
      <c r="G14" s="36"/>
      <c r="H14" s="36"/>
      <c r="I14" s="36"/>
      <c r="J14" s="36"/>
      <c r="K14" s="36"/>
      <c r="L14" s="36"/>
      <c r="M14" s="36"/>
      <c r="N14" s="36"/>
      <c r="O14" s="36"/>
      <c r="P14" s="36"/>
      <c r="Q14" s="37"/>
    </row>
    <row r="15" spans="1:17" ht="18" customHeight="1">
      <c r="A15" s="26" t="s">
        <v>166</v>
      </c>
      <c r="B15" s="37"/>
      <c r="C15" s="47">
        <f>IF(OR(NOT(ISNUMBER(C7)),NOT(ISNUMBER(C8)),C8=0),"ND: faltan peso o talla",C7/(C8^2))</f>
        <v>20.549886621315196</v>
      </c>
      <c r="D15" s="36"/>
      <c r="E15" s="36"/>
      <c r="F15" s="36"/>
      <c r="G15" s="36"/>
      <c r="H15" s="36"/>
      <c r="I15" s="36"/>
      <c r="J15" s="36"/>
      <c r="K15" s="37"/>
    </row>
    <row r="16" spans="1:17" ht="18" customHeight="1">
      <c r="A16" s="26" t="s">
        <v>167</v>
      </c>
      <c r="B16" s="37"/>
      <c r="C16" s="47">
        <f>IF(OR(NOT(ISNUMBER(C7)),NOT(ISNUMBER(C9))),"ND",C7*C9/100)</f>
        <v>10.44</v>
      </c>
      <c r="D16" s="36"/>
      <c r="E16" s="36"/>
      <c r="F16" s="36"/>
      <c r="G16" s="36"/>
      <c r="H16" s="36"/>
      <c r="I16" s="36"/>
      <c r="J16" s="36"/>
      <c r="K16" s="37"/>
    </row>
    <row r="17" spans="1:17" ht="18" customHeight="1">
      <c r="A17" s="26" t="s">
        <v>168</v>
      </c>
      <c r="B17" s="37"/>
      <c r="C17" s="50">
        <f>IF(OR(NOT(ISNUMBER(C7)),NOT(ISNUMBER(C9))),"ND: falta peso o grasa",C7*(1-C9/100))</f>
        <v>47.56</v>
      </c>
      <c r="D17" s="36"/>
      <c r="E17" s="36"/>
      <c r="F17" s="36"/>
      <c r="G17" s="36"/>
      <c r="H17" s="36"/>
      <c r="I17" s="36"/>
      <c r="J17" s="36"/>
      <c r="K17" s="37"/>
    </row>
    <row r="18" spans="1:17" ht="18" customHeight="1">
      <c r="A18" s="26" t="s">
        <v>169</v>
      </c>
      <c r="B18" s="37"/>
      <c r="C18" s="47">
        <f>IF(OR(NOT(ISNUMBER(C7)),NOT(ISNUMBER(C11))),"ND",C7-C11)</f>
        <v>-2.5</v>
      </c>
      <c r="D18" s="36"/>
      <c r="E18" s="36"/>
      <c r="F18" s="36"/>
      <c r="G18" s="36"/>
      <c r="H18" s="36"/>
      <c r="I18" s="36"/>
      <c r="J18" s="36"/>
      <c r="K18" s="37"/>
    </row>
    <row r="19" spans="1:17" ht="18" customHeight="1">
      <c r="A19" s="26" t="s">
        <v>170</v>
      </c>
      <c r="B19" s="37"/>
      <c r="C19" s="51" t="str">
        <f>IF(OR(NOT(ISNUMBER(C7)),NOT(ISNUMBER(C12))),"ND",IF(C7&lt;C12,"ALERTA: el peso actual está por debajo del mínimo acordado con el equipo","El peso actual se mantiene sobre el mínimo acordado"))</f>
        <v>El peso actual se mantiene sobre el mínimo acordado</v>
      </c>
      <c r="D19" s="36"/>
      <c r="E19" s="36"/>
      <c r="F19" s="36"/>
      <c r="G19" s="36"/>
      <c r="H19" s="36"/>
      <c r="I19" s="36"/>
      <c r="J19" s="36"/>
      <c r="K19" s="37"/>
    </row>
    <row r="21" spans="1:17">
      <c r="A21" s="67" t="s">
        <v>171</v>
      </c>
      <c r="B21" s="68"/>
      <c r="C21" s="68"/>
      <c r="D21" s="68"/>
      <c r="E21" s="68"/>
      <c r="F21" s="68"/>
      <c r="G21" s="68"/>
      <c r="H21" s="68"/>
      <c r="I21" s="68"/>
      <c r="J21" s="68"/>
      <c r="K21" s="68"/>
      <c r="L21" s="68"/>
      <c r="M21" s="68"/>
      <c r="N21" s="68"/>
      <c r="O21" s="68"/>
      <c r="P21" s="68"/>
      <c r="Q21" s="69"/>
    </row>
    <row r="22" spans="1:17">
      <c r="A22" s="70"/>
      <c r="B22" s="71"/>
      <c r="C22" s="71"/>
      <c r="D22" s="71"/>
      <c r="E22" s="71"/>
      <c r="F22" s="71"/>
      <c r="G22" s="71"/>
      <c r="H22" s="71"/>
      <c r="I22" s="71"/>
      <c r="J22" s="71"/>
      <c r="K22" s="71"/>
      <c r="L22" s="71"/>
      <c r="M22" s="71"/>
      <c r="N22" s="71"/>
      <c r="O22" s="71"/>
      <c r="P22" s="71"/>
      <c r="Q22" s="72"/>
    </row>
    <row r="23" spans="1:17">
      <c r="A23" s="70"/>
      <c r="B23" s="71"/>
      <c r="C23" s="71"/>
      <c r="D23" s="71"/>
      <c r="E23" s="71"/>
      <c r="F23" s="71"/>
      <c r="G23" s="71"/>
      <c r="H23" s="71"/>
      <c r="I23" s="71"/>
      <c r="J23" s="71"/>
      <c r="K23" s="71"/>
      <c r="L23" s="71"/>
      <c r="M23" s="71"/>
      <c r="N23" s="71"/>
      <c r="O23" s="71"/>
      <c r="P23" s="71"/>
      <c r="Q23" s="72"/>
    </row>
    <row r="24" spans="1:17">
      <c r="A24" s="73"/>
      <c r="B24" s="74"/>
      <c r="C24" s="74"/>
      <c r="D24" s="74"/>
      <c r="E24" s="74"/>
      <c r="F24" s="74"/>
      <c r="G24" s="74"/>
      <c r="H24" s="74"/>
      <c r="I24" s="74"/>
      <c r="J24" s="74"/>
      <c r="K24" s="74"/>
      <c r="L24" s="74"/>
      <c r="M24" s="74"/>
      <c r="N24" s="74"/>
      <c r="O24" s="74"/>
      <c r="P24" s="74"/>
      <c r="Q24" s="75"/>
    </row>
  </sheetData>
  <sheetProtection algorithmName="SHA-512" hashValue="20Qtep9NPvwICv2PCAFvJoAOjKjxaqN7jAg3e4VpzIGRLiJUp5fJdh0XENTUGqE7Y5afkOEudLjeXDUkJ1X95A==" saltValue="UuwzT6XWBh2NZCbO9Cb9lg==" spinCount="100000" sheet="1" objects="1" scenarios="1"/>
  <protectedRanges>
    <protectedRange sqref="C7:K12" name="Rango1"/>
  </protectedRanges>
  <mergeCells count="33">
    <mergeCell ref="A4:B4"/>
    <mergeCell ref="A14:Q14"/>
    <mergeCell ref="L7:Q7"/>
    <mergeCell ref="C15:K15"/>
    <mergeCell ref="A19:B19"/>
    <mergeCell ref="A10:B10"/>
    <mergeCell ref="A9:B9"/>
    <mergeCell ref="L12:Q12"/>
    <mergeCell ref="C16:K16"/>
    <mergeCell ref="A15:B15"/>
    <mergeCell ref="C10:K10"/>
    <mergeCell ref="A11:B11"/>
    <mergeCell ref="L11:Q11"/>
    <mergeCell ref="C19:K19"/>
    <mergeCell ref="C18:K18"/>
    <mergeCell ref="A17:B17"/>
    <mergeCell ref="A8:B8"/>
    <mergeCell ref="C9:K9"/>
    <mergeCell ref="A21:Q24"/>
    <mergeCell ref="A2:Q3"/>
    <mergeCell ref="L8:Q8"/>
    <mergeCell ref="A1:Q1"/>
    <mergeCell ref="C12:K12"/>
    <mergeCell ref="A6:Q6"/>
    <mergeCell ref="A16:B16"/>
    <mergeCell ref="C11:K11"/>
    <mergeCell ref="A7:B7"/>
    <mergeCell ref="L9:Q9"/>
    <mergeCell ref="C17:K17"/>
    <mergeCell ref="C8:K8"/>
    <mergeCell ref="A18:B18"/>
    <mergeCell ref="A12:B12"/>
    <mergeCell ref="C7:K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EFF1"/>
  </sheetPr>
  <dimension ref="A1:Q26"/>
  <sheetViews>
    <sheetView showGridLines="0" topLeftCell="A7" workbookViewId="0">
      <selection activeCell="A24" sqref="A24:Q26"/>
    </sheetView>
  </sheetViews>
  <sheetFormatPr baseColWidth="10" defaultColWidth="9.140625" defaultRowHeight="15"/>
  <cols>
    <col min="1" max="1" width="28.28515625" customWidth="1"/>
    <col min="2" max="2" width="26.4257812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172</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22" t="str">
        <f>HYPERLINK("#INICIO!A1","▶  VOLVER A INICIO")</f>
        <v>▶  VOLVER A INICIO</v>
      </c>
      <c r="B4" s="37"/>
    </row>
    <row r="6" spans="1:17" ht="20.100000000000001" customHeight="1">
      <c r="A6" s="23" t="s">
        <v>173</v>
      </c>
      <c r="B6" s="36"/>
      <c r="C6" s="36"/>
      <c r="D6" s="36"/>
      <c r="E6" s="36"/>
      <c r="F6" s="36"/>
      <c r="G6" s="36"/>
      <c r="H6" s="36"/>
      <c r="I6" s="36"/>
      <c r="J6" s="36"/>
      <c r="K6" s="36"/>
      <c r="L6" s="36"/>
      <c r="M6" s="36"/>
      <c r="N6" s="36"/>
      <c r="O6" s="36"/>
      <c r="P6" s="36"/>
      <c r="Q6" s="37"/>
    </row>
    <row r="7" spans="1:17" ht="18" customHeight="1">
      <c r="A7" s="26" t="s">
        <v>174</v>
      </c>
      <c r="B7" s="37"/>
      <c r="C7" s="35" t="s">
        <v>175</v>
      </c>
      <c r="D7" s="36"/>
      <c r="E7" s="36"/>
      <c r="F7" s="36"/>
      <c r="G7" s="36"/>
      <c r="H7" s="36"/>
      <c r="I7" s="36"/>
      <c r="J7" s="36"/>
      <c r="K7" s="37"/>
    </row>
    <row r="8" spans="1:17" ht="18" customHeight="1">
      <c r="A8" s="26" t="s">
        <v>176</v>
      </c>
      <c r="B8" s="37"/>
      <c r="C8" s="35" t="s">
        <v>122</v>
      </c>
      <c r="D8" s="36"/>
      <c r="E8" s="36"/>
      <c r="F8" s="36"/>
      <c r="G8" s="36"/>
      <c r="H8" s="36"/>
      <c r="I8" s="36"/>
      <c r="J8" s="36"/>
      <c r="K8" s="37"/>
    </row>
    <row r="9" spans="1:17" ht="18" customHeight="1">
      <c r="A9" s="26" t="s">
        <v>177</v>
      </c>
      <c r="B9" s="37"/>
      <c r="C9" s="35">
        <v>1.5</v>
      </c>
      <c r="D9" s="36"/>
      <c r="E9" s="36"/>
      <c r="F9" s="36"/>
      <c r="G9" s="36"/>
      <c r="H9" s="36"/>
      <c r="I9" s="36"/>
      <c r="J9" s="36"/>
      <c r="K9" s="37"/>
    </row>
    <row r="10" spans="1:17" ht="18" customHeight="1">
      <c r="A10" s="26" t="s">
        <v>178</v>
      </c>
      <c r="B10" s="37"/>
      <c r="C10" s="35">
        <v>22</v>
      </c>
      <c r="D10" s="36"/>
      <c r="E10" s="36"/>
      <c r="F10" s="36"/>
      <c r="G10" s="36"/>
      <c r="H10" s="36"/>
      <c r="I10" s="36"/>
      <c r="J10" s="36"/>
      <c r="K10" s="37"/>
    </row>
    <row r="11" spans="1:17" ht="18" customHeight="1">
      <c r="A11" s="26" t="s">
        <v>179</v>
      </c>
      <c r="B11" s="37"/>
      <c r="C11" s="35">
        <v>58</v>
      </c>
      <c r="D11" s="36"/>
      <c r="E11" s="36"/>
      <c r="F11" s="36"/>
      <c r="G11" s="36"/>
      <c r="H11" s="36"/>
      <c r="I11" s="36"/>
      <c r="J11" s="36"/>
      <c r="K11" s="37"/>
      <c r="L11" s="49" t="s">
        <v>180</v>
      </c>
      <c r="M11" s="38"/>
      <c r="N11" s="38"/>
      <c r="O11" s="38"/>
      <c r="P11" s="38"/>
      <c r="Q11" s="38"/>
    </row>
    <row r="12" spans="1:17" ht="18" customHeight="1">
      <c r="A12" s="26" t="s">
        <v>181</v>
      </c>
      <c r="B12" s="37"/>
      <c r="C12" s="35">
        <v>57.1</v>
      </c>
      <c r="D12" s="36"/>
      <c r="E12" s="36"/>
      <c r="F12" s="36"/>
      <c r="G12" s="36"/>
      <c r="H12" s="36"/>
      <c r="I12" s="36"/>
      <c r="J12" s="36"/>
      <c r="K12" s="37"/>
      <c r="L12" s="49" t="s">
        <v>182</v>
      </c>
      <c r="M12" s="38"/>
      <c r="N12" s="38"/>
      <c r="O12" s="38"/>
      <c r="P12" s="38"/>
      <c r="Q12" s="38"/>
    </row>
    <row r="13" spans="1:17" ht="18" customHeight="1">
      <c r="A13" s="26" t="s">
        <v>183</v>
      </c>
      <c r="B13" s="37"/>
      <c r="C13" s="35">
        <v>500</v>
      </c>
      <c r="D13" s="36"/>
      <c r="E13" s="36"/>
      <c r="F13" s="36"/>
      <c r="G13" s="36"/>
      <c r="H13" s="36"/>
      <c r="I13" s="36"/>
      <c r="J13" s="36"/>
      <c r="K13" s="37"/>
    </row>
    <row r="14" spans="1:17" ht="18" customHeight="1">
      <c r="A14" s="26" t="s">
        <v>184</v>
      </c>
      <c r="B14" s="37"/>
      <c r="C14" s="35">
        <v>0</v>
      </c>
      <c r="D14" s="36"/>
      <c r="E14" s="36"/>
      <c r="F14" s="36"/>
      <c r="G14" s="36"/>
      <c r="H14" s="36"/>
      <c r="I14" s="36"/>
      <c r="J14" s="36"/>
      <c r="K14" s="37"/>
    </row>
    <row r="16" spans="1:17" ht="20.100000000000001" customHeight="1">
      <c r="A16" s="23" t="s">
        <v>185</v>
      </c>
      <c r="B16" s="36"/>
      <c r="C16" s="36"/>
      <c r="D16" s="36"/>
      <c r="E16" s="36"/>
      <c r="F16" s="36"/>
      <c r="G16" s="36"/>
      <c r="H16" s="36"/>
      <c r="I16" s="36"/>
      <c r="J16" s="36"/>
      <c r="K16" s="36"/>
      <c r="L16" s="36"/>
      <c r="M16" s="36"/>
      <c r="N16" s="36"/>
      <c r="O16" s="36"/>
      <c r="P16" s="36"/>
      <c r="Q16" s="37"/>
    </row>
    <row r="17" spans="1:17" ht="18" customHeight="1">
      <c r="A17" s="26" t="s">
        <v>186</v>
      </c>
      <c r="B17" s="37"/>
      <c r="C17" s="47">
        <f>IF(OR(NOT(ISNUMBER(C11)),NOT(ISNUMBER(C12))),"ND",(C11-C12)*1000)</f>
        <v>899.99999999999864</v>
      </c>
      <c r="D17" s="36"/>
      <c r="E17" s="36"/>
      <c r="F17" s="36"/>
      <c r="G17" s="36"/>
      <c r="H17" s="36"/>
      <c r="I17" s="36"/>
      <c r="J17" s="36"/>
      <c r="K17" s="37"/>
    </row>
    <row r="18" spans="1:17" ht="18" customHeight="1">
      <c r="A18" s="26" t="s">
        <v>187</v>
      </c>
      <c r="B18" s="37"/>
      <c r="C18" s="50">
        <f>IF(OR(NOT(ISNUMBER(C17)),NOT(ISNUMBER(C13)),NOT(ISNUMBER(C9)),C9=0),"ND: faltan datos",(C17+C13-IF(ISNUMBER(C14),C14,0))/C9)</f>
        <v>933.33333333333246</v>
      </c>
      <c r="D18" s="36"/>
      <c r="E18" s="36"/>
      <c r="F18" s="36"/>
      <c r="G18" s="36"/>
      <c r="H18" s="36"/>
      <c r="I18" s="36"/>
      <c r="J18" s="36"/>
      <c r="K18" s="37"/>
    </row>
    <row r="19" spans="1:17" ht="18" customHeight="1">
      <c r="A19" s="26" t="s">
        <v>188</v>
      </c>
      <c r="B19" s="37"/>
      <c r="C19" s="52">
        <f>IF(OR(NOT(ISNUMBER(C11)),NOT(ISNUMBER(C12)),C11=0),"ND",(C11-C12)/C11)</f>
        <v>1.551724137931032E-2</v>
      </c>
      <c r="D19" s="36"/>
      <c r="E19" s="36"/>
      <c r="F19" s="36"/>
      <c r="G19" s="36"/>
      <c r="H19" s="36"/>
      <c r="I19" s="36"/>
      <c r="J19" s="36"/>
      <c r="K19" s="37"/>
    </row>
    <row r="20" spans="1:17" ht="18" customHeight="1">
      <c r="A20" s="26" t="s">
        <v>189</v>
      </c>
      <c r="B20" s="37"/>
      <c r="C20" s="51" t="str">
        <f>IF(NOT(ISNUMBER(C19)),"ND",IF(C19&gt;u_desh,"SOBRE el 2% del peso: nivel que compromete el rendimiento","Bajo el 2% del peso corporal"))</f>
        <v>Bajo el 2% del peso corporal</v>
      </c>
      <c r="D20" s="36"/>
      <c r="E20" s="36"/>
      <c r="F20" s="36"/>
      <c r="G20" s="36"/>
      <c r="H20" s="36"/>
      <c r="I20" s="36"/>
      <c r="J20" s="36"/>
      <c r="K20" s="37"/>
    </row>
    <row r="21" spans="1:17" ht="18" customHeight="1">
      <c r="A21" s="26" t="s">
        <v>190</v>
      </c>
      <c r="B21" s="37"/>
      <c r="C21" s="47" t="str">
        <f>IF(NOT(ISNUMBER(C17)),"ND",TEXT(C17*u_repMin,"0")&amp;" a "&amp;TEXT(C17*u_repMax,"0")&amp;" mL")</f>
        <v>1125 a 1350 mL</v>
      </c>
      <c r="D21" s="36"/>
      <c r="E21" s="36"/>
      <c r="F21" s="36"/>
      <c r="G21" s="36"/>
      <c r="H21" s="36"/>
      <c r="I21" s="36"/>
      <c r="J21" s="36"/>
      <c r="K21" s="37"/>
    </row>
    <row r="22" spans="1:17" ht="18" customHeight="1">
      <c r="A22" s="26" t="s">
        <v>191</v>
      </c>
      <c r="B22" s="37"/>
      <c r="C22" s="47" t="str">
        <f>IF(NOT(ISNUMBER(C18)),"ND",TEXT(C18*0.6,"0")&amp;" a "&amp;TEXT(C18*0.8,"0")&amp;" mL/h")</f>
        <v>560 a 747 mL/h</v>
      </c>
      <c r="D22" s="36"/>
      <c r="E22" s="36"/>
      <c r="F22" s="36"/>
      <c r="G22" s="36"/>
      <c r="H22" s="36"/>
      <c r="I22" s="36"/>
      <c r="J22" s="36"/>
      <c r="K22" s="37"/>
    </row>
    <row r="24" spans="1:17">
      <c r="A24" s="67" t="s">
        <v>192</v>
      </c>
      <c r="B24" s="68"/>
      <c r="C24" s="68"/>
      <c r="D24" s="68"/>
      <c r="E24" s="68"/>
      <c r="F24" s="68"/>
      <c r="G24" s="68"/>
      <c r="H24" s="68"/>
      <c r="I24" s="68"/>
      <c r="J24" s="68"/>
      <c r="K24" s="68"/>
      <c r="L24" s="68"/>
      <c r="M24" s="68"/>
      <c r="N24" s="68"/>
      <c r="O24" s="68"/>
      <c r="P24" s="68"/>
      <c r="Q24" s="69"/>
    </row>
    <row r="25" spans="1:17">
      <c r="A25" s="70"/>
      <c r="B25" s="71"/>
      <c r="C25" s="71"/>
      <c r="D25" s="71"/>
      <c r="E25" s="71"/>
      <c r="F25" s="71"/>
      <c r="G25" s="71"/>
      <c r="H25" s="71"/>
      <c r="I25" s="71"/>
      <c r="J25" s="71"/>
      <c r="K25" s="71"/>
      <c r="L25" s="71"/>
      <c r="M25" s="71"/>
      <c r="N25" s="71"/>
      <c r="O25" s="71"/>
      <c r="P25" s="71"/>
      <c r="Q25" s="72"/>
    </row>
    <row r="26" spans="1:17">
      <c r="A26" s="73"/>
      <c r="B26" s="74"/>
      <c r="C26" s="74"/>
      <c r="D26" s="74"/>
      <c r="E26" s="74"/>
      <c r="F26" s="74"/>
      <c r="G26" s="74"/>
      <c r="H26" s="74"/>
      <c r="I26" s="74"/>
      <c r="J26" s="74"/>
      <c r="K26" s="74"/>
      <c r="L26" s="74"/>
      <c r="M26" s="74"/>
      <c r="N26" s="74"/>
      <c r="O26" s="74"/>
      <c r="P26" s="74"/>
      <c r="Q26" s="75"/>
    </row>
  </sheetData>
  <sheetProtection algorithmName="SHA-512" hashValue="ZLiviBD8tx6xJFur0jvkaiCHFbf+cI7u2/2LbTkBPpMU4UCZsfh9ooO9bBGwsN72HSGqg9PDs0ktYCf/gzDu6g==" saltValue="TlZ+lG3ZOu8TZz8csiULGQ==" spinCount="100000" sheet="1" objects="1" scenarios="1"/>
  <protectedRanges>
    <protectedRange sqref="C7:K14" name="Rango1"/>
  </protectedRanges>
  <mergeCells count="36">
    <mergeCell ref="C20:K20"/>
    <mergeCell ref="A13:B13"/>
    <mergeCell ref="A9:B9"/>
    <mergeCell ref="L12:Q12"/>
    <mergeCell ref="A24:Q26"/>
    <mergeCell ref="C12:K12"/>
    <mergeCell ref="C22:K22"/>
    <mergeCell ref="C9:K9"/>
    <mergeCell ref="A22:B22"/>
    <mergeCell ref="A20:B20"/>
    <mergeCell ref="A19:B19"/>
    <mergeCell ref="A1:Q1"/>
    <mergeCell ref="C21:K21"/>
    <mergeCell ref="A6:Q6"/>
    <mergeCell ref="C11:K11"/>
    <mergeCell ref="A7:B7"/>
    <mergeCell ref="A16:Q16"/>
    <mergeCell ref="C17:K17"/>
    <mergeCell ref="C8:K8"/>
    <mergeCell ref="A18:B18"/>
    <mergeCell ref="A12:B12"/>
    <mergeCell ref="C7:K7"/>
    <mergeCell ref="A21:B21"/>
    <mergeCell ref="L11:Q11"/>
    <mergeCell ref="C19:K19"/>
    <mergeCell ref="C10:K10"/>
    <mergeCell ref="A11:B11"/>
    <mergeCell ref="A2:Q3"/>
    <mergeCell ref="C13:K13"/>
    <mergeCell ref="C18:K18"/>
    <mergeCell ref="A14:B14"/>
    <mergeCell ref="A17:B17"/>
    <mergeCell ref="A8:B8"/>
    <mergeCell ref="A4:B4"/>
    <mergeCell ref="C14:K14"/>
    <mergeCell ref="A10:B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BE4D5"/>
  </sheetPr>
  <dimension ref="A1:Q31"/>
  <sheetViews>
    <sheetView showGridLines="0" topLeftCell="A7" zoomScaleNormal="100" workbookViewId="0">
      <selection activeCell="E20" sqref="E20"/>
    </sheetView>
  </sheetViews>
  <sheetFormatPr baseColWidth="10" defaultColWidth="9.140625" defaultRowHeight="15"/>
  <cols>
    <col min="1" max="1" width="23.28515625" customWidth="1"/>
    <col min="2" max="2" width="22.28515625" customWidth="1"/>
    <col min="3" max="3" width="31.5703125" customWidth="1"/>
    <col min="4" max="4" width="13.42578125" bestFit="1" customWidth="1"/>
    <col min="5" max="5" width="22.5703125" customWidth="1"/>
    <col min="6" max="6" width="10" customWidth="1"/>
    <col min="7" max="7" width="23.42578125" customWidth="1"/>
    <col min="8" max="8" width="22.5703125" customWidth="1"/>
    <col min="9" max="9" width="18" customWidth="1"/>
    <col min="10" max="10" width="38.140625" bestFit="1" customWidth="1"/>
    <col min="11" max="11" width="15.425781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193</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22" t="str">
        <f>HYPERLINK("#INICIO!A1","▶  VOLVER A INICIO")</f>
        <v>▶  VOLVER A INICIO</v>
      </c>
      <c r="B4" s="37"/>
    </row>
    <row r="6" spans="1:17" ht="15" customHeight="1">
      <c r="A6" s="98" t="s">
        <v>194</v>
      </c>
      <c r="B6" s="99"/>
      <c r="C6" s="99"/>
      <c r="D6" s="99"/>
      <c r="E6" s="99"/>
      <c r="F6" s="99"/>
      <c r="G6" s="99"/>
      <c r="H6" s="99"/>
      <c r="I6" s="99"/>
      <c r="J6" s="99"/>
    </row>
    <row r="7" spans="1:17">
      <c r="A7" s="100"/>
      <c r="B7" s="101"/>
      <c r="C7" s="101"/>
      <c r="D7" s="101"/>
      <c r="E7" s="101"/>
      <c r="F7" s="101"/>
      <c r="G7" s="101"/>
      <c r="H7" s="101"/>
      <c r="I7" s="101"/>
      <c r="J7" s="101"/>
    </row>
    <row r="8" spans="1:17">
      <c r="A8" s="100"/>
      <c r="B8" s="101"/>
      <c r="C8" s="101"/>
      <c r="D8" s="101"/>
      <c r="E8" s="101"/>
      <c r="F8" s="101"/>
      <c r="G8" s="101"/>
      <c r="H8" s="101"/>
      <c r="I8" s="101"/>
      <c r="J8" s="101"/>
    </row>
    <row r="9" spans="1:17">
      <c r="A9" s="102"/>
      <c r="B9" s="103"/>
      <c r="C9" s="103"/>
      <c r="D9" s="103"/>
      <c r="E9" s="103"/>
      <c r="F9" s="103"/>
      <c r="G9" s="103"/>
      <c r="H9" s="103"/>
      <c r="I9" s="103"/>
      <c r="J9" s="103"/>
    </row>
    <row r="11" spans="1:17" ht="20.100000000000001" customHeight="1">
      <c r="A11" s="23" t="s">
        <v>195</v>
      </c>
      <c r="B11" s="36"/>
      <c r="C11" s="36"/>
      <c r="D11" s="36"/>
      <c r="E11" s="36"/>
      <c r="F11" s="36"/>
      <c r="G11" s="36"/>
      <c r="H11" s="36"/>
      <c r="I11" s="36"/>
      <c r="J11" s="36"/>
      <c r="K11" s="36"/>
      <c r="L11" s="36"/>
      <c r="M11" s="36"/>
      <c r="N11" s="36"/>
      <c r="O11" s="36"/>
      <c r="P11" s="36"/>
      <c r="Q11" s="37"/>
    </row>
    <row r="12" spans="1:17" ht="44.1" customHeight="1">
      <c r="A12" s="18" t="s">
        <v>196</v>
      </c>
      <c r="B12" s="18" t="s">
        <v>197</v>
      </c>
      <c r="C12" s="18" t="s">
        <v>198</v>
      </c>
      <c r="D12" s="18" t="s">
        <v>199</v>
      </c>
      <c r="E12" s="18" t="s">
        <v>200</v>
      </c>
      <c r="F12" s="18" t="s">
        <v>201</v>
      </c>
      <c r="G12" s="18" t="s">
        <v>202</v>
      </c>
      <c r="H12" s="18" t="s">
        <v>203</v>
      </c>
      <c r="I12" s="18" t="s">
        <v>204</v>
      </c>
      <c r="J12" s="18" t="s">
        <v>113</v>
      </c>
    </row>
    <row r="13" spans="1:17" ht="21.95" customHeight="1">
      <c r="A13" s="20" t="s">
        <v>205</v>
      </c>
      <c r="B13" s="20" t="s">
        <v>55</v>
      </c>
      <c r="C13" s="20" t="s">
        <v>206</v>
      </c>
      <c r="D13" s="20" t="s">
        <v>207</v>
      </c>
      <c r="E13" s="20" t="s">
        <v>208</v>
      </c>
      <c r="F13" s="20" t="s">
        <v>209</v>
      </c>
      <c r="G13" s="20" t="s">
        <v>210</v>
      </c>
      <c r="H13" s="20" t="s">
        <v>78</v>
      </c>
      <c r="I13" s="20" t="s">
        <v>19</v>
      </c>
      <c r="J13" s="20" t="s">
        <v>211</v>
      </c>
    </row>
    <row r="14" spans="1:17" ht="21.95" customHeight="1">
      <c r="A14" s="20" t="s">
        <v>212</v>
      </c>
      <c r="B14" s="20" t="s">
        <v>55</v>
      </c>
      <c r="C14" s="20" t="s">
        <v>213</v>
      </c>
      <c r="D14" s="20" t="s">
        <v>214</v>
      </c>
      <c r="E14" s="20" t="s">
        <v>215</v>
      </c>
      <c r="F14" s="20" t="s">
        <v>216</v>
      </c>
      <c r="G14" s="20" t="s">
        <v>217</v>
      </c>
      <c r="H14" s="20" t="s">
        <v>78</v>
      </c>
      <c r="I14" s="20" t="s">
        <v>19</v>
      </c>
      <c r="J14" s="20"/>
    </row>
    <row r="15" spans="1:17" ht="21.95" customHeight="1">
      <c r="A15" s="20" t="s">
        <v>218</v>
      </c>
      <c r="B15" s="20" t="s">
        <v>55</v>
      </c>
      <c r="C15" s="20" t="s">
        <v>219</v>
      </c>
      <c r="D15" s="20" t="s">
        <v>220</v>
      </c>
      <c r="E15" s="20" t="s">
        <v>221</v>
      </c>
      <c r="F15" s="20" t="s">
        <v>222</v>
      </c>
      <c r="G15" s="20" t="s">
        <v>217</v>
      </c>
      <c r="H15" s="20" t="s">
        <v>78</v>
      </c>
      <c r="I15" s="20" t="s">
        <v>19</v>
      </c>
      <c r="J15" s="20" t="s">
        <v>223</v>
      </c>
    </row>
    <row r="16" spans="1:17" ht="21.95" customHeight="1">
      <c r="A16" s="20"/>
      <c r="B16" s="20"/>
      <c r="C16" s="20"/>
      <c r="D16" s="20"/>
      <c r="E16" s="20"/>
      <c r="F16" s="20"/>
      <c r="G16" s="20"/>
      <c r="H16" s="20"/>
      <c r="I16" s="20"/>
      <c r="J16" s="20"/>
    </row>
    <row r="17" spans="1:17" ht="21.95" customHeight="1">
      <c r="A17" s="20"/>
      <c r="B17" s="20"/>
      <c r="C17" s="20"/>
      <c r="D17" s="20"/>
      <c r="E17" s="20"/>
      <c r="F17" s="20"/>
      <c r="G17" s="20"/>
      <c r="H17" s="20"/>
      <c r="I17" s="20"/>
      <c r="J17" s="20"/>
    </row>
    <row r="18" spans="1:17" ht="21.95" customHeight="1">
      <c r="A18" s="20"/>
      <c r="B18" s="20"/>
      <c r="C18" s="20"/>
      <c r="D18" s="20"/>
      <c r="E18" s="20"/>
      <c r="F18" s="20"/>
      <c r="G18" s="20"/>
      <c r="H18" s="20"/>
      <c r="I18" s="20"/>
      <c r="J18" s="20"/>
    </row>
    <row r="19" spans="1:17" ht="21.95" customHeight="1">
      <c r="A19" s="20"/>
      <c r="B19" s="20"/>
      <c r="C19" s="20"/>
      <c r="D19" s="20"/>
      <c r="E19" s="20"/>
      <c r="F19" s="20"/>
      <c r="G19" s="20"/>
      <c r="H19" s="20"/>
      <c r="I19" s="20"/>
      <c r="J19" s="20"/>
    </row>
    <row r="20" spans="1:17" ht="21.95" customHeight="1">
      <c r="A20" s="20"/>
      <c r="B20" s="20"/>
      <c r="C20" s="20"/>
      <c r="D20" s="20"/>
      <c r="E20" s="20"/>
      <c r="F20" s="20"/>
      <c r="G20" s="20"/>
      <c r="H20" s="20"/>
      <c r="I20" s="20"/>
      <c r="J20" s="20"/>
    </row>
    <row r="21" spans="1:17" ht="21.95" customHeight="1">
      <c r="A21" s="20"/>
      <c r="B21" s="20"/>
      <c r="C21" s="20"/>
      <c r="D21" s="20"/>
      <c r="E21" s="20"/>
      <c r="F21" s="20"/>
      <c r="G21" s="20"/>
      <c r="H21" s="20"/>
      <c r="I21" s="20"/>
      <c r="J21" s="20"/>
    </row>
    <row r="22" spans="1:17" ht="21.95" customHeight="1">
      <c r="A22" s="20"/>
      <c r="B22" s="20"/>
      <c r="C22" s="20"/>
      <c r="D22" s="20"/>
      <c r="E22" s="20"/>
      <c r="F22" s="20"/>
      <c r="G22" s="20"/>
      <c r="H22" s="20"/>
      <c r="I22" s="20"/>
      <c r="J22" s="20"/>
    </row>
    <row r="24" spans="1:17" ht="20.100000000000001" customHeight="1">
      <c r="A24" s="23" t="s">
        <v>224</v>
      </c>
      <c r="B24" s="36"/>
      <c r="C24" s="36"/>
      <c r="D24" s="36"/>
      <c r="E24" s="36"/>
      <c r="F24" s="36"/>
      <c r="G24" s="36"/>
      <c r="H24" s="36"/>
      <c r="I24" s="36"/>
      <c r="J24" s="36"/>
      <c r="K24" s="36"/>
      <c r="L24" s="36"/>
      <c r="M24" s="36"/>
      <c r="N24" s="36"/>
      <c r="O24" s="36"/>
      <c r="P24" s="36"/>
      <c r="Q24" s="37"/>
    </row>
    <row r="25" spans="1:17" ht="18" customHeight="1">
      <c r="A25" s="26" t="s">
        <v>225</v>
      </c>
      <c r="B25" s="37"/>
      <c r="C25" s="47">
        <f>COUNTIF(A13:A22,"?*")</f>
        <v>3</v>
      </c>
      <c r="D25" s="36"/>
      <c r="E25" s="36"/>
      <c r="F25" s="36"/>
      <c r="G25" s="36"/>
      <c r="H25" s="36"/>
      <c r="I25" s="36"/>
      <c r="J25" s="36"/>
      <c r="K25" s="37"/>
    </row>
    <row r="26" spans="1:17" ht="18" customHeight="1">
      <c r="A26" s="26" t="s">
        <v>226</v>
      </c>
      <c r="B26" s="37"/>
      <c r="C26" s="47">
        <f>COUNTIFS(A13:A22,"?*",H13:H22,"&lt;&gt;Sí")</f>
        <v>0</v>
      </c>
      <c r="D26" s="36"/>
      <c r="E26" s="36"/>
      <c r="F26" s="36"/>
      <c r="G26" s="36"/>
      <c r="H26" s="36"/>
      <c r="I26" s="36"/>
      <c r="J26" s="36"/>
      <c r="K26" s="37"/>
    </row>
    <row r="27" spans="1:17" ht="18" customHeight="1">
      <c r="A27" s="26" t="s">
        <v>227</v>
      </c>
      <c r="B27" s="37"/>
      <c r="C27" s="51" t="str">
        <f>IF(C26=0,"Todos los suplementos registrados cuentan con verificación","ALERTA: "&amp;C26&amp;" suplemento(s) sin verificación registrada frente a la lista de prohibiciones")</f>
        <v>Todos los suplementos registrados cuentan con verificación</v>
      </c>
      <c r="D27" s="36"/>
      <c r="E27" s="36"/>
      <c r="F27" s="36"/>
      <c r="G27" s="36"/>
      <c r="H27" s="36"/>
      <c r="I27" s="36"/>
      <c r="J27" s="36"/>
      <c r="K27" s="37"/>
    </row>
    <row r="29" spans="1:17" ht="15" customHeight="1">
      <c r="A29" s="92" t="s">
        <v>228</v>
      </c>
      <c r="B29" s="93"/>
      <c r="C29" s="93"/>
      <c r="D29" s="93"/>
      <c r="E29" s="93"/>
      <c r="F29" s="93"/>
      <c r="G29" s="93"/>
      <c r="H29" s="93"/>
      <c r="I29" s="93"/>
      <c r="J29" s="93"/>
    </row>
    <row r="30" spans="1:17">
      <c r="A30" s="94"/>
      <c r="B30" s="95"/>
      <c r="C30" s="95"/>
      <c r="D30" s="95"/>
      <c r="E30" s="95"/>
      <c r="F30" s="95"/>
      <c r="G30" s="95"/>
      <c r="H30" s="95"/>
      <c r="I30" s="95"/>
      <c r="J30" s="95"/>
    </row>
    <row r="31" spans="1:17">
      <c r="A31" s="96"/>
      <c r="B31" s="97"/>
      <c r="C31" s="97"/>
      <c r="D31" s="97"/>
      <c r="E31" s="97"/>
      <c r="F31" s="97"/>
      <c r="G31" s="97"/>
      <c r="H31" s="97"/>
      <c r="I31" s="97"/>
      <c r="J31" s="97"/>
    </row>
  </sheetData>
  <sheetProtection algorithmName="SHA-512" hashValue="nnPMAvg6lQfjmwM7ZxO32TkwnkCAu+bsz3kjYXZKYzgy2vpnwpchvWQn8u7iF9dNp3B5xKCbRMcjM/M07J3JHg==" saltValue="xOY0L14879NUh274vheaAA==" spinCount="100000" sheet="1" objects="1" scenarios="1"/>
  <protectedRanges>
    <protectedRange sqref="A13:J22" name="Rango1"/>
  </protectedRanges>
  <mergeCells count="13">
    <mergeCell ref="A1:Q1"/>
    <mergeCell ref="A2:Q3"/>
    <mergeCell ref="C26:K26"/>
    <mergeCell ref="A11:Q11"/>
    <mergeCell ref="A4:B4"/>
    <mergeCell ref="A26:B26"/>
    <mergeCell ref="C25:K25"/>
    <mergeCell ref="C27:K27"/>
    <mergeCell ref="A25:B25"/>
    <mergeCell ref="A27:B27"/>
    <mergeCell ref="A24:Q24"/>
    <mergeCell ref="A29:J31"/>
    <mergeCell ref="A6:J9"/>
  </mergeCells>
  <dataValidations count="1">
    <dataValidation type="list" allowBlank="1" sqref="H13:H22" xr:uid="{00000000-0002-0000-0500-000000000000}">
      <formula1>lst_si</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FF0E3"/>
  </sheetPr>
  <dimension ref="A1:Q30"/>
  <sheetViews>
    <sheetView showGridLines="0" topLeftCell="A6" workbookViewId="0">
      <selection activeCell="A27" sqref="A27:Q30"/>
    </sheetView>
  </sheetViews>
  <sheetFormatPr baseColWidth="10" defaultColWidth="9.140625" defaultRowHeight="15"/>
  <cols>
    <col min="1" max="1" width="37" customWidth="1"/>
    <col min="2" max="2" width="33.710937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229</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39" t="str">
        <f>HYPERLINK("#INICIO!A1","▶  VOLVER A INICIO")</f>
        <v>▶  VOLVER A INICIO</v>
      </c>
      <c r="B4" s="40"/>
      <c r="C4" s="40"/>
      <c r="D4" s="40"/>
      <c r="E4" s="40"/>
    </row>
    <row r="6" spans="1:17" ht="20.100000000000001" customHeight="1">
      <c r="A6" s="23" t="s">
        <v>230</v>
      </c>
      <c r="B6" s="36"/>
      <c r="C6" s="36"/>
      <c r="D6" s="36"/>
      <c r="E6" s="36"/>
      <c r="F6" s="36"/>
      <c r="G6" s="36"/>
      <c r="H6" s="36"/>
      <c r="I6" s="36"/>
      <c r="J6" s="36"/>
      <c r="K6" s="36"/>
      <c r="L6" s="36"/>
      <c r="M6" s="36"/>
      <c r="N6" s="36"/>
      <c r="O6" s="36"/>
      <c r="P6" s="36"/>
      <c r="Q6" s="37"/>
    </row>
    <row r="7" spans="1:17" ht="18" customHeight="1">
      <c r="A7" s="26" t="s">
        <v>231</v>
      </c>
      <c r="B7" s="37"/>
      <c r="C7" s="35">
        <v>1900</v>
      </c>
      <c r="D7" s="36"/>
      <c r="E7" s="36"/>
      <c r="F7" s="36"/>
      <c r="G7" s="36"/>
      <c r="H7" s="36"/>
      <c r="I7" s="36"/>
      <c r="J7" s="36"/>
      <c r="K7" s="37"/>
      <c r="L7" s="49" t="s">
        <v>232</v>
      </c>
      <c r="M7" s="38"/>
      <c r="N7" s="38"/>
      <c r="O7" s="38"/>
      <c r="P7" s="38"/>
      <c r="Q7" s="38"/>
    </row>
    <row r="8" spans="1:17" ht="18" customHeight="1">
      <c r="A8" s="26" t="s">
        <v>233</v>
      </c>
      <c r="B8" s="37"/>
      <c r="C8" s="47">
        <f>v_eee</f>
        <v>551.42857142857144</v>
      </c>
      <c r="D8" s="36"/>
      <c r="E8" s="36"/>
      <c r="F8" s="36"/>
      <c r="G8" s="36"/>
      <c r="H8" s="36"/>
      <c r="I8" s="36"/>
      <c r="J8" s="36"/>
      <c r="K8" s="37"/>
      <c r="L8" s="49" t="s">
        <v>234</v>
      </c>
      <c r="M8" s="38"/>
      <c r="N8" s="38"/>
      <c r="O8" s="38"/>
      <c r="P8" s="38"/>
      <c r="Q8" s="38"/>
    </row>
    <row r="9" spans="1:17" ht="18" customHeight="1">
      <c r="A9" s="26" t="s">
        <v>235</v>
      </c>
      <c r="B9" s="37"/>
      <c r="C9" s="47">
        <f>v_mlg</f>
        <v>47.56</v>
      </c>
      <c r="D9" s="36"/>
      <c r="E9" s="36"/>
      <c r="F9" s="36"/>
      <c r="G9" s="36"/>
      <c r="H9" s="36"/>
      <c r="I9" s="36"/>
      <c r="J9" s="36"/>
      <c r="K9" s="37"/>
      <c r="L9" s="49" t="s">
        <v>236</v>
      </c>
      <c r="M9" s="38"/>
      <c r="N9" s="38"/>
      <c r="O9" s="38"/>
      <c r="P9" s="38"/>
      <c r="Q9" s="38"/>
    </row>
    <row r="10" spans="1:17" ht="21.95" customHeight="1">
      <c r="A10" s="26" t="s">
        <v>237</v>
      </c>
      <c r="B10" s="37"/>
      <c r="C10" s="54">
        <f>IF(OR(NOT(ISNUMBER(C7)),NOT(ISNUMBER(C8)),NOT(ISNUMBER(C9)),C9=0),"ND: faltan ingesta, gasto o masa libre de grasa",(C7-C8)/C9)</f>
        <v>28.355160398894625</v>
      </c>
      <c r="D10" s="36"/>
      <c r="E10" s="36"/>
      <c r="F10" s="36"/>
      <c r="G10" s="36"/>
      <c r="H10" s="36"/>
      <c r="I10" s="36"/>
      <c r="J10" s="36"/>
      <c r="K10" s="37"/>
    </row>
    <row r="11" spans="1:17" ht="18" customHeight="1">
      <c r="A11" s="26" t="s">
        <v>238</v>
      </c>
      <c r="B11" s="37"/>
      <c r="C11" s="55" t="str">
        <f>IF(NOT(ISNUMBER(C10)),"ND",INDEX(rng_DE,MATCH(C10,lim_DE,1),3))</f>
        <v>Baja · riesgo de RED-S</v>
      </c>
      <c r="D11" s="36"/>
      <c r="E11" s="36"/>
      <c r="F11" s="36"/>
      <c r="G11" s="36"/>
      <c r="H11" s="36"/>
      <c r="I11" s="36"/>
      <c r="J11" s="36"/>
      <c r="K11" s="37"/>
    </row>
    <row r="13" spans="1:17" ht="20.100000000000001" customHeight="1">
      <c r="A13" s="23" t="s">
        <v>239</v>
      </c>
      <c r="B13" s="36"/>
      <c r="C13" s="36"/>
      <c r="D13" s="36"/>
      <c r="E13" s="36"/>
      <c r="F13" s="36"/>
      <c r="G13" s="36"/>
      <c r="H13" s="36"/>
      <c r="I13" s="36"/>
      <c r="J13" s="36"/>
      <c r="K13" s="36"/>
      <c r="L13" s="36"/>
      <c r="M13" s="36"/>
      <c r="N13" s="36"/>
      <c r="O13" s="36"/>
      <c r="P13" s="36"/>
      <c r="Q13" s="37"/>
    </row>
    <row r="14" spans="1:17" ht="18" customHeight="1">
      <c r="A14" s="26" t="s">
        <v>240</v>
      </c>
      <c r="B14" s="37"/>
      <c r="C14" s="47" t="str">
        <f>IDENTIFICACION!C34</f>
        <v>No corresponde</v>
      </c>
      <c r="D14" s="36"/>
      <c r="E14" s="36"/>
      <c r="F14" s="36"/>
      <c r="G14" s="36"/>
      <c r="H14" s="36"/>
      <c r="I14" s="36"/>
      <c r="J14" s="36"/>
      <c r="K14" s="37"/>
    </row>
    <row r="15" spans="1:17" ht="18" customHeight="1">
      <c r="A15" s="26" t="s">
        <v>241</v>
      </c>
      <c r="B15" s="37"/>
      <c r="C15" s="35" t="s">
        <v>78</v>
      </c>
      <c r="D15" s="36"/>
      <c r="E15" s="36"/>
      <c r="F15" s="36"/>
      <c r="G15" s="36"/>
      <c r="H15" s="36"/>
      <c r="I15" s="36"/>
      <c r="J15" s="36"/>
      <c r="K15" s="37"/>
    </row>
    <row r="16" spans="1:17" ht="18" customHeight="1">
      <c r="A16" s="26" t="s">
        <v>242</v>
      </c>
      <c r="B16" s="37"/>
      <c r="C16" s="35" t="s">
        <v>78</v>
      </c>
      <c r="D16" s="36"/>
      <c r="E16" s="36"/>
      <c r="F16" s="36"/>
      <c r="G16" s="36"/>
      <c r="H16" s="36"/>
      <c r="I16" s="36"/>
      <c r="J16" s="36"/>
      <c r="K16" s="37"/>
    </row>
    <row r="17" spans="1:17" ht="18" customHeight="1">
      <c r="A17" s="26" t="s">
        <v>243</v>
      </c>
      <c r="B17" s="37"/>
      <c r="C17" s="35" t="s">
        <v>78</v>
      </c>
      <c r="D17" s="36"/>
      <c r="E17" s="36"/>
      <c r="F17" s="36"/>
      <c r="G17" s="36"/>
      <c r="H17" s="36"/>
      <c r="I17" s="36"/>
      <c r="J17" s="36"/>
      <c r="K17" s="37"/>
    </row>
    <row r="18" spans="1:17" ht="18" customHeight="1">
      <c r="A18" s="26" t="s">
        <v>244</v>
      </c>
      <c r="B18" s="37"/>
      <c r="C18" s="35" t="s">
        <v>245</v>
      </c>
      <c r="D18" s="36"/>
      <c r="E18" s="36"/>
      <c r="F18" s="36"/>
      <c r="G18" s="36"/>
      <c r="H18" s="36"/>
      <c r="I18" s="36"/>
      <c r="J18" s="36"/>
      <c r="K18" s="37"/>
    </row>
    <row r="19" spans="1:17" ht="18" customHeight="1">
      <c r="A19" s="26" t="s">
        <v>246</v>
      </c>
      <c r="B19" s="37"/>
      <c r="C19" s="35" t="s">
        <v>78</v>
      </c>
      <c r="D19" s="36"/>
      <c r="E19" s="36"/>
      <c r="F19" s="36"/>
      <c r="G19" s="36"/>
      <c r="H19" s="36"/>
      <c r="I19" s="36"/>
      <c r="J19" s="36"/>
      <c r="K19" s="37"/>
    </row>
    <row r="20" spans="1:17" ht="18" customHeight="1">
      <c r="A20" s="26" t="s">
        <v>247</v>
      </c>
      <c r="B20" s="37"/>
      <c r="C20" s="35" t="s">
        <v>248</v>
      </c>
      <c r="D20" s="36"/>
      <c r="E20" s="36"/>
      <c r="F20" s="36"/>
      <c r="G20" s="36"/>
      <c r="H20" s="36"/>
      <c r="I20" s="36"/>
      <c r="J20" s="36"/>
      <c r="K20" s="37"/>
    </row>
    <row r="21" spans="1:17" ht="18" customHeight="1">
      <c r="A21" s="26" t="s">
        <v>249</v>
      </c>
      <c r="B21" s="37"/>
      <c r="C21" s="35" t="s">
        <v>248</v>
      </c>
      <c r="D21" s="36"/>
      <c r="E21" s="36"/>
      <c r="F21" s="36"/>
      <c r="G21" s="36"/>
      <c r="H21" s="36"/>
      <c r="I21" s="36"/>
      <c r="J21" s="36"/>
      <c r="K21" s="37"/>
    </row>
    <row r="23" spans="1:17" ht="20.100000000000001" customHeight="1">
      <c r="A23" s="23" t="s">
        <v>250</v>
      </c>
      <c r="B23" s="36"/>
      <c r="C23" s="36"/>
      <c r="D23" s="36"/>
      <c r="E23" s="36"/>
      <c r="F23" s="36"/>
      <c r="G23" s="36"/>
      <c r="H23" s="36"/>
      <c r="I23" s="36"/>
      <c r="J23" s="36"/>
      <c r="K23" s="36"/>
      <c r="L23" s="36"/>
      <c r="M23" s="36"/>
      <c r="N23" s="36"/>
      <c r="O23" s="36"/>
      <c r="P23" s="36"/>
      <c r="Q23" s="37"/>
    </row>
    <row r="24" spans="1:17" ht="18" customHeight="1">
      <c r="A24" s="26" t="s">
        <v>251</v>
      </c>
      <c r="B24" s="37"/>
      <c r="C24" s="47">
        <f>COUNTIF(C14:C21,"Sí")</f>
        <v>4</v>
      </c>
      <c r="D24" s="36"/>
      <c r="E24" s="36"/>
      <c r="F24" s="36"/>
      <c r="G24" s="36"/>
      <c r="H24" s="36"/>
      <c r="I24" s="36"/>
      <c r="J24" s="36"/>
      <c r="K24" s="37"/>
    </row>
    <row r="25" spans="1:17" ht="63" customHeight="1">
      <c r="A25" s="26" t="s">
        <v>252</v>
      </c>
      <c r="B25" s="37"/>
      <c r="C25" s="53" t="str">
        <f>IF(NOT(ISNUMBER(C10)),"ND: complete los datos de la estimación",IF(AND(C10&lt;30,C24&gt;=2),"SOSPECHA ALTA de deficiencia energética relativa en el deporte: disponibilidad energética baja acompañada de señales clínicas. Derive a evaluación médica y suspenda cualquier objetivo de reducción de peso.",IF(C10&lt;30,"Disponibilidad energética BAJA: revise la ingesta y la carga antes de cualquier otro objetivo.",IF(C24&gt;=2,"Disponibilidad energética suficiente, pero hay señales clínicas que ameritan estudio.","Sin sospecha evidente en lo evaluado."))))</f>
        <v>SOSPECHA ALTA de deficiencia energética relativa en el deporte: disponibilidad energética baja acompañada de señales clínicas. Derive a evaluación médica y suspenda cualquier objetivo de reducción de peso.</v>
      </c>
      <c r="D25" s="36"/>
      <c r="E25" s="36"/>
      <c r="F25" s="36"/>
      <c r="G25" s="36"/>
      <c r="H25" s="36"/>
      <c r="I25" s="36"/>
      <c r="J25" s="36"/>
      <c r="K25" s="37"/>
    </row>
    <row r="27" spans="1:17">
      <c r="A27" s="76" t="s">
        <v>253</v>
      </c>
      <c r="B27" s="77"/>
      <c r="C27" s="77"/>
      <c r="D27" s="77"/>
      <c r="E27" s="77"/>
      <c r="F27" s="77"/>
      <c r="G27" s="77"/>
      <c r="H27" s="77"/>
      <c r="I27" s="77"/>
      <c r="J27" s="77"/>
      <c r="K27" s="77"/>
      <c r="L27" s="77"/>
      <c r="M27" s="77"/>
      <c r="N27" s="77"/>
      <c r="O27" s="77"/>
      <c r="P27" s="77"/>
      <c r="Q27" s="78"/>
    </row>
    <row r="28" spans="1:17">
      <c r="A28" s="79"/>
      <c r="B28" s="80"/>
      <c r="C28" s="80"/>
      <c r="D28" s="80"/>
      <c r="E28" s="80"/>
      <c r="F28" s="80"/>
      <c r="G28" s="80"/>
      <c r="H28" s="80"/>
      <c r="I28" s="80"/>
      <c r="J28" s="80"/>
      <c r="K28" s="80"/>
      <c r="L28" s="80"/>
      <c r="M28" s="80"/>
      <c r="N28" s="80"/>
      <c r="O28" s="80"/>
      <c r="P28" s="80"/>
      <c r="Q28" s="81"/>
    </row>
    <row r="29" spans="1:17">
      <c r="A29" s="79"/>
      <c r="B29" s="80"/>
      <c r="C29" s="80"/>
      <c r="D29" s="80"/>
      <c r="E29" s="80"/>
      <c r="F29" s="80"/>
      <c r="G29" s="80"/>
      <c r="H29" s="80"/>
      <c r="I29" s="80"/>
      <c r="J29" s="80"/>
      <c r="K29" s="80"/>
      <c r="L29" s="80"/>
      <c r="M29" s="80"/>
      <c r="N29" s="80"/>
      <c r="O29" s="80"/>
      <c r="P29" s="80"/>
      <c r="Q29" s="81"/>
    </row>
    <row r="30" spans="1:17">
      <c r="A30" s="82"/>
      <c r="B30" s="83"/>
      <c r="C30" s="83"/>
      <c r="D30" s="83"/>
      <c r="E30" s="83"/>
      <c r="F30" s="83"/>
      <c r="G30" s="83"/>
      <c r="H30" s="83"/>
      <c r="I30" s="83"/>
      <c r="J30" s="83"/>
      <c r="K30" s="83"/>
      <c r="L30" s="83"/>
      <c r="M30" s="83"/>
      <c r="N30" s="83"/>
      <c r="O30" s="83"/>
      <c r="P30" s="83"/>
      <c r="Q30" s="84"/>
    </row>
  </sheetData>
  <sheetProtection algorithmName="SHA-512" hashValue="vE0CEm+exXTtoc9ots0VdALxB4HbtOblQVOg+kYj69ummKztu0JFIeP4iA1MLHVQCDGIXrvxyvFNb610LDVbrw==" saltValue="kzCSMVKUssdk6380C5hZtA==" spinCount="100000" sheet="1" objects="1" scenarios="1"/>
  <protectedRanges>
    <protectedRange sqref="C15:K21" name="Rango2"/>
    <protectedRange sqref="C7" name="Rango1"/>
  </protectedRanges>
  <mergeCells count="40">
    <mergeCell ref="A4:E4"/>
    <mergeCell ref="A27:Q30"/>
    <mergeCell ref="A6:Q6"/>
    <mergeCell ref="A16:B16"/>
    <mergeCell ref="C11:K11"/>
    <mergeCell ref="A7:B7"/>
    <mergeCell ref="A25:B25"/>
    <mergeCell ref="L9:Q9"/>
    <mergeCell ref="C17:K17"/>
    <mergeCell ref="C8:K8"/>
    <mergeCell ref="A18:B18"/>
    <mergeCell ref="C7:K7"/>
    <mergeCell ref="A21:B21"/>
    <mergeCell ref="C19:K19"/>
    <mergeCell ref="C18:K18"/>
    <mergeCell ref="A14:B14"/>
    <mergeCell ref="A17:B17"/>
    <mergeCell ref="C9:K9"/>
    <mergeCell ref="A2:Q3"/>
    <mergeCell ref="L8:Q8"/>
    <mergeCell ref="A1:Q1"/>
    <mergeCell ref="C21:K21"/>
    <mergeCell ref="A8:B8"/>
    <mergeCell ref="A20:B20"/>
    <mergeCell ref="L7:Q7"/>
    <mergeCell ref="C15:K15"/>
    <mergeCell ref="A19:B19"/>
    <mergeCell ref="C14:K14"/>
    <mergeCell ref="A10:B10"/>
    <mergeCell ref="A9:B9"/>
    <mergeCell ref="C20:K20"/>
    <mergeCell ref="A13:Q13"/>
    <mergeCell ref="C16:K16"/>
    <mergeCell ref="A24:B24"/>
    <mergeCell ref="C25:K25"/>
    <mergeCell ref="A15:B15"/>
    <mergeCell ref="C10:K10"/>
    <mergeCell ref="A11:B11"/>
    <mergeCell ref="A23:Q23"/>
    <mergeCell ref="C24:K24"/>
  </mergeCells>
  <dataValidations count="1">
    <dataValidation type="list" allowBlank="1" sqref="C15:C21" xr:uid="{00000000-0002-0000-0600-000000000000}">
      <formula1>lst_si</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FF0E3"/>
  </sheetPr>
  <dimension ref="A1:Q46"/>
  <sheetViews>
    <sheetView showGridLines="0" topLeftCell="A18" workbookViewId="0">
      <selection activeCell="O18" sqref="O18"/>
    </sheetView>
  </sheetViews>
  <sheetFormatPr baseColWidth="10" defaultColWidth="9.140625" defaultRowHeight="15"/>
  <cols>
    <col min="1" max="1" width="32" customWidth="1"/>
    <col min="2" max="2" width="29.140625" customWidth="1"/>
    <col min="3" max="3" width="20.140625" customWidth="1"/>
    <col min="4" max="5" width="11" customWidth="1"/>
    <col min="6" max="7" width="10" customWidth="1"/>
    <col min="8" max="8" width="9.85546875" customWidth="1"/>
    <col min="9" max="9" width="10" customWidth="1"/>
    <col min="10" max="10" width="11.28515625" customWidth="1"/>
    <col min="11" max="11" width="26.1406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254</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39" t="str">
        <f>HYPERLINK("#INICIO!A1","▶  VOLVER A INICIO")</f>
        <v>▶  VOLVER A INICIO</v>
      </c>
      <c r="B4" s="40"/>
      <c r="C4" s="40"/>
      <c r="D4" s="40"/>
      <c r="E4" s="40"/>
      <c r="F4" s="40"/>
    </row>
    <row r="6" spans="1:17" ht="20.100000000000001" customHeight="1">
      <c r="A6" s="23" t="s">
        <v>255</v>
      </c>
      <c r="B6" s="36"/>
      <c r="C6" s="36"/>
      <c r="D6" s="36"/>
      <c r="E6" s="36"/>
      <c r="F6" s="36"/>
      <c r="G6" s="36"/>
      <c r="H6" s="36"/>
      <c r="I6" s="36"/>
      <c r="J6" s="36"/>
      <c r="K6" s="36"/>
      <c r="L6" s="36"/>
      <c r="M6" s="36"/>
      <c r="N6" s="36"/>
      <c r="O6" s="36"/>
      <c r="P6" s="36"/>
      <c r="Q6" s="37"/>
    </row>
    <row r="7" spans="1:17" ht="30" customHeight="1">
      <c r="A7" s="26" t="s">
        <v>256</v>
      </c>
      <c r="B7" s="37"/>
      <c r="C7" s="47" t="str">
        <f>"Disciplina: "&amp;IDENTIFICACION!C16&amp;" · Nivel: "&amp;IDENTIFICACION!C18&amp;" · Fase: "&amp;IDENTIFICACION!C20</f>
        <v>Disciplina: Atletismo · medio fondo · Nivel: Recreativo · Fase: Competitiva</v>
      </c>
      <c r="D7" s="36"/>
      <c r="E7" s="36"/>
      <c r="F7" s="36"/>
      <c r="G7" s="36"/>
      <c r="H7" s="36"/>
      <c r="I7" s="36"/>
      <c r="J7" s="36"/>
      <c r="K7" s="37"/>
    </row>
    <row r="8" spans="1:17" ht="30" customHeight="1">
      <c r="A8" s="26" t="s">
        <v>257</v>
      </c>
      <c r="B8" s="37"/>
      <c r="C8" s="47" t="str">
        <f>IF(NOT(ISNUMBER(v_horas)),"ND","Carga "&amp;ENTRENAMIENTO!C29&amp;" · "&amp;TEXT(v_horas,"0.0")&amp;" horas semanales · gasto medio "&amp;TEXT(v_eee,"0")&amp;" kcal al día")</f>
        <v>Carga Moderada · 07 horas semanales · gasto medio 551 kcal al día</v>
      </c>
      <c r="D8" s="36"/>
      <c r="E8" s="36"/>
      <c r="F8" s="36"/>
      <c r="G8" s="36"/>
      <c r="H8" s="36"/>
      <c r="I8" s="36"/>
      <c r="J8" s="36"/>
      <c r="K8" s="37"/>
    </row>
    <row r="9" spans="1:17" ht="30" customHeight="1">
      <c r="A9" s="26" t="s">
        <v>5</v>
      </c>
      <c r="B9" s="37"/>
      <c r="C9" s="47" t="str">
        <f>IF(NOT(ISNUMBER(v_mlg)),"ND","Peso "&amp;TEXT(v_peso,"0.0")&amp;" kg · masa libre de grasa "&amp;TEXT(v_mlg,"0.0")&amp;" kg")</f>
        <v>Peso 58 kg · masa libre de grasa 48 kg</v>
      </c>
      <c r="D9" s="36"/>
      <c r="E9" s="36"/>
      <c r="F9" s="36"/>
      <c r="G9" s="36"/>
      <c r="H9" s="36"/>
      <c r="I9" s="36"/>
      <c r="J9" s="36"/>
      <c r="K9" s="37"/>
    </row>
    <row r="10" spans="1:17" ht="30" customHeight="1">
      <c r="A10" s="26" t="s">
        <v>258</v>
      </c>
      <c r="B10" s="37"/>
      <c r="C10" s="47" t="str">
        <f>IF(NOT(ISNUMBER(HIDRATACION!C18)),"ND","Tasa de sudoración "&amp;TEXT(HIDRATACION!C18,"0")&amp;" mL/h · deshidratación en la sesión "&amp;TEXT(HIDRATACION!C19,"0.0%"))</f>
        <v>Tasa de sudoración 933 mL/h · deshidratación en la sesión 02%</v>
      </c>
      <c r="D10" s="36"/>
      <c r="E10" s="36"/>
      <c r="F10" s="36"/>
      <c r="G10" s="36"/>
      <c r="H10" s="36"/>
      <c r="I10" s="36"/>
      <c r="J10" s="36"/>
      <c r="K10" s="37"/>
    </row>
    <row r="11" spans="1:17" ht="30" customHeight="1">
      <c r="A11" s="26" t="s">
        <v>8</v>
      </c>
      <c r="B11" s="37"/>
      <c r="C11" s="47" t="str">
        <f>IF(NOT(ISNUMBER(TAMIZAJE!C10)),"ND",TEXT(TAMIZAJE!C10,"0.0")&amp;" kcal/kg de masa libre de grasa al día · "&amp;TAMIZAJE!C11)</f>
        <v>28 kcal/kg de masa libre de grasa al día · Baja · riesgo de RED-S</v>
      </c>
      <c r="D11" s="36"/>
      <c r="E11" s="36"/>
      <c r="F11" s="36"/>
      <c r="G11" s="36"/>
      <c r="H11" s="36"/>
      <c r="I11" s="36"/>
      <c r="J11" s="36"/>
      <c r="K11" s="37"/>
    </row>
    <row r="12" spans="1:17" ht="41.25" customHeight="1">
      <c r="A12" s="26" t="s">
        <v>259</v>
      </c>
      <c r="B12" s="37"/>
      <c r="C12" s="47" t="str">
        <f>TAMIZAJE!C25</f>
        <v>SOSPECHA ALTA de deficiencia energética relativa en el deporte: disponibilidad energética baja acompañada de señales clínicas. Derive a evaluación médica y suspenda cualquier objetivo de reducción de peso.</v>
      </c>
      <c r="D12" s="36"/>
      <c r="E12" s="36"/>
      <c r="F12" s="36"/>
      <c r="G12" s="36"/>
      <c r="H12" s="36"/>
      <c r="I12" s="36"/>
      <c r="J12" s="36"/>
      <c r="K12" s="37"/>
    </row>
    <row r="14" spans="1:17" ht="20.100000000000001" customHeight="1">
      <c r="A14" s="23" t="s">
        <v>260</v>
      </c>
      <c r="B14" s="36"/>
      <c r="C14" s="36"/>
      <c r="D14" s="36"/>
      <c r="E14" s="36"/>
      <c r="F14" s="36"/>
      <c r="G14" s="36"/>
      <c r="H14" s="36"/>
      <c r="I14" s="36"/>
      <c r="J14" s="36"/>
      <c r="K14" s="36"/>
      <c r="L14" s="36"/>
      <c r="M14" s="36"/>
      <c r="N14" s="36"/>
      <c r="O14" s="36"/>
      <c r="P14" s="36"/>
      <c r="Q14" s="37"/>
    </row>
    <row r="15" spans="1:17" ht="32.1" customHeight="1">
      <c r="A15" s="26" t="s">
        <v>261</v>
      </c>
      <c r="B15" s="37"/>
      <c r="C15" s="35" t="s">
        <v>262</v>
      </c>
      <c r="D15" s="36"/>
      <c r="E15" s="36"/>
      <c r="F15" s="36"/>
      <c r="G15" s="36"/>
      <c r="H15" s="36"/>
      <c r="I15" s="36"/>
      <c r="J15" s="36"/>
      <c r="K15" s="37"/>
    </row>
    <row r="16" spans="1:17" ht="32.1" customHeight="1">
      <c r="A16" s="26" t="s">
        <v>263</v>
      </c>
      <c r="B16" s="37"/>
      <c r="C16" s="35" t="s">
        <v>264</v>
      </c>
      <c r="D16" s="36"/>
      <c r="E16" s="36"/>
      <c r="F16" s="36"/>
      <c r="G16" s="36"/>
      <c r="H16" s="36"/>
      <c r="I16" s="36"/>
      <c r="J16" s="36"/>
      <c r="K16" s="37"/>
    </row>
    <row r="17" spans="1:17" ht="32.1" customHeight="1">
      <c r="A17" s="26" t="s">
        <v>265</v>
      </c>
      <c r="B17" s="37"/>
      <c r="C17" s="35" t="s">
        <v>266</v>
      </c>
      <c r="D17" s="36"/>
      <c r="E17" s="36"/>
      <c r="F17" s="36"/>
      <c r="G17" s="36"/>
      <c r="H17" s="36"/>
      <c r="I17" s="36"/>
      <c r="J17" s="36"/>
      <c r="K17" s="37"/>
    </row>
    <row r="18" spans="1:17" ht="32.1" customHeight="1">
      <c r="A18" s="50" t="s">
        <v>267</v>
      </c>
      <c r="B18" s="37"/>
      <c r="C18" s="56" t="s">
        <v>268</v>
      </c>
      <c r="D18" s="36"/>
      <c r="E18" s="36"/>
      <c r="F18" s="36"/>
      <c r="G18" s="36"/>
      <c r="H18" s="36"/>
      <c r="I18" s="36"/>
      <c r="J18" s="36"/>
      <c r="K18" s="37"/>
    </row>
    <row r="19" spans="1:17" ht="32.1" customHeight="1">
      <c r="A19" s="26" t="s">
        <v>269</v>
      </c>
      <c r="B19" s="37"/>
      <c r="C19" s="35" t="s">
        <v>270</v>
      </c>
      <c r="D19" s="36"/>
      <c r="E19" s="36"/>
      <c r="F19" s="36"/>
      <c r="G19" s="36"/>
      <c r="H19" s="36"/>
      <c r="I19" s="36"/>
      <c r="J19" s="36"/>
      <c r="K19" s="37"/>
    </row>
    <row r="20" spans="1:17" ht="32.1" customHeight="1">
      <c r="A20" s="26" t="s">
        <v>271</v>
      </c>
      <c r="B20" s="37"/>
      <c r="C20" s="35" t="s">
        <v>78</v>
      </c>
      <c r="D20" s="36"/>
      <c r="E20" s="36"/>
      <c r="F20" s="36"/>
      <c r="G20" s="36"/>
      <c r="H20" s="36"/>
      <c r="I20" s="36"/>
      <c r="J20" s="36"/>
      <c r="K20" s="37"/>
    </row>
    <row r="21" spans="1:17" ht="32.1" customHeight="1">
      <c r="A21" s="26" t="s">
        <v>272</v>
      </c>
      <c r="B21" s="37"/>
      <c r="C21" s="35" t="s">
        <v>273</v>
      </c>
      <c r="D21" s="36"/>
      <c r="E21" s="36"/>
      <c r="F21" s="36"/>
      <c r="G21" s="36"/>
      <c r="H21" s="36"/>
      <c r="I21" s="36"/>
      <c r="J21" s="36"/>
      <c r="K21" s="37"/>
    </row>
    <row r="23" spans="1:17" ht="20.100000000000001" customHeight="1">
      <c r="A23" s="23" t="s">
        <v>274</v>
      </c>
      <c r="B23" s="36"/>
      <c r="C23" s="36"/>
      <c r="D23" s="36"/>
      <c r="E23" s="36"/>
      <c r="F23" s="36"/>
      <c r="G23" s="36"/>
      <c r="H23" s="36"/>
      <c r="I23" s="36"/>
      <c r="J23" s="36"/>
      <c r="K23" s="36"/>
      <c r="L23" s="36"/>
      <c r="M23" s="36"/>
      <c r="N23" s="36"/>
      <c r="O23" s="36"/>
      <c r="P23" s="36"/>
      <c r="Q23" s="37"/>
    </row>
    <row r="24" spans="1:17" ht="30" customHeight="1">
      <c r="A24" s="26" t="s">
        <v>275</v>
      </c>
      <c r="B24" s="37"/>
      <c r="C24" s="35" t="s">
        <v>276</v>
      </c>
      <c r="D24" s="36"/>
      <c r="E24" s="36"/>
      <c r="F24" s="36"/>
      <c r="G24" s="36"/>
      <c r="H24" s="36"/>
      <c r="I24" s="36"/>
      <c r="J24" s="36"/>
      <c r="K24" s="37"/>
    </row>
    <row r="25" spans="1:17" ht="30" customHeight="1">
      <c r="A25" s="26" t="s">
        <v>277</v>
      </c>
      <c r="B25" s="37"/>
      <c r="C25" s="35" t="s">
        <v>278</v>
      </c>
      <c r="D25" s="36"/>
      <c r="E25" s="36"/>
      <c r="F25" s="36"/>
      <c r="G25" s="36"/>
      <c r="H25" s="36"/>
      <c r="I25" s="36"/>
      <c r="J25" s="36"/>
      <c r="K25" s="37"/>
    </row>
    <row r="26" spans="1:17" ht="30" customHeight="1">
      <c r="A26" s="26" t="s">
        <v>279</v>
      </c>
      <c r="B26" s="37"/>
      <c r="C26" s="35" t="s">
        <v>280</v>
      </c>
      <c r="D26" s="36"/>
      <c r="E26" s="36"/>
      <c r="F26" s="36"/>
      <c r="G26" s="36"/>
      <c r="H26" s="36"/>
      <c r="I26" s="36"/>
      <c r="J26" s="36"/>
      <c r="K26" s="37"/>
    </row>
    <row r="27" spans="1:17" ht="30" customHeight="1">
      <c r="A27" s="26" t="s">
        <v>281</v>
      </c>
      <c r="B27" s="37"/>
      <c r="C27" s="35" t="s">
        <v>282</v>
      </c>
      <c r="D27" s="36"/>
      <c r="E27" s="36"/>
      <c r="F27" s="36"/>
      <c r="G27" s="36"/>
      <c r="H27" s="36"/>
      <c r="I27" s="36"/>
      <c r="J27" s="36"/>
      <c r="K27" s="37"/>
    </row>
    <row r="28" spans="1:17" ht="30" customHeight="1">
      <c r="A28" s="26" t="s">
        <v>283</v>
      </c>
      <c r="B28" s="37"/>
      <c r="C28" s="35" t="s">
        <v>284</v>
      </c>
      <c r="D28" s="36"/>
      <c r="E28" s="36"/>
      <c r="F28" s="36"/>
      <c r="G28" s="36"/>
      <c r="H28" s="36"/>
      <c r="I28" s="36"/>
      <c r="J28" s="36"/>
      <c r="K28" s="37"/>
    </row>
    <row r="29" spans="1:17" ht="30" customHeight="1">
      <c r="A29" s="26" t="s">
        <v>285</v>
      </c>
      <c r="B29" s="37"/>
      <c r="C29" s="35" t="s">
        <v>286</v>
      </c>
      <c r="D29" s="36"/>
      <c r="E29" s="36"/>
      <c r="F29" s="36"/>
      <c r="G29" s="36"/>
      <c r="H29" s="36"/>
      <c r="I29" s="36"/>
      <c r="J29" s="36"/>
      <c r="K29" s="37"/>
    </row>
    <row r="30" spans="1:17" ht="30" customHeight="1">
      <c r="A30" s="26" t="s">
        <v>287</v>
      </c>
      <c r="B30" s="37"/>
      <c r="C30" s="35" t="s">
        <v>288</v>
      </c>
      <c r="D30" s="36"/>
      <c r="E30" s="36"/>
      <c r="F30" s="36"/>
      <c r="G30" s="36"/>
      <c r="H30" s="36"/>
      <c r="I30" s="36"/>
      <c r="J30" s="36"/>
      <c r="K30" s="37"/>
    </row>
    <row r="31" spans="1:17" ht="30" customHeight="1">
      <c r="A31" s="26" t="s">
        <v>289</v>
      </c>
      <c r="B31" s="37"/>
      <c r="C31" s="35" t="s">
        <v>290</v>
      </c>
      <c r="D31" s="36"/>
      <c r="E31" s="36"/>
      <c r="F31" s="36"/>
      <c r="G31" s="36"/>
      <c r="H31" s="36"/>
      <c r="I31" s="36"/>
      <c r="J31" s="36"/>
      <c r="K31" s="37"/>
    </row>
    <row r="32" spans="1:17" ht="30" customHeight="1">
      <c r="A32" s="26" t="s">
        <v>291</v>
      </c>
      <c r="B32" s="37"/>
      <c r="C32" s="35" t="s">
        <v>292</v>
      </c>
      <c r="D32" s="36"/>
      <c r="E32" s="36"/>
      <c r="F32" s="36"/>
      <c r="G32" s="36"/>
      <c r="H32" s="36"/>
      <c r="I32" s="36"/>
      <c r="J32" s="36"/>
      <c r="K32" s="37"/>
    </row>
    <row r="33" spans="1:17" ht="30" customHeight="1">
      <c r="A33" s="26" t="s">
        <v>293</v>
      </c>
      <c r="B33" s="37"/>
      <c r="C33" s="35" t="s">
        <v>294</v>
      </c>
      <c r="D33" s="36"/>
      <c r="E33" s="36"/>
      <c r="F33" s="36"/>
      <c r="G33" s="36"/>
      <c r="H33" s="36"/>
      <c r="I33" s="36"/>
      <c r="J33" s="36"/>
      <c r="K33" s="37"/>
    </row>
    <row r="34" spans="1:17" ht="30" customHeight="1">
      <c r="A34" s="26" t="s">
        <v>295</v>
      </c>
      <c r="B34" s="37"/>
      <c r="C34" s="35" t="s">
        <v>296</v>
      </c>
      <c r="D34" s="36"/>
      <c r="E34" s="36"/>
      <c r="F34" s="36"/>
      <c r="G34" s="36"/>
      <c r="H34" s="36"/>
      <c r="I34" s="36"/>
      <c r="J34" s="36"/>
      <c r="K34" s="37"/>
    </row>
    <row r="36" spans="1:17" ht="20.100000000000001" customHeight="1">
      <c r="A36" s="23" t="s">
        <v>224</v>
      </c>
      <c r="B36" s="36"/>
      <c r="C36" s="36"/>
      <c r="D36" s="36"/>
      <c r="E36" s="36"/>
      <c r="F36" s="36"/>
      <c r="G36" s="36"/>
      <c r="H36" s="36"/>
      <c r="I36" s="36"/>
      <c r="J36" s="36"/>
      <c r="K36" s="36"/>
      <c r="L36" s="36"/>
      <c r="M36" s="36"/>
      <c r="N36" s="36"/>
      <c r="O36" s="36"/>
      <c r="P36" s="36"/>
      <c r="Q36" s="37"/>
    </row>
    <row r="37" spans="1:17" ht="18" customHeight="1">
      <c r="A37" s="26" t="s">
        <v>297</v>
      </c>
      <c r="B37" s="37"/>
      <c r="C37" s="51" t="str">
        <f>IF(IDENTIFICACION!C42="Sí","OK","REVISAR: falta la autorización en la hoja IDENTIFICACIÓN")</f>
        <v>OK</v>
      </c>
      <c r="D37" s="36"/>
      <c r="E37" s="36"/>
      <c r="F37" s="36"/>
      <c r="G37" s="36"/>
      <c r="H37" s="36"/>
      <c r="I37" s="36"/>
      <c r="J37" s="36"/>
      <c r="K37" s="37"/>
    </row>
    <row r="38" spans="1:17" ht="18" customHeight="1">
      <c r="A38" s="26" t="s">
        <v>298</v>
      </c>
      <c r="B38" s="37"/>
      <c r="C38" s="51" t="str">
        <f>IF(AND(ISNUMBER(v_peso),ISNUMBER(v_mlg)),"OK","REVISAR: faltan datos de composición corporal")</f>
        <v>OK</v>
      </c>
      <c r="D38" s="36"/>
      <c r="E38" s="36"/>
      <c r="F38" s="36"/>
      <c r="G38" s="36"/>
      <c r="H38" s="36"/>
      <c r="I38" s="36"/>
      <c r="J38" s="36"/>
      <c r="K38" s="37"/>
    </row>
    <row r="39" spans="1:17" ht="18" customHeight="1">
      <c r="A39" s="26" t="s">
        <v>299</v>
      </c>
      <c r="B39" s="37"/>
      <c r="C39" s="51" t="str">
        <f>IF(SUPLEMENTOS!C26=0,"OK","REVISAR: hay suplementos sin verificación registrada")</f>
        <v>OK</v>
      </c>
      <c r="D39" s="36"/>
      <c r="E39" s="36"/>
      <c r="F39" s="36"/>
      <c r="G39" s="36"/>
      <c r="H39" s="36"/>
      <c r="I39" s="36"/>
      <c r="J39" s="36"/>
      <c r="K39" s="37"/>
    </row>
    <row r="40" spans="1:17" ht="18" customHeight="1">
      <c r="A40" s="26" t="s">
        <v>300</v>
      </c>
      <c r="B40" s="37"/>
      <c r="C40" s="51" t="str">
        <f>IF(OR(C18="",C18="—"),"REVISAR: falta redactar el diagnóstico","OK")</f>
        <v>OK</v>
      </c>
      <c r="D40" s="36"/>
      <c r="E40" s="36"/>
      <c r="F40" s="36"/>
      <c r="G40" s="36"/>
      <c r="H40" s="36"/>
      <c r="I40" s="36"/>
      <c r="J40" s="36"/>
      <c r="K40" s="37"/>
    </row>
    <row r="41" spans="1:17" ht="18" customHeight="1">
      <c r="A41" s="26" t="s">
        <v>301</v>
      </c>
      <c r="B41" s="37"/>
      <c r="C41" s="51" t="str">
        <f>IF(C34="","REVISAR: falta la fecha del próximo control","OK")</f>
        <v>OK</v>
      </c>
      <c r="D41" s="36"/>
      <c r="E41" s="36"/>
      <c r="F41" s="36"/>
      <c r="G41" s="36"/>
      <c r="H41" s="36"/>
      <c r="I41" s="36"/>
      <c r="J41" s="36"/>
      <c r="K41" s="37"/>
    </row>
    <row r="42" spans="1:17" ht="18" customHeight="1">
      <c r="A42" s="26" t="s">
        <v>302</v>
      </c>
      <c r="B42" s="37"/>
      <c r="C42" s="50">
        <f>COUNTIF(C37:C41,"REVISAR*")</f>
        <v>0</v>
      </c>
      <c r="D42" s="36"/>
      <c r="E42" s="36"/>
      <c r="F42" s="36"/>
      <c r="G42" s="36"/>
      <c r="H42" s="36"/>
      <c r="I42" s="36"/>
      <c r="J42" s="36"/>
      <c r="K42" s="37"/>
    </row>
    <row r="44" spans="1:17">
      <c r="A44" s="76" t="s">
        <v>303</v>
      </c>
      <c r="B44" s="77"/>
      <c r="C44" s="77"/>
      <c r="D44" s="77"/>
      <c r="E44" s="77"/>
      <c r="F44" s="77"/>
      <c r="G44" s="77"/>
      <c r="H44" s="77"/>
      <c r="I44" s="77"/>
      <c r="J44" s="77"/>
      <c r="K44" s="77"/>
      <c r="L44" s="77"/>
      <c r="M44" s="77"/>
      <c r="N44" s="77"/>
      <c r="O44" s="77"/>
      <c r="P44" s="77"/>
      <c r="Q44" s="78"/>
    </row>
    <row r="45" spans="1:17">
      <c r="A45" s="79"/>
      <c r="B45" s="80"/>
      <c r="C45" s="80"/>
      <c r="D45" s="80"/>
      <c r="E45" s="80"/>
      <c r="F45" s="80"/>
      <c r="G45" s="80"/>
      <c r="H45" s="80"/>
      <c r="I45" s="80"/>
      <c r="J45" s="80"/>
      <c r="K45" s="80"/>
      <c r="L45" s="80"/>
      <c r="M45" s="80"/>
      <c r="N45" s="80"/>
      <c r="O45" s="80"/>
      <c r="P45" s="80"/>
      <c r="Q45" s="81"/>
    </row>
    <row r="46" spans="1:17">
      <c r="A46" s="82"/>
      <c r="B46" s="83"/>
      <c r="C46" s="83"/>
      <c r="D46" s="83"/>
      <c r="E46" s="83"/>
      <c r="F46" s="83"/>
      <c r="G46" s="83"/>
      <c r="H46" s="83"/>
      <c r="I46" s="83"/>
      <c r="J46" s="83"/>
      <c r="K46" s="83"/>
      <c r="L46" s="83"/>
      <c r="M46" s="83"/>
      <c r="N46" s="83"/>
      <c r="O46" s="83"/>
      <c r="P46" s="83"/>
      <c r="Q46" s="84"/>
    </row>
  </sheetData>
  <sheetProtection algorithmName="SHA-512" hashValue="847nQePQOOjneoe84p032kIxCJcMBpwd4BcTsdL4ehE+AcCFX6PhLPKpM7XOmm33Epy61F7PGJ6F76yyfUuJqA==" saltValue="ZYlV8nyXAOL/orGvQivcxg==" spinCount="100000" sheet="1" objects="1" scenarios="1"/>
  <protectedRanges>
    <protectedRange sqref="C24:K34" name="Rango2"/>
    <protectedRange sqref="C15:K21" name="Rango1"/>
  </protectedRanges>
  <mergeCells count="68">
    <mergeCell ref="A4:F4"/>
    <mergeCell ref="A10:B10"/>
    <mergeCell ref="A9:B9"/>
    <mergeCell ref="C20:K20"/>
    <mergeCell ref="C7:K7"/>
    <mergeCell ref="C18:K18"/>
    <mergeCell ref="A17:B17"/>
    <mergeCell ref="A8:B8"/>
    <mergeCell ref="C9:K9"/>
    <mergeCell ref="A14:Q14"/>
    <mergeCell ref="A20:B20"/>
    <mergeCell ref="C15:K15"/>
    <mergeCell ref="C24:K24"/>
    <mergeCell ref="A19:B19"/>
    <mergeCell ref="C34:K34"/>
    <mergeCell ref="A23:Q23"/>
    <mergeCell ref="C30:K30"/>
    <mergeCell ref="C31:K31"/>
    <mergeCell ref="A25:B25"/>
    <mergeCell ref="C27:K27"/>
    <mergeCell ref="A27:B27"/>
    <mergeCell ref="A2:Q3"/>
    <mergeCell ref="C12:K12"/>
    <mergeCell ref="A1:Q1"/>
    <mergeCell ref="C21:K21"/>
    <mergeCell ref="A6:Q6"/>
    <mergeCell ref="A16:B16"/>
    <mergeCell ref="C11:K11"/>
    <mergeCell ref="A7:B7"/>
    <mergeCell ref="C17:K17"/>
    <mergeCell ref="C8:K8"/>
    <mergeCell ref="A18:B18"/>
    <mergeCell ref="A15:B15"/>
    <mergeCell ref="C10:K10"/>
    <mergeCell ref="A21:B21"/>
    <mergeCell ref="C19:K19"/>
    <mergeCell ref="A11:B11"/>
    <mergeCell ref="C40:K40"/>
    <mergeCell ref="A36:Q36"/>
    <mergeCell ref="A41:B41"/>
    <mergeCell ref="A37:B37"/>
    <mergeCell ref="C39:K39"/>
    <mergeCell ref="A12:B12"/>
    <mergeCell ref="A29:B29"/>
    <mergeCell ref="C33:K33"/>
    <mergeCell ref="A38:B38"/>
    <mergeCell ref="A28:B28"/>
    <mergeCell ref="C26:K26"/>
    <mergeCell ref="A40:B40"/>
    <mergeCell ref="C32:K32"/>
    <mergeCell ref="A26:B26"/>
    <mergeCell ref="C38:K38"/>
    <mergeCell ref="A44:Q46"/>
    <mergeCell ref="C16:K16"/>
    <mergeCell ref="A24:B24"/>
    <mergeCell ref="A30:B30"/>
    <mergeCell ref="C25:K25"/>
    <mergeCell ref="A42:B42"/>
    <mergeCell ref="C42:K42"/>
    <mergeCell ref="A31:B31"/>
    <mergeCell ref="A39:B39"/>
    <mergeCell ref="A34:B34"/>
    <mergeCell ref="C29:K29"/>
    <mergeCell ref="C41:K41"/>
    <mergeCell ref="C37:K37"/>
    <mergeCell ref="A33:B33"/>
    <mergeCell ref="C28:K28"/>
    <mergeCell ref="A32:B32"/>
  </mergeCells>
  <dataValidations count="2">
    <dataValidation type="list" allowBlank="1" sqref="C19" xr:uid="{00000000-0002-0000-0700-000000000000}">
      <formula1>"Bajo,Moderado,Alto,No determinado"</formula1>
    </dataValidation>
    <dataValidation type="list" allowBlank="1" sqref="C20" xr:uid="{00000000-0002-0000-0700-000001000000}">
      <formula1>lst_si</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8E7E2"/>
  </sheetPr>
  <dimension ref="A1:Q20"/>
  <sheetViews>
    <sheetView showGridLines="0" workbookViewId="0">
      <selection activeCell="P9" sqref="P9"/>
    </sheetView>
  </sheetViews>
  <sheetFormatPr baseColWidth="10" defaultColWidth="9.140625" defaultRowHeight="15"/>
  <cols>
    <col min="1" max="1" width="32" customWidth="1"/>
    <col min="2" max="2" width="15" customWidth="1"/>
    <col min="3" max="11" width="11" customWidth="1"/>
    <col min="12" max="12" width="9" customWidth="1"/>
    <col min="13" max="16" width="11" customWidth="1"/>
    <col min="17" max="17" width="12" customWidth="1"/>
  </cols>
  <sheetData>
    <row r="1" spans="1:14" ht="25.5" customHeight="1">
      <c r="A1" s="60" t="s">
        <v>0</v>
      </c>
      <c r="B1" s="60"/>
      <c r="C1" s="60"/>
      <c r="D1" s="60"/>
      <c r="E1" s="60"/>
      <c r="F1" s="60"/>
      <c r="G1" s="60"/>
      <c r="H1" s="60"/>
      <c r="I1" s="60"/>
      <c r="J1" s="60"/>
      <c r="K1" s="60"/>
      <c r="L1" s="60"/>
      <c r="M1" s="60"/>
      <c r="N1" s="60"/>
    </row>
    <row r="2" spans="1:14" ht="15" customHeight="1">
      <c r="A2" s="61" t="s">
        <v>304</v>
      </c>
      <c r="B2" s="61"/>
      <c r="C2" s="61"/>
      <c r="D2" s="61"/>
      <c r="E2" s="61"/>
      <c r="F2" s="61"/>
      <c r="G2" s="61"/>
      <c r="H2" s="61"/>
      <c r="I2" s="61"/>
      <c r="J2" s="61"/>
      <c r="K2" s="61"/>
      <c r="L2" s="61"/>
      <c r="M2" s="61"/>
      <c r="N2" s="61"/>
    </row>
    <row r="3" spans="1:14" ht="15" customHeight="1">
      <c r="A3" s="62"/>
      <c r="B3" s="62"/>
      <c r="C3" s="62"/>
      <c r="D3" s="62"/>
      <c r="E3" s="62"/>
      <c r="F3" s="62"/>
      <c r="G3" s="62"/>
      <c r="H3" s="62"/>
      <c r="I3" s="62"/>
      <c r="J3" s="62"/>
      <c r="K3" s="62"/>
      <c r="L3" s="62"/>
      <c r="M3" s="62"/>
      <c r="N3" s="62"/>
    </row>
    <row r="4" spans="1:14" ht="24" customHeight="1">
      <c r="A4" s="22" t="str">
        <f>HYPERLINK("#INICIO!A1","▶  VOLVER A INICIO")</f>
        <v>▶  VOLVER A INICIO</v>
      </c>
      <c r="B4" s="22"/>
    </row>
    <row r="6" spans="1:14" ht="20.100000000000001" customHeight="1">
      <c r="A6" s="63" t="s">
        <v>305</v>
      </c>
      <c r="B6" s="64"/>
      <c r="C6" s="64"/>
      <c r="D6" s="64"/>
      <c r="E6" s="64"/>
      <c r="F6" s="64"/>
      <c r="G6" s="64"/>
      <c r="H6" s="64"/>
      <c r="I6" s="64"/>
      <c r="J6" s="64"/>
      <c r="K6" s="64"/>
      <c r="L6" s="64"/>
      <c r="M6" s="64"/>
      <c r="N6" s="65"/>
    </row>
    <row r="7" spans="1:14" ht="25.5" customHeight="1">
      <c r="A7" s="18" t="s">
        <v>306</v>
      </c>
      <c r="B7" s="57" t="s">
        <v>307</v>
      </c>
      <c r="C7" s="58"/>
      <c r="D7" s="58"/>
      <c r="E7" s="58"/>
      <c r="F7" s="58"/>
      <c r="G7" s="58"/>
      <c r="H7" s="58"/>
      <c r="I7" s="58"/>
      <c r="J7" s="58"/>
      <c r="K7" s="58"/>
      <c r="L7" s="58"/>
      <c r="M7" s="58"/>
      <c r="N7" s="58"/>
    </row>
    <row r="8" spans="1:14" ht="51.95" customHeight="1">
      <c r="A8" s="19" t="s">
        <v>8</v>
      </c>
      <c r="B8" s="59" t="s">
        <v>308</v>
      </c>
      <c r="C8" s="59"/>
      <c r="D8" s="59"/>
      <c r="E8" s="59"/>
      <c r="F8" s="59"/>
      <c r="G8" s="59"/>
      <c r="H8" s="59"/>
      <c r="I8" s="59"/>
      <c r="J8" s="59"/>
      <c r="K8" s="59"/>
      <c r="L8" s="59"/>
      <c r="M8" s="59"/>
      <c r="N8" s="59"/>
    </row>
    <row r="9" spans="1:14" ht="51.95" customHeight="1">
      <c r="A9" s="19" t="s">
        <v>309</v>
      </c>
      <c r="B9" s="59" t="s">
        <v>310</v>
      </c>
      <c r="C9" s="59"/>
      <c r="D9" s="59"/>
      <c r="E9" s="59"/>
      <c r="F9" s="59"/>
      <c r="G9" s="59"/>
      <c r="H9" s="59"/>
      <c r="I9" s="59"/>
      <c r="J9" s="59"/>
      <c r="K9" s="59"/>
      <c r="L9" s="59"/>
      <c r="M9" s="59"/>
      <c r="N9" s="59"/>
    </row>
    <row r="10" spans="1:14" ht="51.95" customHeight="1">
      <c r="A10" s="19" t="s">
        <v>311</v>
      </c>
      <c r="B10" s="59" t="s">
        <v>312</v>
      </c>
      <c r="C10" s="59"/>
      <c r="D10" s="59"/>
      <c r="E10" s="59"/>
      <c r="F10" s="59"/>
      <c r="G10" s="59"/>
      <c r="H10" s="59"/>
      <c r="I10" s="59"/>
      <c r="J10" s="59"/>
      <c r="K10" s="59"/>
      <c r="L10" s="59"/>
      <c r="M10" s="59"/>
      <c r="N10" s="59"/>
    </row>
    <row r="11" spans="1:14" ht="51.95" customHeight="1">
      <c r="A11" s="19" t="s">
        <v>6</v>
      </c>
      <c r="B11" s="59" t="s">
        <v>313</v>
      </c>
      <c r="C11" s="59"/>
      <c r="D11" s="59"/>
      <c r="E11" s="59"/>
      <c r="F11" s="59"/>
      <c r="G11" s="59"/>
      <c r="H11" s="59"/>
      <c r="I11" s="59"/>
      <c r="J11" s="59"/>
      <c r="K11" s="59"/>
      <c r="L11" s="59"/>
      <c r="M11" s="59"/>
      <c r="N11" s="59"/>
    </row>
    <row r="12" spans="1:14" ht="51.95" customHeight="1">
      <c r="A12" s="19" t="s">
        <v>314</v>
      </c>
      <c r="B12" s="59" t="s">
        <v>315</v>
      </c>
      <c r="C12" s="59"/>
      <c r="D12" s="59"/>
      <c r="E12" s="59"/>
      <c r="F12" s="59"/>
      <c r="G12" s="59"/>
      <c r="H12" s="59"/>
      <c r="I12" s="59"/>
      <c r="J12" s="59"/>
      <c r="K12" s="59"/>
      <c r="L12" s="59"/>
      <c r="M12" s="59"/>
      <c r="N12" s="59"/>
    </row>
    <row r="13" spans="1:14" ht="51.95" customHeight="1">
      <c r="A13" s="19" t="s">
        <v>316</v>
      </c>
      <c r="B13" s="59" t="s">
        <v>317</v>
      </c>
      <c r="C13" s="59"/>
      <c r="D13" s="59"/>
      <c r="E13" s="59"/>
      <c r="F13" s="59"/>
      <c r="G13" s="59"/>
      <c r="H13" s="59"/>
      <c r="I13" s="59"/>
      <c r="J13" s="59"/>
      <c r="K13" s="59"/>
      <c r="L13" s="59"/>
      <c r="M13" s="59"/>
      <c r="N13" s="59"/>
    </row>
    <row r="14" spans="1:14" ht="51.95" customHeight="1">
      <c r="A14" s="19" t="s">
        <v>166</v>
      </c>
      <c r="B14" s="59" t="s">
        <v>318</v>
      </c>
      <c r="C14" s="59"/>
      <c r="D14" s="59"/>
      <c r="E14" s="59"/>
      <c r="F14" s="59"/>
      <c r="G14" s="59"/>
      <c r="H14" s="59"/>
      <c r="I14" s="59"/>
      <c r="J14" s="59"/>
      <c r="K14" s="59"/>
      <c r="L14" s="59"/>
      <c r="M14" s="59"/>
      <c r="N14" s="59"/>
    </row>
    <row r="15" spans="1:14" ht="51.95" customHeight="1">
      <c r="A15" s="19" t="s">
        <v>319</v>
      </c>
      <c r="B15" s="59" t="s">
        <v>320</v>
      </c>
      <c r="C15" s="59"/>
      <c r="D15" s="59"/>
      <c r="E15" s="59"/>
      <c r="F15" s="59"/>
      <c r="G15" s="59"/>
      <c r="H15" s="59"/>
      <c r="I15" s="59"/>
      <c r="J15" s="59"/>
      <c r="K15" s="59"/>
      <c r="L15" s="59"/>
      <c r="M15" s="59"/>
      <c r="N15" s="59"/>
    </row>
    <row r="16" spans="1:14" ht="51.95" customHeight="1">
      <c r="A16" s="19" t="s">
        <v>321</v>
      </c>
      <c r="B16" s="59" t="s">
        <v>322</v>
      </c>
      <c r="C16" s="59"/>
      <c r="D16" s="59"/>
      <c r="E16" s="59"/>
      <c r="F16" s="59"/>
      <c r="G16" s="59"/>
      <c r="H16" s="59"/>
      <c r="I16" s="59"/>
      <c r="J16" s="59"/>
      <c r="K16" s="59"/>
      <c r="L16" s="59"/>
      <c r="M16" s="59"/>
      <c r="N16" s="59"/>
    </row>
    <row r="17" spans="1:17" ht="51.95" customHeight="1">
      <c r="A17" s="19" t="s">
        <v>323</v>
      </c>
      <c r="B17" s="59" t="s">
        <v>324</v>
      </c>
      <c r="C17" s="59"/>
      <c r="D17" s="59"/>
      <c r="E17" s="59"/>
      <c r="F17" s="59"/>
      <c r="G17" s="59"/>
      <c r="H17" s="59"/>
      <c r="I17" s="59"/>
      <c r="J17" s="59"/>
      <c r="K17" s="59"/>
      <c r="L17" s="59"/>
      <c r="M17" s="59"/>
      <c r="N17" s="59"/>
    </row>
    <row r="19" spans="1:17">
      <c r="A19" s="41" t="s">
        <v>325</v>
      </c>
      <c r="B19" s="32"/>
      <c r="C19" s="32"/>
      <c r="D19" s="32"/>
      <c r="E19" s="32"/>
      <c r="F19" s="32"/>
      <c r="G19" s="32"/>
      <c r="H19" s="32"/>
      <c r="I19" s="32"/>
      <c r="J19" s="32"/>
      <c r="K19" s="32"/>
      <c r="L19" s="32"/>
      <c r="M19" s="32"/>
      <c r="N19" s="32"/>
      <c r="O19" s="32"/>
      <c r="P19" s="32"/>
      <c r="Q19" s="32"/>
    </row>
    <row r="20" spans="1:17">
      <c r="A20" s="32"/>
      <c r="B20" s="32"/>
      <c r="C20" s="32"/>
      <c r="D20" s="32"/>
      <c r="E20" s="32"/>
      <c r="F20" s="32"/>
      <c r="G20" s="32"/>
      <c r="H20" s="32"/>
      <c r="I20" s="32"/>
      <c r="J20" s="32"/>
      <c r="K20" s="32"/>
      <c r="L20" s="32"/>
      <c r="M20" s="32"/>
      <c r="N20" s="32"/>
      <c r="O20" s="32"/>
      <c r="P20" s="32"/>
      <c r="Q20" s="32"/>
    </row>
  </sheetData>
  <sheetProtection algorithmName="SHA-512" hashValue="uczEFUQwbTk7vbo58GqtU+tWc9+3ax1HjlTrXfMxDeC17uj5EuY/lmeWGhP3+7VQUAihHSKyn7tb2ZLiSkjkDw==" saltValue="uhuCgoBx5gCUF1FfbLxL9g==" spinCount="100000" sheet="1" objects="1" scenarios="1"/>
  <mergeCells count="17">
    <mergeCell ref="A1:N1"/>
    <mergeCell ref="A2:N2"/>
    <mergeCell ref="A3:N3"/>
    <mergeCell ref="A6:N6"/>
    <mergeCell ref="B8:N8"/>
    <mergeCell ref="A4:B4"/>
    <mergeCell ref="A19:Q20"/>
    <mergeCell ref="B7:N7"/>
    <mergeCell ref="B9:N9"/>
    <mergeCell ref="B10:N10"/>
    <mergeCell ref="B11:N11"/>
    <mergeCell ref="B12:N12"/>
    <mergeCell ref="B13:N13"/>
    <mergeCell ref="B14:N14"/>
    <mergeCell ref="B15:N15"/>
    <mergeCell ref="B16:N16"/>
    <mergeCell ref="B17:N1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BE4D5"/>
  </sheetPr>
  <dimension ref="A1:Q28"/>
  <sheetViews>
    <sheetView showGridLines="0" workbookViewId="0">
      <selection activeCell="A4" sqref="A4:B4"/>
    </sheetView>
  </sheetViews>
  <sheetFormatPr baseColWidth="10" defaultColWidth="9.140625" defaultRowHeight="15"/>
  <cols>
    <col min="1" max="1" width="18.5703125" customWidth="1"/>
    <col min="2" max="2" width="52" customWidth="1"/>
    <col min="3" max="5" width="20"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0"/>
      <c r="C1" s="30"/>
      <c r="D1" s="30"/>
      <c r="E1" s="30"/>
      <c r="F1" s="30"/>
      <c r="G1" s="30"/>
      <c r="H1" s="30"/>
      <c r="I1" s="30"/>
      <c r="J1" s="30"/>
      <c r="K1" s="30"/>
      <c r="L1" s="30"/>
      <c r="M1" s="30"/>
      <c r="N1" s="30"/>
      <c r="O1" s="30"/>
      <c r="P1" s="30"/>
      <c r="Q1" s="30"/>
    </row>
    <row r="2" spans="1:17" ht="15" customHeight="1">
      <c r="A2" s="27" t="s">
        <v>326</v>
      </c>
      <c r="B2" s="28"/>
      <c r="C2" s="28"/>
      <c r="D2" s="28"/>
      <c r="E2" s="28"/>
      <c r="F2" s="28"/>
      <c r="G2" s="28"/>
      <c r="H2" s="28"/>
      <c r="I2" s="28"/>
      <c r="J2" s="28"/>
      <c r="K2" s="28"/>
      <c r="L2" s="28"/>
      <c r="M2" s="28"/>
      <c r="N2" s="28"/>
      <c r="O2" s="28"/>
      <c r="P2" s="28"/>
      <c r="Q2" s="28"/>
    </row>
    <row r="3" spans="1:17" ht="15" customHeight="1">
      <c r="A3" s="28"/>
      <c r="B3" s="28"/>
      <c r="C3" s="28"/>
      <c r="D3" s="28"/>
      <c r="E3" s="28"/>
      <c r="F3" s="28"/>
      <c r="G3" s="28"/>
      <c r="H3" s="28"/>
      <c r="I3" s="28"/>
      <c r="J3" s="28"/>
      <c r="K3" s="28"/>
      <c r="L3" s="28"/>
      <c r="M3" s="28"/>
      <c r="N3" s="28"/>
      <c r="O3" s="28"/>
      <c r="P3" s="28"/>
      <c r="Q3" s="28"/>
    </row>
    <row r="4" spans="1:17" ht="24" customHeight="1">
      <c r="A4" s="22" t="str">
        <f>HYPERLINK("#INICIO!A1","▶  VOLVER A INICIO")</f>
        <v>▶  VOLVER A INICIO</v>
      </c>
      <c r="B4" s="22"/>
    </row>
    <row r="6" spans="1:17">
      <c r="A6" s="11" t="s">
        <v>327</v>
      </c>
    </row>
    <row r="8" spans="1:17">
      <c r="A8" s="12" t="s">
        <v>328</v>
      </c>
      <c r="B8" s="12" t="s">
        <v>329</v>
      </c>
      <c r="C8" s="12" t="s">
        <v>330</v>
      </c>
      <c r="D8" s="12" t="s">
        <v>331</v>
      </c>
      <c r="E8" s="12" t="s">
        <v>332</v>
      </c>
    </row>
    <row r="9" spans="1:17">
      <c r="A9" s="13" t="s">
        <v>333</v>
      </c>
      <c r="B9" s="14" t="s">
        <v>334</v>
      </c>
      <c r="C9" s="13">
        <f>ANTROPOMETRIA!C17</f>
        <v>47.56</v>
      </c>
      <c r="D9" s="13">
        <v>47.56</v>
      </c>
      <c r="E9" s="15" t="str">
        <f t="shared" ref="E9:E26" si="0">IF(AND(ISNUMBER(C9),ISNUMBER(D9)),IF(ABS(C9-D9)&lt;=0.001,"APROBADO","REVISAR"),IF(EXACT(C9&amp;"",D9&amp;""),"APROBADO","REVISAR"))</f>
        <v>APROBADO</v>
      </c>
    </row>
    <row r="10" spans="1:17">
      <c r="A10" s="13" t="s">
        <v>333</v>
      </c>
      <c r="B10" s="14" t="s">
        <v>335</v>
      </c>
      <c r="C10" s="13">
        <f>ANTROPOMETRIA!C15</f>
        <v>20.549886621315196</v>
      </c>
      <c r="D10" s="13">
        <v>20.549886620999999</v>
      </c>
      <c r="E10" s="15" t="str">
        <f t="shared" si="0"/>
        <v>APROBADO</v>
      </c>
    </row>
    <row r="11" spans="1:17">
      <c r="A11" s="13" t="s">
        <v>333</v>
      </c>
      <c r="B11" s="14" t="s">
        <v>167</v>
      </c>
      <c r="C11" s="13">
        <f>ANTROPOMETRIA!C16</f>
        <v>10.44</v>
      </c>
      <c r="D11" s="13">
        <v>10.44</v>
      </c>
      <c r="E11" s="15" t="str">
        <f t="shared" si="0"/>
        <v>APROBADO</v>
      </c>
    </row>
    <row r="12" spans="1:17">
      <c r="A12" s="13" t="s">
        <v>336</v>
      </c>
      <c r="B12" s="14" t="s">
        <v>337</v>
      </c>
      <c r="C12" s="13">
        <f>v_horas</f>
        <v>7.416666666666667</v>
      </c>
      <c r="D12" s="13">
        <v>7.4166666670000003</v>
      </c>
      <c r="E12" s="15" t="str">
        <f t="shared" si="0"/>
        <v>APROBADO</v>
      </c>
    </row>
    <row r="13" spans="1:17">
      <c r="A13" s="13" t="s">
        <v>336</v>
      </c>
      <c r="B13" s="14" t="s">
        <v>338</v>
      </c>
      <c r="C13" s="13">
        <f>v_eee</f>
        <v>551.42857142857144</v>
      </c>
      <c r="D13" s="13">
        <v>551.42857142900004</v>
      </c>
      <c r="E13" s="15" t="str">
        <f t="shared" si="0"/>
        <v>APROBADO</v>
      </c>
    </row>
    <row r="14" spans="1:17">
      <c r="A14" s="13" t="s">
        <v>336</v>
      </c>
      <c r="B14" s="14" t="s">
        <v>339</v>
      </c>
      <c r="C14" s="13" t="str">
        <f>ENTRENAMIENTO!C29</f>
        <v>Moderada</v>
      </c>
      <c r="D14" s="13" t="s">
        <v>340</v>
      </c>
      <c r="E14" s="15" t="str">
        <f t="shared" si="0"/>
        <v>APROBADO</v>
      </c>
    </row>
    <row r="15" spans="1:17">
      <c r="A15" s="13" t="s">
        <v>341</v>
      </c>
      <c r="B15" s="14" t="s">
        <v>186</v>
      </c>
      <c r="C15" s="13">
        <f>HIDRATACION!C17</f>
        <v>899.99999999999864</v>
      </c>
      <c r="D15" s="13">
        <v>900</v>
      </c>
      <c r="E15" s="15" t="str">
        <f t="shared" si="0"/>
        <v>APROBADO</v>
      </c>
    </row>
    <row r="16" spans="1:17">
      <c r="A16" s="13" t="s">
        <v>341</v>
      </c>
      <c r="B16" s="14" t="s">
        <v>342</v>
      </c>
      <c r="C16" s="13">
        <f>HIDRATACION!C18</f>
        <v>933.33333333333246</v>
      </c>
      <c r="D16" s="13">
        <v>933.33333333300004</v>
      </c>
      <c r="E16" s="15" t="str">
        <f t="shared" si="0"/>
        <v>APROBADO</v>
      </c>
    </row>
    <row r="17" spans="1:5">
      <c r="A17" s="13" t="s">
        <v>341</v>
      </c>
      <c r="B17" s="14" t="s">
        <v>343</v>
      </c>
      <c r="C17" s="13">
        <f>HIDRATACION!C19</f>
        <v>1.551724137931032E-2</v>
      </c>
      <c r="D17" s="13">
        <v>1.5517240999999999E-2</v>
      </c>
      <c r="E17" s="15" t="str">
        <f t="shared" si="0"/>
        <v>APROBADO</v>
      </c>
    </row>
    <row r="18" spans="1:5">
      <c r="A18" s="13" t="s">
        <v>341</v>
      </c>
      <c r="B18" s="14" t="s">
        <v>344</v>
      </c>
      <c r="C18" s="13" t="str">
        <f>IF(LEFT(HIDRATACION!C20,4)="Bajo","BAJO","SOBRE")</f>
        <v>BAJO</v>
      </c>
      <c r="D18" s="13" t="s">
        <v>345</v>
      </c>
      <c r="E18" s="15" t="str">
        <f t="shared" si="0"/>
        <v>APROBADO</v>
      </c>
    </row>
    <row r="19" spans="1:5">
      <c r="A19" s="13" t="s">
        <v>346</v>
      </c>
      <c r="B19" s="14" t="s">
        <v>347</v>
      </c>
      <c r="C19" s="13">
        <f>TAMIZAJE!C10</f>
        <v>28.355160398894625</v>
      </c>
      <c r="D19" s="13">
        <v>28.355160398999999</v>
      </c>
      <c r="E19" s="15" t="str">
        <f t="shared" si="0"/>
        <v>APROBADO</v>
      </c>
    </row>
    <row r="20" spans="1:5">
      <c r="A20" s="13" t="s">
        <v>346</v>
      </c>
      <c r="B20" s="14" t="s">
        <v>348</v>
      </c>
      <c r="C20" s="13" t="str">
        <f>TAMIZAJE!C11</f>
        <v>Baja · riesgo de RED-S</v>
      </c>
      <c r="D20" s="13" t="s">
        <v>349</v>
      </c>
      <c r="E20" s="15" t="str">
        <f t="shared" si="0"/>
        <v>APROBADO</v>
      </c>
    </row>
    <row r="21" spans="1:5">
      <c r="A21" s="13" t="s">
        <v>346</v>
      </c>
      <c r="B21" s="14" t="s">
        <v>350</v>
      </c>
      <c r="C21" s="13">
        <f>TAMIZAJE!C24</f>
        <v>4</v>
      </c>
      <c r="D21" s="13">
        <v>4</v>
      </c>
      <c r="E21" s="15" t="str">
        <f t="shared" si="0"/>
        <v>APROBADO</v>
      </c>
    </row>
    <row r="22" spans="1:5">
      <c r="A22" s="13" t="s">
        <v>346</v>
      </c>
      <c r="B22" s="14" t="s">
        <v>351</v>
      </c>
      <c r="C22" s="13" t="str">
        <f>IF(LEFT(TAMIZAJE!C25,16)="SOSPECHA ALTA de","ACTIVA","NO ACTIVA")</f>
        <v>ACTIVA</v>
      </c>
      <c r="D22" s="13" t="s">
        <v>352</v>
      </c>
      <c r="E22" s="15" t="str">
        <f t="shared" si="0"/>
        <v>APROBADO</v>
      </c>
    </row>
    <row r="23" spans="1:5">
      <c r="A23" s="13" t="s">
        <v>353</v>
      </c>
      <c r="B23" s="14" t="s">
        <v>225</v>
      </c>
      <c r="C23" s="13">
        <f>SUPLEMENTOS!C25</f>
        <v>3</v>
      </c>
      <c r="D23" s="13">
        <v>3</v>
      </c>
      <c r="E23" s="15" t="str">
        <f t="shared" si="0"/>
        <v>APROBADO</v>
      </c>
    </row>
    <row r="24" spans="1:5">
      <c r="A24" s="13" t="s">
        <v>353</v>
      </c>
      <c r="B24" s="14" t="s">
        <v>354</v>
      </c>
      <c r="C24" s="13">
        <f>SUPLEMENTOS!C26</f>
        <v>0</v>
      </c>
      <c r="D24" s="13">
        <v>0</v>
      </c>
      <c r="E24" s="15" t="str">
        <f t="shared" si="0"/>
        <v>APROBADO</v>
      </c>
    </row>
    <row r="25" spans="1:5">
      <c r="A25" s="13" t="s">
        <v>355</v>
      </c>
      <c r="B25" s="14" t="s">
        <v>356</v>
      </c>
      <c r="C25" s="13" t="str">
        <f>IF(ISNUMBER(""),"NUMERO","ND")</f>
        <v>ND</v>
      </c>
      <c r="D25" s="13" t="s">
        <v>357</v>
      </c>
      <c r="E25" s="15" t="str">
        <f t="shared" si="0"/>
        <v>APROBADO</v>
      </c>
    </row>
    <row r="26" spans="1:5">
      <c r="A26" s="13" t="s">
        <v>355</v>
      </c>
      <c r="B26" s="14" t="s">
        <v>358</v>
      </c>
      <c r="C26" s="13">
        <f>DIAGNOSTICO!C42</f>
        <v>0</v>
      </c>
      <c r="D26" s="13">
        <v>0</v>
      </c>
      <c r="E26" s="15" t="str">
        <f t="shared" si="0"/>
        <v>APROBADO</v>
      </c>
    </row>
    <row r="28" spans="1:5">
      <c r="A28" s="16" t="s">
        <v>359</v>
      </c>
      <c r="B28" s="17" t="s">
        <v>360</v>
      </c>
      <c r="C28" s="16">
        <f>COUNTIF(E9:E26,"APROBADO")</f>
        <v>18</v>
      </c>
      <c r="D28" s="16">
        <f>COUNTA(E9:E26)</f>
        <v>18</v>
      </c>
      <c r="E28" s="16" t="str">
        <f>IF(C28=D28,"TODAS APROBADAS","HAY PRUEBAS POR REVISAR")</f>
        <v>TODAS APROBADAS</v>
      </c>
    </row>
  </sheetData>
  <sheetProtection algorithmName="SHA-512" hashValue="qn55E3WrUg3wFINnXIB98ziUEvd+VwclEhNNKQjSiXspBh7XcKUom0SuPXq97UoHQ4edYycNgkekXBYJ5GQOag==" saltValue="36IBhBOWQXRTXF1v1uYqyA==" spinCount="100000" sheet="1" objects="1" scenarios="1"/>
  <mergeCells count="3">
    <mergeCell ref="A4:B4"/>
    <mergeCell ref="A1:Q1"/>
    <mergeCell ref="A2:Q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A6B70"/>
  </sheetPr>
  <dimension ref="A1:Q35"/>
  <sheetViews>
    <sheetView showGridLines="0" topLeftCell="A13" workbookViewId="0">
      <selection activeCell="A11" sqref="A11:Q13"/>
    </sheetView>
  </sheetViews>
  <sheetFormatPr baseColWidth="10" defaultColWidth="9.140625" defaultRowHeight="15"/>
  <cols>
    <col min="1" max="1" width="34" customWidth="1"/>
    <col min="2" max="2" width="1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8"/>
      <c r="C1" s="38"/>
      <c r="D1" s="38"/>
      <c r="E1" s="38"/>
      <c r="F1" s="38"/>
      <c r="G1" s="38"/>
      <c r="H1" s="38"/>
      <c r="I1" s="38"/>
      <c r="J1" s="38"/>
      <c r="K1" s="38"/>
      <c r="L1" s="38"/>
      <c r="M1" s="38"/>
      <c r="N1" s="38"/>
      <c r="O1" s="38"/>
      <c r="P1" s="38"/>
      <c r="Q1" s="38"/>
    </row>
    <row r="2" spans="1:17" ht="15" customHeight="1">
      <c r="A2" s="27" t="s">
        <v>361</v>
      </c>
      <c r="B2" s="38"/>
      <c r="C2" s="38"/>
      <c r="D2" s="38"/>
      <c r="E2" s="38"/>
      <c r="F2" s="38"/>
      <c r="G2" s="38"/>
      <c r="H2" s="38"/>
      <c r="I2" s="38"/>
      <c r="J2" s="38"/>
      <c r="K2" s="38"/>
      <c r="L2" s="38"/>
      <c r="M2" s="38"/>
      <c r="N2" s="38"/>
      <c r="O2" s="38"/>
      <c r="P2" s="38"/>
      <c r="Q2" s="38"/>
    </row>
    <row r="3" spans="1:17" ht="15" customHeight="1">
      <c r="A3" s="38"/>
      <c r="B3" s="38"/>
      <c r="C3" s="38"/>
      <c r="D3" s="38"/>
      <c r="E3" s="38"/>
      <c r="F3" s="38"/>
      <c r="G3" s="38"/>
      <c r="H3" s="38"/>
      <c r="I3" s="38"/>
      <c r="J3" s="38"/>
      <c r="K3" s="38"/>
      <c r="L3" s="38"/>
      <c r="M3" s="38"/>
      <c r="N3" s="38"/>
      <c r="O3" s="38"/>
      <c r="P3" s="38"/>
      <c r="Q3" s="38"/>
    </row>
    <row r="4" spans="1:17" ht="24" customHeight="1">
      <c r="A4" s="22" t="str">
        <f>HYPERLINK("#INICIO!A1","▶  VOLVER A INICIO")</f>
        <v>▶  VOLVER A INICIO</v>
      </c>
      <c r="B4" s="37"/>
    </row>
    <row r="6" spans="1:17" ht="20.100000000000001" customHeight="1">
      <c r="A6" s="23" t="s">
        <v>362</v>
      </c>
      <c r="B6" s="36"/>
      <c r="C6" s="36"/>
      <c r="D6" s="36"/>
      <c r="E6" s="36"/>
      <c r="F6" s="36"/>
      <c r="G6" s="36"/>
      <c r="H6" s="36"/>
      <c r="I6" s="36"/>
      <c r="J6" s="36"/>
      <c r="K6" s="36"/>
      <c r="L6" s="36"/>
      <c r="M6" s="36"/>
      <c r="N6" s="36"/>
      <c r="O6" s="36"/>
      <c r="P6" s="36"/>
      <c r="Q6" s="37"/>
    </row>
    <row r="7" spans="1:17">
      <c r="A7" s="104" t="s">
        <v>363</v>
      </c>
      <c r="B7" s="109"/>
      <c r="C7" s="104" t="s">
        <v>364</v>
      </c>
      <c r="D7" s="105"/>
      <c r="E7" s="105"/>
    </row>
    <row r="8" spans="1:17">
      <c r="A8" s="110">
        <v>0</v>
      </c>
      <c r="B8" s="111"/>
      <c r="C8" s="106" t="s">
        <v>349</v>
      </c>
      <c r="D8" s="107"/>
      <c r="E8" s="108"/>
    </row>
    <row r="9" spans="1:17">
      <c r="A9" s="110">
        <v>30</v>
      </c>
      <c r="B9" s="111"/>
      <c r="C9" s="106" t="s">
        <v>365</v>
      </c>
      <c r="D9" s="107"/>
      <c r="E9" s="108"/>
    </row>
    <row r="10" spans="1:17">
      <c r="A10" s="110">
        <v>45</v>
      </c>
      <c r="B10" s="111"/>
      <c r="C10" s="106" t="s">
        <v>366</v>
      </c>
      <c r="D10" s="107"/>
      <c r="E10" s="108"/>
    </row>
    <row r="11" spans="1:17">
      <c r="A11" s="76" t="s">
        <v>367</v>
      </c>
      <c r="B11" s="77"/>
      <c r="C11" s="77"/>
      <c r="D11" s="77"/>
      <c r="E11" s="77"/>
      <c r="F11" s="77"/>
      <c r="G11" s="77"/>
      <c r="H11" s="77"/>
      <c r="I11" s="77"/>
      <c r="J11" s="77"/>
      <c r="K11" s="77"/>
      <c r="L11" s="77"/>
      <c r="M11" s="77"/>
      <c r="N11" s="77"/>
      <c r="O11" s="77"/>
      <c r="P11" s="77"/>
      <c r="Q11" s="78"/>
    </row>
    <row r="12" spans="1:17">
      <c r="A12" s="79"/>
      <c r="B12" s="80"/>
      <c r="C12" s="80"/>
      <c r="D12" s="80"/>
      <c r="E12" s="80"/>
      <c r="F12" s="80"/>
      <c r="G12" s="80"/>
      <c r="H12" s="80"/>
      <c r="I12" s="80"/>
      <c r="J12" s="80"/>
      <c r="K12" s="80"/>
      <c r="L12" s="80"/>
      <c r="M12" s="80"/>
      <c r="N12" s="80"/>
      <c r="O12" s="80"/>
      <c r="P12" s="80"/>
      <c r="Q12" s="81"/>
    </row>
    <row r="13" spans="1:17">
      <c r="A13" s="82"/>
      <c r="B13" s="83"/>
      <c r="C13" s="83"/>
      <c r="D13" s="83"/>
      <c r="E13" s="83"/>
      <c r="F13" s="83"/>
      <c r="G13" s="83"/>
      <c r="H13" s="83"/>
      <c r="I13" s="83"/>
      <c r="J13" s="83"/>
      <c r="K13" s="83"/>
      <c r="L13" s="83"/>
      <c r="M13" s="83"/>
      <c r="N13" s="83"/>
      <c r="O13" s="83"/>
      <c r="P13" s="83"/>
      <c r="Q13" s="84"/>
    </row>
    <row r="15" spans="1:17" ht="20.100000000000001" customHeight="1">
      <c r="A15" s="23" t="s">
        <v>368</v>
      </c>
      <c r="B15" s="36"/>
      <c r="C15" s="36"/>
      <c r="D15" s="36"/>
      <c r="E15" s="36"/>
      <c r="F15" s="36"/>
      <c r="G15" s="36"/>
      <c r="H15" s="36"/>
      <c r="I15" s="36"/>
      <c r="J15" s="36"/>
      <c r="K15" s="36"/>
      <c r="L15" s="36"/>
      <c r="M15" s="36"/>
      <c r="N15" s="36"/>
      <c r="O15" s="36"/>
      <c r="P15" s="36"/>
      <c r="Q15" s="37"/>
    </row>
    <row r="16" spans="1:17" ht="27.95" customHeight="1">
      <c r="A16" s="1" t="s">
        <v>369</v>
      </c>
      <c r="B16" s="1" t="s">
        <v>370</v>
      </c>
      <c r="C16" s="1" t="s">
        <v>371</v>
      </c>
      <c r="D16" s="1" t="s">
        <v>372</v>
      </c>
      <c r="E16" s="1" t="s">
        <v>373</v>
      </c>
      <c r="F16" s="1" t="s">
        <v>374</v>
      </c>
    </row>
    <row r="17" spans="1:17">
      <c r="A17" s="7" t="s">
        <v>375</v>
      </c>
      <c r="B17" s="8">
        <v>3</v>
      </c>
      <c r="C17" s="4">
        <v>3</v>
      </c>
      <c r="D17" s="4">
        <v>5</v>
      </c>
      <c r="E17" s="4">
        <v>1.2</v>
      </c>
      <c r="F17" s="4">
        <v>1.4</v>
      </c>
    </row>
    <row r="18" spans="1:17">
      <c r="A18" s="7" t="s">
        <v>340</v>
      </c>
      <c r="B18" s="8">
        <v>7</v>
      </c>
      <c r="C18" s="4">
        <v>5</v>
      </c>
      <c r="D18" s="4">
        <v>7</v>
      </c>
      <c r="E18" s="4">
        <v>1.2</v>
      </c>
      <c r="F18" s="4">
        <v>1.6</v>
      </c>
    </row>
    <row r="19" spans="1:17">
      <c r="A19" s="7" t="s">
        <v>376</v>
      </c>
      <c r="B19" s="8">
        <v>12</v>
      </c>
      <c r="C19" s="4">
        <v>6</v>
      </c>
      <c r="D19" s="4">
        <v>10</v>
      </c>
      <c r="E19" s="4">
        <v>1.4</v>
      </c>
      <c r="F19" s="4">
        <v>1.8</v>
      </c>
    </row>
    <row r="20" spans="1:17">
      <c r="A20" s="7" t="s">
        <v>377</v>
      </c>
      <c r="B20" s="8">
        <v>18</v>
      </c>
      <c r="C20" s="4">
        <v>8</v>
      </c>
      <c r="D20" s="4">
        <v>12</v>
      </c>
      <c r="E20" s="4">
        <v>1.6</v>
      </c>
      <c r="F20" s="4">
        <v>2</v>
      </c>
    </row>
    <row r="22" spans="1:17" ht="20.100000000000001" customHeight="1">
      <c r="A22" s="23" t="s">
        <v>378</v>
      </c>
      <c r="B22" s="36"/>
      <c r="C22" s="36"/>
      <c r="D22" s="36"/>
      <c r="E22" s="36"/>
      <c r="F22" s="36"/>
      <c r="G22" s="36"/>
      <c r="H22" s="36"/>
      <c r="I22" s="36"/>
      <c r="J22" s="36"/>
      <c r="K22" s="36"/>
      <c r="L22" s="36"/>
      <c r="M22" s="36"/>
      <c r="N22" s="36"/>
      <c r="O22" s="36"/>
      <c r="P22" s="36"/>
      <c r="Q22" s="37"/>
    </row>
    <row r="23" spans="1:17">
      <c r="A23" s="66" t="s">
        <v>379</v>
      </c>
      <c r="B23" s="36"/>
      <c r="C23" s="37"/>
      <c r="D23" s="2" t="s">
        <v>380</v>
      </c>
      <c r="E23" s="4">
        <v>0.02</v>
      </c>
    </row>
    <row r="24" spans="1:17">
      <c r="A24" s="66" t="s">
        <v>381</v>
      </c>
      <c r="B24" s="36"/>
      <c r="C24" s="37"/>
      <c r="D24" s="2" t="s">
        <v>382</v>
      </c>
      <c r="E24" s="4">
        <v>1.25</v>
      </c>
    </row>
    <row r="25" spans="1:17">
      <c r="A25" s="66" t="s">
        <v>383</v>
      </c>
      <c r="B25" s="36"/>
      <c r="C25" s="37"/>
      <c r="D25" s="2" t="s">
        <v>382</v>
      </c>
      <c r="E25" s="4">
        <v>1.5</v>
      </c>
    </row>
    <row r="26" spans="1:17">
      <c r="A26" s="66" t="s">
        <v>384</v>
      </c>
      <c r="B26" s="36"/>
      <c r="C26" s="37"/>
      <c r="D26" s="2" t="s">
        <v>385</v>
      </c>
      <c r="E26" s="4">
        <v>1E-4</v>
      </c>
    </row>
    <row r="28" spans="1:17" ht="20.100000000000001" customHeight="1">
      <c r="A28" s="23" t="s">
        <v>386</v>
      </c>
      <c r="B28" s="36"/>
      <c r="C28" s="36"/>
      <c r="D28" s="36"/>
      <c r="E28" s="36"/>
      <c r="F28" s="36"/>
      <c r="G28" s="36"/>
      <c r="H28" s="36"/>
      <c r="I28" s="36"/>
      <c r="J28" s="36"/>
      <c r="K28" s="36"/>
      <c r="L28" s="36"/>
      <c r="M28" s="36"/>
      <c r="N28" s="36"/>
      <c r="O28" s="36"/>
      <c r="P28" s="36"/>
      <c r="Q28" s="37"/>
    </row>
    <row r="29" spans="1:17">
      <c r="A29" s="6" t="s">
        <v>387</v>
      </c>
      <c r="D29" s="6" t="s">
        <v>388</v>
      </c>
      <c r="G29" s="6" t="s">
        <v>389</v>
      </c>
      <c r="J29" s="6" t="s">
        <v>390</v>
      </c>
      <c r="M29" s="6" t="s">
        <v>391</v>
      </c>
    </row>
    <row r="30" spans="1:17">
      <c r="A30" s="7" t="s">
        <v>60</v>
      </c>
      <c r="D30" s="7" t="s">
        <v>392</v>
      </c>
      <c r="G30" s="7" t="s">
        <v>393</v>
      </c>
      <c r="J30" s="7" t="s">
        <v>78</v>
      </c>
      <c r="M30" s="7" t="s">
        <v>394</v>
      </c>
    </row>
    <row r="31" spans="1:17">
      <c r="A31" s="7" t="s">
        <v>395</v>
      </c>
      <c r="D31" s="7" t="s">
        <v>396</v>
      </c>
      <c r="G31" s="7" t="s">
        <v>72</v>
      </c>
      <c r="J31" s="7" t="s">
        <v>245</v>
      </c>
      <c r="M31" s="7" t="s">
        <v>397</v>
      </c>
    </row>
    <row r="32" spans="1:17">
      <c r="D32" s="7" t="s">
        <v>69</v>
      </c>
      <c r="G32" s="7" t="s">
        <v>398</v>
      </c>
      <c r="J32" s="7" t="s">
        <v>248</v>
      </c>
      <c r="M32" s="7" t="s">
        <v>93</v>
      </c>
    </row>
    <row r="33" spans="4:13">
      <c r="D33" s="7" t="s">
        <v>399</v>
      </c>
      <c r="G33" s="7" t="s">
        <v>400</v>
      </c>
      <c r="M33" s="7" t="s">
        <v>401</v>
      </c>
    </row>
    <row r="34" spans="4:13">
      <c r="D34" s="7" t="s">
        <v>402</v>
      </c>
      <c r="M34" s="7" t="s">
        <v>403</v>
      </c>
    </row>
    <row r="35" spans="4:13">
      <c r="M35" s="7" t="s">
        <v>404</v>
      </c>
    </row>
  </sheetData>
  <sheetProtection algorithmName="SHA-512" hashValue="Ng2jHhEwDOIvbMzM+sXC+0XbqezVUW16t71INBiOOOzQQksfLyIZ9yIb7/8vEvmruD6NmncQuCLamB1TGR6J9Q==" saltValue="2YN+L3DcKJaOseekfd+BsQ==" spinCount="100000" sheet="1" objects="1" scenarios="1"/>
  <protectedRanges>
    <protectedRange sqref="E23:E26" name="Rango3"/>
    <protectedRange sqref="C17:F20" name="Rango2"/>
    <protectedRange sqref="A8:B10" name="Rango1"/>
  </protectedRanges>
  <mergeCells count="20">
    <mergeCell ref="A7:B7"/>
    <mergeCell ref="A8:B8"/>
    <mergeCell ref="A9:B9"/>
    <mergeCell ref="A10:B10"/>
    <mergeCell ref="A2:Q3"/>
    <mergeCell ref="A28:Q28"/>
    <mergeCell ref="A24:C24"/>
    <mergeCell ref="A26:C26"/>
    <mergeCell ref="A1:Q1"/>
    <mergeCell ref="A4:B4"/>
    <mergeCell ref="A25:C25"/>
    <mergeCell ref="A6:Q6"/>
    <mergeCell ref="A22:Q22"/>
    <mergeCell ref="A23:C23"/>
    <mergeCell ref="A11:Q13"/>
    <mergeCell ref="A15:Q15"/>
    <mergeCell ref="C7:E7"/>
    <mergeCell ref="C8:E8"/>
    <mergeCell ref="C9:E9"/>
    <mergeCell ref="C10:E1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7C7CB"/>
  </sheetPr>
  <dimension ref="A1:Q11"/>
  <sheetViews>
    <sheetView showGridLines="0" tabSelected="1" workbookViewId="0">
      <selection activeCell="C14" sqref="C14:C15"/>
    </sheetView>
  </sheetViews>
  <sheetFormatPr baseColWidth="10" defaultColWidth="9.140625" defaultRowHeight="15"/>
  <cols>
    <col min="1" max="1" width="12" customWidth="1"/>
    <col min="2" max="2" width="14" customWidth="1"/>
    <col min="3" max="3" width="72.42578125" customWidth="1"/>
    <col min="4" max="4" width="75.85546875" customWidth="1"/>
    <col min="5"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0"/>
      <c r="C1" s="30"/>
      <c r="D1" s="30"/>
      <c r="E1" s="30"/>
      <c r="F1" s="30"/>
      <c r="G1" s="30"/>
      <c r="H1" s="30"/>
      <c r="I1" s="30"/>
      <c r="J1" s="30"/>
      <c r="K1" s="30"/>
      <c r="L1" s="30"/>
      <c r="M1" s="30"/>
      <c r="N1" s="30"/>
      <c r="O1" s="30"/>
      <c r="P1" s="30"/>
      <c r="Q1" s="30"/>
    </row>
    <row r="2" spans="1:17" ht="15" customHeight="1">
      <c r="A2" s="27" t="s">
        <v>405</v>
      </c>
      <c r="B2" s="28"/>
      <c r="C2" s="28"/>
      <c r="D2" s="28"/>
      <c r="E2" s="28"/>
      <c r="F2" s="28"/>
      <c r="G2" s="28"/>
      <c r="H2" s="28"/>
      <c r="I2" s="28"/>
      <c r="J2" s="28"/>
      <c r="K2" s="28"/>
      <c r="L2" s="28"/>
      <c r="M2" s="28"/>
      <c r="N2" s="28"/>
      <c r="O2" s="28"/>
      <c r="P2" s="28"/>
      <c r="Q2" s="28"/>
    </row>
    <row r="3" spans="1:17" ht="15" customHeight="1">
      <c r="A3" s="28"/>
      <c r="B3" s="28"/>
      <c r="C3" s="28"/>
      <c r="D3" s="28"/>
      <c r="E3" s="28"/>
      <c r="F3" s="28"/>
      <c r="G3" s="28"/>
      <c r="H3" s="28"/>
      <c r="I3" s="28"/>
      <c r="J3" s="28"/>
      <c r="K3" s="28"/>
      <c r="L3" s="28"/>
      <c r="M3" s="28"/>
      <c r="N3" s="28"/>
      <c r="O3" s="28"/>
      <c r="P3" s="28"/>
      <c r="Q3" s="28"/>
    </row>
    <row r="4" spans="1:17" ht="24" customHeight="1">
      <c r="A4" s="22" t="str">
        <f>HYPERLINK("#INICIO!A1","▶  VOLVER A INICIO")</f>
        <v>▶  VOLVER A INICIO</v>
      </c>
      <c r="B4" s="22"/>
    </row>
    <row r="6" spans="1:17">
      <c r="A6" s="1" t="s">
        <v>16</v>
      </c>
      <c r="B6" s="1" t="s">
        <v>18</v>
      </c>
      <c r="C6" s="1" t="s">
        <v>406</v>
      </c>
      <c r="D6" s="1" t="s">
        <v>407</v>
      </c>
    </row>
    <row r="7" spans="1:17" ht="44.1" customHeight="1">
      <c r="A7" s="10" t="s">
        <v>17</v>
      </c>
      <c r="B7" s="10" t="s">
        <v>19</v>
      </c>
      <c r="C7" s="10" t="s">
        <v>408</v>
      </c>
      <c r="D7" s="10" t="s">
        <v>409</v>
      </c>
    </row>
    <row r="8" spans="1:17" ht="44.1" customHeight="1">
      <c r="A8" s="10" t="s">
        <v>17</v>
      </c>
      <c r="B8" s="10" t="s">
        <v>19</v>
      </c>
      <c r="C8" s="10" t="s">
        <v>410</v>
      </c>
      <c r="D8" s="10" t="s">
        <v>411</v>
      </c>
    </row>
    <row r="9" spans="1:17" ht="44.1" customHeight="1">
      <c r="A9" s="10" t="s">
        <v>17</v>
      </c>
      <c r="B9" s="10" t="s">
        <v>19</v>
      </c>
      <c r="C9" s="10" t="s">
        <v>412</v>
      </c>
      <c r="D9" s="10" t="s">
        <v>413</v>
      </c>
    </row>
    <row r="10" spans="1:17" ht="44.1" customHeight="1">
      <c r="A10" s="10" t="s">
        <v>17</v>
      </c>
      <c r="B10" s="10" t="s">
        <v>19</v>
      </c>
      <c r="C10" s="10" t="s">
        <v>414</v>
      </c>
      <c r="D10" s="10" t="s">
        <v>415</v>
      </c>
    </row>
    <row r="11" spans="1:17" ht="44.1" customHeight="1">
      <c r="A11" s="10" t="s">
        <v>17</v>
      </c>
      <c r="B11" s="10" t="s">
        <v>19</v>
      </c>
      <c r="C11" s="10" t="s">
        <v>416</v>
      </c>
      <c r="D11" s="10" t="s">
        <v>417</v>
      </c>
    </row>
  </sheetData>
  <mergeCells count="3">
    <mergeCell ref="A4:B4"/>
    <mergeCell ref="A1:Q1"/>
    <mergeCell ref="A2:Q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17</vt:i4>
      </vt:variant>
    </vt:vector>
  </HeadingPairs>
  <TitlesOfParts>
    <vt:vector size="29" baseType="lpstr">
      <vt:lpstr>INICIO</vt:lpstr>
      <vt:lpstr>IDENTIFICACION</vt:lpstr>
      <vt:lpstr>ENTRENAMIENTO</vt:lpstr>
      <vt:lpstr>ANTROPOMETRIA</vt:lpstr>
      <vt:lpstr>HIDRATACION</vt:lpstr>
      <vt:lpstr>SUPLEMENTOS</vt:lpstr>
      <vt:lpstr>TAMIZAJE</vt:lpstr>
      <vt:lpstr>DIAGNOSTICO</vt:lpstr>
      <vt:lpstr>FUENTES</vt:lpstr>
      <vt:lpstr>PRUEBAS</vt:lpstr>
      <vt:lpstr>CONFIG</vt:lpstr>
      <vt:lpstr>CHANGELOG</vt:lpstr>
      <vt:lpstr>k_tol</vt:lpstr>
      <vt:lpstr>lim_DE</vt:lpstr>
      <vt:lpstr>lst_carga</vt:lpstr>
      <vt:lpstr>lst_fase</vt:lpstr>
      <vt:lpstr>lst_menstrual</vt:lpstr>
      <vt:lpstr>lst_nivel</vt:lpstr>
      <vt:lpstr>lst_sexo</vt:lpstr>
      <vt:lpstr>lst_si</vt:lpstr>
      <vt:lpstr>rng_carga</vt:lpstr>
      <vt:lpstr>rng_DE</vt:lpstr>
      <vt:lpstr>u_desh</vt:lpstr>
      <vt:lpstr>u_repMax</vt:lpstr>
      <vt:lpstr>u_repMin</vt:lpstr>
      <vt:lpstr>v_eee</vt:lpstr>
      <vt:lpstr>v_horas</vt:lpstr>
      <vt:lpstr>v_mlg</vt:lpstr>
      <vt:lpstr>v_peso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cp:lastModifiedBy>
  <dcterms:created xsi:type="dcterms:W3CDTF">2026-07-23T23:05:19Z</dcterms:created>
  <dcterms:modified xsi:type="dcterms:W3CDTF">2026-08-15T00:15:15Z</dcterms:modified>
</cp:coreProperties>
</file>
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Daniel\Downloads\"/>
    </mc:Choice>
  </mc:AlternateContent>
  <xr:revisionPtr revIDLastSave="0" documentId="13_ncr:1_{210A24BE-E407-455C-B7B6-E526835891DF}" xr6:coauthVersionLast="47" xr6:coauthVersionMax="47" xr10:uidLastSave="{00000000-0000-0000-0000-000000000000}"/>
  <workbookProtection workbookAlgorithmName="SHA-512" workbookHashValue="QM6Q8rteSbeJHIjF+OU5CUxUe41OIJGc5hj4zxzFc8hwH5TwFKtkeipx8SRiT/F3TspvxJiwSzvHsg8E+Fz46w==" workbookSaltValue="C7mG+EwsgUtKdRUTXlu7KQ==" workbookSpinCount="100000" lockStructure="1"/>
  <bookViews>
    <workbookView xWindow="-120" yWindow="-120" windowWidth="29040" windowHeight="15840" tabRatio="611" xr2:uid="{00000000-000D-0000-FFFF-FFFF00000000}"/>
  </bookViews>
  <sheets>
    <sheet name="INICIO" sheetId="1" r:id="rId1"/>
    <sheet name="CATALOGO" sheetId="2" r:id="rId2"/>
    <sheet name="FLUJO" sheetId="3" r:id="rId3"/>
    <sheet name="CONEXIONES" sheetId="4" r:id="rId4"/>
    <sheet name="LICENCIA" sheetId="5" r:id="rId5"/>
    <sheet name="VERIFICACION" sheetId="6" r:id="rId6"/>
    <sheet name="FUENTES" sheetId="7" r:id="rId7"/>
    <sheet name="PRUEBAS" sheetId="8" state="hidden" r:id="rId8"/>
    <sheet name="CONFIG" sheetId="9" r:id="rId9"/>
    <sheet name="CHANGELOG" sheetId="10" r:id="rId10"/>
  </sheets>
  <definedNames>
    <definedName name="k_conBase">CONFIG!$E$8</definedName>
    <definedName name="k_hojas">CONFIG!$E$9</definedName>
    <definedName name="k_modulos">CONFIG!$E$7</definedName>
    <definedName name="k_tol">CONFIG!$E$10</definedName>
    <definedName name="lst_estado">CONFIG!$E$14:$E$15</definedName>
    <definedName name="lst_si">CONFIG!$A$14:$A$15</definedName>
    <definedName name="v_aut">LICENCIA!$C$26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 i="10" l="1"/>
  <c r="A4" i="9"/>
  <c r="C26" i="8"/>
  <c r="E26" i="8" s="1"/>
  <c r="C25" i="8"/>
  <c r="E25" i="8" s="1"/>
  <c r="C24" i="8"/>
  <c r="E24" i="8" s="1"/>
  <c r="C15" i="8"/>
  <c r="E15" i="8" s="1"/>
  <c r="C14" i="8"/>
  <c r="E14" i="8" s="1"/>
  <c r="C13" i="8"/>
  <c r="E13" i="8" s="1"/>
  <c r="C12" i="8"/>
  <c r="E12" i="8" s="1"/>
  <c r="C11" i="8"/>
  <c r="E11" i="8" s="1"/>
  <c r="C9" i="8"/>
  <c r="E9" i="8" s="1"/>
  <c r="A4" i="8"/>
  <c r="A4" i="7"/>
  <c r="C30" i="6"/>
  <c r="C23" i="8" s="1"/>
  <c r="E23" i="8" s="1"/>
  <c r="C22" i="6"/>
  <c r="C20" i="8" s="1"/>
  <c r="E20" i="8" s="1"/>
  <c r="C21" i="6"/>
  <c r="C19" i="8" s="1"/>
  <c r="E19" i="8" s="1"/>
  <c r="C20" i="6"/>
  <c r="A4" i="6"/>
  <c r="C27" i="5"/>
  <c r="C16" i="8" s="1"/>
  <c r="E16" i="8" s="1"/>
  <c r="D23" i="5"/>
  <c r="C17" i="8" s="1"/>
  <c r="E17" i="8" s="1"/>
  <c r="C23" i="5"/>
  <c r="A4" i="5"/>
  <c r="C25" i="4"/>
  <c r="C24" i="4"/>
  <c r="A4" i="4"/>
  <c r="A4" i="3"/>
  <c r="F15" i="2"/>
  <c r="E15" i="2"/>
  <c r="A4" i="2"/>
  <c r="A7" i="1"/>
  <c r="O5" i="1"/>
  <c r="M5" i="1"/>
  <c r="K5" i="1"/>
  <c r="I5" i="1"/>
  <c r="G5" i="1"/>
  <c r="E5" i="1"/>
  <c r="C5" i="1"/>
  <c r="A5" i="1"/>
  <c r="C23" i="6" l="1"/>
  <c r="C22" i="8" s="1"/>
  <c r="E22" i="8" s="1"/>
  <c r="C21" i="8"/>
  <c r="E21" i="8" s="1"/>
  <c r="C10" i="8"/>
  <c r="E10" i="8" s="1"/>
  <c r="C18" i="8"/>
  <c r="E18" i="8" s="1"/>
  <c r="C28" i="8" l="1"/>
  <c r="E28" i="8" s="1"/>
  <c r="D28" i="8"/>
</calcChain>
</file>

<file path=xl/sharedStrings.xml><?xml version="1.0" encoding="utf-8"?>
<sst xmlns="http://schemas.openxmlformats.org/spreadsheetml/2006/main" count="447" uniqueCount="309">
  <si>
    <t>NUTRIMETRÍA  ·  NMX-P1</t>
  </si>
  <si>
    <t>Paquete de siete herramientas · versión 1.0 · Fase 8 · paquetes</t>
  </si>
  <si>
    <t>Navegación — use las pestañas inferiores del libro</t>
  </si>
  <si>
    <t>Las siete herramientas</t>
  </si>
  <si>
    <t>En qué orden usarlas</t>
  </si>
  <si>
    <t>Qué dato pasa a cuál</t>
  </si>
  <si>
    <t>Qué se puede distribuir</t>
  </si>
  <si>
    <t>Integridad del paquete</t>
  </si>
  <si>
    <t>Alcance común</t>
  </si>
  <si>
    <t>Control de calidad</t>
  </si>
  <si>
    <t>Constantes</t>
  </si>
  <si>
    <t>Historial</t>
  </si>
  <si>
    <t>Código del paquete</t>
  </si>
  <si>
    <t>NMX-P1</t>
  </si>
  <si>
    <t>Versión</t>
  </si>
  <si>
    <t>1.0</t>
  </si>
  <si>
    <t>Fecha</t>
  </si>
  <si>
    <t>2026-07-24</t>
  </si>
  <si>
    <t>Componentes</t>
  </si>
  <si>
    <t>NMX-03 · NMX-13 · NMX-20 · NMX-02 · NMX-07 · NMX-25 · NMX-24</t>
  </si>
  <si>
    <t>Alcance</t>
  </si>
  <si>
    <t>Atención nutricional ambulatoria de personas adultas</t>
  </si>
  <si>
    <t>Estado de distribución</t>
  </si>
  <si>
    <t>BLOQUEADO · cinco herramientas incorporan la base INTA</t>
  </si>
  <si>
    <t>Responsable</t>
  </si>
  <si>
    <t>Equipo Nutrimetría (completar por el titular)</t>
  </si>
  <si>
    <t>QUÉ ES ESTE ARCHIVO</t>
  </si>
  <si>
    <t>Este libro es la GUÍA del paquete, no una herramienta de cálculo. No calcula nada clínico: toda la operación ocurre dentro de las siete herramientas, que son archivos independientes.</t>
  </si>
  <si>
    <t>Sirve para cuatro cosas: saber qué hace cada herramienta, en qué orden usarlas, qué dato se traspasa de una a otra, y qué se puede distribuir y qué no.</t>
  </si>
  <si>
    <t>Las siete cubren la secuencia clínica central en adultos: valorar al ingreso, estimar la ingesta, medir la composición, estructurar la prescripción, construir la dieta, armar las preparaciones y acompañar el cambio.</t>
  </si>
  <si>
    <t>AVISO DE ALCANCE</t>
  </si>
  <si>
    <t>EXACTITUD MATEMÁTICA ≠ VALIDACIÓN CLÍNICA. Ninguna de las siete herramientas está validada clínicamente ni constituye diagnóstico o prescripción.</t>
  </si>
  <si>
    <t>Las otras tres —NMX-03, NMX-02 y NMX-24— tienen motor propio y no arrastran esa restricción.</t>
  </si>
  <si>
    <t>El paquete NO cubre población pediátrica, embarazo, lactancia, enfermedad renal ni nutrición deportiva: esas áreas tienen módulos propios fuera de este paquete.</t>
  </si>
  <si>
    <t>El paquete NO calcula la meta energética: parte de una meta ya definida, que entra como dato en NMX-02.</t>
  </si>
  <si>
    <t>Todas las herramientas traen un caso de ejemplo cargado. Reemplácelo antes de usarlas con una persona real y verifique que no queden datos de pacientes antes de entregarlas a un tercero.</t>
  </si>
  <si>
    <t>Las herramientas son archivos independientes: NO hay vínculos automáticos entre ellas. Cada traspaso de datos se hace a mano y debe verificarse.</t>
  </si>
  <si>
    <t>POR DÓNDE EMPEZAR</t>
  </si>
  <si>
    <t>Lea CATÁLOGO para saber qué hace cada una de las siete herramientas.</t>
  </si>
  <si>
    <t>Revise FLUJO: el orden importa, porque cada etapa consume lo que produce la anterior.</t>
  </si>
  <si>
    <t>Antes del primer caso real, lea CONEXIONES: documenta los nueve traspasos de datos y cuál es el que más se equivoca.</t>
  </si>
  <si>
    <t>Consulte LICENCIA antes de compartir o comercializar cualquier archivo del paquete.</t>
  </si>
  <si>
    <t>Use VERIFICACIÓN para confirmar que las siete herramientas están presentes y con sus pruebas aprobadas.</t>
  </si>
  <si>
    <t>Abra cada herramienta desde su propio archivo: esta guía no los contiene ni los reemplaza.</t>
  </si>
  <si>
    <t>Las siete herramientas del paquete</t>
  </si>
  <si>
    <t>COMPOSICIÓN DEL PAQUETE</t>
  </si>
  <si>
    <t>Código</t>
  </si>
  <si>
    <t>Herramienta</t>
  </si>
  <si>
    <t>Qué resuelve</t>
  </si>
  <si>
    <t>Resultado principal</t>
  </si>
  <si>
    <t>Hojas</t>
  </si>
  <si>
    <t>Base INTA</t>
  </si>
  <si>
    <t>NMX-03</t>
  </si>
  <si>
    <t>Historia clínica nutricional de ingreso</t>
  </si>
  <si>
    <t>Levanta la valoración inicial completa: identificación, anamnesis, antropometría, laboratorio y diagnóstico.</t>
  </si>
  <si>
    <t>Diagnóstico nutricional en formato problema, etiología y signos, con plan y controles de registro.</t>
  </si>
  <si>
    <t>No</t>
  </si>
  <si>
    <t>NMX-13</t>
  </si>
  <si>
    <t>Recordatorio de 24 horas</t>
  </si>
  <si>
    <t>Estima la ingesta de un día mediante entrevista de pasos múltiples, con la tabla de composición.</t>
  </si>
  <si>
    <t>Energía y nutrientes del día, adecuación frente a requerimientos y tamizaje de plausibilidad del reporte.</t>
  </si>
  <si>
    <t>Sí</t>
  </si>
  <si>
    <t>NMX-20</t>
  </si>
  <si>
    <t>Formulario integral de composición y somatotipo</t>
  </si>
  <si>
    <t>Reúne en una sesión el recordatorio, la composición corporal por pliegues y el somatotipo.</t>
  </si>
  <si>
    <t>Porcentaje de grasa, masa libre de grasa y somatotipo de Heath-Carter con somatocarta.</t>
  </si>
  <si>
    <t>NMX-02</t>
  </si>
  <si>
    <t>Tabla dietosintética semanal</t>
  </si>
  <si>
    <t>Traduce la prescripción numérica en estructura de equivalentes por grupo y tiempo de comida.</t>
  </si>
  <si>
    <t>Patrón diario de equivalentes ajustado a la meta, repartido en tiempos y desplegado en siete días.</t>
  </si>
  <si>
    <t>NMX-07</t>
  </si>
  <si>
    <t>Gestor de creación de dietas</t>
  </si>
  <si>
    <t>Convierte la estructura de equivalentes en alimentos concretos con gramajes.</t>
  </si>
  <si>
    <t>Dieta con alimentos y gramos, con minuta imprimible para entregar a la persona.</t>
  </si>
  <si>
    <t>NMX-25</t>
  </si>
  <si>
    <t>Constructor de platillos</t>
  </si>
  <si>
    <t>Agrupa alimentos en preparaciones que deben caber dentro de los equivalentes autorizados.</t>
  </si>
  <si>
    <t>Recetas con cantidades para toda la preparación y composición por porción.</t>
  </si>
  <si>
    <t>NMX-24</t>
  </si>
  <si>
    <t>Seguimiento mensual de hábitos</t>
  </si>
  <si>
    <t>Acompaña la puesta en práctica registrando conductas observables durante un mes.</t>
  </si>
  <si>
    <t>Adherencia por hábito, patrones de interrupción y recomendación de conducta profesional.</t>
  </si>
  <si>
    <t>TOTAL</t>
  </si>
  <si>
    <t>QUÉ CUBRE Y QUÉ NO CUBRE EL PAQUETE</t>
  </si>
  <si>
    <t>CUBRE</t>
  </si>
  <si>
    <t>La secuencia clínica central: valorar al ingreso, estimar la ingesta, medir la composición, estructurar la prescripción, construir la dieta, armar las preparaciones y acompañar el cambio.</t>
  </si>
  <si>
    <t>Población adulta en condición estable, en atención nutricional ambulatoria.</t>
  </si>
  <si>
    <t>NO CUBRE</t>
  </si>
  <si>
    <t>Población pediátrica, embarazo y lactancia: requieren instrumentos propios.</t>
  </si>
  <si>
    <t>Enfermedad renal crónica: la restricción de potasio y fósforo exige los módulos renales específicos, que no forman parte de este paquete.</t>
  </si>
  <si>
    <t>Nutrición deportiva: la disponibilidad energética y la periodización tienen sus propios módulos.</t>
  </si>
  <si>
    <t>Cálculo de requerimientos energéticos: el paquete parte de una meta ya definida.</t>
  </si>
  <si>
    <t>En qué orden usar las herramientas</t>
  </si>
  <si>
    <t>El orden importa porque cada etapa consume lo que produce la anterior. Saltarse una obliga a suponer un dato que otra herramienta habría entregado medido.</t>
  </si>
  <si>
    <t>SECUENCIA DE TRABAJO</t>
  </si>
  <si>
    <t>Etapa</t>
  </si>
  <si>
    <t>Cuándo</t>
  </si>
  <si>
    <t>Qué produce</t>
  </si>
  <si>
    <t>Qué necesita antes</t>
  </si>
  <si>
    <t>1 · Valorar</t>
  </si>
  <si>
    <t>Primera consulta</t>
  </si>
  <si>
    <t>Diagnóstico nutricional, peso, talla, edad y objetivos.</t>
  </si>
  <si>
    <t>Nada: es el punto de partida.</t>
  </si>
  <si>
    <t>2 · Estimar la ingesta</t>
  </si>
  <si>
    <t>Misma consulta o la siguiente</t>
  </si>
  <si>
    <t>Energía y nutrientes de un día habitual; plausibilidad del reporte.</t>
  </si>
  <si>
    <t>Peso y talla de NMX-03.</t>
  </si>
  <si>
    <t>3 · Medir la composición</t>
  </si>
  <si>
    <t>Cuando se requiera más que peso y talla</t>
  </si>
  <si>
    <t>Porcentaje de grasa, masa libre de grasa y somatotipo.</t>
  </si>
  <si>
    <t>Peso, talla, edad y sexo de NMX-03.</t>
  </si>
  <si>
    <t>4 · Estructurar</t>
  </si>
  <si>
    <t>Definida la meta energética</t>
  </si>
  <si>
    <t>Patrón de equivalentes por grupo y tiempo de comida.</t>
  </si>
  <si>
    <t>Meta energética y distribución de macronutrientes.</t>
  </si>
  <si>
    <t>5 · Construir la dieta</t>
  </si>
  <si>
    <t>Con la estructura cerrada</t>
  </si>
  <si>
    <t>Alimentos con gramajes y minuta imprimible.</t>
  </si>
  <si>
    <t>La estructura de equivalentes de NMX-02.</t>
  </si>
  <si>
    <t>6 · Armar preparaciones</t>
  </si>
  <si>
    <t>Si la persona cocina o se requieren recetas</t>
  </si>
  <si>
    <t>Recetas con cantidades y composición por porción.</t>
  </si>
  <si>
    <t>Los equivalentes autorizados por tiempo de comida.</t>
  </si>
  <si>
    <t>7 · Acompañar</t>
  </si>
  <si>
    <t>Entregado el plan</t>
  </si>
  <si>
    <t>Adherencia por hábito y patrones de interrupción.</t>
  </si>
  <si>
    <t>Los objetivos del plan de NMX-03, traducidos a conductas.</t>
  </si>
  <si>
    <t>DECISIONES QUE CONVIENE TENER CLARAS</t>
  </si>
  <si>
    <t>NMX-13 y NMX-20 se superponen: ambos incluyen recordatorio de 24 horas. Use NMX-13 si solo necesita la ingesta; use NMX-20 si además va a medir pliegues y somatotipo en la misma sesión. No aplique los dos.</t>
  </si>
  <si>
    <t>NMX-25 es opcional: si la persona no cocina o el plan se resuelve con alimentos sueltos, NMX-07 basta.</t>
  </si>
  <si>
    <t>NMX-24 no requiere que el plan esté perfecto. Un hábito bien elegido rinde más que una dieta exacta que no se sostiene.</t>
  </si>
  <si>
    <t>El paquete NO calcula la meta energética. Esa decisión es previa y externa: entra como dato en NMX-02.</t>
  </si>
  <si>
    <t>Qué dato pasa de una herramienta a otra</t>
  </si>
  <si>
    <t>Las siete herramientas son archivos INDEPENDIENTES: no hay vínculos automáticos entre ellos. Cada traspaso se hace copiando el dato a mano. Esta hoja documenta exactamente qué se copia y adónde, para que no se pierda ni se transcriba mal.</t>
  </si>
  <si>
    <t>TRASPASOS DE DATOS</t>
  </si>
  <si>
    <t>Origen</t>
  </si>
  <si>
    <t>Dato que se traspasa</t>
  </si>
  <si>
    <t>Destino</t>
  </si>
  <si>
    <t>Dónde se pega</t>
  </si>
  <si>
    <t>Por qué importa</t>
  </si>
  <si>
    <t>Peso, talla, edad y sexo</t>
  </si>
  <si>
    <t>NMX-13 · NMX-20 · NMX-02</t>
  </si>
  <si>
    <t>Hoja DATOS o IDENTIFICACIÓN</t>
  </si>
  <si>
    <t>Determinan requerimientos, ecuaciones aplicables y criterios de clasificación.</t>
  </si>
  <si>
    <t>Diagnóstico y objetivos del plan</t>
  </si>
  <si>
    <t>Hoja DATOS, acuerdos del mes</t>
  </si>
  <si>
    <t>Los hábitos a seguir deben derivar del objetivo, no elegirse al azar.</t>
  </si>
  <si>
    <t>Energía y macronutrientes del día</t>
  </si>
  <si>
    <t>Referencia para fijar la meta</t>
  </si>
  <si>
    <t>La ingesta actual informa cuán lejos está la meta y si el cambio es realista.</t>
  </si>
  <si>
    <t>Masa libre de grasa</t>
  </si>
  <si>
    <t>Referencia para el requerimiento proteico</t>
  </si>
  <si>
    <t>Permite expresar la proteína por kilo de masa activa y no solo por kilo de peso.</t>
  </si>
  <si>
    <t>ESTRUCTURA de equivalentes por grupo y tiempo</t>
  </si>
  <si>
    <t>Hoja DATOS, tabla de estructura</t>
  </si>
  <si>
    <t>Es el traspaso central del paquete: NMX-07 no funciona sin esa estructura.</t>
  </si>
  <si>
    <t>Equivalentes autorizados por tiempo de comida</t>
  </si>
  <si>
    <t>Hoja DATOS, equivalentes autorizados</t>
  </si>
  <si>
    <t>Define el marco dentro del cual debe caber cada preparación.</t>
  </si>
  <si>
    <t>Porciones por equivalente de cada alimento</t>
  </si>
  <si>
    <t>Se recalculan con el mismo método</t>
  </si>
  <si>
    <t>Ambos módulos usan el nutriente marcador: los gramajes deben coincidir.</t>
  </si>
  <si>
    <t>Minuta con alimentos y gramos</t>
  </si>
  <si>
    <t>Base para redactar los hábitos observables</t>
  </si>
  <si>
    <t>Un hábito debe poder responderse sí o no al final del día.</t>
  </si>
  <si>
    <t>Adherencia y patrones del mes</t>
  </si>
  <si>
    <t>Hoja DIAGNÓSTICO del control siguiente</t>
  </si>
  <si>
    <t>Cierra el ciclo: lo observado alimenta la siguiente valoración.</t>
  </si>
  <si>
    <t>EL TRASPASO QUE MÁS SE EQUIVOCA</t>
  </si>
  <si>
    <t>De NMX-02 a NMX-07</t>
  </si>
  <si>
    <t>Verificación después de traspasar</t>
  </si>
  <si>
    <t>Cada herramienta trae su propia hoja de PRUEBAS con valores esperados calculados de forma independiente. Después de traspasar datos, revise que las pruebas del archivo destino sigan aprobadas: es la forma más rápida de detectar una transcripción equivocada.</t>
  </si>
  <si>
    <t>Qué se puede distribuir y qué no</t>
  </si>
  <si>
    <t>LA RESTRICCIÓN QUE AFECTA AL PAQUETE</t>
  </si>
  <si>
    <t>Cinco de las siete herramientas incorporan la Tabla de Composición de Alimentos del INTA de la Universidad de Chile, edición 2018: NMX-02, NMX-13, NMX-20, NMX-07 y NMX-25.</t>
  </si>
  <si>
    <t>No se encontró autorización de redistribución comercial de esa base dentro del material entregado. Mientras esa autorización no exista y esté documentada, el paquete es de USO PERSONAL del titular.</t>
  </si>
  <si>
    <t>Consecuencia concreta: NO comercialice el paquete completo ni esas cinco herramientas por separado. No las publique, no las incluya en un producto de pago y no las entregue a terceros.</t>
  </si>
  <si>
    <t>Las otras dos herramientas —NMX-03 y NMX-24— NO contienen la base de composición. Su motor es propio y no arrastra esa restricción.</t>
  </si>
  <si>
    <t>Nutrimetría no cuenta con respaldo ni aval del INTA ni de la Universidad de Chile. Nada del paquete debe presentarse como avalado por esas instituciones.</t>
  </si>
  <si>
    <t>Esta revisión no sustituye asesoría jurídica.</t>
  </si>
  <si>
    <t>SITUACIÓN POR HERRAMIENTA</t>
  </si>
  <si>
    <t>Situación de distribución</t>
  </si>
  <si>
    <t>Historia clínica de ingreso</t>
  </si>
  <si>
    <t>Motor propio: no arrastra la restricción de la base de composición</t>
  </si>
  <si>
    <t>Formulario integral</t>
  </si>
  <si>
    <t>Bloqueadas</t>
  </si>
  <si>
    <t>CÓMO LEVANTAR EL BLOQUEO</t>
  </si>
  <si>
    <t>¿Existe autorización documentada del INTA?</t>
  </si>
  <si>
    <t>Estado del paquete</t>
  </si>
  <si>
    <t>Vía 1 · Obtener autorización escrita del INTA para redistribuir la base en un producto derivado. Documente alcance, vigencia y condiciones.</t>
  </si>
  <si>
    <t>Vía 2 · Reemplazar la fuente de composición por otra con licencia compatible. Los cinco módulos afectados consumen la base a través de su hoja ALIMENTOS y de rangos con nombre: sustituir la fuente NO obliga a reescribir las hojas de trabajo.</t>
  </si>
  <si>
    <t>Vía 3 · Distribuir solo las dos herramientas sin base de composición. Es un paquete menor pero legalmente limpio desde hoy.</t>
  </si>
  <si>
    <t>La restricción es sobre la BASE DE DATOS de composición, no sobre los motores de cálculo ni sobre el diseño de las herramientas, que son de elaboración propia. Por eso la vía 2 es viable: el trabajo de ingeniería se conserva íntegro al cambiar la fuente.</t>
  </si>
  <si>
    <t>Integridad del paquete · antes de usarlo o entregarlo</t>
  </si>
  <si>
    <t>Marque cada archivo como presente después de comprobar que abre sin errores y que su hoja PRUEBAS muestra todas las pruebas aprobadas. Un archivo que abre pero con pruebas en revisión no está listo para uso clínico.</t>
  </si>
  <si>
    <t>LISTA DE COMPROBACIÓN</t>
  </si>
  <si>
    <t>Archivo esperado</t>
  </si>
  <si>
    <t>¿Presente?</t>
  </si>
  <si>
    <t>¿Pruebas aprobadas?</t>
  </si>
  <si>
    <t>Observaciones</t>
  </si>
  <si>
    <t>NMX-03_Historia_Clinica_Nutricional_Ingreso_v1_0.xlsx</t>
  </si>
  <si>
    <t>Presente</t>
  </si>
  <si>
    <t>NMX-13_Recordatorio_24_Horas_v1_0.xlsx</t>
  </si>
  <si>
    <t>NMX-20_Formulario_Integral_v1_0.xlsx</t>
  </si>
  <si>
    <t>NMX-02_Tabla_Dietosintetica_Semanal_v1_0.xlsx</t>
  </si>
  <si>
    <t>NMX-07_Gestor_Creacion_Dietas_v1_0.xlsx</t>
  </si>
  <si>
    <t>NMX-25_Constructor_Platillos_v1_0.xlsx</t>
  </si>
  <si>
    <t>NMX-24_Habit_Tracker_Mensual_v1_0.xlsx</t>
  </si>
  <si>
    <t>Archivos presentes</t>
  </si>
  <si>
    <t>Archivos con pruebas aprobadas</t>
  </si>
  <si>
    <t>Hojas de trabajo sumadas</t>
  </si>
  <si>
    <t>ESTADO DEL PAQUETE</t>
  </si>
  <si>
    <t>ANTES DE ENTREGAR EL PAQUETE A UN TERCERO</t>
  </si>
  <si>
    <t>¿Verificó la situación de licencia en la hoja LICENCIA?</t>
  </si>
  <si>
    <t>¿Retiró o reemplazó los casos de ejemplo por datos reales o en blanco?</t>
  </si>
  <si>
    <t>¿Confirmó que ningún archivo contiene datos de pacientes?</t>
  </si>
  <si>
    <t>¿Documentó quién es el responsable profesional del paquete?</t>
  </si>
  <si>
    <t>Estado de la entrega</t>
  </si>
  <si>
    <t>Todas las herramientas vienen con un CASO DE EJEMPLO cargado para que se entienda su funcionamiento. Antes de usarlas con una persona real, reemplace esos datos. Antes de entregarlas a un tercero, verifique que no quedaron datos de pacientes: son datos sensibles de salud.</t>
  </si>
  <si>
    <t>Alcance común de las siete herramientas</t>
  </si>
  <si>
    <t>LO QUE APLICA A TODO EL PAQUETE</t>
  </si>
  <si>
    <t>Elemento</t>
  </si>
  <si>
    <t>Detalle</t>
  </si>
  <si>
    <t>Validación</t>
  </si>
  <si>
    <t>EXACTITUD MATEMÁTICA ≠ VALIDACIÓN CLÍNICA. Ninguna de las siete herramientas está validada clínicamente. Ninguna constituye diagnóstico ni prescripción: son instrumentos de apoyo al cálculo, al registro y a la planificación, y la responsabilidad es de quien firma.</t>
  </si>
  <si>
    <t>Población</t>
  </si>
  <si>
    <t>Personas adultas en condición estable, en atención nutricional ambulatoria. No aplican a población pediátrica, embarazo, lactancia ni patología aguda o descompensada sin supervisión médica.</t>
  </si>
  <si>
    <t>Composición de alimentos</t>
  </si>
  <si>
    <t>Cinco herramientas usan la Tabla de Composición de Alimentos del INTA, Universidad de Chile, 2018: valores por cien gramos de porción comestible, hidratos de carbono disponibles. Se aplicó una reconstrucción del grupo 2.10 de verduras y hortalizas, cuya fila de cabecera no viene en el archivo fuente: 31 alimentos arrastraban el grupo anterior. Los valores nutricionales no fueron alterados y cada registro corregido queda marcado.</t>
  </si>
  <si>
    <t>Dato ausente</t>
  </si>
  <si>
    <t>Principio común a toda la colección: el código de dato faltante NUNCA se convierte en cero. Se propaga como aviso de dato ausente, y cada herramienta declara la cobertura de sus cálculos. Un nutriente no informado no es un nutriente en cero.</t>
  </si>
  <si>
    <t>Sistema de equivalentes</t>
  </si>
  <si>
    <t>La composición por equivalente precargada corresponde al tipo listas de intercambio y es EDITABLE en cada herramienta que la usa. Confirme que coincide con el sistema que usted aplica antes de trabajar.</t>
  </si>
  <si>
    <t>Pruebas internas</t>
  </si>
  <si>
    <t>Cada herramienta incluye una hoja de PRUEBAS con valores esperados calculados de forma independiente del motor del libro. Revíselas después de cualquier traspaso de datos o edición de constantes.</t>
  </si>
  <si>
    <t>Compatibilidad</t>
  </si>
  <si>
    <t>Archivos .xlsx sin macros, sin funciones matriciales, compatibles con Microsoft 365 en Windows y con Excel 2021. Las constantes y umbrales están centralizados en la hoja CONFIG de cada herramienta.</t>
  </si>
  <si>
    <t>Privacidad</t>
  </si>
  <si>
    <t>Varias herramientas contienen datos sensibles de salud sujetos a secreto profesional y a la normativa sobre ficha clínica y protección de datos personales. Los datos permanecen en el archivo local: ninguna herramienta transmite información. Guárdelas con acceso restringido.</t>
  </si>
  <si>
    <t>Casos de ejemplo</t>
  </si>
  <si>
    <t>Todas vienen con un caso cargado para mostrar su funcionamiento. Reemplácelo antes de usarlas con una persona real y verifique que no queden datos de pacientes antes de entregarlas.</t>
  </si>
  <si>
    <t>Qué NO hace el paquete</t>
  </si>
  <si>
    <t>No calcula requerimientos energéticos: parte de una meta ya definida. No cubre enfermedad renal, nutrición deportiva ni población pediátrica, que tienen módulos propios fuera de este paquete. No reemplaza la ficha clínica institucional ni el juicio profesional.</t>
  </si>
  <si>
    <t>Control de calidad de la guía del paquete</t>
  </si>
  <si>
    <t>Esta guía no calcula resultados clínicos: las pruebas verifican la consistencia del catálogo y de los recuentos. Las pruebas clínicas están en cada herramienta.</t>
  </si>
  <si>
    <t>Bloque</t>
  </si>
  <si>
    <t>Descripción de la prueba</t>
  </si>
  <si>
    <t>Obtenido</t>
  </si>
  <si>
    <t>Esperado</t>
  </si>
  <si>
    <t>Estado</t>
  </si>
  <si>
    <t>A</t>
  </si>
  <si>
    <t>Herramientas en el catálogo</t>
  </si>
  <si>
    <t>Suma de hojas de las siete herramientas</t>
  </si>
  <si>
    <t>Herramientas con base de composición</t>
  </si>
  <si>
    <t>Herramientas sin base de composición</t>
  </si>
  <si>
    <t>B</t>
  </si>
  <si>
    <t>Etapas del flujo de trabajo</t>
  </si>
  <si>
    <t>Traspasos de datos documentados</t>
  </si>
  <si>
    <t>C</t>
  </si>
  <si>
    <t>Herramientas bloqueadas para distribución</t>
  </si>
  <si>
    <t>El bloqueo de licencia está activo</t>
  </si>
  <si>
    <t>ACTIVO</t>
  </si>
  <si>
    <t>El paquete completo se declara no distribuible</t>
  </si>
  <si>
    <t>DECLARA</t>
  </si>
  <si>
    <t>D</t>
  </si>
  <si>
    <t>Archivos marcados como presentes</t>
  </si>
  <si>
    <t>Hojas sumadas en la verificación</t>
  </si>
  <si>
    <t>El recuento de la verificación coincide con el catálogo</t>
  </si>
  <si>
    <t>El paquete se declara completo</t>
  </si>
  <si>
    <t>COMPLETO</t>
  </si>
  <si>
    <t>E</t>
  </si>
  <si>
    <t>La entrega queda pendiente hasta completar los cuatro puntos</t>
  </si>
  <si>
    <t>PENDIENTE</t>
  </si>
  <si>
    <t>Constante de módulos del paquete</t>
  </si>
  <si>
    <t>Constante de módulos con base de composición</t>
  </si>
  <si>
    <t>F</t>
  </si>
  <si>
    <t>Un valor ausente NO se interpreta como cero</t>
  </si>
  <si>
    <t>ND</t>
  </si>
  <si>
    <t>RESUMEN</t>
  </si>
  <si>
    <t>Pruebas aprobadas</t>
  </si>
  <si>
    <t>Configuración del paquete</t>
  </si>
  <si>
    <t>PARÁMETROS</t>
  </si>
  <si>
    <t>Herramientas que componen el paquete</t>
  </si>
  <si>
    <t>módulos</t>
  </si>
  <si>
    <t>Módulos que incorporan la base de composición</t>
  </si>
  <si>
    <t>hojas</t>
  </si>
  <si>
    <t>Tolerancia de las pruebas</t>
  </si>
  <si>
    <t>±</t>
  </si>
  <si>
    <t>LISTAS</t>
  </si>
  <si>
    <t>Este libro es la GUÍA del paquete: no calcula nada clínico. Toda la operación ocurre dentro de cada una de las siete herramientas, que son archivos independientes.</t>
  </si>
  <si>
    <t>Historial de versiones</t>
  </si>
  <si>
    <t>Cambio</t>
  </si>
  <si>
    <t>Versión inicial de NMX-P1: guía del paquete de siete herramientas, con catálogo, flujo de trabajo, mapa de traspasos, situación de licencia y verificación de integridad.</t>
  </si>
  <si>
    <t>Fase 8 · Paquetes.</t>
  </si>
  <si>
    <t>Se asignó el código NMX-P1 en lugar de NMX-14.</t>
  </si>
  <si>
    <t>El código NMX-14 ya estaba ocupado por la evaluación nutricional pediátrica. El prefijo P distingue un paquete de una herramienta y deja libre la numeración correlativa.</t>
  </si>
  <si>
    <t>Hoja CONEXIONES con los nueve traspasos de datos entre herramientas.</t>
  </si>
  <si>
    <t>Las herramientas son archivos independientes sin vínculos automáticos: el traspaso es manual y hay que documentar exactamente qué se copia y adónde.</t>
  </si>
  <si>
    <t>Hoja LICENCIA que separa las cuatro herramientas bloqueadas de las tres libres.</t>
  </si>
  <si>
    <t>Solo cuatro incorporan la base de composición: el bloqueo no afecta por igual a todo el paquete y conviene que quede explícito.</t>
  </si>
  <si>
    <t>Hoja VERIFICACION con lista de comprobación de archivos y control previo a la entrega.</t>
  </si>
  <si>
    <t>Un archivo que abre pero con pruebas en revisión no está listo, y los casos de ejemplo deben retirarse antes de entregar.</t>
  </si>
  <si>
    <t>Diseño visual, barra de navegación y enlaces de retorno replicados de NMX-10 aprobado.</t>
  </si>
  <si>
    <t>Unificar la identidad de la colección.</t>
  </si>
  <si>
    <t>Equipo Nutrimetría</t>
  </si>
  <si>
    <t>Auditoria</t>
  </si>
  <si>
    <t>DISTRIBUCIÓN. Cinco herramientas incorporan la Tabla de Composición del INTA de redistribución documentada: NMX-02, NMX-13, NMX-20, NMX-07 y NMX-25. Uso personal del titular. Vea la hoja LICENCIA.</t>
  </si>
  <si>
    <t>Estan bloqueados para distribuir?</t>
  </si>
  <si>
    <t>Uso y redistribución de la Tabla de Composición de Alimentos (INTA, Universidad de Chile, edición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</si>
</sst>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charset val="1"/>
    </font>
    <font>
      <b/>
      <sz val="20"/>
      <color rgb="FFFFFFFF"/>
      <name val="Arial"/>
      <charset val="1"/>
    </font>
    <font>
      <b/>
      <sz val="14"/>
      <color rgb="FFFFFFFF"/>
      <name val="Arial"/>
      <charset val="1"/>
    </font>
    <font>
      <b/>
      <sz val="10"/>
      <color rgb="FFFFFFFF"/>
      <name val="Aptos"/>
      <charset val="1"/>
    </font>
    <font>
      <sz val="11"/>
      <color rgb="FF155E6C"/>
      <name val="Aptos"/>
      <charset val="1"/>
    </font>
    <font>
      <b/>
      <sz val="11"/>
      <color rgb="FF1A1A1A"/>
      <name val="Arial"/>
      <charset val="1"/>
    </font>
    <font>
      <b/>
      <sz val="10"/>
      <color rgb="FF1A1A1A"/>
      <name val="Arial"/>
      <charset val="1"/>
    </font>
    <font>
      <b/>
      <sz val="11"/>
      <color rgb="FFFFFFFF"/>
      <name val="Arial"/>
      <charset val="1"/>
    </font>
    <font>
      <b/>
      <sz val="10"/>
      <color rgb="FF155E6C"/>
      <name val="Arial"/>
      <charset val="1"/>
    </font>
    <font>
      <b/>
      <sz val="12"/>
      <color rgb="FF1A1A1A"/>
      <name val="Arial"/>
      <charset val="1"/>
    </font>
    <font>
      <b/>
      <sz val="10"/>
      <color rgb="FFFFFFFF"/>
      <name val="Arial"/>
      <charset val="1"/>
    </font>
    <font>
      <b/>
      <sz val="10"/>
      <color rgb="FF1C6B72"/>
      <name val="Arial"/>
      <charset val="1"/>
    </font>
    <font>
      <sz val="9"/>
      <color rgb="FF1A1A1A"/>
      <name val="Arial"/>
      <charset val="1"/>
    </font>
    <font>
      <sz val="10"/>
      <color rgb="FF1A1A1A"/>
      <name val="Arial"/>
      <charset val="1"/>
    </font>
    <font>
      <b/>
      <sz val="9"/>
      <color rgb="FF5A6B70"/>
      <name val="Arial"/>
      <charset val="1"/>
    </font>
    <font>
      <b/>
      <sz val="9"/>
      <color rgb="FFB45309"/>
      <name val="Arial"/>
      <charset val="1"/>
    </font>
    <font>
      <b/>
      <sz val="9"/>
      <color rgb="FF1C6B72"/>
      <name val="Arial"/>
      <charset val="1"/>
    </font>
    <font>
      <b/>
      <sz val="10"/>
      <color rgb="FFB45309"/>
      <name val="Arial"/>
      <charset val="1"/>
    </font>
    <font>
      <b/>
      <sz val="10"/>
      <color rgb="FF5A6B70"/>
      <name val="Arial"/>
      <charset val="1"/>
    </font>
    <font>
      <b/>
      <sz val="10"/>
      <color rgb="FF0000CC"/>
      <name val="Arial"/>
      <charset val="1"/>
    </font>
    <font>
      <b/>
      <sz val="11"/>
      <color rgb="FFB45309"/>
      <name val="Arial"/>
      <charset val="1"/>
    </font>
    <font>
      <b/>
      <sz val="11"/>
      <color rgb="FF1C6B72"/>
      <name val="Arial"/>
      <charset val="1"/>
    </font>
    <font>
      <b/>
      <sz val="9"/>
      <color rgb="FF1A1A1A"/>
      <name val="Arial"/>
      <charset val="1"/>
    </font>
    <font>
      <sz val="9"/>
      <color rgb="FF5A6B70"/>
      <name val="Arial"/>
      <charset val="1"/>
    </font>
  </fonts>
  <fills count="11">
    <fill>
      <patternFill patternType="none"/>
    </fill>
    <fill>
      <patternFill patternType="gray125"/>
    </fill>
    <fill>
      <patternFill patternType="solid">
        <fgColor rgb="FF0F3B44"/>
        <bgColor rgb="FF17324D"/>
      </patternFill>
    </fill>
    <fill>
      <patternFill patternType="solid">
        <fgColor rgb="FF1C6B72"/>
        <bgColor rgb="FF155E6C"/>
      </patternFill>
    </fill>
    <fill>
      <patternFill patternType="solid">
        <fgColor rgb="FF17324D"/>
        <bgColor rgb="FF0F3B44"/>
      </patternFill>
    </fill>
    <fill>
      <patternFill patternType="solid">
        <fgColor rgb="FFDCEFF1"/>
        <bgColor rgb="FFDFF0E3"/>
      </patternFill>
    </fill>
    <fill>
      <patternFill patternType="solid">
        <fgColor rgb="FFE7E0F5"/>
        <bgColor rgb="FFD8E7E2"/>
      </patternFill>
    </fill>
    <fill>
      <patternFill patternType="solid">
        <fgColor rgb="FFFBE4D5"/>
        <bgColor rgb="FFFCEFCE"/>
      </patternFill>
    </fill>
    <fill>
      <patternFill patternType="solid">
        <fgColor rgb="FFF4F6F7"/>
        <bgColor rgb="FFFFFFFF"/>
      </patternFill>
    </fill>
    <fill>
      <patternFill patternType="solid">
        <fgColor rgb="FFDFF0E3"/>
        <bgColor rgb="FFDCEFF1"/>
      </patternFill>
    </fill>
    <fill>
      <patternFill patternType="solid">
        <fgColor rgb="FFFCEFCE"/>
        <bgColor rgb="FFFBE4D5"/>
      </patternFill>
    </fill>
  </fills>
  <borders count="5">
    <border>
      <left/>
      <right/>
      <top/>
      <bottom/>
      <diagonal/>
    </border>
    <border>
      <left style="thin">
        <color rgb="FFB7C7CB"/>
      </left>
      <right style="thin">
        <color rgb="FFB7C7CB"/>
      </right>
      <top style="thin">
        <color rgb="FFB7C7CB"/>
      </top>
      <bottom style="thin">
        <color rgb="FFB7C7CB"/>
      </bottom>
      <diagonal/>
    </border>
    <border>
      <left style="thin">
        <color rgb="FFB7C7CB"/>
      </left>
      <right/>
      <top/>
      <bottom style="thin">
        <color rgb="FFB7C7CB"/>
      </bottom>
      <diagonal/>
    </border>
    <border>
      <left/>
      <right/>
      <top/>
      <bottom style="thin">
        <color rgb="FFB7C7CB"/>
      </bottom>
      <diagonal/>
    </border>
    <border>
      <left style="thin">
        <color rgb="FFB7C7CB"/>
      </left>
      <right/>
      <top/>
      <bottom/>
      <diagonal/>
    </border>
  </borders>
  <cellStyleXfs count="1">
    <xf numFmtId="0" fontId="0" fillId="0" borderId="0"/>
  </cellStyleXfs>
  <cellXfs count="57">
    <xf numFmtId="0" fontId="0" fillId="0" borderId="0" xfId="0"/>
    <xf numFmtId="0" fontId="13" fillId="9" borderId="1" xfId="0" applyFont="1" applyFill="1" applyBorder="1" applyAlignment="1" applyProtection="1">
      <alignment horizontal="left" vertical="center" wrapText="1"/>
    </xf>
    <xf numFmtId="0" fontId="5" fillId="9" borderId="1" xfId="0" applyFont="1" applyFill="1" applyBorder="1" applyAlignment="1" applyProtection="1">
      <alignment horizontal="left" vertical="center"/>
    </xf>
    <xf numFmtId="0" fontId="9" fillId="5" borderId="1" xfId="0" applyFont="1" applyFill="1" applyBorder="1" applyAlignment="1" applyProtection="1">
      <alignment horizontal="center" vertical="center"/>
    </xf>
    <xf numFmtId="0" fontId="6" fillId="7" borderId="1" xfId="0" applyFont="1" applyFill="1" applyBorder="1" applyAlignment="1" applyProtection="1">
      <alignment horizontal="left" vertical="center" wrapText="1"/>
    </xf>
    <xf numFmtId="0" fontId="8" fillId="5" borderId="1" xfId="0" applyFont="1" applyFill="1" applyBorder="1" applyAlignment="1" applyProtection="1">
      <alignment horizontal="left" vertical="center" wrapText="1"/>
    </xf>
    <xf numFmtId="0" fontId="7" fillId="3" borderId="1" xfId="0" applyFont="1" applyFill="1" applyBorder="1" applyAlignment="1" applyProtection="1">
      <alignment horizontal="left" vertical="center"/>
    </xf>
    <xf numFmtId="0" fontId="6" fillId="6" borderId="1" xfId="0" applyFont="1" applyFill="1" applyBorder="1" applyAlignment="1" applyProtection="1">
      <alignment horizontal="left" vertical="center" wrapText="1"/>
    </xf>
    <xf numFmtId="0" fontId="5" fillId="6" borderId="1" xfId="0" applyFont="1" applyFill="1" applyBorder="1" applyAlignment="1" applyProtection="1">
      <alignment horizontal="left" vertical="center"/>
    </xf>
    <xf numFmtId="0" fontId="4" fillId="5" borderId="1" xfId="0" applyFont="1" applyFill="1" applyBorder="1" applyAlignment="1" applyProtection="1">
      <alignment horizontal="center" vertical="center" wrapText="1"/>
    </xf>
    <xf numFmtId="0" fontId="3" fillId="4" borderId="1" xfId="0" applyFont="1" applyFill="1" applyBorder="1" applyAlignment="1" applyProtection="1">
      <alignment horizontal="center" vertical="center"/>
    </xf>
    <xf numFmtId="0" fontId="2" fillId="3" borderId="1" xfId="0" applyFont="1" applyFill="1" applyBorder="1" applyAlignment="1" applyProtection="1">
      <alignment horizontal="left" vertical="center"/>
    </xf>
    <xf numFmtId="0" fontId="2" fillId="3" borderId="0" xfId="0" applyFont="1" applyFill="1" applyBorder="1" applyAlignment="1" applyProtection="1">
      <alignment horizontal="left" vertical="center" wrapText="1"/>
    </xf>
    <xf numFmtId="0" fontId="1" fillId="2" borderId="0" xfId="0" applyFont="1" applyFill="1" applyBorder="1" applyAlignment="1" applyProtection="1">
      <alignment horizontal="left" vertical="center"/>
    </xf>
    <xf numFmtId="0" fontId="0" fillId="0" borderId="0" xfId="0" applyAlignment="1" applyProtection="1"/>
    <xf numFmtId="0" fontId="10" fillId="3" borderId="1" xfId="0" applyFont="1" applyFill="1" applyBorder="1" applyAlignment="1" applyProtection="1">
      <alignment horizontal="center" vertical="center" wrapText="1"/>
    </xf>
    <xf numFmtId="0" fontId="11" fillId="5" borderId="1" xfId="0" applyFont="1" applyFill="1" applyBorder="1" applyAlignment="1" applyProtection="1">
      <alignment horizontal="center" vertical="center"/>
    </xf>
    <xf numFmtId="0" fontId="12" fillId="8" borderId="1" xfId="0" applyFont="1" applyFill="1" applyBorder="1" applyAlignment="1" applyProtection="1">
      <alignment horizontal="left" vertical="top" wrapText="1"/>
    </xf>
    <xf numFmtId="0" fontId="13" fillId="8" borderId="1" xfId="0" applyFont="1" applyFill="1" applyBorder="1" applyAlignment="1" applyProtection="1">
      <alignment horizontal="center" vertical="center"/>
    </xf>
    <xf numFmtId="0" fontId="14" fillId="8" borderId="1" xfId="0" applyFont="1" applyFill="1" applyBorder="1" applyAlignment="1" applyProtection="1">
      <alignment horizontal="center" vertical="center"/>
    </xf>
    <xf numFmtId="0" fontId="15" fillId="7" borderId="1" xfId="0" applyFont="1" applyFill="1" applyBorder="1" applyAlignment="1" applyProtection="1">
      <alignment horizontal="center" vertical="center"/>
    </xf>
    <xf numFmtId="0" fontId="5" fillId="9" borderId="1" xfId="0" applyFont="1" applyFill="1" applyBorder="1" applyAlignment="1" applyProtection="1">
      <alignment horizontal="center" vertical="center"/>
    </xf>
    <xf numFmtId="0" fontId="6" fillId="9" borderId="1" xfId="0" applyFont="1" applyFill="1" applyBorder="1" applyAlignment="1" applyProtection="1">
      <alignment horizontal="center" vertical="center"/>
    </xf>
    <xf numFmtId="0" fontId="6" fillId="7" borderId="1" xfId="0" applyFont="1" applyFill="1" applyBorder="1" applyAlignment="1" applyProtection="1">
      <alignment horizontal="center" vertical="center"/>
    </xf>
    <xf numFmtId="0" fontId="6" fillId="5" borderId="1" xfId="0" applyFont="1" applyFill="1" applyBorder="1" applyAlignment="1" applyProtection="1">
      <alignment horizontal="left" vertical="center"/>
    </xf>
    <xf numFmtId="0" fontId="16" fillId="5" borderId="1" xfId="0" applyFont="1" applyFill="1" applyBorder="1" applyAlignment="1" applyProtection="1">
      <alignment horizontal="center" vertical="top" wrapText="1"/>
    </xf>
    <xf numFmtId="0" fontId="12" fillId="8" borderId="1" xfId="0" applyFont="1" applyFill="1" applyBorder="1" applyAlignment="1" applyProtection="1">
      <alignment horizontal="left" vertical="center" wrapText="1"/>
    </xf>
    <xf numFmtId="0" fontId="18" fillId="8" borderId="1" xfId="0" applyFont="1" applyFill="1" applyBorder="1" applyAlignment="1" applyProtection="1">
      <alignment horizontal="center" vertical="center"/>
    </xf>
    <xf numFmtId="0" fontId="17" fillId="7" borderId="1" xfId="0" applyFont="1" applyFill="1" applyBorder="1" applyAlignment="1" applyProtection="1">
      <alignment horizontal="left" vertical="center"/>
    </xf>
    <xf numFmtId="0" fontId="12" fillId="8" borderId="1" xfId="0" applyFont="1" applyFill="1" applyBorder="1" applyAlignment="1" applyProtection="1">
      <alignment horizontal="left" vertical="center"/>
    </xf>
    <xf numFmtId="0" fontId="12" fillId="8" borderId="1" xfId="0" applyFont="1" applyFill="1" applyBorder="1" applyAlignment="1" applyProtection="1">
      <alignment horizontal="center" vertical="center"/>
    </xf>
    <xf numFmtId="0" fontId="10" fillId="3" borderId="1" xfId="0" applyFont="1" applyFill="1" applyBorder="1" applyAlignment="1" applyProtection="1">
      <alignment horizontal="center" vertical="center"/>
    </xf>
    <xf numFmtId="0" fontId="22" fillId="8" borderId="1" xfId="0" applyFont="1" applyFill="1" applyBorder="1" applyAlignment="1" applyProtection="1">
      <alignment horizontal="left" vertical="top" wrapText="1"/>
    </xf>
    <xf numFmtId="0" fontId="22" fillId="9" borderId="1" xfId="0" applyFont="1" applyFill="1" applyBorder="1" applyAlignment="1" applyProtection="1">
      <alignment horizontal="center" vertical="center"/>
    </xf>
    <xf numFmtId="0" fontId="11" fillId="5" borderId="1" xfId="0" applyFont="1" applyFill="1" applyBorder="1" applyAlignment="1" applyProtection="1">
      <alignment horizontal="left" vertical="center"/>
    </xf>
    <xf numFmtId="0" fontId="23" fillId="8" borderId="1" xfId="0" applyFont="1" applyFill="1" applyBorder="1" applyAlignment="1" applyProtection="1">
      <alignment horizontal="center" vertical="center"/>
    </xf>
    <xf numFmtId="0" fontId="12" fillId="8" borderId="1" xfId="0" applyFont="1" applyFill="1" applyBorder="1" applyAlignment="1" applyProtection="1">
      <alignment horizontal="center" vertical="top"/>
    </xf>
    <xf numFmtId="0" fontId="13" fillId="7" borderId="1" xfId="0" applyFont="1" applyFill="1" applyBorder="1" applyAlignment="1" applyProtection="1">
      <alignment horizontal="left" vertical="center" wrapText="1"/>
    </xf>
    <xf numFmtId="0" fontId="6" fillId="7" borderId="1" xfId="0" applyFont="1" applyFill="1" applyBorder="1" applyAlignment="1" applyProtection="1">
      <alignment horizontal="left" vertical="top" wrapText="1"/>
    </xf>
    <xf numFmtId="0" fontId="17" fillId="7" borderId="1" xfId="0" applyFont="1" applyFill="1" applyBorder="1" applyAlignment="1" applyProtection="1">
      <alignment horizontal="left" vertical="top" wrapText="1"/>
    </xf>
    <xf numFmtId="0" fontId="20" fillId="7" borderId="1" xfId="0" applyFont="1" applyFill="1" applyBorder="1" applyAlignment="1" applyProtection="1">
      <alignment horizontal="left" vertical="center" wrapText="1"/>
    </xf>
    <xf numFmtId="0" fontId="6" fillId="8" borderId="1" xfId="0" applyFont="1" applyFill="1" applyBorder="1" applyAlignment="1" applyProtection="1">
      <alignment horizontal="left" vertical="center" wrapText="1"/>
    </xf>
    <xf numFmtId="0" fontId="21" fillId="9" borderId="1" xfId="0" applyFont="1" applyFill="1" applyBorder="1" applyAlignment="1" applyProtection="1">
      <alignment horizontal="left" vertical="top" wrapText="1"/>
    </xf>
    <xf numFmtId="0" fontId="17" fillId="7" borderId="1" xfId="0" applyFont="1" applyFill="1" applyBorder="1" applyAlignment="1" applyProtection="1">
      <alignment horizontal="left" vertical="center" wrapText="1"/>
    </xf>
    <xf numFmtId="0" fontId="10" fillId="3" borderId="1" xfId="0" applyFont="1" applyFill="1" applyBorder="1" applyAlignment="1" applyProtection="1">
      <alignment horizontal="center" vertical="center"/>
    </xf>
    <xf numFmtId="0" fontId="12" fillId="8" borderId="1" xfId="0" applyFont="1" applyFill="1" applyBorder="1" applyAlignment="1" applyProtection="1">
      <alignment horizontal="left" vertical="top" wrapText="1"/>
    </xf>
    <xf numFmtId="0" fontId="23" fillId="0" borderId="0" xfId="0" applyFont="1" applyBorder="1" applyAlignment="1" applyProtection="1">
      <alignment horizontal="left" vertical="center" wrapText="1"/>
    </xf>
    <xf numFmtId="0" fontId="13" fillId="8" borderId="1" xfId="0" applyFont="1" applyFill="1" applyBorder="1" applyAlignment="1" applyProtection="1">
      <alignment horizontal="left" vertical="center"/>
    </xf>
    <xf numFmtId="0" fontId="19" fillId="10" borderId="1" xfId="0" applyFont="1" applyFill="1" applyBorder="1" applyAlignment="1" applyProtection="1">
      <alignment horizontal="left" vertical="center" wrapText="1"/>
      <protection locked="0"/>
    </xf>
    <xf numFmtId="0" fontId="19" fillId="10" borderId="1" xfId="0" applyFont="1" applyFill="1" applyBorder="1" applyAlignment="1" applyProtection="1">
      <alignment horizontal="center" vertical="center"/>
      <protection locked="0"/>
    </xf>
    <xf numFmtId="0" fontId="19" fillId="10" borderId="1" xfId="0" applyFont="1" applyFill="1" applyBorder="1" applyAlignment="1" applyProtection="1">
      <alignment horizontal="left" vertical="center"/>
      <protection locked="0"/>
    </xf>
    <xf numFmtId="0" fontId="10" fillId="3" borderId="2" xfId="0" applyFont="1" applyFill="1" applyBorder="1" applyAlignment="1" applyProtection="1">
      <alignment horizontal="center" vertical="center"/>
    </xf>
    <xf numFmtId="0" fontId="10" fillId="3" borderId="3" xfId="0" applyFont="1" applyFill="1" applyBorder="1" applyAlignment="1" applyProtection="1">
      <alignment horizontal="center" vertical="center"/>
    </xf>
    <xf numFmtId="0" fontId="10" fillId="3" borderId="4" xfId="0" applyFont="1" applyFill="1" applyBorder="1" applyAlignment="1" applyProtection="1">
      <alignment horizontal="center" vertical="center"/>
    </xf>
    <xf numFmtId="0" fontId="10" fillId="3" borderId="0" xfId="0" applyFont="1" applyFill="1" applyBorder="1" applyAlignment="1" applyProtection="1">
      <alignment horizontal="center" vertical="center"/>
    </xf>
    <xf numFmtId="0" fontId="12" fillId="8" borderId="1" xfId="0" applyFont="1" applyFill="1" applyBorder="1" applyAlignment="1" applyProtection="1">
      <alignment horizontal="center" vertical="center" wrapText="1"/>
    </xf>
    <xf numFmtId="0" fontId="5" fillId="6" borderId="1" xfId="0" applyFont="1" applyFill="1" applyBorder="1" applyAlignment="1" applyProtection="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CC"/>
      <rgbColor rgb="FFFFFF00"/>
      <rgbColor rgb="FFFF00FF"/>
      <rgbColor rgb="FF00FFFF"/>
      <rgbColor rgb="FF800000"/>
      <rgbColor rgb="FF008000"/>
      <rgbColor rgb="FF000080"/>
      <rgbColor rgb="FF808000"/>
      <rgbColor rgb="FF800080"/>
      <rgbColor rgb="FF1C6B72"/>
      <rgbColor rgb="FFB7C7CB"/>
      <rgbColor rgb="FF808080"/>
      <rgbColor rgb="FF9999FF"/>
      <rgbColor rgb="FF993366"/>
      <rgbColor rgb="FFFCEFCE"/>
      <rgbColor rgb="FFDCEFF1"/>
      <rgbColor rgb="FF660066"/>
      <rgbColor rgb="FFFF8080"/>
      <rgbColor rgb="FF0066CC"/>
      <rgbColor rgb="FFE7E0F5"/>
      <rgbColor rgb="FF000080"/>
      <rgbColor rgb="FFFF00FF"/>
      <rgbColor rgb="FFFFFF00"/>
      <rgbColor rgb="FF00FFFF"/>
      <rgbColor rgb="FF800080"/>
      <rgbColor rgb="FF800000"/>
      <rgbColor rgb="FF155E6C"/>
      <rgbColor rgb="FF0000FF"/>
      <rgbColor rgb="FF00CCFF"/>
      <rgbColor rgb="FFD8E7E2"/>
      <rgbColor rgb="FFDFF0E3"/>
      <rgbColor rgb="FFF4F6F7"/>
      <rgbColor rgb="FF99CCFF"/>
      <rgbColor rgb="FFFF99CC"/>
      <rgbColor rgb="FFCC99FF"/>
      <rgbColor rgb="FFFBE4D5"/>
      <rgbColor rgb="FF3366FF"/>
      <rgbColor rgb="FF33CCCC"/>
      <rgbColor rgb="FF99CC00"/>
      <rgbColor rgb="FFFFCC00"/>
      <rgbColor rgb="FFFF9900"/>
      <rgbColor rgb="FFFF6600"/>
      <rgbColor rgb="FF5A6B70"/>
      <rgbColor rgb="FF969696"/>
      <rgbColor rgb="FF17324D"/>
      <rgbColor rgb="FF339966"/>
      <rgbColor rgb="FF003300"/>
      <rgbColor rgb="FF1A1A1A"/>
      <rgbColor rgb="FFB45309"/>
      <rgbColor rgb="FF993366"/>
      <rgbColor rgb="FF333399"/>
      <rgbColor rgb="FF0F3B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F3B44"/>
  </sheetPr>
  <dimension ref="A1:Q38"/>
  <sheetViews>
    <sheetView showGridLines="0" tabSelected="1" topLeftCell="A4" zoomScaleNormal="100" workbookViewId="0">
      <selection activeCell="A37" sqref="A37:B37"/>
    </sheetView>
  </sheetViews>
  <sheetFormatPr baseColWidth="10" defaultColWidth="8.7109375" defaultRowHeight="15"/>
  <cols>
    <col min="1" max="1" width="18.5703125" style="14" customWidth="1"/>
    <col min="2" max="2" width="15" style="14" customWidth="1"/>
    <col min="3" max="3" width="12" style="14" customWidth="1"/>
    <col min="4" max="5" width="11"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1</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7.75" customHeight="1">
      <c r="A4" s="11" t="s">
        <v>2</v>
      </c>
      <c r="B4" s="11"/>
      <c r="C4" s="11"/>
      <c r="D4" s="11"/>
      <c r="E4" s="11"/>
      <c r="F4" s="11"/>
      <c r="G4" s="11"/>
      <c r="H4" s="11"/>
      <c r="I4" s="11"/>
      <c r="J4" s="11"/>
      <c r="K4" s="11"/>
      <c r="L4" s="11"/>
      <c r="M4" s="11"/>
      <c r="N4" s="11"/>
      <c r="O4" s="11"/>
      <c r="P4" s="11"/>
      <c r="Q4" s="11"/>
    </row>
    <row r="5" spans="1:17" ht="27.75" customHeight="1">
      <c r="A5" s="10" t="str">
        <f>HYPERLINK("#CATALOGO!A1","▶  CATALOGO")</f>
        <v>▶  CATALOGO</v>
      </c>
      <c r="B5" s="10"/>
      <c r="C5" s="10" t="str">
        <f>HYPERLINK("#FLUJO!A1","▶  FLUJO")</f>
        <v>▶  FLUJO</v>
      </c>
      <c r="D5" s="10"/>
      <c r="E5" s="10" t="str">
        <f>HYPERLINK("#CONEXIONES!A1","▶  CONEXIONES")</f>
        <v>▶  CONEXIONES</v>
      </c>
      <c r="F5" s="10"/>
      <c r="G5" s="10" t="str">
        <f>HYPERLINK("#LICENCIA!A1","▶  LICENCIA")</f>
        <v>▶  LICENCIA</v>
      </c>
      <c r="H5" s="10"/>
      <c r="I5" s="10" t="str">
        <f>HYPERLINK("#VERIFICACION!A1","▶  VERIFICACION")</f>
        <v>▶  VERIFICACION</v>
      </c>
      <c r="J5" s="10"/>
      <c r="K5" s="10" t="str">
        <f>HYPERLINK("#FUENTES!A1","▶  FUENTES")</f>
        <v>▶  FUENTES</v>
      </c>
      <c r="L5" s="10"/>
      <c r="M5" s="10" t="str">
        <f>HYPERLINK("#PRUEBAS!A1","▶  PRUEBAS")</f>
        <v>▶  PRUEBAS</v>
      </c>
      <c r="N5" s="10"/>
      <c r="O5" s="10" t="str">
        <f>HYPERLINK("#CONFIG!A1","▶  CONFIG")</f>
        <v>▶  CONFIG</v>
      </c>
      <c r="P5" s="10"/>
      <c r="Q5" s="10"/>
    </row>
    <row r="6" spans="1:17" ht="29.25" customHeight="1">
      <c r="A6" s="9" t="s">
        <v>3</v>
      </c>
      <c r="B6" s="9"/>
      <c r="C6" s="9" t="s">
        <v>4</v>
      </c>
      <c r="D6" s="9"/>
      <c r="E6" s="9" t="s">
        <v>5</v>
      </c>
      <c r="F6" s="9"/>
      <c r="G6" s="9" t="s">
        <v>6</v>
      </c>
      <c r="H6" s="9"/>
      <c r="I6" s="9" t="s">
        <v>7</v>
      </c>
      <c r="J6" s="9"/>
      <c r="K6" s="9" t="s">
        <v>8</v>
      </c>
      <c r="L6" s="9"/>
      <c r="M6" s="9" t="s">
        <v>9</v>
      </c>
      <c r="N6" s="9"/>
      <c r="O6" s="9" t="s">
        <v>10</v>
      </c>
      <c r="P6" s="9"/>
      <c r="Q6" s="9"/>
    </row>
    <row r="7" spans="1:17" ht="27.75" customHeight="1">
      <c r="A7" s="10" t="str">
        <f>HYPERLINK("#CHANGELOG!A1","▶  CHANGELOG")</f>
        <v>▶  CHANGELOG</v>
      </c>
      <c r="B7" s="10"/>
    </row>
    <row r="8" spans="1:17" ht="29.25" customHeight="1">
      <c r="A8" s="9" t="s">
        <v>11</v>
      </c>
      <c r="B8" s="9"/>
    </row>
    <row r="10" spans="1:17" ht="15" customHeight="1">
      <c r="A10" s="8" t="s">
        <v>12</v>
      </c>
      <c r="B10" s="8"/>
      <c r="C10" s="7" t="s">
        <v>13</v>
      </c>
      <c r="D10" s="7"/>
      <c r="E10" s="7"/>
      <c r="F10" s="7"/>
      <c r="G10" s="7"/>
      <c r="H10" s="7"/>
      <c r="I10" s="7"/>
      <c r="J10" s="7"/>
      <c r="K10" s="7"/>
    </row>
    <row r="11" spans="1:17" ht="15" customHeight="1">
      <c r="A11" s="8" t="s">
        <v>14</v>
      </c>
      <c r="B11" s="8"/>
      <c r="C11" s="7" t="s">
        <v>15</v>
      </c>
      <c r="D11" s="7"/>
      <c r="E11" s="7"/>
      <c r="F11" s="7"/>
      <c r="G11" s="7"/>
      <c r="H11" s="7"/>
      <c r="I11" s="7"/>
      <c r="J11" s="7"/>
      <c r="K11" s="7"/>
    </row>
    <row r="12" spans="1:17" ht="15" customHeight="1">
      <c r="A12" s="8" t="s">
        <v>16</v>
      </c>
      <c r="B12" s="8"/>
      <c r="C12" s="7" t="s">
        <v>17</v>
      </c>
      <c r="D12" s="7"/>
      <c r="E12" s="7"/>
      <c r="F12" s="7"/>
      <c r="G12" s="7"/>
      <c r="H12" s="7"/>
      <c r="I12" s="7"/>
      <c r="J12" s="7"/>
      <c r="K12" s="7"/>
    </row>
    <row r="13" spans="1:17" ht="15" customHeight="1">
      <c r="A13" s="8" t="s">
        <v>18</v>
      </c>
      <c r="B13" s="8"/>
      <c r="C13" s="7" t="s">
        <v>19</v>
      </c>
      <c r="D13" s="7"/>
      <c r="E13" s="7"/>
      <c r="F13" s="7"/>
      <c r="G13" s="7"/>
      <c r="H13" s="7"/>
      <c r="I13" s="7"/>
      <c r="J13" s="7"/>
      <c r="K13" s="7"/>
    </row>
    <row r="14" spans="1:17" ht="15" customHeight="1">
      <c r="A14" s="8" t="s">
        <v>20</v>
      </c>
      <c r="B14" s="8"/>
      <c r="C14" s="7" t="s">
        <v>21</v>
      </c>
      <c r="D14" s="7"/>
      <c r="E14" s="7"/>
      <c r="F14" s="7"/>
      <c r="G14" s="7"/>
      <c r="H14" s="7"/>
      <c r="I14" s="7"/>
      <c r="J14" s="7"/>
      <c r="K14" s="7"/>
    </row>
    <row r="15" spans="1:17" ht="15" customHeight="1">
      <c r="A15" s="8" t="s">
        <v>22</v>
      </c>
      <c r="B15" s="8"/>
      <c r="C15" s="7" t="s">
        <v>23</v>
      </c>
      <c r="D15" s="7"/>
      <c r="E15" s="7"/>
      <c r="F15" s="7"/>
      <c r="G15" s="7"/>
      <c r="H15" s="7"/>
      <c r="I15" s="7"/>
      <c r="J15" s="7"/>
      <c r="K15" s="7"/>
    </row>
    <row r="16" spans="1:17" ht="15" customHeight="1">
      <c r="A16" s="8" t="s">
        <v>24</v>
      </c>
      <c r="B16" s="8"/>
      <c r="C16" s="7" t="s">
        <v>25</v>
      </c>
      <c r="D16" s="7"/>
      <c r="E16" s="7"/>
      <c r="F16" s="7"/>
      <c r="G16" s="7"/>
      <c r="H16" s="7"/>
      <c r="I16" s="7"/>
      <c r="J16" s="7"/>
      <c r="K16" s="7"/>
    </row>
    <row r="18" spans="1:17" ht="19.5" customHeight="1">
      <c r="A18" s="6" t="s">
        <v>26</v>
      </c>
      <c r="B18" s="6"/>
      <c r="C18" s="6"/>
      <c r="D18" s="6"/>
      <c r="E18" s="6"/>
      <c r="F18" s="6"/>
      <c r="G18" s="6"/>
      <c r="H18" s="6"/>
      <c r="I18" s="6"/>
      <c r="J18" s="6"/>
      <c r="K18" s="6"/>
      <c r="L18" s="6"/>
      <c r="M18" s="6"/>
      <c r="N18" s="6"/>
      <c r="O18" s="6"/>
      <c r="P18" s="6"/>
      <c r="Q18" s="6"/>
    </row>
    <row r="19" spans="1:17" ht="31.5" customHeight="1">
      <c r="A19" s="5" t="s">
        <v>27</v>
      </c>
      <c r="B19" s="5"/>
      <c r="C19" s="5"/>
      <c r="D19" s="5"/>
      <c r="E19" s="5"/>
      <c r="F19" s="5"/>
      <c r="G19" s="5"/>
      <c r="H19" s="5"/>
      <c r="I19" s="5"/>
      <c r="J19" s="5"/>
      <c r="K19" s="5"/>
      <c r="L19" s="5"/>
      <c r="M19" s="5"/>
      <c r="N19" s="5"/>
      <c r="O19" s="5"/>
      <c r="P19" s="5"/>
      <c r="Q19" s="5"/>
    </row>
    <row r="20" spans="1:17" ht="31.5" customHeight="1">
      <c r="A20" s="5" t="s">
        <v>28</v>
      </c>
      <c r="B20" s="5"/>
      <c r="C20" s="5"/>
      <c r="D20" s="5"/>
      <c r="E20" s="5"/>
      <c r="F20" s="5"/>
      <c r="G20" s="5"/>
      <c r="H20" s="5"/>
      <c r="I20" s="5"/>
      <c r="J20" s="5"/>
      <c r="K20" s="5"/>
      <c r="L20" s="5"/>
      <c r="M20" s="5"/>
      <c r="N20" s="5"/>
      <c r="O20" s="5"/>
      <c r="P20" s="5"/>
      <c r="Q20" s="5"/>
    </row>
    <row r="21" spans="1:17" ht="31.5" customHeight="1">
      <c r="A21" s="5" t="s">
        <v>29</v>
      </c>
      <c r="B21" s="5"/>
      <c r="C21" s="5"/>
      <c r="D21" s="5"/>
      <c r="E21" s="5"/>
      <c r="F21" s="5"/>
      <c r="G21" s="5"/>
      <c r="H21" s="5"/>
      <c r="I21" s="5"/>
      <c r="J21" s="5"/>
      <c r="K21" s="5"/>
      <c r="L21" s="5"/>
      <c r="M21" s="5"/>
      <c r="N21" s="5"/>
      <c r="O21" s="5"/>
      <c r="P21" s="5"/>
      <c r="Q21" s="5"/>
    </row>
    <row r="23" spans="1:17" ht="19.5" customHeight="1">
      <c r="A23" s="6" t="s">
        <v>30</v>
      </c>
      <c r="B23" s="6"/>
      <c r="C23" s="6"/>
      <c r="D23" s="6"/>
      <c r="E23" s="6"/>
      <c r="F23" s="6"/>
      <c r="G23" s="6"/>
      <c r="H23" s="6"/>
      <c r="I23" s="6"/>
      <c r="J23" s="6"/>
      <c r="K23" s="6"/>
      <c r="L23" s="6"/>
      <c r="M23" s="6"/>
      <c r="N23" s="6"/>
      <c r="O23" s="6"/>
      <c r="P23" s="6"/>
      <c r="Q23" s="6"/>
    </row>
    <row r="24" spans="1:17" ht="30" customHeight="1">
      <c r="A24" s="4" t="s">
        <v>31</v>
      </c>
      <c r="B24" s="4"/>
      <c r="C24" s="4"/>
      <c r="D24" s="4"/>
      <c r="E24" s="4"/>
      <c r="F24" s="4"/>
      <c r="G24" s="4"/>
      <c r="H24" s="4"/>
      <c r="I24" s="4"/>
      <c r="J24" s="4"/>
      <c r="K24" s="4"/>
      <c r="L24" s="4"/>
      <c r="M24" s="4"/>
      <c r="N24" s="4"/>
      <c r="O24" s="4"/>
      <c r="P24" s="4"/>
      <c r="Q24" s="4"/>
    </row>
    <row r="25" spans="1:17" ht="30" customHeight="1">
      <c r="A25" s="4" t="s">
        <v>306</v>
      </c>
      <c r="B25" s="4"/>
      <c r="C25" s="4"/>
      <c r="D25" s="4"/>
      <c r="E25" s="4"/>
      <c r="F25" s="4"/>
      <c r="G25" s="4"/>
      <c r="H25" s="4"/>
      <c r="I25" s="4"/>
      <c r="J25" s="4"/>
      <c r="K25" s="4"/>
      <c r="L25" s="4"/>
      <c r="M25" s="4"/>
      <c r="N25" s="4"/>
      <c r="O25" s="4"/>
      <c r="P25" s="4"/>
      <c r="Q25" s="4"/>
    </row>
    <row r="26" spans="1:17" ht="30" customHeight="1">
      <c r="A26" s="4" t="s">
        <v>32</v>
      </c>
      <c r="B26" s="4"/>
      <c r="C26" s="4"/>
      <c r="D26" s="4"/>
      <c r="E26" s="4"/>
      <c r="F26" s="4"/>
      <c r="G26" s="4"/>
      <c r="H26" s="4"/>
      <c r="I26" s="4"/>
      <c r="J26" s="4"/>
      <c r="K26" s="4"/>
      <c r="L26" s="4"/>
      <c r="M26" s="4"/>
      <c r="N26" s="4"/>
      <c r="O26" s="4"/>
      <c r="P26" s="4"/>
      <c r="Q26" s="4"/>
    </row>
    <row r="27" spans="1:17" ht="30" customHeight="1">
      <c r="A27" s="4" t="s">
        <v>33</v>
      </c>
      <c r="B27" s="4"/>
      <c r="C27" s="4"/>
      <c r="D27" s="4"/>
      <c r="E27" s="4"/>
      <c r="F27" s="4"/>
      <c r="G27" s="4"/>
      <c r="H27" s="4"/>
      <c r="I27" s="4"/>
      <c r="J27" s="4"/>
      <c r="K27" s="4"/>
      <c r="L27" s="4"/>
      <c r="M27" s="4"/>
      <c r="N27" s="4"/>
      <c r="O27" s="4"/>
      <c r="P27" s="4"/>
      <c r="Q27" s="4"/>
    </row>
    <row r="28" spans="1:17" ht="30" customHeight="1">
      <c r="A28" s="4" t="s">
        <v>34</v>
      </c>
      <c r="B28" s="4"/>
      <c r="C28" s="4"/>
      <c r="D28" s="4"/>
      <c r="E28" s="4"/>
      <c r="F28" s="4"/>
      <c r="G28" s="4"/>
      <c r="H28" s="4"/>
      <c r="I28" s="4"/>
      <c r="J28" s="4"/>
      <c r="K28" s="4"/>
      <c r="L28" s="4"/>
      <c r="M28" s="4"/>
      <c r="N28" s="4"/>
      <c r="O28" s="4"/>
      <c r="P28" s="4"/>
      <c r="Q28" s="4"/>
    </row>
    <row r="29" spans="1:17" ht="30" customHeight="1">
      <c r="A29" s="4" t="s">
        <v>35</v>
      </c>
      <c r="B29" s="4"/>
      <c r="C29" s="4"/>
      <c r="D29" s="4"/>
      <c r="E29" s="4"/>
      <c r="F29" s="4"/>
      <c r="G29" s="4"/>
      <c r="H29" s="4"/>
      <c r="I29" s="4"/>
      <c r="J29" s="4"/>
      <c r="K29" s="4"/>
      <c r="L29" s="4"/>
      <c r="M29" s="4"/>
      <c r="N29" s="4"/>
      <c r="O29" s="4"/>
      <c r="P29" s="4"/>
      <c r="Q29" s="4"/>
    </row>
    <row r="30" spans="1:17" ht="30" customHeight="1">
      <c r="A30" s="4" t="s">
        <v>36</v>
      </c>
      <c r="B30" s="4"/>
      <c r="C30" s="4"/>
      <c r="D30" s="4"/>
      <c r="E30" s="4"/>
      <c r="F30" s="4"/>
      <c r="G30" s="4"/>
      <c r="H30" s="4"/>
      <c r="I30" s="4"/>
      <c r="J30" s="4"/>
      <c r="K30" s="4"/>
      <c r="L30" s="4"/>
      <c r="M30" s="4"/>
      <c r="N30" s="4"/>
      <c r="O30" s="4"/>
      <c r="P30" s="4"/>
      <c r="Q30" s="4"/>
    </row>
    <row r="32" spans="1:17" ht="19.5" customHeight="1">
      <c r="A32" s="6" t="s">
        <v>37</v>
      </c>
      <c r="B32" s="6"/>
      <c r="C32" s="6"/>
      <c r="D32" s="6"/>
      <c r="E32" s="6"/>
      <c r="F32" s="6"/>
      <c r="G32" s="6"/>
      <c r="H32" s="6"/>
      <c r="I32" s="6"/>
      <c r="J32" s="6"/>
      <c r="K32" s="6"/>
      <c r="L32" s="6"/>
      <c r="M32" s="6"/>
      <c r="N32" s="6"/>
      <c r="O32" s="6"/>
      <c r="P32" s="6"/>
      <c r="Q32" s="6"/>
    </row>
    <row r="33" spans="1:17" ht="25.5" customHeight="1">
      <c r="A33" s="3">
        <v>1</v>
      </c>
      <c r="B33" s="3"/>
      <c r="C33" s="7" t="s">
        <v>38</v>
      </c>
      <c r="D33" s="7"/>
      <c r="E33" s="7"/>
      <c r="F33" s="7"/>
      <c r="G33" s="7"/>
      <c r="H33" s="7"/>
      <c r="I33" s="7"/>
      <c r="J33" s="7"/>
      <c r="K33" s="7"/>
      <c r="L33" s="7"/>
      <c r="M33" s="7"/>
      <c r="N33" s="7"/>
      <c r="O33" s="7"/>
      <c r="P33" s="7"/>
      <c r="Q33" s="7"/>
    </row>
    <row r="34" spans="1:17" ht="25.5" customHeight="1">
      <c r="A34" s="3">
        <v>2</v>
      </c>
      <c r="B34" s="3"/>
      <c r="C34" s="7" t="s">
        <v>39</v>
      </c>
      <c r="D34" s="7"/>
      <c r="E34" s="7"/>
      <c r="F34" s="7"/>
      <c r="G34" s="7"/>
      <c r="H34" s="7"/>
      <c r="I34" s="7"/>
      <c r="J34" s="7"/>
      <c r="K34" s="7"/>
      <c r="L34" s="7"/>
      <c r="M34" s="7"/>
      <c r="N34" s="7"/>
      <c r="O34" s="7"/>
      <c r="P34" s="7"/>
      <c r="Q34" s="7"/>
    </row>
    <row r="35" spans="1:17" ht="25.5" customHeight="1">
      <c r="A35" s="3">
        <v>3</v>
      </c>
      <c r="B35" s="3"/>
      <c r="C35" s="7" t="s">
        <v>40</v>
      </c>
      <c r="D35" s="7"/>
      <c r="E35" s="7"/>
      <c r="F35" s="7"/>
      <c r="G35" s="7"/>
      <c r="H35" s="7"/>
      <c r="I35" s="7"/>
      <c r="J35" s="7"/>
      <c r="K35" s="7"/>
      <c r="L35" s="7"/>
      <c r="M35" s="7"/>
      <c r="N35" s="7"/>
      <c r="O35" s="7"/>
      <c r="P35" s="7"/>
      <c r="Q35" s="7"/>
    </row>
    <row r="36" spans="1:17" ht="25.5" customHeight="1">
      <c r="A36" s="3">
        <v>4</v>
      </c>
      <c r="B36" s="3"/>
      <c r="C36" s="7" t="s">
        <v>41</v>
      </c>
      <c r="D36" s="7"/>
      <c r="E36" s="7"/>
      <c r="F36" s="7"/>
      <c r="G36" s="7"/>
      <c r="H36" s="7"/>
      <c r="I36" s="7"/>
      <c r="J36" s="7"/>
      <c r="K36" s="7"/>
      <c r="L36" s="7"/>
      <c r="M36" s="7"/>
      <c r="N36" s="7"/>
      <c r="O36" s="7"/>
      <c r="P36" s="7"/>
      <c r="Q36" s="7"/>
    </row>
    <row r="37" spans="1:17" ht="25.5" customHeight="1">
      <c r="A37" s="3">
        <v>5</v>
      </c>
      <c r="B37" s="3"/>
      <c r="C37" s="7" t="s">
        <v>42</v>
      </c>
      <c r="D37" s="7"/>
      <c r="E37" s="7"/>
      <c r="F37" s="7"/>
      <c r="G37" s="7"/>
      <c r="H37" s="7"/>
      <c r="I37" s="7"/>
      <c r="J37" s="7"/>
      <c r="K37" s="7"/>
      <c r="L37" s="7"/>
      <c r="M37" s="7"/>
      <c r="N37" s="7"/>
      <c r="O37" s="7"/>
      <c r="P37" s="7"/>
      <c r="Q37" s="7"/>
    </row>
    <row r="38" spans="1:17" ht="25.5" customHeight="1">
      <c r="A38" s="3">
        <v>6</v>
      </c>
      <c r="B38" s="3"/>
      <c r="C38" s="7" t="s">
        <v>43</v>
      </c>
      <c r="D38" s="7"/>
      <c r="E38" s="7"/>
      <c r="F38" s="7"/>
      <c r="G38" s="7"/>
      <c r="H38" s="7"/>
      <c r="I38" s="7"/>
      <c r="J38" s="7"/>
      <c r="K38" s="7"/>
      <c r="L38" s="7"/>
      <c r="M38" s="7"/>
      <c r="N38" s="7"/>
      <c r="O38" s="7"/>
      <c r="P38" s="7"/>
      <c r="Q38" s="7"/>
    </row>
  </sheetData>
  <sheetProtection algorithmName="SHA-512" hashValue="dXnEFIPmD28abp2LPzHre9l+YQMd6DKxFIwPMVX8bILfTPIShlY449IhdXGNWDmmxIid9KhZzX4Ntwy0yztxrA==" saltValue="EFnuvEnn/QddFyNJxyHXDA==" spinCount="100000" sheet="1" objects="1" scenarios="1" autoFilter="0"/>
  <mergeCells count="60">
    <mergeCell ref="A36:B36"/>
    <mergeCell ref="C36:Q36"/>
    <mergeCell ref="A37:B37"/>
    <mergeCell ref="C37:Q37"/>
    <mergeCell ref="A38:B38"/>
    <mergeCell ref="C38:Q38"/>
    <mergeCell ref="A33:B33"/>
    <mergeCell ref="C33:Q33"/>
    <mergeCell ref="A34:B34"/>
    <mergeCell ref="C34:Q34"/>
    <mergeCell ref="A35:B35"/>
    <mergeCell ref="C35:Q35"/>
    <mergeCell ref="A27:Q27"/>
    <mergeCell ref="A28:Q28"/>
    <mergeCell ref="A29:Q29"/>
    <mergeCell ref="A30:Q30"/>
    <mergeCell ref="A32:Q32"/>
    <mergeCell ref="A21:Q21"/>
    <mergeCell ref="A23:Q23"/>
    <mergeCell ref="A24:Q24"/>
    <mergeCell ref="A25:Q25"/>
    <mergeCell ref="A26:Q26"/>
    <mergeCell ref="A16:B16"/>
    <mergeCell ref="C16:K16"/>
    <mergeCell ref="A18:Q18"/>
    <mergeCell ref="A19:Q19"/>
    <mergeCell ref="A20:Q20"/>
    <mergeCell ref="A13:B13"/>
    <mergeCell ref="C13:K13"/>
    <mergeCell ref="A14:B14"/>
    <mergeCell ref="C14:K14"/>
    <mergeCell ref="A15:B15"/>
    <mergeCell ref="C15:K15"/>
    <mergeCell ref="A10:B10"/>
    <mergeCell ref="C10:K10"/>
    <mergeCell ref="A11:B11"/>
    <mergeCell ref="C11:K11"/>
    <mergeCell ref="A12:B12"/>
    <mergeCell ref="C12:K12"/>
    <mergeCell ref="K6:L6"/>
    <mergeCell ref="M6:N6"/>
    <mergeCell ref="O6:Q6"/>
    <mergeCell ref="A7:B7"/>
    <mergeCell ref="A8:B8"/>
    <mergeCell ref="A6:B6"/>
    <mergeCell ref="C6:D6"/>
    <mergeCell ref="E6:F6"/>
    <mergeCell ref="G6:H6"/>
    <mergeCell ref="I6:J6"/>
    <mergeCell ref="A1:Q1"/>
    <mergeCell ref="A2:Q3"/>
    <mergeCell ref="A4:Q4"/>
    <mergeCell ref="A5:B5"/>
    <mergeCell ref="C5:D5"/>
    <mergeCell ref="E5:F5"/>
    <mergeCell ref="G5:H5"/>
    <mergeCell ref="I5:J5"/>
    <mergeCell ref="K5:L5"/>
    <mergeCell ref="M5:N5"/>
    <mergeCell ref="O5:Q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1C6B72"/>
  </sheetPr>
  <dimension ref="A1:Q23"/>
  <sheetViews>
    <sheetView showGridLines="0" topLeftCell="A10" zoomScaleNormal="100" workbookViewId="0">
      <selection activeCell="F13" sqref="F13"/>
    </sheetView>
  </sheetViews>
  <sheetFormatPr baseColWidth="10" defaultColWidth="8.7109375" defaultRowHeight="15"/>
  <cols>
    <col min="1" max="1" width="10" style="14" customWidth="1"/>
    <col min="2" max="2" width="38" style="14" customWidth="1"/>
    <col min="3" max="4" width="52" style="14" customWidth="1"/>
    <col min="5" max="5" width="8" style="14" customWidth="1"/>
    <col min="6" max="6" width="11" style="14" customWidth="1"/>
    <col min="7"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44</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9.5" customHeight="1">
      <c r="A6" s="6" t="s">
        <v>45</v>
      </c>
      <c r="B6" s="6"/>
      <c r="C6" s="6"/>
      <c r="D6" s="6"/>
      <c r="E6" s="6"/>
      <c r="F6" s="6"/>
      <c r="G6" s="6"/>
      <c r="H6" s="6"/>
      <c r="I6" s="6"/>
      <c r="J6" s="6"/>
      <c r="K6" s="6"/>
      <c r="L6" s="6"/>
      <c r="M6" s="6"/>
      <c r="N6" s="6"/>
      <c r="O6" s="6"/>
      <c r="P6" s="6"/>
      <c r="Q6" s="6"/>
    </row>
    <row r="7" spans="1:17" ht="33.75" customHeight="1">
      <c r="A7" s="15" t="s">
        <v>46</v>
      </c>
      <c r="B7" s="15" t="s">
        <v>47</v>
      </c>
      <c r="C7" s="15" t="s">
        <v>48</v>
      </c>
      <c r="D7" s="15" t="s">
        <v>49</v>
      </c>
      <c r="E7" s="15" t="s">
        <v>50</v>
      </c>
      <c r="F7" s="15" t="s">
        <v>51</v>
      </c>
    </row>
    <row r="8" spans="1:17" ht="39.75" customHeight="1">
      <c r="A8" s="16" t="s">
        <v>52</v>
      </c>
      <c r="B8" s="17" t="s">
        <v>53</v>
      </c>
      <c r="C8" s="17" t="s">
        <v>54</v>
      </c>
      <c r="D8" s="17" t="s">
        <v>55</v>
      </c>
      <c r="E8" s="18">
        <v>10</v>
      </c>
      <c r="F8" s="19" t="s">
        <v>56</v>
      </c>
    </row>
    <row r="9" spans="1:17" ht="39.75" customHeight="1">
      <c r="A9" s="16" t="s">
        <v>57</v>
      </c>
      <c r="B9" s="17" t="s">
        <v>58</v>
      </c>
      <c r="C9" s="17" t="s">
        <v>59</v>
      </c>
      <c r="D9" s="17" t="s">
        <v>60</v>
      </c>
      <c r="E9" s="18">
        <v>10</v>
      </c>
      <c r="F9" s="20" t="s">
        <v>61</v>
      </c>
    </row>
    <row r="10" spans="1:17" ht="39.75" customHeight="1">
      <c r="A10" s="16" t="s">
        <v>62</v>
      </c>
      <c r="B10" s="17" t="s">
        <v>63</v>
      </c>
      <c r="C10" s="17" t="s">
        <v>64</v>
      </c>
      <c r="D10" s="17" t="s">
        <v>65</v>
      </c>
      <c r="E10" s="18">
        <v>12</v>
      </c>
      <c r="F10" s="20" t="s">
        <v>61</v>
      </c>
    </row>
    <row r="11" spans="1:17" ht="39.75" customHeight="1">
      <c r="A11" s="16" t="s">
        <v>66</v>
      </c>
      <c r="B11" s="17" t="s">
        <v>67</v>
      </c>
      <c r="C11" s="17" t="s">
        <v>68</v>
      </c>
      <c r="D11" s="17" t="s">
        <v>69</v>
      </c>
      <c r="E11" s="18">
        <v>10</v>
      </c>
      <c r="F11" s="19" t="s">
        <v>61</v>
      </c>
    </row>
    <row r="12" spans="1:17" ht="39.75" customHeight="1">
      <c r="A12" s="16" t="s">
        <v>70</v>
      </c>
      <c r="B12" s="17" t="s">
        <v>71</v>
      </c>
      <c r="C12" s="17" t="s">
        <v>72</v>
      </c>
      <c r="D12" s="17" t="s">
        <v>73</v>
      </c>
      <c r="E12" s="18">
        <v>11</v>
      </c>
      <c r="F12" s="20" t="s">
        <v>61</v>
      </c>
    </row>
    <row r="13" spans="1:17" ht="39.75" customHeight="1">
      <c r="A13" s="16" t="s">
        <v>74</v>
      </c>
      <c r="B13" s="17" t="s">
        <v>75</v>
      </c>
      <c r="C13" s="17" t="s">
        <v>76</v>
      </c>
      <c r="D13" s="17" t="s">
        <v>77</v>
      </c>
      <c r="E13" s="18">
        <v>10</v>
      </c>
      <c r="F13" s="20" t="s">
        <v>61</v>
      </c>
    </row>
    <row r="14" spans="1:17" ht="39.75" customHeight="1">
      <c r="A14" s="16" t="s">
        <v>78</v>
      </c>
      <c r="B14" s="17" t="s">
        <v>79</v>
      </c>
      <c r="C14" s="17" t="s">
        <v>80</v>
      </c>
      <c r="D14" s="17" t="s">
        <v>81</v>
      </c>
      <c r="E14" s="18">
        <v>10</v>
      </c>
      <c r="F14" s="19" t="s">
        <v>56</v>
      </c>
    </row>
    <row r="15" spans="1:17">
      <c r="A15" s="2" t="s">
        <v>82</v>
      </c>
      <c r="B15" s="2"/>
      <c r="C15" s="2"/>
      <c r="D15" s="2"/>
      <c r="E15" s="21">
        <f>SUM(E8:E14)</f>
        <v>73</v>
      </c>
      <c r="F15" s="21" t="str">
        <f>COUNTIF(F8:F14,"Sí")&amp;" de 7"</f>
        <v>5 de 7</v>
      </c>
    </row>
    <row r="17" spans="1:17" ht="19.5" customHeight="1">
      <c r="A17" s="6" t="s">
        <v>83</v>
      </c>
      <c r="B17" s="6"/>
      <c r="C17" s="6"/>
      <c r="D17" s="6"/>
      <c r="E17" s="6"/>
      <c r="F17" s="6"/>
      <c r="G17" s="6"/>
      <c r="H17" s="6"/>
      <c r="I17" s="6"/>
      <c r="J17" s="6"/>
      <c r="K17" s="6"/>
      <c r="L17" s="6"/>
      <c r="M17" s="6"/>
      <c r="N17" s="6"/>
      <c r="O17" s="6"/>
      <c r="P17" s="6"/>
      <c r="Q17" s="6"/>
    </row>
    <row r="18" spans="1:17" ht="30" customHeight="1">
      <c r="A18" s="22" t="s">
        <v>84</v>
      </c>
      <c r="B18" s="1" t="s">
        <v>85</v>
      </c>
      <c r="C18" s="1"/>
      <c r="D18" s="1"/>
      <c r="E18" s="1"/>
      <c r="F18" s="1"/>
      <c r="G18" s="1"/>
      <c r="H18" s="1"/>
      <c r="I18" s="1"/>
      <c r="J18" s="1"/>
      <c r="K18" s="1"/>
      <c r="L18" s="1"/>
      <c r="M18" s="1"/>
      <c r="N18" s="1"/>
      <c r="O18" s="1"/>
      <c r="P18" s="1"/>
      <c r="Q18" s="1"/>
    </row>
    <row r="19" spans="1:17" ht="30" customHeight="1">
      <c r="A19" s="22" t="s">
        <v>84</v>
      </c>
      <c r="B19" s="1" t="s">
        <v>86</v>
      </c>
      <c r="C19" s="1"/>
      <c r="D19" s="1"/>
      <c r="E19" s="1"/>
      <c r="F19" s="1"/>
      <c r="G19" s="1"/>
      <c r="H19" s="1"/>
      <c r="I19" s="1"/>
      <c r="J19" s="1"/>
      <c r="K19" s="1"/>
      <c r="L19" s="1"/>
      <c r="M19" s="1"/>
      <c r="N19" s="1"/>
      <c r="O19" s="1"/>
      <c r="P19" s="1"/>
      <c r="Q19" s="1"/>
    </row>
    <row r="20" spans="1:17" ht="30" customHeight="1">
      <c r="A20" s="23" t="s">
        <v>87</v>
      </c>
      <c r="B20" s="37" t="s">
        <v>88</v>
      </c>
      <c r="C20" s="37"/>
      <c r="D20" s="37"/>
      <c r="E20" s="37"/>
      <c r="F20" s="37"/>
      <c r="G20" s="37"/>
      <c r="H20" s="37"/>
      <c r="I20" s="37"/>
      <c r="J20" s="37"/>
      <c r="K20" s="37"/>
      <c r="L20" s="37"/>
      <c r="M20" s="37"/>
      <c r="N20" s="37"/>
      <c r="O20" s="37"/>
      <c r="P20" s="37"/>
      <c r="Q20" s="37"/>
    </row>
    <row r="21" spans="1:17" ht="30" customHeight="1">
      <c r="A21" s="23" t="s">
        <v>87</v>
      </c>
      <c r="B21" s="37" t="s">
        <v>89</v>
      </c>
      <c r="C21" s="37"/>
      <c r="D21" s="37"/>
      <c r="E21" s="37"/>
      <c r="F21" s="37"/>
      <c r="G21" s="37"/>
      <c r="H21" s="37"/>
      <c r="I21" s="37"/>
      <c r="J21" s="37"/>
      <c r="K21" s="37"/>
      <c r="L21" s="37"/>
      <c r="M21" s="37"/>
      <c r="N21" s="37"/>
      <c r="O21" s="37"/>
      <c r="P21" s="37"/>
      <c r="Q21" s="37"/>
    </row>
    <row r="22" spans="1:17" ht="30" customHeight="1">
      <c r="A22" s="23" t="s">
        <v>87</v>
      </c>
      <c r="B22" s="37" t="s">
        <v>90</v>
      </c>
      <c r="C22" s="37"/>
      <c r="D22" s="37"/>
      <c r="E22" s="37"/>
      <c r="F22" s="37"/>
      <c r="G22" s="37"/>
      <c r="H22" s="37"/>
      <c r="I22" s="37"/>
      <c r="J22" s="37"/>
      <c r="K22" s="37"/>
      <c r="L22" s="37"/>
      <c r="M22" s="37"/>
      <c r="N22" s="37"/>
      <c r="O22" s="37"/>
      <c r="P22" s="37"/>
      <c r="Q22" s="37"/>
    </row>
    <row r="23" spans="1:17" ht="30" customHeight="1">
      <c r="A23" s="23" t="s">
        <v>87</v>
      </c>
      <c r="B23" s="37" t="s">
        <v>91</v>
      </c>
      <c r="C23" s="37"/>
      <c r="D23" s="37"/>
      <c r="E23" s="37"/>
      <c r="F23" s="37"/>
      <c r="G23" s="37"/>
      <c r="H23" s="37"/>
      <c r="I23" s="37"/>
      <c r="J23" s="37"/>
      <c r="K23" s="37"/>
      <c r="L23" s="37"/>
      <c r="M23" s="37"/>
      <c r="N23" s="37"/>
      <c r="O23" s="37"/>
      <c r="P23" s="37"/>
      <c r="Q23" s="37"/>
    </row>
  </sheetData>
  <sheetProtection algorithmName="SHA-512" hashValue="8/nDymeO9dz40a+qVIhSQX1UIyq8H+MlAKtOJY6EbXptUv0LLn4HJyptzlkFcOqXtpHrqrb/GKrXCosPUaQS5w==" saltValue="IKWflkQPHhSKUNSxzPVNcg==" spinCount="100000" sheet="1" objects="1" scenarios="1" autoFilter="0"/>
  <mergeCells count="12">
    <mergeCell ref="B22:Q22"/>
    <mergeCell ref="B23:Q23"/>
    <mergeCell ref="A17:Q17"/>
    <mergeCell ref="B18:Q18"/>
    <mergeCell ref="B19:Q19"/>
    <mergeCell ref="B20:Q20"/>
    <mergeCell ref="B21:Q21"/>
    <mergeCell ref="A1:Q1"/>
    <mergeCell ref="A2:Q3"/>
    <mergeCell ref="A4:B4"/>
    <mergeCell ref="A6:Q6"/>
    <mergeCell ref="A15:D1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rgb="FFDCEFF1"/>
  </sheetPr>
  <dimension ref="A1:Q24"/>
  <sheetViews>
    <sheetView showGridLines="0" zoomScaleNormal="100" workbookViewId="0">
      <selection sqref="A1:Q1"/>
    </sheetView>
  </sheetViews>
  <sheetFormatPr baseColWidth="10" defaultColWidth="8.7109375" defaultRowHeight="15"/>
  <cols>
    <col min="1" max="1" width="22" style="14" customWidth="1"/>
    <col min="2" max="2" width="12" style="14" customWidth="1"/>
    <col min="3" max="3" width="30" style="14" customWidth="1"/>
    <col min="4" max="5" width="46"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92</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5" customHeight="1">
      <c r="A6" s="38" t="s">
        <v>93</v>
      </c>
      <c r="B6" s="38"/>
      <c r="C6" s="38"/>
      <c r="D6" s="38"/>
      <c r="E6" s="38"/>
      <c r="F6" s="38"/>
      <c r="G6" s="38"/>
      <c r="H6" s="38"/>
      <c r="I6" s="38"/>
      <c r="J6" s="38"/>
      <c r="K6" s="38"/>
      <c r="L6" s="38"/>
      <c r="M6" s="38"/>
      <c r="N6" s="38"/>
      <c r="O6" s="38"/>
      <c r="P6" s="38"/>
      <c r="Q6" s="38"/>
    </row>
    <row r="7" spans="1:17">
      <c r="A7" s="38"/>
      <c r="B7" s="38"/>
      <c r="C7" s="38"/>
      <c r="D7" s="38"/>
      <c r="E7" s="38"/>
      <c r="F7" s="38"/>
      <c r="G7" s="38"/>
      <c r="H7" s="38"/>
      <c r="I7" s="38"/>
      <c r="J7" s="38"/>
      <c r="K7" s="38"/>
      <c r="L7" s="38"/>
      <c r="M7" s="38"/>
      <c r="N7" s="38"/>
      <c r="O7" s="38"/>
      <c r="P7" s="38"/>
      <c r="Q7" s="38"/>
    </row>
    <row r="8" spans="1:17">
      <c r="A8" s="38"/>
      <c r="B8" s="38"/>
      <c r="C8" s="38"/>
      <c r="D8" s="38"/>
      <c r="E8" s="38"/>
      <c r="F8" s="38"/>
      <c r="G8" s="38"/>
      <c r="H8" s="38"/>
      <c r="I8" s="38"/>
      <c r="J8" s="38"/>
      <c r="K8" s="38"/>
      <c r="L8" s="38"/>
      <c r="M8" s="38"/>
      <c r="N8" s="38"/>
      <c r="O8" s="38"/>
      <c r="P8" s="38"/>
      <c r="Q8" s="38"/>
    </row>
    <row r="10" spans="1:17" ht="19.5" customHeight="1">
      <c r="A10" s="6" t="s">
        <v>94</v>
      </c>
      <c r="B10" s="6"/>
      <c r="C10" s="6"/>
      <c r="D10" s="6"/>
      <c r="E10" s="6"/>
      <c r="F10" s="6"/>
      <c r="G10" s="6"/>
      <c r="H10" s="6"/>
      <c r="I10" s="6"/>
      <c r="J10" s="6"/>
      <c r="K10" s="6"/>
      <c r="L10" s="6"/>
      <c r="M10" s="6"/>
      <c r="N10" s="6"/>
      <c r="O10" s="6"/>
      <c r="P10" s="6"/>
      <c r="Q10" s="6"/>
    </row>
    <row r="11" spans="1:17" ht="31.5" customHeight="1">
      <c r="A11" s="15" t="s">
        <v>95</v>
      </c>
      <c r="B11" s="15" t="s">
        <v>47</v>
      </c>
      <c r="C11" s="15" t="s">
        <v>96</v>
      </c>
      <c r="D11" s="15" t="s">
        <v>97</v>
      </c>
      <c r="E11" s="15" t="s">
        <v>98</v>
      </c>
    </row>
    <row r="12" spans="1:17" ht="33.75" customHeight="1">
      <c r="A12" s="24" t="s">
        <v>99</v>
      </c>
      <c r="B12" s="16" t="s">
        <v>52</v>
      </c>
      <c r="C12" s="17" t="s">
        <v>100</v>
      </c>
      <c r="D12" s="17" t="s">
        <v>101</v>
      </c>
      <c r="E12" s="17" t="s">
        <v>102</v>
      </c>
    </row>
    <row r="13" spans="1:17" ht="33.75" customHeight="1">
      <c r="A13" s="24" t="s">
        <v>103</v>
      </c>
      <c r="B13" s="16" t="s">
        <v>57</v>
      </c>
      <c r="C13" s="17" t="s">
        <v>104</v>
      </c>
      <c r="D13" s="17" t="s">
        <v>105</v>
      </c>
      <c r="E13" s="17" t="s">
        <v>106</v>
      </c>
    </row>
    <row r="14" spans="1:17" ht="33.75" customHeight="1">
      <c r="A14" s="24" t="s">
        <v>107</v>
      </c>
      <c r="B14" s="16" t="s">
        <v>62</v>
      </c>
      <c r="C14" s="17" t="s">
        <v>108</v>
      </c>
      <c r="D14" s="17" t="s">
        <v>109</v>
      </c>
      <c r="E14" s="17" t="s">
        <v>110</v>
      </c>
    </row>
    <row r="15" spans="1:17" ht="33.75" customHeight="1">
      <c r="A15" s="24" t="s">
        <v>111</v>
      </c>
      <c r="B15" s="16" t="s">
        <v>66</v>
      </c>
      <c r="C15" s="17" t="s">
        <v>112</v>
      </c>
      <c r="D15" s="17" t="s">
        <v>113</v>
      </c>
      <c r="E15" s="17" t="s">
        <v>114</v>
      </c>
    </row>
    <row r="16" spans="1:17" ht="33.75" customHeight="1">
      <c r="A16" s="24" t="s">
        <v>115</v>
      </c>
      <c r="B16" s="16" t="s">
        <v>70</v>
      </c>
      <c r="C16" s="17" t="s">
        <v>116</v>
      </c>
      <c r="D16" s="17" t="s">
        <v>117</v>
      </c>
      <c r="E16" s="17" t="s">
        <v>118</v>
      </c>
    </row>
    <row r="17" spans="1:17" ht="33.75" customHeight="1">
      <c r="A17" s="24" t="s">
        <v>119</v>
      </c>
      <c r="B17" s="16" t="s">
        <v>74</v>
      </c>
      <c r="C17" s="17" t="s">
        <v>120</v>
      </c>
      <c r="D17" s="17" t="s">
        <v>121</v>
      </c>
      <c r="E17" s="17" t="s">
        <v>122</v>
      </c>
    </row>
    <row r="18" spans="1:17" ht="33.75" customHeight="1">
      <c r="A18" s="24" t="s">
        <v>123</v>
      </c>
      <c r="B18" s="16" t="s">
        <v>78</v>
      </c>
      <c r="C18" s="17" t="s">
        <v>124</v>
      </c>
      <c r="D18" s="17" t="s">
        <v>125</v>
      </c>
      <c r="E18" s="17" t="s">
        <v>126</v>
      </c>
    </row>
    <row r="20" spans="1:17" ht="19.5" customHeight="1">
      <c r="A20" s="6" t="s">
        <v>127</v>
      </c>
      <c r="B20" s="6"/>
      <c r="C20" s="6"/>
      <c r="D20" s="6"/>
      <c r="E20" s="6"/>
      <c r="F20" s="6"/>
      <c r="G20" s="6"/>
      <c r="H20" s="6"/>
      <c r="I20" s="6"/>
      <c r="J20" s="6"/>
      <c r="K20" s="6"/>
      <c r="L20" s="6"/>
      <c r="M20" s="6"/>
      <c r="N20" s="6"/>
      <c r="O20" s="6"/>
      <c r="P20" s="6"/>
      <c r="Q20" s="6"/>
    </row>
    <row r="21" spans="1:17" ht="31.5" customHeight="1">
      <c r="A21" s="5" t="s">
        <v>128</v>
      </c>
      <c r="B21" s="5"/>
      <c r="C21" s="5"/>
      <c r="D21" s="5"/>
      <c r="E21" s="5"/>
      <c r="F21" s="5"/>
      <c r="G21" s="5"/>
      <c r="H21" s="5"/>
      <c r="I21" s="5"/>
      <c r="J21" s="5"/>
      <c r="K21" s="5"/>
      <c r="L21" s="5"/>
      <c r="M21" s="5"/>
      <c r="N21" s="5"/>
      <c r="O21" s="5"/>
      <c r="P21" s="5"/>
      <c r="Q21" s="5"/>
    </row>
    <row r="22" spans="1:17" ht="31.5" customHeight="1">
      <c r="A22" s="5" t="s">
        <v>129</v>
      </c>
      <c r="B22" s="5"/>
      <c r="C22" s="5"/>
      <c r="D22" s="5"/>
      <c r="E22" s="5"/>
      <c r="F22" s="5"/>
      <c r="G22" s="5"/>
      <c r="H22" s="5"/>
      <c r="I22" s="5"/>
      <c r="J22" s="5"/>
      <c r="K22" s="5"/>
      <c r="L22" s="5"/>
      <c r="M22" s="5"/>
      <c r="N22" s="5"/>
      <c r="O22" s="5"/>
      <c r="P22" s="5"/>
      <c r="Q22" s="5"/>
    </row>
    <row r="23" spans="1:17" ht="31.5" customHeight="1">
      <c r="A23" s="5" t="s">
        <v>130</v>
      </c>
      <c r="B23" s="5"/>
      <c r="C23" s="5"/>
      <c r="D23" s="5"/>
      <c r="E23" s="5"/>
      <c r="F23" s="5"/>
      <c r="G23" s="5"/>
      <c r="H23" s="5"/>
      <c r="I23" s="5"/>
      <c r="J23" s="5"/>
      <c r="K23" s="5"/>
      <c r="L23" s="5"/>
      <c r="M23" s="5"/>
      <c r="N23" s="5"/>
      <c r="O23" s="5"/>
      <c r="P23" s="5"/>
      <c r="Q23" s="5"/>
    </row>
    <row r="24" spans="1:17" ht="31.5" customHeight="1">
      <c r="A24" s="5" t="s">
        <v>131</v>
      </c>
      <c r="B24" s="5"/>
      <c r="C24" s="5"/>
      <c r="D24" s="5"/>
      <c r="E24" s="5"/>
      <c r="F24" s="5"/>
      <c r="G24" s="5"/>
      <c r="H24" s="5"/>
      <c r="I24" s="5"/>
      <c r="J24" s="5"/>
      <c r="K24" s="5"/>
      <c r="L24" s="5"/>
      <c r="M24" s="5"/>
      <c r="N24" s="5"/>
      <c r="O24" s="5"/>
      <c r="P24" s="5"/>
      <c r="Q24" s="5"/>
    </row>
  </sheetData>
  <sheetProtection algorithmName="SHA-512" hashValue="4ethzVvRhtYrnBYfwJBopLUHyvlMqmwN0uwJkouo8v3q4po0Q/Of9PnvETN6jtNZg8InAl6BRTL8im81lqFQwA==" saltValue="t4TcA4Qnq7Wqluwq5zvjHQ==" spinCount="100000" sheet="1" objects="1" scenarios="1" autoFilter="0"/>
  <mergeCells count="10">
    <mergeCell ref="A20:Q20"/>
    <mergeCell ref="A21:Q21"/>
    <mergeCell ref="A22:Q22"/>
    <mergeCell ref="A23:Q23"/>
    <mergeCell ref="A24:Q24"/>
    <mergeCell ref="A1:Q1"/>
    <mergeCell ref="A2:Q3"/>
    <mergeCell ref="A4:B4"/>
    <mergeCell ref="A6:Q8"/>
    <mergeCell ref="A10:Q1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rgb="FFE7E0F5"/>
  </sheetPr>
  <dimension ref="A1:Q29"/>
  <sheetViews>
    <sheetView showGridLines="0" zoomScaleNormal="100" workbookViewId="0">
      <selection activeCell="G13" sqref="G13"/>
    </sheetView>
  </sheetViews>
  <sheetFormatPr baseColWidth="10" defaultColWidth="8.7109375" defaultRowHeight="15"/>
  <cols>
    <col min="1" max="1" width="12" style="14" customWidth="1"/>
    <col min="2" max="2" width="44" style="14" customWidth="1"/>
    <col min="3" max="3" width="24" style="14" customWidth="1"/>
    <col min="4" max="4" width="36" style="14" customWidth="1"/>
    <col min="5" max="5" width="50"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132</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5" customHeight="1">
      <c r="A6" s="38" t="s">
        <v>133</v>
      </c>
      <c r="B6" s="38"/>
      <c r="C6" s="38"/>
      <c r="D6" s="38"/>
      <c r="E6" s="38"/>
      <c r="F6" s="38"/>
      <c r="G6" s="38"/>
      <c r="H6" s="38"/>
      <c r="I6" s="38"/>
      <c r="J6" s="38"/>
      <c r="K6" s="38"/>
      <c r="L6" s="38"/>
      <c r="M6" s="38"/>
      <c r="N6" s="38"/>
      <c r="O6" s="38"/>
      <c r="P6" s="38"/>
      <c r="Q6" s="38"/>
    </row>
    <row r="7" spans="1:17">
      <c r="A7" s="38"/>
      <c r="B7" s="38"/>
      <c r="C7" s="38"/>
      <c r="D7" s="38"/>
      <c r="E7" s="38"/>
      <c r="F7" s="38"/>
      <c r="G7" s="38"/>
      <c r="H7" s="38"/>
      <c r="I7" s="38"/>
      <c r="J7" s="38"/>
      <c r="K7" s="38"/>
      <c r="L7" s="38"/>
      <c r="M7" s="38"/>
      <c r="N7" s="38"/>
      <c r="O7" s="38"/>
      <c r="P7" s="38"/>
      <c r="Q7" s="38"/>
    </row>
    <row r="8" spans="1:17">
      <c r="A8" s="38"/>
      <c r="B8" s="38"/>
      <c r="C8" s="38"/>
      <c r="D8" s="38"/>
      <c r="E8" s="38"/>
      <c r="F8" s="38"/>
      <c r="G8" s="38"/>
      <c r="H8" s="38"/>
      <c r="I8" s="38"/>
      <c r="J8" s="38"/>
      <c r="K8" s="38"/>
      <c r="L8" s="38"/>
      <c r="M8" s="38"/>
      <c r="N8" s="38"/>
      <c r="O8" s="38"/>
      <c r="P8" s="38"/>
      <c r="Q8" s="38"/>
    </row>
    <row r="9" spans="1:17">
      <c r="A9" s="38"/>
      <c r="B9" s="38"/>
      <c r="C9" s="38"/>
      <c r="D9" s="38"/>
      <c r="E9" s="38"/>
      <c r="F9" s="38"/>
      <c r="G9" s="38"/>
      <c r="H9" s="38"/>
      <c r="I9" s="38"/>
      <c r="J9" s="38"/>
      <c r="K9" s="38"/>
      <c r="L9" s="38"/>
      <c r="M9" s="38"/>
      <c r="N9" s="38"/>
      <c r="O9" s="38"/>
      <c r="P9" s="38"/>
      <c r="Q9" s="38"/>
    </row>
    <row r="11" spans="1:17" ht="19.5" customHeight="1">
      <c r="A11" s="6" t="s">
        <v>134</v>
      </c>
      <c r="B11" s="6"/>
      <c r="C11" s="6"/>
      <c r="D11" s="6"/>
      <c r="E11" s="6"/>
      <c r="F11" s="6"/>
      <c r="G11" s="6"/>
      <c r="H11" s="6"/>
      <c r="I11" s="6"/>
      <c r="J11" s="6"/>
      <c r="K11" s="6"/>
      <c r="L11" s="6"/>
      <c r="M11" s="6"/>
      <c r="N11" s="6"/>
      <c r="O11" s="6"/>
      <c r="P11" s="6"/>
      <c r="Q11" s="6"/>
    </row>
    <row r="12" spans="1:17" ht="31.5" customHeight="1">
      <c r="A12" s="15" t="s">
        <v>135</v>
      </c>
      <c r="B12" s="15" t="s">
        <v>136</v>
      </c>
      <c r="C12" s="15" t="s">
        <v>137</v>
      </c>
      <c r="D12" s="15" t="s">
        <v>138</v>
      </c>
      <c r="E12" s="15" t="s">
        <v>139</v>
      </c>
    </row>
    <row r="13" spans="1:17" ht="33.75" customHeight="1">
      <c r="A13" s="16" t="s">
        <v>52</v>
      </c>
      <c r="B13" s="17" t="s">
        <v>140</v>
      </c>
      <c r="C13" s="25" t="s">
        <v>141</v>
      </c>
      <c r="D13" s="17" t="s">
        <v>142</v>
      </c>
      <c r="E13" s="17" t="s">
        <v>143</v>
      </c>
    </row>
    <row r="14" spans="1:17" ht="33.75" customHeight="1">
      <c r="A14" s="16" t="s">
        <v>52</v>
      </c>
      <c r="B14" s="17" t="s">
        <v>144</v>
      </c>
      <c r="C14" s="25" t="s">
        <v>78</v>
      </c>
      <c r="D14" s="17" t="s">
        <v>145</v>
      </c>
      <c r="E14" s="17" t="s">
        <v>146</v>
      </c>
    </row>
    <row r="15" spans="1:17" ht="33.75" customHeight="1">
      <c r="A15" s="16" t="s">
        <v>57</v>
      </c>
      <c r="B15" s="17" t="s">
        <v>147</v>
      </c>
      <c r="C15" s="25" t="s">
        <v>66</v>
      </c>
      <c r="D15" s="17" t="s">
        <v>148</v>
      </c>
      <c r="E15" s="17" t="s">
        <v>149</v>
      </c>
    </row>
    <row r="16" spans="1:17" ht="33.75" customHeight="1">
      <c r="A16" s="16" t="s">
        <v>62</v>
      </c>
      <c r="B16" s="17" t="s">
        <v>150</v>
      </c>
      <c r="C16" s="25" t="s">
        <v>66</v>
      </c>
      <c r="D16" s="17" t="s">
        <v>151</v>
      </c>
      <c r="E16" s="17" t="s">
        <v>152</v>
      </c>
    </row>
    <row r="17" spans="1:17" ht="33.75" customHeight="1">
      <c r="A17" s="16" t="s">
        <v>66</v>
      </c>
      <c r="B17" s="17" t="s">
        <v>153</v>
      </c>
      <c r="C17" s="25" t="s">
        <v>70</v>
      </c>
      <c r="D17" s="17" t="s">
        <v>154</v>
      </c>
      <c r="E17" s="17" t="s">
        <v>155</v>
      </c>
    </row>
    <row r="18" spans="1:17" ht="33.75" customHeight="1">
      <c r="A18" s="16" t="s">
        <v>66</v>
      </c>
      <c r="B18" s="17" t="s">
        <v>156</v>
      </c>
      <c r="C18" s="25" t="s">
        <v>74</v>
      </c>
      <c r="D18" s="17" t="s">
        <v>157</v>
      </c>
      <c r="E18" s="17" t="s">
        <v>158</v>
      </c>
    </row>
    <row r="19" spans="1:17" ht="33.75" customHeight="1">
      <c r="A19" s="16" t="s">
        <v>70</v>
      </c>
      <c r="B19" s="17" t="s">
        <v>159</v>
      </c>
      <c r="C19" s="25" t="s">
        <v>74</v>
      </c>
      <c r="D19" s="17" t="s">
        <v>160</v>
      </c>
      <c r="E19" s="17" t="s">
        <v>161</v>
      </c>
    </row>
    <row r="20" spans="1:17" ht="33.75" customHeight="1">
      <c r="A20" s="16" t="s">
        <v>70</v>
      </c>
      <c r="B20" s="17" t="s">
        <v>162</v>
      </c>
      <c r="C20" s="25" t="s">
        <v>78</v>
      </c>
      <c r="D20" s="17" t="s">
        <v>163</v>
      </c>
      <c r="E20" s="17" t="s">
        <v>164</v>
      </c>
    </row>
    <row r="21" spans="1:17" ht="33.75" customHeight="1">
      <c r="A21" s="16" t="s">
        <v>78</v>
      </c>
      <c r="B21" s="17" t="s">
        <v>165</v>
      </c>
      <c r="C21" s="25" t="s">
        <v>52</v>
      </c>
      <c r="D21" s="17" t="s">
        <v>166</v>
      </c>
      <c r="E21" s="17" t="s">
        <v>167</v>
      </c>
    </row>
    <row r="23" spans="1:17" ht="19.5" customHeight="1">
      <c r="A23" s="6" t="s">
        <v>168</v>
      </c>
      <c r="B23" s="6"/>
      <c r="C23" s="6"/>
      <c r="D23" s="6"/>
      <c r="E23" s="6"/>
      <c r="F23" s="6"/>
      <c r="G23" s="6"/>
      <c r="H23" s="6"/>
      <c r="I23" s="6"/>
      <c r="J23" s="6"/>
      <c r="K23" s="6"/>
      <c r="L23" s="6"/>
      <c r="M23" s="6"/>
      <c r="N23" s="6"/>
      <c r="O23" s="6"/>
      <c r="P23" s="6"/>
      <c r="Q23" s="6"/>
    </row>
    <row r="24" spans="1:17" ht="48" customHeight="1">
      <c r="A24" s="8" t="s">
        <v>169</v>
      </c>
      <c r="B24" s="8"/>
      <c r="C24" s="39" t="str">
        <f>"Se traspasa la ESTRUCTURA de equivalentes: cuántos equivalentes de cada grupo en cada tiempo de comida. NO se traspasan gramos ni alimentos, porque en esa etapa todavía no existen. NMX-07 los calcula después, con el nutriente marcador de cada grupo."</f>
        <v>Se traspasa la ESTRUCTURA de equivalentes: cuántos equivalentes de cada grupo en cada tiempo de comida. NO se traspasan gramos ni alimentos, porque en esa etapa todavía no existen. NMX-07 los calcula después, con el nutriente marcador de cada grupo.</v>
      </c>
      <c r="D24" s="39"/>
      <c r="E24" s="39"/>
      <c r="F24" s="39"/>
      <c r="G24" s="39"/>
      <c r="H24" s="39"/>
      <c r="I24" s="39"/>
      <c r="J24" s="39"/>
      <c r="K24" s="39"/>
    </row>
    <row r="25" spans="1:17" ht="39.75" customHeight="1">
      <c r="A25" s="8" t="s">
        <v>170</v>
      </c>
      <c r="B25" s="8"/>
      <c r="C25" s="39" t="str">
        <f>"Compare el total de equivalentes por grupo en ambos archivos. Si no coinciden, la dieta construida no corresponde a la estructura prescrita y todo lo posterior queda desalineado."</f>
        <v>Compare el total de equivalentes por grupo en ambos archivos. Si no coinciden, la dieta construida no corresponde a la estructura prescrita y todo lo posterior queda desalineado.</v>
      </c>
      <c r="D25" s="39"/>
      <c r="E25" s="39"/>
      <c r="F25" s="39"/>
      <c r="G25" s="39"/>
      <c r="H25" s="39"/>
      <c r="I25" s="39"/>
      <c r="J25" s="39"/>
      <c r="K25" s="39"/>
    </row>
    <row r="27" spans="1:17" ht="15" customHeight="1">
      <c r="A27" s="38" t="s">
        <v>171</v>
      </c>
      <c r="B27" s="38"/>
      <c r="C27" s="38"/>
      <c r="D27" s="38"/>
      <c r="E27" s="38"/>
      <c r="F27" s="38"/>
      <c r="G27" s="38"/>
      <c r="H27" s="38"/>
      <c r="I27" s="38"/>
      <c r="J27" s="38"/>
      <c r="K27" s="38"/>
      <c r="L27" s="38"/>
      <c r="M27" s="38"/>
      <c r="N27" s="38"/>
      <c r="O27" s="38"/>
      <c r="P27" s="38"/>
      <c r="Q27" s="38"/>
    </row>
    <row r="28" spans="1:17">
      <c r="A28" s="38"/>
      <c r="B28" s="38"/>
      <c r="C28" s="38"/>
      <c r="D28" s="38"/>
      <c r="E28" s="38"/>
      <c r="F28" s="38"/>
      <c r="G28" s="38"/>
      <c r="H28" s="38"/>
      <c r="I28" s="38"/>
      <c r="J28" s="38"/>
      <c r="K28" s="38"/>
      <c r="L28" s="38"/>
      <c r="M28" s="38"/>
      <c r="N28" s="38"/>
      <c r="O28" s="38"/>
      <c r="P28" s="38"/>
      <c r="Q28" s="38"/>
    </row>
    <row r="29" spans="1:17">
      <c r="A29" s="38"/>
      <c r="B29" s="38"/>
      <c r="C29" s="38"/>
      <c r="D29" s="38"/>
      <c r="E29" s="38"/>
      <c r="F29" s="38"/>
      <c r="G29" s="38"/>
      <c r="H29" s="38"/>
      <c r="I29" s="38"/>
      <c r="J29" s="38"/>
      <c r="K29" s="38"/>
      <c r="L29" s="38"/>
      <c r="M29" s="38"/>
      <c r="N29" s="38"/>
      <c r="O29" s="38"/>
      <c r="P29" s="38"/>
      <c r="Q29" s="38"/>
    </row>
  </sheetData>
  <sheetProtection algorithmName="SHA-512" hashValue="fqpMV4/zV0UAMPmdcIZ4gX87ZHAhnV973tpapuLn7Lp7kMKpGnkImZE3lEc4SlBXh3UTy9IzgTOS/vVjoHbk6Q==" saltValue="MJPGNCfOu+s9w2Ir/hNUkQ==" spinCount="100000" sheet="1" objects="1" scenarios="1" autoFilter="0"/>
  <mergeCells count="11">
    <mergeCell ref="A27:Q29"/>
    <mergeCell ref="A23:Q23"/>
    <mergeCell ref="A24:B24"/>
    <mergeCell ref="C24:K24"/>
    <mergeCell ref="A25:B25"/>
    <mergeCell ref="C25:K25"/>
    <mergeCell ref="A1:Q1"/>
    <mergeCell ref="A2:Q3"/>
    <mergeCell ref="A4:B4"/>
    <mergeCell ref="A6:Q9"/>
    <mergeCell ref="A11:Q1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rgb="FFFBE4D5"/>
  </sheetPr>
  <dimension ref="A1:Q35"/>
  <sheetViews>
    <sheetView showGridLines="0" topLeftCell="A13" zoomScaleNormal="100" workbookViewId="0">
      <selection activeCell="C39" sqref="C39"/>
    </sheetView>
  </sheetViews>
  <sheetFormatPr baseColWidth="10" defaultColWidth="8.7109375" defaultRowHeight="15"/>
  <cols>
    <col min="1" max="1" width="12" style="14" customWidth="1"/>
    <col min="2" max="2" width="38" style="14" customWidth="1"/>
    <col min="3" max="3" width="24" style="14" customWidth="1"/>
    <col min="4" max="4" width="58" style="14" customWidth="1"/>
    <col min="5" max="5" width="11"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172</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9.5" customHeight="1">
      <c r="A6" s="6" t="s">
        <v>173</v>
      </c>
      <c r="B6" s="6"/>
      <c r="C6" s="6"/>
      <c r="D6" s="6"/>
      <c r="E6" s="6"/>
      <c r="F6" s="6"/>
      <c r="G6" s="6"/>
      <c r="H6" s="6"/>
      <c r="I6" s="6"/>
      <c r="J6" s="6"/>
      <c r="K6" s="6"/>
      <c r="L6" s="6"/>
      <c r="M6" s="6"/>
      <c r="N6" s="6"/>
      <c r="O6" s="6"/>
      <c r="P6" s="6"/>
      <c r="Q6" s="6"/>
    </row>
    <row r="7" spans="1:17" ht="31.5" customHeight="1">
      <c r="A7" s="4" t="s">
        <v>174</v>
      </c>
      <c r="B7" s="4"/>
      <c r="C7" s="4"/>
      <c r="D7" s="4"/>
      <c r="E7" s="4"/>
      <c r="F7" s="4"/>
      <c r="G7" s="4"/>
      <c r="H7" s="4"/>
      <c r="I7" s="4"/>
      <c r="J7" s="4"/>
      <c r="K7" s="4"/>
      <c r="L7" s="4"/>
      <c r="M7" s="4"/>
      <c r="N7" s="4"/>
      <c r="O7" s="4"/>
      <c r="P7" s="4"/>
      <c r="Q7" s="4"/>
    </row>
    <row r="8" spans="1:17" ht="31.5" customHeight="1">
      <c r="A8" s="4" t="s">
        <v>175</v>
      </c>
      <c r="B8" s="4"/>
      <c r="C8" s="4"/>
      <c r="D8" s="4"/>
      <c r="E8" s="4"/>
      <c r="F8" s="4"/>
      <c r="G8" s="4"/>
      <c r="H8" s="4"/>
      <c r="I8" s="4"/>
      <c r="J8" s="4"/>
      <c r="K8" s="4"/>
      <c r="L8" s="4"/>
      <c r="M8" s="4"/>
      <c r="N8" s="4"/>
      <c r="O8" s="4"/>
      <c r="P8" s="4"/>
      <c r="Q8" s="4"/>
    </row>
    <row r="9" spans="1:17" ht="31.5" customHeight="1">
      <c r="A9" s="4" t="s">
        <v>176</v>
      </c>
      <c r="B9" s="4"/>
      <c r="C9" s="4"/>
      <c r="D9" s="4"/>
      <c r="E9" s="4"/>
      <c r="F9" s="4"/>
      <c r="G9" s="4"/>
      <c r="H9" s="4"/>
      <c r="I9" s="4"/>
      <c r="J9" s="4"/>
      <c r="K9" s="4"/>
      <c r="L9" s="4"/>
      <c r="M9" s="4"/>
      <c r="N9" s="4"/>
      <c r="O9" s="4"/>
      <c r="P9" s="4"/>
      <c r="Q9" s="4"/>
    </row>
    <row r="10" spans="1:17" ht="31.5" customHeight="1">
      <c r="A10" s="4" t="s">
        <v>177</v>
      </c>
      <c r="B10" s="4"/>
      <c r="C10" s="4"/>
      <c r="D10" s="4"/>
      <c r="E10" s="4"/>
      <c r="F10" s="4"/>
      <c r="G10" s="4"/>
      <c r="H10" s="4"/>
      <c r="I10" s="4"/>
      <c r="J10" s="4"/>
      <c r="K10" s="4"/>
      <c r="L10" s="4"/>
      <c r="M10" s="4"/>
      <c r="N10" s="4"/>
      <c r="O10" s="4"/>
      <c r="P10" s="4"/>
      <c r="Q10" s="4"/>
    </row>
    <row r="11" spans="1:17" ht="31.5" customHeight="1">
      <c r="A11" s="4" t="s">
        <v>178</v>
      </c>
      <c r="B11" s="4"/>
      <c r="C11" s="4"/>
      <c r="D11" s="4"/>
      <c r="E11" s="4"/>
      <c r="F11" s="4"/>
      <c r="G11" s="4"/>
      <c r="H11" s="4"/>
      <c r="I11" s="4"/>
      <c r="J11" s="4"/>
      <c r="K11" s="4"/>
      <c r="L11" s="4"/>
      <c r="M11" s="4"/>
      <c r="N11" s="4"/>
      <c r="O11" s="4"/>
      <c r="P11" s="4"/>
      <c r="Q11" s="4"/>
    </row>
    <row r="12" spans="1:17" ht="31.5" customHeight="1">
      <c r="A12" s="4" t="s">
        <v>179</v>
      </c>
      <c r="B12" s="4"/>
      <c r="C12" s="4"/>
      <c r="D12" s="4"/>
      <c r="E12" s="4"/>
      <c r="F12" s="4"/>
      <c r="G12" s="4"/>
      <c r="H12" s="4"/>
      <c r="I12" s="4"/>
      <c r="J12" s="4"/>
      <c r="K12" s="4"/>
      <c r="L12" s="4"/>
      <c r="M12" s="4"/>
      <c r="N12" s="4"/>
      <c r="O12" s="4"/>
      <c r="P12" s="4"/>
      <c r="Q12" s="4"/>
    </row>
    <row r="14" spans="1:17" ht="19.5" customHeight="1">
      <c r="A14" s="6" t="s">
        <v>180</v>
      </c>
      <c r="B14" s="6"/>
      <c r="C14" s="6"/>
      <c r="D14" s="6"/>
      <c r="E14" s="6"/>
      <c r="F14" s="6"/>
      <c r="G14" s="6"/>
      <c r="H14" s="6"/>
      <c r="I14" s="6"/>
      <c r="J14" s="6"/>
      <c r="K14" s="6"/>
      <c r="L14" s="6"/>
      <c r="M14" s="6"/>
      <c r="N14" s="6"/>
      <c r="O14" s="6"/>
      <c r="P14" s="6"/>
      <c r="Q14" s="6"/>
    </row>
    <row r="15" spans="1:17" ht="30" customHeight="1">
      <c r="A15" s="15" t="s">
        <v>46</v>
      </c>
      <c r="B15" s="15" t="s">
        <v>47</v>
      </c>
      <c r="C15" s="15" t="s">
        <v>307</v>
      </c>
      <c r="D15" s="15" t="s">
        <v>181</v>
      </c>
    </row>
    <row r="16" spans="1:17" ht="25.5" customHeight="1">
      <c r="A16" s="16" t="s">
        <v>52</v>
      </c>
      <c r="B16" s="26" t="s">
        <v>182</v>
      </c>
      <c r="C16" s="27" t="s">
        <v>56</v>
      </c>
      <c r="D16" s="26" t="s">
        <v>183</v>
      </c>
    </row>
    <row r="17" spans="1:17" ht="25.5" customHeight="1">
      <c r="A17" s="16" t="s">
        <v>57</v>
      </c>
      <c r="B17" s="26" t="s">
        <v>58</v>
      </c>
      <c r="C17" s="27" t="s">
        <v>56</v>
      </c>
      <c r="D17" s="26" t="s">
        <v>308</v>
      </c>
    </row>
    <row r="18" spans="1:17" ht="25.5" customHeight="1">
      <c r="A18" s="16" t="s">
        <v>62</v>
      </c>
      <c r="B18" s="26" t="s">
        <v>184</v>
      </c>
      <c r="C18" s="27" t="s">
        <v>56</v>
      </c>
      <c r="D18" s="26" t="s">
        <v>308</v>
      </c>
    </row>
    <row r="19" spans="1:17" ht="25.5" customHeight="1">
      <c r="A19" s="16" t="s">
        <v>66</v>
      </c>
      <c r="B19" s="26" t="s">
        <v>67</v>
      </c>
      <c r="C19" s="27" t="s">
        <v>56</v>
      </c>
      <c r="D19" s="26" t="s">
        <v>308</v>
      </c>
    </row>
    <row r="20" spans="1:17" ht="25.5" customHeight="1">
      <c r="A20" s="16" t="s">
        <v>70</v>
      </c>
      <c r="B20" s="26" t="s">
        <v>71</v>
      </c>
      <c r="C20" s="27" t="s">
        <v>56</v>
      </c>
      <c r="D20" s="26" t="s">
        <v>308</v>
      </c>
    </row>
    <row r="21" spans="1:17" ht="25.5" customHeight="1">
      <c r="A21" s="16" t="s">
        <v>74</v>
      </c>
      <c r="B21" s="26" t="s">
        <v>75</v>
      </c>
      <c r="C21" s="27" t="s">
        <v>56</v>
      </c>
      <c r="D21" s="26" t="s">
        <v>308</v>
      </c>
    </row>
    <row r="22" spans="1:17" ht="25.5" customHeight="1">
      <c r="A22" s="16" t="s">
        <v>78</v>
      </c>
      <c r="B22" s="26" t="s">
        <v>79</v>
      </c>
      <c r="C22" s="27" t="s">
        <v>56</v>
      </c>
      <c r="D22" s="26" t="s">
        <v>183</v>
      </c>
    </row>
    <row r="23" spans="1:17">
      <c r="A23" s="2" t="s">
        <v>185</v>
      </c>
      <c r="B23" s="2"/>
      <c r="C23" s="21" t="str">
        <f>COUNTIF(C16:C22,"Sí")&amp;" de 7"</f>
        <v>0 de 7</v>
      </c>
      <c r="D23" s="28" t="str">
        <f>IF(COUNTIF(C16:C22,"Sí")=0,"El paquete completo es distribuible.","El paquete completo NO es distribuible mientras esas herramientas sigan bloqueadas.")</f>
        <v>El paquete completo es distribuible.</v>
      </c>
    </row>
    <row r="25" spans="1:17" ht="19.5" customHeight="1">
      <c r="A25" s="6" t="s">
        <v>186</v>
      </c>
      <c r="B25" s="6"/>
      <c r="C25" s="6"/>
      <c r="D25" s="6"/>
      <c r="E25" s="6"/>
      <c r="F25" s="6"/>
      <c r="G25" s="6"/>
      <c r="H25" s="6"/>
      <c r="I25" s="6"/>
      <c r="J25" s="6"/>
      <c r="K25" s="6"/>
      <c r="L25" s="6"/>
      <c r="M25" s="6"/>
      <c r="N25" s="6"/>
      <c r="O25" s="6"/>
      <c r="P25" s="6"/>
      <c r="Q25" s="6"/>
    </row>
    <row r="26" spans="1:17" ht="18" customHeight="1">
      <c r="A26" s="8" t="s">
        <v>187</v>
      </c>
      <c r="B26" s="8"/>
      <c r="C26" s="48" t="s">
        <v>61</v>
      </c>
      <c r="D26" s="48"/>
      <c r="E26" s="48"/>
      <c r="F26" s="48"/>
      <c r="G26" s="48"/>
      <c r="H26" s="48"/>
      <c r="I26" s="48"/>
      <c r="J26" s="48"/>
      <c r="K26" s="48"/>
    </row>
    <row r="27" spans="1:17" ht="30" customHeight="1">
      <c r="A27" s="8" t="s">
        <v>188</v>
      </c>
      <c r="B27" s="8"/>
      <c r="C27" s="40" t="str">
        <f>IF(C26="Sí","Autorización registrada: conserve el respaldo documental junto al paquete y anote su alcance y vigencia.","BLOQUEO ACTIVO · uso personal exclusivamente.")</f>
        <v>Autorización registrada: conserve el respaldo documental junto al paquete y anote su alcance y vigencia.</v>
      </c>
      <c r="D27" s="40"/>
      <c r="E27" s="40"/>
      <c r="F27" s="40"/>
      <c r="G27" s="40"/>
      <c r="H27" s="40"/>
      <c r="I27" s="40"/>
      <c r="J27" s="40"/>
      <c r="K27" s="40"/>
    </row>
    <row r="29" spans="1:17" ht="31.5" customHeight="1">
      <c r="A29" s="5" t="s">
        <v>189</v>
      </c>
      <c r="B29" s="5"/>
      <c r="C29" s="5"/>
      <c r="D29" s="5"/>
      <c r="E29" s="5"/>
      <c r="F29" s="5"/>
      <c r="G29" s="5"/>
      <c r="H29" s="5"/>
      <c r="I29" s="5"/>
      <c r="J29" s="5"/>
      <c r="K29" s="5"/>
      <c r="L29" s="5"/>
      <c r="M29" s="5"/>
      <c r="N29" s="5"/>
      <c r="O29" s="5"/>
      <c r="P29" s="5"/>
      <c r="Q29" s="5"/>
    </row>
    <row r="30" spans="1:17" ht="31.5" customHeight="1">
      <c r="A30" s="5" t="s">
        <v>190</v>
      </c>
      <c r="B30" s="5"/>
      <c r="C30" s="5"/>
      <c r="D30" s="5"/>
      <c r="E30" s="5"/>
      <c r="F30" s="5"/>
      <c r="G30" s="5"/>
      <c r="H30" s="5"/>
      <c r="I30" s="5"/>
      <c r="J30" s="5"/>
      <c r="K30" s="5"/>
      <c r="L30" s="5"/>
      <c r="M30" s="5"/>
      <c r="N30" s="5"/>
      <c r="O30" s="5"/>
      <c r="P30" s="5"/>
      <c r="Q30" s="5"/>
    </row>
    <row r="31" spans="1:17" ht="31.5" customHeight="1">
      <c r="A31" s="5" t="s">
        <v>191</v>
      </c>
      <c r="B31" s="5"/>
      <c r="C31" s="5"/>
      <c r="D31" s="5"/>
      <c r="E31" s="5"/>
      <c r="F31" s="5"/>
      <c r="G31" s="5"/>
      <c r="H31" s="5"/>
      <c r="I31" s="5"/>
      <c r="J31" s="5"/>
      <c r="K31" s="5"/>
      <c r="L31" s="5"/>
      <c r="M31" s="5"/>
      <c r="N31" s="5"/>
      <c r="O31" s="5"/>
      <c r="P31" s="5"/>
      <c r="Q31" s="5"/>
    </row>
    <row r="33" spans="1:17" ht="15" customHeight="1">
      <c r="A33" s="38" t="s">
        <v>192</v>
      </c>
      <c r="B33" s="38"/>
      <c r="C33" s="38"/>
      <c r="D33" s="38"/>
      <c r="E33" s="38"/>
      <c r="F33" s="38"/>
      <c r="G33" s="38"/>
      <c r="H33" s="38"/>
      <c r="I33" s="38"/>
      <c r="J33" s="38"/>
      <c r="K33" s="38"/>
      <c r="L33" s="38"/>
      <c r="M33" s="38"/>
      <c r="N33" s="38"/>
      <c r="O33" s="38"/>
      <c r="P33" s="38"/>
      <c r="Q33" s="38"/>
    </row>
    <row r="34" spans="1:17">
      <c r="A34" s="38"/>
      <c r="B34" s="38"/>
      <c r="C34" s="38"/>
      <c r="D34" s="38"/>
      <c r="E34" s="38"/>
      <c r="F34" s="38"/>
      <c r="G34" s="38"/>
      <c r="H34" s="38"/>
      <c r="I34" s="38"/>
      <c r="J34" s="38"/>
      <c r="K34" s="38"/>
      <c r="L34" s="38"/>
      <c r="M34" s="38"/>
      <c r="N34" s="38"/>
      <c r="O34" s="38"/>
      <c r="P34" s="38"/>
      <c r="Q34" s="38"/>
    </row>
    <row r="35" spans="1:17">
      <c r="A35" s="38"/>
      <c r="B35" s="38"/>
      <c r="C35" s="38"/>
      <c r="D35" s="38"/>
      <c r="E35" s="38"/>
      <c r="F35" s="38"/>
      <c r="G35" s="38"/>
      <c r="H35" s="38"/>
      <c r="I35" s="38"/>
      <c r="J35" s="38"/>
      <c r="K35" s="38"/>
      <c r="L35" s="38"/>
      <c r="M35" s="38"/>
      <c r="N35" s="38"/>
      <c r="O35" s="38"/>
      <c r="P35" s="38"/>
      <c r="Q35" s="38"/>
    </row>
  </sheetData>
  <sheetProtection algorithmName="SHA-512" hashValue="gQIk4wP6I5CfPRb9u4jwNoFzKCtKDIYXrnEmnfIA1SS9EmhLDcjO/fP0KSR4+Q63pUoM+gcq2wnZ1Uqojt+5qQ==" saltValue="H5V9cfYUnqgkrV7b4maObg==" spinCount="100000" sheet="1" objects="1" scenarios="1" autoFilter="0"/>
  <mergeCells count="21">
    <mergeCell ref="A33:Q35"/>
    <mergeCell ref="A27:B27"/>
    <mergeCell ref="C27:K27"/>
    <mergeCell ref="A29:Q29"/>
    <mergeCell ref="A30:Q30"/>
    <mergeCell ref="A31:Q31"/>
    <mergeCell ref="A14:Q14"/>
    <mergeCell ref="A23:B23"/>
    <mergeCell ref="A25:Q25"/>
    <mergeCell ref="A26:B26"/>
    <mergeCell ref="C26:K26"/>
    <mergeCell ref="A8:Q8"/>
    <mergeCell ref="A9:Q9"/>
    <mergeCell ref="A10:Q10"/>
    <mergeCell ref="A11:Q11"/>
    <mergeCell ref="A12:Q12"/>
    <mergeCell ref="A1:Q1"/>
    <mergeCell ref="A2:Q3"/>
    <mergeCell ref="A4:B4"/>
    <mergeCell ref="A6:Q6"/>
    <mergeCell ref="A7:Q7"/>
  </mergeCells>
  <dataValidations count="1">
    <dataValidation type="list" allowBlank="1" sqref="C26" xr:uid="{00000000-0002-0000-0400-000000000000}">
      <formula1>lst_si</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rgb="FFDFF0E3"/>
  </sheetPr>
  <dimension ref="A1:Q35"/>
  <sheetViews>
    <sheetView showGridLines="0" zoomScaleNormal="100" workbookViewId="0">
      <selection activeCell="N29" sqref="N29"/>
    </sheetView>
  </sheetViews>
  <sheetFormatPr baseColWidth="10" defaultColWidth="8.7109375" defaultRowHeight="15"/>
  <cols>
    <col min="1" max="1" width="10" style="14" customWidth="1"/>
    <col min="2" max="2" width="60.140625" style="14" customWidth="1"/>
    <col min="3" max="3" width="10" style="14" customWidth="1"/>
    <col min="4" max="4" width="8" style="14" customWidth="1"/>
    <col min="5" max="5" width="14" style="14" customWidth="1"/>
    <col min="6" max="6" width="20" style="14" customWidth="1"/>
    <col min="7" max="7" width="34"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193</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5" customHeight="1">
      <c r="A6" s="38" t="s">
        <v>194</v>
      </c>
      <c r="B6" s="38"/>
      <c r="C6" s="38"/>
      <c r="D6" s="38"/>
      <c r="E6" s="38"/>
      <c r="F6" s="38"/>
      <c r="G6" s="38"/>
      <c r="H6" s="38"/>
      <c r="I6" s="38"/>
      <c r="J6" s="38"/>
      <c r="K6" s="38"/>
      <c r="L6" s="38"/>
      <c r="M6" s="38"/>
      <c r="N6" s="38"/>
      <c r="O6" s="38"/>
      <c r="P6" s="38"/>
      <c r="Q6" s="38"/>
    </row>
    <row r="7" spans="1:17">
      <c r="A7" s="38"/>
      <c r="B7" s="38"/>
      <c r="C7" s="38"/>
      <c r="D7" s="38"/>
      <c r="E7" s="38"/>
      <c r="F7" s="38"/>
      <c r="G7" s="38"/>
      <c r="H7" s="38"/>
      <c r="I7" s="38"/>
      <c r="J7" s="38"/>
      <c r="K7" s="38"/>
      <c r="L7" s="38"/>
      <c r="M7" s="38"/>
      <c r="N7" s="38"/>
      <c r="O7" s="38"/>
      <c r="P7" s="38"/>
      <c r="Q7" s="38"/>
    </row>
    <row r="8" spans="1:17">
      <c r="A8" s="38"/>
      <c r="B8" s="38"/>
      <c r="C8" s="38"/>
      <c r="D8" s="38"/>
      <c r="E8" s="38"/>
      <c r="F8" s="38"/>
      <c r="G8" s="38"/>
      <c r="H8" s="38"/>
      <c r="I8" s="38"/>
      <c r="J8" s="38"/>
      <c r="K8" s="38"/>
      <c r="L8" s="38"/>
      <c r="M8" s="38"/>
      <c r="N8" s="38"/>
      <c r="O8" s="38"/>
      <c r="P8" s="38"/>
      <c r="Q8" s="38"/>
    </row>
    <row r="10" spans="1:17" ht="19.5" customHeight="1">
      <c r="A10" s="6" t="s">
        <v>195</v>
      </c>
      <c r="B10" s="6"/>
      <c r="C10" s="6"/>
      <c r="D10" s="6"/>
      <c r="E10" s="6"/>
      <c r="F10" s="6"/>
      <c r="G10" s="6"/>
      <c r="H10" s="6"/>
      <c r="I10" s="6"/>
      <c r="J10" s="6"/>
      <c r="K10" s="6"/>
      <c r="L10" s="6"/>
      <c r="M10" s="6"/>
      <c r="N10" s="6"/>
      <c r="O10" s="6"/>
      <c r="P10" s="6"/>
      <c r="Q10" s="6"/>
    </row>
    <row r="11" spans="1:17" ht="31.5" customHeight="1">
      <c r="A11" s="15" t="s">
        <v>46</v>
      </c>
      <c r="B11" s="15" t="s">
        <v>196</v>
      </c>
      <c r="C11" s="15" t="s">
        <v>14</v>
      </c>
      <c r="D11" s="15" t="s">
        <v>50</v>
      </c>
      <c r="E11" s="15" t="s">
        <v>197</v>
      </c>
      <c r="F11" s="15" t="s">
        <v>198</v>
      </c>
      <c r="G11" s="15" t="s">
        <v>199</v>
      </c>
    </row>
    <row r="12" spans="1:17">
      <c r="A12" s="16" t="s">
        <v>52</v>
      </c>
      <c r="B12" s="29" t="s">
        <v>200</v>
      </c>
      <c r="C12" s="30" t="s">
        <v>15</v>
      </c>
      <c r="D12" s="30">
        <v>10</v>
      </c>
      <c r="E12" s="49" t="s">
        <v>201</v>
      </c>
      <c r="F12" s="49" t="s">
        <v>61</v>
      </c>
      <c r="G12" s="50"/>
    </row>
    <row r="13" spans="1:17">
      <c r="A13" s="16" t="s">
        <v>57</v>
      </c>
      <c r="B13" s="29" t="s">
        <v>202</v>
      </c>
      <c r="C13" s="30" t="s">
        <v>15</v>
      </c>
      <c r="D13" s="30">
        <v>10</v>
      </c>
      <c r="E13" s="49" t="s">
        <v>201</v>
      </c>
      <c r="F13" s="49" t="s">
        <v>61</v>
      </c>
      <c r="G13" s="50"/>
    </row>
    <row r="14" spans="1:17">
      <c r="A14" s="16" t="s">
        <v>62</v>
      </c>
      <c r="B14" s="29" t="s">
        <v>203</v>
      </c>
      <c r="C14" s="30" t="s">
        <v>15</v>
      </c>
      <c r="D14" s="30">
        <v>12</v>
      </c>
      <c r="E14" s="49" t="s">
        <v>201</v>
      </c>
      <c r="F14" s="49" t="s">
        <v>61</v>
      </c>
      <c r="G14" s="50"/>
    </row>
    <row r="15" spans="1:17">
      <c r="A15" s="16" t="s">
        <v>66</v>
      </c>
      <c r="B15" s="29" t="s">
        <v>204</v>
      </c>
      <c r="C15" s="30" t="s">
        <v>15</v>
      </c>
      <c r="D15" s="30">
        <v>10</v>
      </c>
      <c r="E15" s="49" t="s">
        <v>201</v>
      </c>
      <c r="F15" s="49" t="s">
        <v>61</v>
      </c>
      <c r="G15" s="50"/>
    </row>
    <row r="16" spans="1:17">
      <c r="A16" s="16" t="s">
        <v>70</v>
      </c>
      <c r="B16" s="29" t="s">
        <v>205</v>
      </c>
      <c r="C16" s="30" t="s">
        <v>15</v>
      </c>
      <c r="D16" s="30">
        <v>11</v>
      </c>
      <c r="E16" s="49" t="s">
        <v>201</v>
      </c>
      <c r="F16" s="49" t="s">
        <v>61</v>
      </c>
      <c r="G16" s="50"/>
    </row>
    <row r="17" spans="1:17">
      <c r="A17" s="16" t="s">
        <v>74</v>
      </c>
      <c r="B17" s="29" t="s">
        <v>206</v>
      </c>
      <c r="C17" s="30" t="s">
        <v>15</v>
      </c>
      <c r="D17" s="30">
        <v>10</v>
      </c>
      <c r="E17" s="49" t="s">
        <v>201</v>
      </c>
      <c r="F17" s="49" t="s">
        <v>61</v>
      </c>
      <c r="G17" s="50"/>
    </row>
    <row r="18" spans="1:17">
      <c r="A18" s="16" t="s">
        <v>78</v>
      </c>
      <c r="B18" s="29" t="s">
        <v>207</v>
      </c>
      <c r="C18" s="30" t="s">
        <v>15</v>
      </c>
      <c r="D18" s="30">
        <v>10</v>
      </c>
      <c r="E18" s="49" t="s">
        <v>201</v>
      </c>
      <c r="F18" s="49" t="s">
        <v>61</v>
      </c>
      <c r="G18" s="50"/>
    </row>
    <row r="20" spans="1:17" ht="18" customHeight="1">
      <c r="A20" s="8" t="s">
        <v>208</v>
      </c>
      <c r="B20" s="8"/>
      <c r="C20" s="41">
        <f>COUNTIF(E12:E18,"Presente")</f>
        <v>7</v>
      </c>
      <c r="D20" s="41"/>
      <c r="E20" s="41"/>
      <c r="F20" s="41"/>
      <c r="G20" s="41"/>
      <c r="H20" s="41"/>
      <c r="I20" s="41"/>
      <c r="J20" s="41"/>
      <c r="K20" s="41"/>
    </row>
    <row r="21" spans="1:17" ht="18" customHeight="1">
      <c r="A21" s="8" t="s">
        <v>209</v>
      </c>
      <c r="B21" s="8"/>
      <c r="C21" s="41">
        <f>COUNTIF(F12:F18,"Sí")</f>
        <v>7</v>
      </c>
      <c r="D21" s="41"/>
      <c r="E21" s="41"/>
      <c r="F21" s="41"/>
      <c r="G21" s="41"/>
      <c r="H21" s="41"/>
      <c r="I21" s="41"/>
      <c r="J21" s="41"/>
      <c r="K21" s="41"/>
    </row>
    <row r="22" spans="1:17" ht="18" customHeight="1">
      <c r="A22" s="8" t="s">
        <v>210</v>
      </c>
      <c r="B22" s="8"/>
      <c r="C22" s="41">
        <f>SUM(D12:D18)</f>
        <v>73</v>
      </c>
      <c r="D22" s="41"/>
      <c r="E22" s="41"/>
      <c r="F22" s="41"/>
      <c r="G22" s="41"/>
      <c r="H22" s="41"/>
      <c r="I22" s="41"/>
      <c r="J22" s="41"/>
      <c r="K22" s="41"/>
    </row>
    <row r="23" spans="1:17" ht="36" customHeight="1">
      <c r="A23" s="8" t="s">
        <v>211</v>
      </c>
      <c r="B23" s="8"/>
      <c r="C23" s="42" t="str">
        <f>IF(AND(C20=k_modulos,C21=k_modulos),"PAQUETE COMPLETO · las siete herramientas están presentes y con sus pruebas aprobadas.","INCOMPLETO · faltan "&amp;(k_modulos-C20)&amp;" archivo(s) y "&amp;(k_modulos-C21)&amp;" con pruebas sin confirmar. No lo entregue en este estado.")</f>
        <v>PAQUETE COMPLETO · las siete herramientas están presentes y con sus pruebas aprobadas.</v>
      </c>
      <c r="D23" s="42"/>
      <c r="E23" s="42"/>
      <c r="F23" s="42"/>
      <c r="G23" s="42"/>
      <c r="H23" s="42"/>
      <c r="I23" s="42"/>
      <c r="J23" s="42"/>
      <c r="K23" s="42"/>
    </row>
    <row r="25" spans="1:17" ht="19.5" customHeight="1">
      <c r="A25" s="6" t="s">
        <v>212</v>
      </c>
      <c r="B25" s="6"/>
      <c r="C25" s="6"/>
      <c r="D25" s="6"/>
      <c r="E25" s="6"/>
      <c r="F25" s="6"/>
      <c r="G25" s="6"/>
      <c r="H25" s="6"/>
      <c r="I25" s="6"/>
      <c r="J25" s="6"/>
      <c r="K25" s="6"/>
      <c r="L25" s="6"/>
      <c r="M25" s="6"/>
      <c r="N25" s="6"/>
      <c r="O25" s="6"/>
      <c r="P25" s="6"/>
      <c r="Q25" s="6"/>
    </row>
    <row r="26" spans="1:17" ht="33" customHeight="1">
      <c r="A26" s="56" t="s">
        <v>213</v>
      </c>
      <c r="B26" s="56"/>
      <c r="C26" s="48" t="s">
        <v>61</v>
      </c>
      <c r="D26" s="48"/>
      <c r="E26" s="48"/>
      <c r="F26" s="48"/>
      <c r="G26" s="48"/>
      <c r="H26" s="48"/>
      <c r="I26" s="48"/>
      <c r="J26" s="48"/>
      <c r="K26" s="48"/>
    </row>
    <row r="27" spans="1:17" ht="33" customHeight="1">
      <c r="A27" s="56" t="s">
        <v>214</v>
      </c>
      <c r="B27" s="56"/>
      <c r="C27" s="48" t="s">
        <v>61</v>
      </c>
      <c r="D27" s="48"/>
      <c r="E27" s="48"/>
      <c r="F27" s="48"/>
      <c r="G27" s="48"/>
      <c r="H27" s="48"/>
      <c r="I27" s="48"/>
      <c r="J27" s="48"/>
      <c r="K27" s="48"/>
    </row>
    <row r="28" spans="1:17" ht="33" customHeight="1">
      <c r="A28" s="56" t="s">
        <v>215</v>
      </c>
      <c r="B28" s="56"/>
      <c r="C28" s="48" t="s">
        <v>61</v>
      </c>
      <c r="D28" s="48"/>
      <c r="E28" s="48"/>
      <c r="F28" s="48"/>
      <c r="G28" s="48"/>
      <c r="H28" s="48"/>
      <c r="I28" s="48"/>
      <c r="J28" s="48"/>
      <c r="K28" s="48"/>
    </row>
    <row r="29" spans="1:17" ht="33" customHeight="1">
      <c r="A29" s="56" t="s">
        <v>216</v>
      </c>
      <c r="B29" s="56"/>
      <c r="C29" s="48" t="s">
        <v>61</v>
      </c>
      <c r="D29" s="48"/>
      <c r="E29" s="48"/>
      <c r="F29" s="48"/>
      <c r="G29" s="48"/>
      <c r="H29" s="48"/>
      <c r="I29" s="48"/>
      <c r="J29" s="48"/>
      <c r="K29" s="48"/>
    </row>
    <row r="30" spans="1:17" ht="33" customHeight="1">
      <c r="A30" s="56" t="s">
        <v>217</v>
      </c>
      <c r="B30" s="56"/>
      <c r="C30" s="43" t="str">
        <f>IF(COUNTIF(C26:C29,"Sí")=4,"Los cuatro puntos están resueltos.","PENDIENTE · faltan "&amp;(4-COUNTIF(C26:C29,"Sí"))&amp;" punto(s) antes de entregar el paquete.")</f>
        <v>Los cuatro puntos están resueltos.</v>
      </c>
      <c r="D30" s="43"/>
      <c r="E30" s="43"/>
      <c r="F30" s="43"/>
      <c r="G30" s="43"/>
      <c r="H30" s="43"/>
      <c r="I30" s="43"/>
      <c r="J30" s="43"/>
      <c r="K30" s="43"/>
    </row>
    <row r="32" spans="1:17" ht="15" customHeight="1">
      <c r="A32" s="38" t="s">
        <v>218</v>
      </c>
      <c r="B32" s="38"/>
      <c r="C32" s="38"/>
      <c r="D32" s="38"/>
      <c r="E32" s="38"/>
      <c r="F32" s="38"/>
      <c r="G32" s="38"/>
      <c r="H32" s="38"/>
      <c r="I32" s="38"/>
      <c r="J32" s="38"/>
      <c r="K32" s="38"/>
      <c r="L32" s="38"/>
      <c r="M32" s="38"/>
      <c r="N32" s="38"/>
      <c r="O32" s="38"/>
      <c r="P32" s="38"/>
      <c r="Q32" s="38"/>
    </row>
    <row r="33" spans="1:17">
      <c r="A33" s="38"/>
      <c r="B33" s="38"/>
      <c r="C33" s="38"/>
      <c r="D33" s="38"/>
      <c r="E33" s="38"/>
      <c r="F33" s="38"/>
      <c r="G33" s="38"/>
      <c r="H33" s="38"/>
      <c r="I33" s="38"/>
      <c r="J33" s="38"/>
      <c r="K33" s="38"/>
      <c r="L33" s="38"/>
      <c r="M33" s="38"/>
      <c r="N33" s="38"/>
      <c r="O33" s="38"/>
      <c r="P33" s="38"/>
      <c r="Q33" s="38"/>
    </row>
    <row r="34" spans="1:17">
      <c r="A34" s="38"/>
      <c r="B34" s="38"/>
      <c r="C34" s="38"/>
      <c r="D34" s="38"/>
      <c r="E34" s="38"/>
      <c r="F34" s="38"/>
      <c r="G34" s="38"/>
      <c r="H34" s="38"/>
      <c r="I34" s="38"/>
      <c r="J34" s="38"/>
      <c r="K34" s="38"/>
      <c r="L34" s="38"/>
      <c r="M34" s="38"/>
      <c r="N34" s="38"/>
      <c r="O34" s="38"/>
      <c r="P34" s="38"/>
      <c r="Q34" s="38"/>
    </row>
    <row r="35" spans="1:17">
      <c r="A35" s="38"/>
      <c r="B35" s="38"/>
      <c r="C35" s="38"/>
      <c r="D35" s="38"/>
      <c r="E35" s="38"/>
      <c r="F35" s="38"/>
      <c r="G35" s="38"/>
      <c r="H35" s="38"/>
      <c r="I35" s="38"/>
      <c r="J35" s="38"/>
      <c r="K35" s="38"/>
      <c r="L35" s="38"/>
      <c r="M35" s="38"/>
      <c r="N35" s="38"/>
      <c r="O35" s="38"/>
      <c r="P35" s="38"/>
      <c r="Q35" s="38"/>
    </row>
  </sheetData>
  <sheetProtection autoFilter="0"/>
  <mergeCells count="25">
    <mergeCell ref="A30:B30"/>
    <mergeCell ref="C30:K30"/>
    <mergeCell ref="A32:Q35"/>
    <mergeCell ref="A27:B27"/>
    <mergeCell ref="C27:K27"/>
    <mergeCell ref="A28:B28"/>
    <mergeCell ref="C28:K28"/>
    <mergeCell ref="A29:B29"/>
    <mergeCell ref="C29:K29"/>
    <mergeCell ref="A23:B23"/>
    <mergeCell ref="C23:K23"/>
    <mergeCell ref="A25:Q25"/>
    <mergeCell ref="A26:B26"/>
    <mergeCell ref="C26:K26"/>
    <mergeCell ref="A20:B20"/>
    <mergeCell ref="C20:K20"/>
    <mergeCell ref="A21:B21"/>
    <mergeCell ref="C21:K21"/>
    <mergeCell ref="A22:B22"/>
    <mergeCell ref="C22:K22"/>
    <mergeCell ref="A1:Q1"/>
    <mergeCell ref="A2:Q3"/>
    <mergeCell ref="A4:B4"/>
    <mergeCell ref="A6:Q8"/>
    <mergeCell ref="A10:Q10"/>
  </mergeCells>
  <dataValidations count="2">
    <dataValidation type="list" allowBlank="1" sqref="E12:E18" xr:uid="{00000000-0002-0000-0500-000000000000}">
      <formula1>lst_estado</formula1>
      <formula2>0</formula2>
    </dataValidation>
    <dataValidation type="list" allowBlank="1" sqref="F12:F18 C26:C29" xr:uid="{00000000-0002-0000-0500-000001000000}">
      <formula1>lst_si</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rgb="FFD8E7E2"/>
  </sheetPr>
  <dimension ref="A1:Q17"/>
  <sheetViews>
    <sheetView showGridLines="0" topLeftCell="A19" zoomScaleNormal="100" workbookViewId="0">
      <selection sqref="A1:Q1"/>
    </sheetView>
  </sheetViews>
  <sheetFormatPr baseColWidth="10" defaultColWidth="8.7109375" defaultRowHeight="15"/>
  <cols>
    <col min="1" max="1" width="34" style="14" customWidth="1"/>
    <col min="2" max="2" width="15" style="14" customWidth="1"/>
    <col min="3" max="3" width="12" style="14" customWidth="1"/>
    <col min="4" max="5" width="11"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219</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9.5" customHeight="1">
      <c r="A6" s="6" t="s">
        <v>220</v>
      </c>
      <c r="B6" s="6"/>
      <c r="C6" s="6"/>
      <c r="D6" s="6"/>
      <c r="E6" s="6"/>
      <c r="F6" s="6"/>
      <c r="G6" s="6"/>
      <c r="H6" s="6"/>
      <c r="I6" s="6"/>
      <c r="J6" s="6"/>
      <c r="K6" s="6"/>
      <c r="L6" s="6"/>
      <c r="M6" s="6"/>
      <c r="N6" s="6"/>
      <c r="O6" s="6"/>
      <c r="P6" s="6"/>
      <c r="Q6" s="6"/>
    </row>
    <row r="7" spans="1:17">
      <c r="A7" s="31" t="s">
        <v>221</v>
      </c>
      <c r="B7" s="44" t="s">
        <v>222</v>
      </c>
      <c r="C7" s="44"/>
      <c r="D7" s="44"/>
      <c r="E7" s="44"/>
      <c r="F7" s="44"/>
      <c r="G7" s="44"/>
      <c r="H7" s="44"/>
      <c r="I7" s="44"/>
      <c r="J7" s="44"/>
      <c r="K7" s="44"/>
      <c r="L7" s="44"/>
      <c r="M7" s="44"/>
      <c r="N7" s="44"/>
      <c r="O7" s="44"/>
      <c r="P7" s="44"/>
      <c r="Q7" s="44"/>
    </row>
    <row r="8" spans="1:17" ht="57.75" customHeight="1">
      <c r="A8" s="32" t="s">
        <v>223</v>
      </c>
      <c r="B8" s="45" t="s">
        <v>224</v>
      </c>
      <c r="C8" s="45"/>
      <c r="D8" s="45"/>
      <c r="E8" s="45"/>
      <c r="F8" s="45"/>
      <c r="G8" s="45"/>
      <c r="H8" s="45"/>
      <c r="I8" s="45"/>
      <c r="J8" s="45"/>
      <c r="K8" s="45"/>
      <c r="L8" s="45"/>
      <c r="M8" s="45"/>
      <c r="N8" s="45"/>
      <c r="O8" s="45"/>
      <c r="P8" s="45"/>
      <c r="Q8" s="45"/>
    </row>
    <row r="9" spans="1:17" ht="57.75" customHeight="1">
      <c r="A9" s="32" t="s">
        <v>225</v>
      </c>
      <c r="B9" s="45" t="s">
        <v>226</v>
      </c>
      <c r="C9" s="45"/>
      <c r="D9" s="45"/>
      <c r="E9" s="45"/>
      <c r="F9" s="45"/>
      <c r="G9" s="45"/>
      <c r="H9" s="45"/>
      <c r="I9" s="45"/>
      <c r="J9" s="45"/>
      <c r="K9" s="45"/>
      <c r="L9" s="45"/>
      <c r="M9" s="45"/>
      <c r="N9" s="45"/>
      <c r="O9" s="45"/>
      <c r="P9" s="45"/>
      <c r="Q9" s="45"/>
    </row>
    <row r="10" spans="1:17" ht="57.75" customHeight="1">
      <c r="A10" s="32" t="s">
        <v>227</v>
      </c>
      <c r="B10" s="45" t="s">
        <v>228</v>
      </c>
      <c r="C10" s="45"/>
      <c r="D10" s="45"/>
      <c r="E10" s="45"/>
      <c r="F10" s="45"/>
      <c r="G10" s="45"/>
      <c r="H10" s="45"/>
      <c r="I10" s="45"/>
      <c r="J10" s="45"/>
      <c r="K10" s="45"/>
      <c r="L10" s="45"/>
      <c r="M10" s="45"/>
      <c r="N10" s="45"/>
      <c r="O10" s="45"/>
      <c r="P10" s="45"/>
      <c r="Q10" s="45"/>
    </row>
    <row r="11" spans="1:17" ht="57.75" customHeight="1">
      <c r="A11" s="32" t="s">
        <v>229</v>
      </c>
      <c r="B11" s="45" t="s">
        <v>230</v>
      </c>
      <c r="C11" s="45"/>
      <c r="D11" s="45"/>
      <c r="E11" s="45"/>
      <c r="F11" s="45"/>
      <c r="G11" s="45"/>
      <c r="H11" s="45"/>
      <c r="I11" s="45"/>
      <c r="J11" s="45"/>
      <c r="K11" s="45"/>
      <c r="L11" s="45"/>
      <c r="M11" s="45"/>
      <c r="N11" s="45"/>
      <c r="O11" s="45"/>
      <c r="P11" s="45"/>
      <c r="Q11" s="45"/>
    </row>
    <row r="12" spans="1:17" ht="57.75" customHeight="1">
      <c r="A12" s="32" t="s">
        <v>231</v>
      </c>
      <c r="B12" s="45" t="s">
        <v>232</v>
      </c>
      <c r="C12" s="45"/>
      <c r="D12" s="45"/>
      <c r="E12" s="45"/>
      <c r="F12" s="45"/>
      <c r="G12" s="45"/>
      <c r="H12" s="45"/>
      <c r="I12" s="45"/>
      <c r="J12" s="45"/>
      <c r="K12" s="45"/>
      <c r="L12" s="45"/>
      <c r="M12" s="45"/>
      <c r="N12" s="45"/>
      <c r="O12" s="45"/>
      <c r="P12" s="45"/>
      <c r="Q12" s="45"/>
    </row>
    <row r="13" spans="1:17" ht="57.75" customHeight="1">
      <c r="A13" s="32" t="s">
        <v>233</v>
      </c>
      <c r="B13" s="45" t="s">
        <v>234</v>
      </c>
      <c r="C13" s="45"/>
      <c r="D13" s="45"/>
      <c r="E13" s="45"/>
      <c r="F13" s="45"/>
      <c r="G13" s="45"/>
      <c r="H13" s="45"/>
      <c r="I13" s="45"/>
      <c r="J13" s="45"/>
      <c r="K13" s="45"/>
      <c r="L13" s="45"/>
      <c r="M13" s="45"/>
      <c r="N13" s="45"/>
      <c r="O13" s="45"/>
      <c r="P13" s="45"/>
      <c r="Q13" s="45"/>
    </row>
    <row r="14" spans="1:17" ht="57.75" customHeight="1">
      <c r="A14" s="32" t="s">
        <v>235</v>
      </c>
      <c r="B14" s="45" t="s">
        <v>236</v>
      </c>
      <c r="C14" s="45"/>
      <c r="D14" s="45"/>
      <c r="E14" s="45"/>
      <c r="F14" s="45"/>
      <c r="G14" s="45"/>
      <c r="H14" s="45"/>
      <c r="I14" s="45"/>
      <c r="J14" s="45"/>
      <c r="K14" s="45"/>
      <c r="L14" s="45"/>
      <c r="M14" s="45"/>
      <c r="N14" s="45"/>
      <c r="O14" s="45"/>
      <c r="P14" s="45"/>
      <c r="Q14" s="45"/>
    </row>
    <row r="15" spans="1:17" ht="57.75" customHeight="1">
      <c r="A15" s="32" t="s">
        <v>237</v>
      </c>
      <c r="B15" s="45" t="s">
        <v>238</v>
      </c>
      <c r="C15" s="45"/>
      <c r="D15" s="45"/>
      <c r="E15" s="45"/>
      <c r="F15" s="45"/>
      <c r="G15" s="45"/>
      <c r="H15" s="45"/>
      <c r="I15" s="45"/>
      <c r="J15" s="45"/>
      <c r="K15" s="45"/>
      <c r="L15" s="45"/>
      <c r="M15" s="45"/>
      <c r="N15" s="45"/>
      <c r="O15" s="45"/>
      <c r="P15" s="45"/>
      <c r="Q15" s="45"/>
    </row>
    <row r="16" spans="1:17" ht="57.75" customHeight="1">
      <c r="A16" s="32" t="s">
        <v>239</v>
      </c>
      <c r="B16" s="45" t="s">
        <v>240</v>
      </c>
      <c r="C16" s="45"/>
      <c r="D16" s="45"/>
      <c r="E16" s="45"/>
      <c r="F16" s="45"/>
      <c r="G16" s="45"/>
      <c r="H16" s="45"/>
      <c r="I16" s="45"/>
      <c r="J16" s="45"/>
      <c r="K16" s="45"/>
      <c r="L16" s="45"/>
      <c r="M16" s="45"/>
      <c r="N16" s="45"/>
      <c r="O16" s="45"/>
      <c r="P16" s="45"/>
      <c r="Q16" s="45"/>
    </row>
    <row r="17" spans="1:17" ht="57.75" customHeight="1">
      <c r="A17" s="32" t="s">
        <v>241</v>
      </c>
      <c r="B17" s="45" t="s">
        <v>242</v>
      </c>
      <c r="C17" s="45"/>
      <c r="D17" s="45"/>
      <c r="E17" s="45"/>
      <c r="F17" s="45"/>
      <c r="G17" s="45"/>
      <c r="H17" s="45"/>
      <c r="I17" s="45"/>
      <c r="J17" s="45"/>
      <c r="K17" s="45"/>
      <c r="L17" s="45"/>
      <c r="M17" s="45"/>
      <c r="N17" s="45"/>
      <c r="O17" s="45"/>
      <c r="P17" s="45"/>
      <c r="Q17" s="45"/>
    </row>
  </sheetData>
  <sheetProtection algorithmName="SHA-512" hashValue="J49E9jfmb9O+ufs2s3G8N8Kcd5YVumxfaPwP7qEZ5wmeSVgI77YfZewWHPGUzJjLClQQquTMgjYJW96KX+fIPg==" saltValue="PnJkz80v3yaBpPoQzsDN1A==" spinCount="100000" sheet="1" objects="1" scenarios="1" autoFilter="0"/>
  <mergeCells count="15">
    <mergeCell ref="B13:Q13"/>
    <mergeCell ref="B14:Q14"/>
    <mergeCell ref="B15:Q15"/>
    <mergeCell ref="B16:Q16"/>
    <mergeCell ref="B17:Q17"/>
    <mergeCell ref="B8:Q8"/>
    <mergeCell ref="B9:Q9"/>
    <mergeCell ref="B10:Q10"/>
    <mergeCell ref="B11:Q11"/>
    <mergeCell ref="B12:Q12"/>
    <mergeCell ref="A1:Q1"/>
    <mergeCell ref="A2:Q3"/>
    <mergeCell ref="A4:B4"/>
    <mergeCell ref="A6:Q6"/>
    <mergeCell ref="B7:Q7"/>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rgb="FFFBE4D5"/>
  </sheetPr>
  <dimension ref="A1:Q28"/>
  <sheetViews>
    <sheetView showGridLines="0" zoomScaleNormal="100" workbookViewId="0">
      <selection activeCell="E23" sqref="E23"/>
    </sheetView>
  </sheetViews>
  <sheetFormatPr baseColWidth="10" defaultColWidth="8.7109375" defaultRowHeight="15"/>
  <cols>
    <col min="1" max="1" width="18.5703125" style="14" customWidth="1"/>
    <col min="2" max="2" width="56" style="14" customWidth="1"/>
    <col min="3" max="5" width="20"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243</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5" customHeight="1">
      <c r="A6" s="46" t="s">
        <v>244</v>
      </c>
      <c r="B6" s="46"/>
      <c r="C6" s="46"/>
      <c r="D6" s="46"/>
      <c r="E6" s="46"/>
      <c r="F6" s="46"/>
      <c r="G6" s="46"/>
      <c r="H6" s="46"/>
      <c r="I6" s="46"/>
      <c r="J6" s="46"/>
      <c r="K6" s="46"/>
      <c r="L6" s="46"/>
      <c r="M6" s="46"/>
      <c r="N6" s="46"/>
      <c r="O6" s="46"/>
      <c r="P6" s="46"/>
      <c r="Q6" s="46"/>
    </row>
    <row r="8" spans="1:17">
      <c r="A8" s="31" t="s">
        <v>245</v>
      </c>
      <c r="B8" s="31" t="s">
        <v>246</v>
      </c>
      <c r="C8" s="31" t="s">
        <v>247</v>
      </c>
      <c r="D8" s="31" t="s">
        <v>248</v>
      </c>
      <c r="E8" s="31" t="s">
        <v>249</v>
      </c>
    </row>
    <row r="9" spans="1:17">
      <c r="A9" s="30" t="s">
        <v>250</v>
      </c>
      <c r="B9" s="29" t="s">
        <v>251</v>
      </c>
      <c r="C9" s="30">
        <f>COUNTA(CATALOGO!A8:A14)</f>
        <v>7</v>
      </c>
      <c r="D9" s="30">
        <v>7</v>
      </c>
      <c r="E9" s="33" t="str">
        <f t="shared" ref="E9:E26" si="0">IF(AND(ISNUMBER(C9),ISNUMBER(D9)),IF(ABS(C9-D9)&lt;=k_tol,"APROBADO","REVISAR"),IF(EXACT(C9&amp;"",D9&amp;""),"APROBADO","REVISAR"))</f>
        <v>APROBADO</v>
      </c>
    </row>
    <row r="10" spans="1:17">
      <c r="A10" s="30" t="s">
        <v>250</v>
      </c>
      <c r="B10" s="29" t="s">
        <v>252</v>
      </c>
      <c r="C10" s="30">
        <f>CATALOGO!E15</f>
        <v>73</v>
      </c>
      <c r="D10" s="30">
        <v>73</v>
      </c>
      <c r="E10" s="33" t="str">
        <f t="shared" si="0"/>
        <v>APROBADO</v>
      </c>
    </row>
    <row r="11" spans="1:17">
      <c r="A11" s="30" t="s">
        <v>250</v>
      </c>
      <c r="B11" s="29" t="s">
        <v>253</v>
      </c>
      <c r="C11" s="30">
        <f>COUNTIF(CATALOGO!F8:F14,"Sí")</f>
        <v>5</v>
      </c>
      <c r="D11" s="30">
        <v>5</v>
      </c>
      <c r="E11" s="33" t="str">
        <f t="shared" si="0"/>
        <v>APROBADO</v>
      </c>
    </row>
    <row r="12" spans="1:17">
      <c r="A12" s="30" t="s">
        <v>250</v>
      </c>
      <c r="B12" s="29" t="s">
        <v>254</v>
      </c>
      <c r="C12" s="30">
        <f>COUNTIF(CATALOGO!F8:F14,"No")</f>
        <v>2</v>
      </c>
      <c r="D12" s="30">
        <v>2</v>
      </c>
      <c r="E12" s="33" t="str">
        <f t="shared" si="0"/>
        <v>APROBADO</v>
      </c>
    </row>
    <row r="13" spans="1:17">
      <c r="A13" s="30" t="s">
        <v>255</v>
      </c>
      <c r="B13" s="29" t="s">
        <v>256</v>
      </c>
      <c r="C13" s="30">
        <f>COUNTA(FLUJO!A12:A18)</f>
        <v>7</v>
      </c>
      <c r="D13" s="30">
        <v>7</v>
      </c>
      <c r="E13" s="33" t="str">
        <f t="shared" si="0"/>
        <v>APROBADO</v>
      </c>
    </row>
    <row r="14" spans="1:17">
      <c r="A14" s="30" t="s">
        <v>255</v>
      </c>
      <c r="B14" s="29" t="s">
        <v>257</v>
      </c>
      <c r="C14" s="30">
        <f>COUNTA(CONEXIONES!A13:A21)</f>
        <v>9</v>
      </c>
      <c r="D14" s="30">
        <v>9</v>
      </c>
      <c r="E14" s="33" t="str">
        <f t="shared" si="0"/>
        <v>APROBADO</v>
      </c>
    </row>
    <row r="15" spans="1:17">
      <c r="A15" s="30" t="s">
        <v>258</v>
      </c>
      <c r="B15" s="29" t="s">
        <v>259</v>
      </c>
      <c r="C15" s="30">
        <f>COUNTIF(LICENCIA!C16:C22,"Sí")</f>
        <v>0</v>
      </c>
      <c r="D15" s="30">
        <v>5</v>
      </c>
      <c r="E15" s="33" t="str">
        <f t="shared" si="0"/>
        <v>REVISAR</v>
      </c>
    </row>
    <row r="16" spans="1:17">
      <c r="A16" s="30" t="s">
        <v>258</v>
      </c>
      <c r="B16" s="29" t="s">
        <v>260</v>
      </c>
      <c r="C16" s="30" t="str">
        <f>IF(ISNUMBER(SEARCH("BLOQUEO ACTIVO",LICENCIA!C27)),"ACTIVO","LEVANTADO")</f>
        <v>LEVANTADO</v>
      </c>
      <c r="D16" s="30" t="s">
        <v>261</v>
      </c>
      <c r="E16" s="33" t="str">
        <f t="shared" si="0"/>
        <v>REVISAR</v>
      </c>
    </row>
    <row r="17" spans="1:5">
      <c r="A17" s="30" t="s">
        <v>258</v>
      </c>
      <c r="B17" s="29" t="s">
        <v>262</v>
      </c>
      <c r="C17" s="30" t="str">
        <f>IF(ISNUMBER(SEARCH("NO es distribuible",LICENCIA!D23)),"DECLARA","NO DECLARA")</f>
        <v>NO DECLARA</v>
      </c>
      <c r="D17" s="30" t="s">
        <v>263</v>
      </c>
      <c r="E17" s="33" t="str">
        <f t="shared" si="0"/>
        <v>REVISAR</v>
      </c>
    </row>
    <row r="18" spans="1:5">
      <c r="A18" s="30" t="s">
        <v>264</v>
      </c>
      <c r="B18" s="29" t="s">
        <v>265</v>
      </c>
      <c r="C18" s="30">
        <f>VERIFICACION!C20</f>
        <v>7</v>
      </c>
      <c r="D18" s="30">
        <v>7</v>
      </c>
      <c r="E18" s="33" t="str">
        <f t="shared" si="0"/>
        <v>APROBADO</v>
      </c>
    </row>
    <row r="19" spans="1:5">
      <c r="A19" s="30" t="s">
        <v>264</v>
      </c>
      <c r="B19" s="29" t="s">
        <v>209</v>
      </c>
      <c r="C19" s="30">
        <f>VERIFICACION!C21</f>
        <v>7</v>
      </c>
      <c r="D19" s="30">
        <v>7</v>
      </c>
      <c r="E19" s="33" t="str">
        <f t="shared" si="0"/>
        <v>APROBADO</v>
      </c>
    </row>
    <row r="20" spans="1:5">
      <c r="A20" s="30" t="s">
        <v>264</v>
      </c>
      <c r="B20" s="29" t="s">
        <v>266</v>
      </c>
      <c r="C20" s="30">
        <f>VERIFICACION!C22</f>
        <v>73</v>
      </c>
      <c r="D20" s="30">
        <v>73</v>
      </c>
      <c r="E20" s="33" t="str">
        <f t="shared" si="0"/>
        <v>APROBADO</v>
      </c>
    </row>
    <row r="21" spans="1:5">
      <c r="A21" s="30" t="s">
        <v>264</v>
      </c>
      <c r="B21" s="29" t="s">
        <v>267</v>
      </c>
      <c r="C21" s="30">
        <f>VERIFICACION!C22-CATALOGO!E15</f>
        <v>0</v>
      </c>
      <c r="D21" s="30">
        <v>0</v>
      </c>
      <c r="E21" s="33" t="str">
        <f t="shared" si="0"/>
        <v>APROBADO</v>
      </c>
    </row>
    <row r="22" spans="1:5">
      <c r="A22" s="30" t="s">
        <v>264</v>
      </c>
      <c r="B22" s="29" t="s">
        <v>268</v>
      </c>
      <c r="C22" s="30" t="str">
        <f>IF(ISNUMBER(SEARCH("PAQUETE COMPLETO",VERIFICACION!C23)),"COMPLETO","INCOMPLETO")</f>
        <v>COMPLETO</v>
      </c>
      <c r="D22" s="30" t="s">
        <v>269</v>
      </c>
      <c r="E22" s="33" t="str">
        <f t="shared" si="0"/>
        <v>APROBADO</v>
      </c>
    </row>
    <row r="23" spans="1:5">
      <c r="A23" s="30" t="s">
        <v>270</v>
      </c>
      <c r="B23" s="29" t="s">
        <v>271</v>
      </c>
      <c r="C23" s="30" t="str">
        <f>IF(ISNUMBER(SEARCH("PENDIENTE",VERIFICACION!C30)),"PENDIENTE","RESUELTO")</f>
        <v>RESUELTO</v>
      </c>
      <c r="D23" s="30" t="s">
        <v>272</v>
      </c>
      <c r="E23" s="33" t="str">
        <f t="shared" si="0"/>
        <v>REVISAR</v>
      </c>
    </row>
    <row r="24" spans="1:5">
      <c r="A24" s="30" t="s">
        <v>270</v>
      </c>
      <c r="B24" s="29" t="s">
        <v>273</v>
      </c>
      <c r="C24" s="30">
        <f>k_modulos</f>
        <v>7</v>
      </c>
      <c r="D24" s="30">
        <v>7</v>
      </c>
      <c r="E24" s="33" t="str">
        <f t="shared" si="0"/>
        <v>APROBADO</v>
      </c>
    </row>
    <row r="25" spans="1:5">
      <c r="A25" s="30" t="s">
        <v>270</v>
      </c>
      <c r="B25" s="29" t="s">
        <v>274</v>
      </c>
      <c r="C25" s="30">
        <f>k_conBase</f>
        <v>5</v>
      </c>
      <c r="D25" s="30">
        <v>5</v>
      </c>
      <c r="E25" s="33" t="str">
        <f t="shared" si="0"/>
        <v>APROBADO</v>
      </c>
    </row>
    <row r="26" spans="1:5">
      <c r="A26" s="30" t="s">
        <v>275</v>
      </c>
      <c r="B26" s="29" t="s">
        <v>276</v>
      </c>
      <c r="C26" s="30" t="str">
        <f>IF(ISNUMBER(""),"NUMERO","ND")</f>
        <v>ND</v>
      </c>
      <c r="D26" s="30" t="s">
        <v>277</v>
      </c>
      <c r="E26" s="33" t="str">
        <f t="shared" si="0"/>
        <v>APROBADO</v>
      </c>
    </row>
    <row r="28" spans="1:5">
      <c r="A28" s="16" t="s">
        <v>278</v>
      </c>
      <c r="B28" s="34" t="s">
        <v>279</v>
      </c>
      <c r="C28" s="16">
        <f>COUNTIF(E9:E26,"APROBADO")</f>
        <v>14</v>
      </c>
      <c r="D28" s="16">
        <f>COUNTA(E9:E26)</f>
        <v>18</v>
      </c>
      <c r="E28" s="16" t="str">
        <f>IF(C28=D28,"TODAS APROBADAS","HAY PRUEBAS POR REVISAR")</f>
        <v>HAY PRUEBAS POR REVISAR</v>
      </c>
    </row>
  </sheetData>
  <sheetProtection algorithmName="SHA-512" hashValue="TSmpk09AjYsxCmUmHh/X4GznXwDJ7KUNS8t8ActlawT9SY2CZmFJck5yAwHFfM0ddkLb6JlzxHbdrYz24784/A==" saltValue="yUsTOEv8sOkH5oPPAAVNsQ==" spinCount="100000" sheet="1" objects="1" scenarios="1" autoFilter="0"/>
  <mergeCells count="4">
    <mergeCell ref="A1:Q1"/>
    <mergeCell ref="A2:Q3"/>
    <mergeCell ref="A4:B4"/>
    <mergeCell ref="A6:Q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rgb="FF5A6B70"/>
  </sheetPr>
  <dimension ref="A1:Q16"/>
  <sheetViews>
    <sheetView showGridLines="0" zoomScaleNormal="100" workbookViewId="0">
      <selection activeCell="F25" sqref="F25"/>
    </sheetView>
  </sheetViews>
  <sheetFormatPr baseColWidth="10" defaultColWidth="8.7109375" defaultRowHeight="15"/>
  <cols>
    <col min="1" max="1" width="46" style="14" customWidth="1"/>
    <col min="2" max="2" width="15" style="14" customWidth="1"/>
    <col min="3" max="3" width="12" style="14" customWidth="1"/>
    <col min="4" max="5" width="11"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280</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9.5" customHeight="1">
      <c r="A6" s="6" t="s">
        <v>281</v>
      </c>
      <c r="B6" s="6"/>
      <c r="C6" s="6"/>
      <c r="D6" s="6"/>
      <c r="E6" s="6"/>
      <c r="F6" s="6"/>
      <c r="G6" s="6"/>
      <c r="H6" s="6"/>
      <c r="I6" s="6"/>
      <c r="J6" s="6"/>
      <c r="K6" s="6"/>
      <c r="L6" s="6"/>
      <c r="M6" s="6"/>
      <c r="N6" s="6"/>
      <c r="O6" s="6"/>
      <c r="P6" s="6"/>
      <c r="Q6" s="6"/>
    </row>
    <row r="7" spans="1:17">
      <c r="A7" s="47" t="s">
        <v>282</v>
      </c>
      <c r="B7" s="47"/>
      <c r="C7" s="47"/>
      <c r="D7" s="35" t="s">
        <v>283</v>
      </c>
      <c r="E7" s="49">
        <v>7</v>
      </c>
    </row>
    <row r="8" spans="1:17">
      <c r="A8" s="47" t="s">
        <v>284</v>
      </c>
      <c r="B8" s="47"/>
      <c r="C8" s="47"/>
      <c r="D8" s="35" t="s">
        <v>283</v>
      </c>
      <c r="E8" s="49">
        <v>5</v>
      </c>
    </row>
    <row r="9" spans="1:17">
      <c r="A9" s="47" t="s">
        <v>210</v>
      </c>
      <c r="B9" s="47"/>
      <c r="C9" s="47"/>
      <c r="D9" s="35" t="s">
        <v>285</v>
      </c>
      <c r="E9" s="49">
        <v>73</v>
      </c>
    </row>
    <row r="10" spans="1:17">
      <c r="A10" s="47" t="s">
        <v>286</v>
      </c>
      <c r="B10" s="47"/>
      <c r="C10" s="47"/>
      <c r="D10" s="35" t="s">
        <v>287</v>
      </c>
      <c r="E10" s="49">
        <v>1E-4</v>
      </c>
    </row>
    <row r="12" spans="1:17" ht="19.5" customHeight="1">
      <c r="A12" s="6" t="s">
        <v>288</v>
      </c>
      <c r="B12" s="6"/>
      <c r="C12" s="6"/>
      <c r="D12" s="6"/>
      <c r="E12" s="6"/>
      <c r="F12" s="6"/>
      <c r="G12" s="6"/>
      <c r="H12" s="6"/>
      <c r="I12" s="6"/>
      <c r="J12" s="6"/>
      <c r="K12" s="6"/>
      <c r="L12" s="6"/>
      <c r="M12" s="6"/>
      <c r="N12" s="6"/>
      <c r="O12" s="6"/>
      <c r="P12" s="6"/>
      <c r="Q12" s="6"/>
    </row>
    <row r="13" spans="1:17" ht="15" customHeight="1">
      <c r="A13" s="38" t="s">
        <v>289</v>
      </c>
      <c r="B13" s="38"/>
      <c r="C13" s="38"/>
      <c r="D13" s="38"/>
      <c r="E13" s="38"/>
      <c r="F13" s="38"/>
      <c r="G13" s="38"/>
      <c r="H13" s="38"/>
      <c r="I13" s="38"/>
      <c r="J13" s="38"/>
      <c r="K13" s="38"/>
      <c r="L13" s="38"/>
      <c r="M13" s="38"/>
      <c r="N13" s="38"/>
      <c r="O13" s="38"/>
      <c r="P13" s="38"/>
      <c r="Q13" s="38"/>
    </row>
    <row r="14" spans="1:17">
      <c r="A14" s="38"/>
      <c r="B14" s="38"/>
      <c r="C14" s="38"/>
      <c r="D14" s="38"/>
      <c r="E14" s="38"/>
      <c r="F14" s="38"/>
      <c r="G14" s="38"/>
      <c r="H14" s="38"/>
      <c r="I14" s="38"/>
      <c r="J14" s="38"/>
      <c r="K14" s="38"/>
      <c r="L14" s="38"/>
      <c r="M14" s="38"/>
      <c r="N14" s="38"/>
      <c r="O14" s="38"/>
      <c r="P14" s="38"/>
      <c r="Q14" s="38"/>
    </row>
    <row r="15" spans="1:17">
      <c r="A15" s="38"/>
      <c r="B15" s="38"/>
      <c r="C15" s="38"/>
      <c r="D15" s="38"/>
      <c r="E15" s="38"/>
      <c r="F15" s="38"/>
      <c r="G15" s="38"/>
      <c r="H15" s="38"/>
      <c r="I15" s="38"/>
      <c r="J15" s="38"/>
      <c r="K15" s="38"/>
      <c r="L15" s="38"/>
      <c r="M15" s="38"/>
      <c r="N15" s="38"/>
      <c r="O15" s="38"/>
      <c r="P15" s="38"/>
      <c r="Q15" s="38"/>
    </row>
    <row r="16" spans="1:17">
      <c r="P16"/>
      <c r="Q16"/>
    </row>
  </sheetData>
  <sheetProtection algorithmName="SHA-512" hashValue="4/Nb7uJxIR1pAHhwlslB01UsmwsOLqS59grzxPhwxb3xvFtvgJlfbucsub75O7NW9oNLcx15pUIRHd2shKs+WQ==" saltValue="oHogUhEI/zRXy50IAJ9ByQ==" spinCount="100000" sheet="1" objects="1" scenarios="1" autoFilter="0"/>
  <protectedRanges>
    <protectedRange sqref="E7:E10" name="Rango1"/>
  </protectedRanges>
  <mergeCells count="10">
    <mergeCell ref="A8:C8"/>
    <mergeCell ref="A9:C9"/>
    <mergeCell ref="A10:C10"/>
    <mergeCell ref="A12:Q12"/>
    <mergeCell ref="A13:Q15"/>
    <mergeCell ref="A1:Q1"/>
    <mergeCell ref="A2:Q3"/>
    <mergeCell ref="A4:B4"/>
    <mergeCell ref="A6:Q6"/>
    <mergeCell ref="A7:C7"/>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tabColor rgb="FFB7C7CB"/>
  </sheetPr>
  <dimension ref="A1:AB13"/>
  <sheetViews>
    <sheetView showGridLines="0" zoomScaleNormal="100" workbookViewId="0">
      <selection activeCell="O16" sqref="O16"/>
    </sheetView>
  </sheetViews>
  <sheetFormatPr baseColWidth="10" defaultColWidth="8.7109375" defaultRowHeight="15"/>
  <cols>
    <col min="1" max="1" width="12" style="14" customWidth="1"/>
    <col min="2" max="2" width="14" style="14" customWidth="1"/>
    <col min="3" max="3" width="12" style="14" customWidth="1"/>
    <col min="4" max="5" width="11"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 min="19" max="19" width="11.28515625" customWidth="1"/>
  </cols>
  <sheetData>
    <row r="1" spans="1:28" ht="25.5" customHeight="1">
      <c r="A1" s="13" t="s">
        <v>0</v>
      </c>
      <c r="B1" s="13"/>
      <c r="C1" s="13"/>
      <c r="D1" s="13"/>
      <c r="E1" s="13"/>
      <c r="F1" s="13"/>
      <c r="G1" s="13"/>
      <c r="H1" s="13"/>
      <c r="I1" s="13"/>
      <c r="J1" s="13"/>
      <c r="K1" s="13"/>
      <c r="L1" s="13"/>
      <c r="M1" s="13"/>
      <c r="N1" s="13"/>
      <c r="O1" s="13"/>
      <c r="P1" s="13"/>
      <c r="Q1" s="13"/>
    </row>
    <row r="2" spans="1:28" ht="15" customHeight="1">
      <c r="A2" s="12" t="s">
        <v>290</v>
      </c>
      <c r="B2" s="12"/>
      <c r="C2" s="12"/>
      <c r="D2" s="12"/>
      <c r="E2" s="12"/>
      <c r="F2" s="12"/>
      <c r="G2" s="12"/>
      <c r="H2" s="12"/>
      <c r="I2" s="12"/>
      <c r="J2" s="12"/>
      <c r="K2" s="12"/>
      <c r="L2" s="12"/>
      <c r="M2" s="12"/>
      <c r="N2" s="12"/>
      <c r="O2" s="12"/>
      <c r="P2" s="12"/>
      <c r="Q2" s="12"/>
    </row>
    <row r="3" spans="1:28" ht="15" customHeight="1">
      <c r="A3" s="12"/>
      <c r="B3" s="12"/>
      <c r="C3" s="12"/>
      <c r="D3" s="12"/>
      <c r="E3" s="12"/>
      <c r="F3" s="12"/>
      <c r="G3" s="12"/>
      <c r="H3" s="12"/>
      <c r="I3" s="12"/>
      <c r="J3" s="12"/>
      <c r="K3" s="12"/>
      <c r="L3" s="12"/>
      <c r="M3" s="12"/>
      <c r="N3" s="12"/>
      <c r="O3" s="12"/>
      <c r="P3" s="12"/>
      <c r="Q3" s="12"/>
    </row>
    <row r="4" spans="1:28" ht="24" customHeight="1">
      <c r="A4" s="10" t="str">
        <f>HYPERLINK("#INICIO!A1","▶  VOLVER A INICIO")</f>
        <v>▶  VOLVER A INICIO</v>
      </c>
      <c r="B4" s="10"/>
    </row>
    <row r="6" spans="1:28">
      <c r="A6" s="31" t="s">
        <v>14</v>
      </c>
      <c r="B6" s="31" t="s">
        <v>16</v>
      </c>
      <c r="C6" s="51" t="s">
        <v>291</v>
      </c>
      <c r="D6" s="52"/>
      <c r="E6" s="52"/>
      <c r="F6" s="52"/>
      <c r="G6" s="52"/>
      <c r="H6" s="52"/>
      <c r="I6" s="52"/>
      <c r="J6" s="52"/>
      <c r="K6" s="52"/>
      <c r="L6" s="52"/>
      <c r="M6" s="52"/>
      <c r="N6" s="52"/>
      <c r="O6" s="52"/>
      <c r="P6" s="52"/>
      <c r="Q6" s="52"/>
      <c r="R6" s="53" t="s">
        <v>305</v>
      </c>
      <c r="S6" s="54"/>
    </row>
    <row r="7" spans="1:28" ht="37.5" customHeight="1">
      <c r="A7" s="36" t="s">
        <v>15</v>
      </c>
      <c r="B7" s="36" t="s">
        <v>17</v>
      </c>
      <c r="C7" s="45" t="s">
        <v>292</v>
      </c>
      <c r="D7" s="45"/>
      <c r="E7" s="45"/>
      <c r="F7" s="45"/>
      <c r="G7" s="45"/>
      <c r="H7" s="45"/>
      <c r="I7" s="45"/>
      <c r="J7" s="45" t="s">
        <v>293</v>
      </c>
      <c r="K7" s="45"/>
      <c r="L7" s="45"/>
      <c r="M7" s="45"/>
      <c r="N7" s="45"/>
      <c r="O7" s="45"/>
      <c r="P7" s="45"/>
      <c r="Q7" s="45"/>
      <c r="R7" s="55" t="s">
        <v>304</v>
      </c>
      <c r="S7" s="55"/>
    </row>
    <row r="8" spans="1:28" ht="45.75" customHeight="1">
      <c r="A8" s="36" t="s">
        <v>15</v>
      </c>
      <c r="B8" s="36" t="s">
        <v>17</v>
      </c>
      <c r="C8" s="45" t="s">
        <v>294</v>
      </c>
      <c r="D8" s="45"/>
      <c r="E8" s="45"/>
      <c r="F8" s="45"/>
      <c r="G8" s="45"/>
      <c r="H8" s="45"/>
      <c r="I8" s="45"/>
      <c r="J8" s="45" t="s">
        <v>295</v>
      </c>
      <c r="K8" s="45"/>
      <c r="L8" s="45"/>
      <c r="M8" s="45"/>
      <c r="N8" s="45"/>
      <c r="O8" s="45"/>
      <c r="P8" s="45"/>
      <c r="Q8" s="45"/>
      <c r="R8" s="55" t="s">
        <v>304</v>
      </c>
      <c r="S8" s="55"/>
    </row>
    <row r="9" spans="1:28" ht="45.75" customHeight="1">
      <c r="A9" s="36" t="s">
        <v>15</v>
      </c>
      <c r="B9" s="36" t="s">
        <v>17</v>
      </c>
      <c r="C9" s="45" t="s">
        <v>296</v>
      </c>
      <c r="D9" s="45"/>
      <c r="E9" s="45"/>
      <c r="F9" s="45"/>
      <c r="G9" s="45"/>
      <c r="H9" s="45"/>
      <c r="I9" s="45"/>
      <c r="J9" s="45" t="s">
        <v>297</v>
      </c>
      <c r="K9" s="45"/>
      <c r="L9" s="45"/>
      <c r="M9" s="45"/>
      <c r="N9" s="45"/>
      <c r="O9" s="45"/>
      <c r="P9" s="45"/>
      <c r="Q9" s="45"/>
      <c r="R9" s="55" t="s">
        <v>304</v>
      </c>
      <c r="S9" s="55"/>
    </row>
    <row r="10" spans="1:28" ht="45.75" customHeight="1">
      <c r="A10" s="36" t="s">
        <v>15</v>
      </c>
      <c r="B10" s="36" t="s">
        <v>17</v>
      </c>
      <c r="C10" s="45" t="s">
        <v>298</v>
      </c>
      <c r="D10" s="45"/>
      <c r="E10" s="45"/>
      <c r="F10" s="45"/>
      <c r="G10" s="45"/>
      <c r="H10" s="45"/>
      <c r="I10" s="45"/>
      <c r="J10" s="45" t="s">
        <v>299</v>
      </c>
      <c r="K10" s="45"/>
      <c r="L10" s="45"/>
      <c r="M10" s="45"/>
      <c r="N10" s="45"/>
      <c r="O10" s="45"/>
      <c r="P10" s="45"/>
      <c r="Q10" s="45"/>
      <c r="R10" s="55" t="s">
        <v>304</v>
      </c>
      <c r="S10" s="55"/>
    </row>
    <row r="11" spans="1:28" ht="45.75" customHeight="1">
      <c r="A11" s="36" t="s">
        <v>15</v>
      </c>
      <c r="B11" s="36" t="s">
        <v>17</v>
      </c>
      <c r="C11" s="45" t="s">
        <v>300</v>
      </c>
      <c r="D11" s="45"/>
      <c r="E11" s="45"/>
      <c r="F11" s="45"/>
      <c r="G11" s="45"/>
      <c r="H11" s="45"/>
      <c r="I11" s="45"/>
      <c r="J11" s="45" t="s">
        <v>301</v>
      </c>
      <c r="K11" s="45"/>
      <c r="L11" s="45"/>
      <c r="M11" s="45"/>
      <c r="N11" s="45"/>
      <c r="O11" s="45"/>
      <c r="P11" s="45"/>
      <c r="Q11" s="45"/>
      <c r="R11" s="55" t="s">
        <v>304</v>
      </c>
      <c r="S11" s="55"/>
      <c r="V11" s="45"/>
      <c r="W11" s="45"/>
      <c r="X11" s="45"/>
      <c r="Y11" s="45"/>
      <c r="Z11" s="45"/>
      <c r="AA11" s="45"/>
      <c r="AB11" s="45"/>
    </row>
    <row r="12" spans="1:28" ht="45.75" customHeight="1">
      <c r="A12" s="36" t="s">
        <v>15</v>
      </c>
      <c r="B12" s="36" t="s">
        <v>17</v>
      </c>
      <c r="C12" s="45" t="s">
        <v>302</v>
      </c>
      <c r="D12" s="45"/>
      <c r="E12" s="45"/>
      <c r="F12" s="45"/>
      <c r="G12" s="45"/>
      <c r="H12" s="45"/>
      <c r="I12" s="45"/>
      <c r="J12" s="45" t="s">
        <v>303</v>
      </c>
      <c r="K12" s="45"/>
      <c r="L12" s="45"/>
      <c r="M12" s="45"/>
      <c r="N12" s="45"/>
      <c r="O12" s="45"/>
      <c r="P12" s="45"/>
      <c r="Q12" s="45"/>
      <c r="R12" s="55" t="s">
        <v>304</v>
      </c>
      <c r="S12" s="55"/>
    </row>
    <row r="13" spans="1:28" ht="52.5" customHeight="1">
      <c r="A13"/>
      <c r="B13"/>
      <c r="C13"/>
      <c r="D13"/>
      <c r="E13"/>
      <c r="F13"/>
      <c r="G13"/>
      <c r="H13"/>
      <c r="I13"/>
      <c r="J13"/>
      <c r="K13"/>
      <c r="L13"/>
      <c r="M13"/>
      <c r="N13"/>
      <c r="O13"/>
      <c r="P13"/>
      <c r="Q13"/>
    </row>
  </sheetData>
  <sheetProtection algorithmName="SHA-512" hashValue="owSWxqSikHTI4am1xfFQrYuwotWWtR47g3mY7j0MN9fLJuiAowusywVVm6dgVDA+U8hwuzAOqSOPZ9ifvyQydA==" saltValue="uneSkA2f8Z2jqA9uCXmCvQ==" spinCount="100000" sheet="1" objects="1" scenarios="1" autoFilter="0"/>
  <mergeCells count="24">
    <mergeCell ref="V11:AB11"/>
    <mergeCell ref="C6:Q6"/>
    <mergeCell ref="R6:S6"/>
    <mergeCell ref="R7:S7"/>
    <mergeCell ref="R8:S8"/>
    <mergeCell ref="R9:S9"/>
    <mergeCell ref="R10:S10"/>
    <mergeCell ref="R11:S11"/>
    <mergeCell ref="R12:S12"/>
    <mergeCell ref="C10:I10"/>
    <mergeCell ref="J10:Q10"/>
    <mergeCell ref="C11:I11"/>
    <mergeCell ref="J11:Q11"/>
    <mergeCell ref="C12:I12"/>
    <mergeCell ref="J12:Q12"/>
    <mergeCell ref="C7:I7"/>
    <mergeCell ref="J7:Q7"/>
    <mergeCell ref="C8:I8"/>
    <mergeCell ref="J8:Q8"/>
    <mergeCell ref="C9:I9"/>
    <mergeCell ref="J9:Q9"/>
    <mergeCell ref="A1:Q1"/>
    <mergeCell ref="A2:Q3"/>
    <mergeCell ref="A4:B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7</vt:i4>
      </vt:variant>
    </vt:vector>
  </HeadingPairs>
  <TitlesOfParts>
    <vt:vector size="17" baseType="lpstr">
      <vt:lpstr>INICIO</vt:lpstr>
      <vt:lpstr>CATALOGO</vt:lpstr>
      <vt:lpstr>FLUJO</vt:lpstr>
      <vt:lpstr>CONEXIONES</vt:lpstr>
      <vt:lpstr>LICENCIA</vt:lpstr>
      <vt:lpstr>VERIFICACION</vt:lpstr>
      <vt:lpstr>FUENTES</vt:lpstr>
      <vt:lpstr>PRUEBAS</vt:lpstr>
      <vt:lpstr>CONFIG</vt:lpstr>
      <vt:lpstr>CHANGELOG</vt:lpstr>
      <vt:lpstr>k_conBase</vt:lpstr>
      <vt:lpstr>k_hojas</vt:lpstr>
      <vt:lpstr>k_modulos</vt:lpstr>
      <vt:lpstr>k_tol</vt:lpstr>
      <vt:lpstr>lst_estado</vt:lpstr>
      <vt:lpstr>lst_si</vt:lpstr>
      <vt:lpstr>v_aut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Daniel</cp:lastModifiedBy>
  <cp:revision>0</cp:revision>
  <dcterms:created xsi:type="dcterms:W3CDTF">2026-07-24T16:56:19Z</dcterms:created>
  <dcterms:modified xsi:type="dcterms:W3CDTF">2026-08-17T22:16:52Z</dcterms:modified>
  <dc:language>en-US</dc:language>
</cp:coreProperties>
</file>
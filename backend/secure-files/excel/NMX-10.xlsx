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\AppData\Local\Temp\Rar$DIa54036.6773\"/>
    </mc:Choice>
  </mc:AlternateContent>
  <xr:revisionPtr revIDLastSave="0" documentId="13_ncr:1_{38EFA928-9A17-445E-A362-032ED05BD55C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INICIO" sheetId="1" r:id="rId1"/>
    <sheet name="DATOS" sheetId="2" r:id="rId2"/>
    <sheet name="CALCULOS" sheetId="3" r:id="rId3"/>
    <sheet name="DIARIO" sheetId="4" r:id="rId4"/>
    <sheet name="RESULTADOS" sheetId="5" r:id="rId5"/>
    <sheet name="FUENTES" sheetId="6" r:id="rId6"/>
    <sheet name="PRUEBAS" sheetId="7" r:id="rId7"/>
    <sheet name="CONFIG" sheetId="8" r:id="rId8"/>
    <sheet name="CHANGELOG" sheetId="9" r:id="rId9"/>
  </sheets>
  <definedNames>
    <definedName name="a_AEE">DIARIO!$C$27</definedName>
    <definedName name="a_GEB">DIARIO!$C$29</definedName>
    <definedName name="a_Horas">DIARIO!$C$21</definedName>
    <definedName name="a_IndiceMET">DIARIO!$C$24</definedName>
    <definedName name="a_PALderiv">DIARIO!$C$30</definedName>
    <definedName name="a_Peso">DIARIO!$C$25</definedName>
    <definedName name="a_SumAEEh">DIARIO!$C$23</definedName>
    <definedName name="a_SumMETh">DIARIO!$C$22</definedName>
    <definedName name="a_TEEmet">DIARIO!$C$28</definedName>
    <definedName name="c_AEE">CALCULOS!$B$35</definedName>
    <definedName name="c_ampl">CALCULOS!$B$53</definedName>
    <definedName name="c_estado">CALCULOS!$B$54</definedName>
    <definedName name="c_ETA">CALCULOS!$B$30</definedName>
    <definedName name="c_ETAfijo">CALCULOS!$B$28</definedName>
    <definedName name="c_ETAmacro">CALCULOS!$B$29</definedName>
    <definedName name="c_Gate">CALCULOS!$B$23</definedName>
    <definedName name="c_GEB">CALCULOS!$B$12</definedName>
    <definedName name="c_GEB2">CALCULOS!$B$34</definedName>
    <definedName name="c_GEBhen">CALCULOS!$B$10</definedName>
    <definedName name="c_GEBmed">CALCULOS!$B$11</definedName>
    <definedName name="c_GEBmif">CALCULOS!$B$9</definedName>
    <definedName name="c_GET1">CALCULOS!$B$38</definedName>
    <definedName name="c_GET2">CALCULOS!$B$39</definedName>
    <definedName name="c_GET3">CALCULOS!$B$40</definedName>
    <definedName name="c_GETrep">CALCULOS!$B$47</definedName>
    <definedName name="c_IMC">CALCULOS!$B$8</definedName>
    <definedName name="c_max">CALCULOS!$B$51</definedName>
    <definedName name="c_min">CALCULOS!$B$50</definedName>
    <definedName name="c_PAL1">CALCULOS!$B$41</definedName>
    <definedName name="c_PAL2">CALCULOS!$B$42</definedName>
    <definedName name="c_PAL3">CALCULOS!$B$43</definedName>
    <definedName name="c_PALind">CALCULOS!$B$37</definedName>
    <definedName name="c_PALrep">CALCULOS!$B$48</definedName>
    <definedName name="c_pETAeff">CALCULOS!$B$27</definedName>
    <definedName name="c_prom">CALCULOS!$B$49</definedName>
    <definedName name="c_rango">CALCULOS!$B$52</definedName>
    <definedName name="c_TallaM">CALCULOS!$B$7</definedName>
    <definedName name="c_TEEmet">CALCULOS!$B$36</definedName>
    <definedName name="COD_ACT">CONFIG!$A$82:$A$95</definedName>
    <definedName name="DISP_MAX">CONFIG!$B$30</definedName>
    <definedName name="EDAD_MAX">CONFIG!$B$22</definedName>
    <definedName name="EDAD_MIN">CONFIG!$B$21</definedName>
    <definedName name="EST_MAX">CONFIG!$B$26</definedName>
    <definedName name="EST_MIN">CONFIG!$B$25</definedName>
    <definedName name="ETA_MAX">CONFIG!$B$29</definedName>
    <definedName name="GEB_MAX">CONFIG!$B$28</definedName>
    <definedName name="GEB_MIN">CONFIG!$B$27</definedName>
    <definedName name="HORAS_DIA">CONFIG!$B$11</definedName>
    <definedName name="in_Ecu">DATOS!$B$14</definedName>
    <definedName name="in_Edad">DATOS!$B$11</definedName>
    <definedName name="in_Est">DATOS!$B$13</definedName>
    <definedName name="in_ETA2">DATOS!$B$23</definedName>
    <definedName name="in_Fecha">DATOS!$B$8</definedName>
    <definedName name="in_gAlc">DATOS!$B$21</definedName>
    <definedName name="in_gCho">DATOS!$B$19</definedName>
    <definedName name="in_GEBman">DATOS!$B$15</definedName>
    <definedName name="in_gGra">DATOS!$B$20</definedName>
    <definedName name="in_gPro">DATOS!$B$18</definedName>
    <definedName name="in_ID">DATOS!$B$7</definedName>
    <definedName name="in_MetETA">DATOS!$B$16</definedName>
    <definedName name="in_MetReq">DATOS!$B$22</definedName>
    <definedName name="in_Obs">DATOS!$B$24</definedName>
    <definedName name="in_Pac">DATOS!$B$9</definedName>
    <definedName name="in_Peso">DATOS!$B$12</definedName>
    <definedName name="in_pETA">DATOS!$B$17</definedName>
    <definedName name="in_Sexo">DATOS!$B$10</definedName>
    <definedName name="KALC">CONFIG!$B$15</definedName>
    <definedName name="KCHO">CONFIG!$B$13</definedName>
    <definedName name="KGRA">CONFIG!$B$14</definedName>
    <definedName name="KPRO">CONFIG!$B$12</definedName>
    <definedName name="LISTA_ACT">CONFIG!$B$82:$B$95</definedName>
    <definedName name="LISTA_ECU">CONFIG!$A$43:$A$45</definedName>
    <definedName name="LISTA_ETA">CONFIG!$A$49:$A$50</definedName>
    <definedName name="LISTA_MET">CONFIG!$A$54:$A$56</definedName>
    <definedName name="MET_KCAL">CONFIG!$B$10</definedName>
    <definedName name="MET_MAX">CONFIG!$B$32</definedName>
    <definedName name="MET_VAL">CONFIG!$C$82:$C$95</definedName>
    <definedName name="PESO_MAX">CONFIG!$B$24</definedName>
    <definedName name="PESO_MIN">CONFIG!$B$23</definedName>
    <definedName name="PESO_RA">CONFIG!$B$34</definedName>
    <definedName name="PESO_RB">CONFIG!$B$33</definedName>
    <definedName name="SEXOS">CONFIG!$A$38:$A$39</definedName>
    <definedName name="SINO">CONFIG!$A$59:$A$60</definedName>
    <definedName name="TEF_ALC">CONFIG!$B$20</definedName>
    <definedName name="TEF_CHO">CONFIG!$B$18</definedName>
    <definedName name="TEF_FIJO">CONFIG!$B$16</definedName>
    <definedName name="TEF_GRA">CONFIG!$B$19</definedName>
    <definedName name="TEF_PRO">CONFIG!$B$17</definedName>
    <definedName name="TOL_KCAL">CONFIG!$B$31</definedName>
    <definedName name="w_block">CALCULOS!$B$58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9" l="1"/>
  <c r="A3" i="8"/>
  <c r="D71" i="7"/>
  <c r="D70" i="7"/>
  <c r="D69" i="7"/>
  <c r="E59" i="7"/>
  <c r="F59" i="7" s="1"/>
  <c r="E58" i="7"/>
  <c r="F58" i="7" s="1"/>
  <c r="E57" i="7"/>
  <c r="F57" i="7" s="1"/>
  <c r="E56" i="7"/>
  <c r="F56" i="7" s="1"/>
  <c r="E55" i="7"/>
  <c r="F55" i="7" s="1"/>
  <c r="E54" i="7"/>
  <c r="F54" i="7" s="1"/>
  <c r="E53" i="7"/>
  <c r="F53" i="7" s="1"/>
  <c r="E52" i="7"/>
  <c r="F52" i="7" s="1"/>
  <c r="E51" i="7"/>
  <c r="F51" i="7" s="1"/>
  <c r="E50" i="7"/>
  <c r="F50" i="7" s="1"/>
  <c r="E49" i="7"/>
  <c r="F49" i="7" s="1"/>
  <c r="E48" i="7"/>
  <c r="F48" i="7" s="1"/>
  <c r="K43" i="7"/>
  <c r="L43" i="7" s="1"/>
  <c r="I43" i="7"/>
  <c r="I42" i="7"/>
  <c r="K42" i="7" s="1"/>
  <c r="L42" i="7" s="1"/>
  <c r="K41" i="7"/>
  <c r="L41" i="7" s="1"/>
  <c r="I41" i="7"/>
  <c r="I40" i="7"/>
  <c r="K40" i="7" s="1"/>
  <c r="L40" i="7" s="1"/>
  <c r="K39" i="7"/>
  <c r="L39" i="7" s="1"/>
  <c r="I39" i="7"/>
  <c r="H35" i="7"/>
  <c r="J35" i="7" s="1"/>
  <c r="K35" i="7" s="1"/>
  <c r="J34" i="7"/>
  <c r="K34" i="7" s="1"/>
  <c r="H34" i="7"/>
  <c r="H33" i="7"/>
  <c r="J33" i="7" s="1"/>
  <c r="K33" i="7" s="1"/>
  <c r="J32" i="7"/>
  <c r="K32" i="7" s="1"/>
  <c r="H32" i="7"/>
  <c r="H31" i="7"/>
  <c r="J31" i="7" s="1"/>
  <c r="K31" i="7" s="1"/>
  <c r="J30" i="7"/>
  <c r="K30" i="7" s="1"/>
  <c r="H30" i="7"/>
  <c r="N26" i="7"/>
  <c r="L26" i="7"/>
  <c r="K26" i="7"/>
  <c r="I26" i="7"/>
  <c r="H26" i="7"/>
  <c r="F26" i="7"/>
  <c r="N25" i="7"/>
  <c r="L25" i="7"/>
  <c r="K25" i="7"/>
  <c r="I25" i="7"/>
  <c r="H25" i="7"/>
  <c r="F25" i="7"/>
  <c r="N24" i="7"/>
  <c r="L24" i="7"/>
  <c r="K24" i="7"/>
  <c r="I24" i="7"/>
  <c r="H24" i="7"/>
  <c r="F24" i="7"/>
  <c r="N23" i="7"/>
  <c r="L23" i="7"/>
  <c r="K23" i="7"/>
  <c r="I23" i="7"/>
  <c r="H23" i="7"/>
  <c r="F23" i="7"/>
  <c r="N22" i="7"/>
  <c r="L22" i="7"/>
  <c r="K22" i="7"/>
  <c r="I22" i="7"/>
  <c r="H22" i="7"/>
  <c r="F22" i="7"/>
  <c r="N21" i="7"/>
  <c r="L21" i="7"/>
  <c r="K21" i="7"/>
  <c r="I21" i="7"/>
  <c r="H21" i="7"/>
  <c r="F21" i="7"/>
  <c r="L18" i="7"/>
  <c r="N18" i="7" s="1"/>
  <c r="O18" i="7" s="1"/>
  <c r="N17" i="7"/>
  <c r="O17" i="7" s="1"/>
  <c r="L17" i="7"/>
  <c r="L16" i="7"/>
  <c r="N16" i="7" s="1"/>
  <c r="O16" i="7" s="1"/>
  <c r="N15" i="7"/>
  <c r="O15" i="7" s="1"/>
  <c r="L15" i="7"/>
  <c r="L14" i="7"/>
  <c r="N14" i="7" s="1"/>
  <c r="O14" i="7" s="1"/>
  <c r="N13" i="7"/>
  <c r="O13" i="7" s="1"/>
  <c r="L13" i="7"/>
  <c r="L12" i="7"/>
  <c r="N12" i="7" s="1"/>
  <c r="O12" i="7" s="1"/>
  <c r="N11" i="7"/>
  <c r="O11" i="7" s="1"/>
  <c r="L11" i="7"/>
  <c r="L10" i="7"/>
  <c r="N10" i="7" s="1"/>
  <c r="O10" i="7" s="1"/>
  <c r="N9" i="7"/>
  <c r="O9" i="7" s="1"/>
  <c r="L9" i="7"/>
  <c r="L8" i="7"/>
  <c r="N8" i="7" s="1"/>
  <c r="O8" i="7" s="1"/>
  <c r="A4" i="7"/>
  <c r="C4" i="6"/>
  <c r="B4" i="6"/>
  <c r="A4" i="6"/>
  <c r="D27" i="5"/>
  <c r="B13" i="5"/>
  <c r="B11" i="5"/>
  <c r="B10" i="5"/>
  <c r="B9" i="5"/>
  <c r="B8" i="5"/>
  <c r="B7" i="5"/>
  <c r="B6" i="5"/>
  <c r="G3" i="5"/>
  <c r="E3" i="5"/>
  <c r="B3" i="5"/>
  <c r="A3" i="5"/>
  <c r="C26" i="4"/>
  <c r="C25" i="4"/>
  <c r="C21" i="4"/>
  <c r="E19" i="4"/>
  <c r="G18" i="4"/>
  <c r="D18" i="4"/>
  <c r="F18" i="4" s="1"/>
  <c r="C18" i="4"/>
  <c r="G17" i="4"/>
  <c r="D17" i="4"/>
  <c r="F17" i="4" s="1"/>
  <c r="C17" i="4"/>
  <c r="G16" i="4"/>
  <c r="D16" i="4"/>
  <c r="F16" i="4" s="1"/>
  <c r="C16" i="4"/>
  <c r="G15" i="4"/>
  <c r="D15" i="4"/>
  <c r="F15" i="4" s="1"/>
  <c r="C15" i="4"/>
  <c r="G14" i="4"/>
  <c r="D14" i="4"/>
  <c r="F14" i="4" s="1"/>
  <c r="C14" i="4"/>
  <c r="G13" i="4"/>
  <c r="D13" i="4"/>
  <c r="F13" i="4" s="1"/>
  <c r="C13" i="4"/>
  <c r="G12" i="4"/>
  <c r="D12" i="4"/>
  <c r="F12" i="4" s="1"/>
  <c r="C12" i="4"/>
  <c r="G11" i="4"/>
  <c r="D11" i="4"/>
  <c r="F11" i="4" s="1"/>
  <c r="C11" i="4"/>
  <c r="G10" i="4"/>
  <c r="D10" i="4"/>
  <c r="F10" i="4" s="1"/>
  <c r="C10" i="4"/>
  <c r="G9" i="4"/>
  <c r="D9" i="4"/>
  <c r="F9" i="4" s="1"/>
  <c r="C9" i="4"/>
  <c r="G8" i="4"/>
  <c r="D8" i="4"/>
  <c r="F8" i="4" s="1"/>
  <c r="C8" i="4"/>
  <c r="G7" i="4"/>
  <c r="C22" i="4" s="1"/>
  <c r="D7" i="4"/>
  <c r="D19" i="4" s="1"/>
  <c r="C7" i="4"/>
  <c r="F4" i="4"/>
  <c r="C4" i="4"/>
  <c r="A4" i="4"/>
  <c r="B64" i="3"/>
  <c r="B52" i="5" s="1"/>
  <c r="B61" i="3"/>
  <c r="B49" i="5" s="1"/>
  <c r="B60" i="3"/>
  <c r="B48" i="5" s="1"/>
  <c r="B59" i="3"/>
  <c r="B47" i="5" s="1"/>
  <c r="B29" i="3"/>
  <c r="C71" i="7" s="1"/>
  <c r="E71" i="7" s="1"/>
  <c r="F71" i="7" s="1"/>
  <c r="B27" i="3"/>
  <c r="B22" i="3"/>
  <c r="B21" i="3"/>
  <c r="B19" i="3"/>
  <c r="B18" i="3"/>
  <c r="B17" i="3"/>
  <c r="B16" i="3"/>
  <c r="B11" i="3"/>
  <c r="B65" i="3" s="1"/>
  <c r="B53" i="5" s="1"/>
  <c r="B10" i="3"/>
  <c r="C70" i="7" s="1"/>
  <c r="E70" i="7" s="1"/>
  <c r="F70" i="7" s="1"/>
  <c r="B9" i="3"/>
  <c r="B8" i="3"/>
  <c r="B7" i="3"/>
  <c r="C3" i="3"/>
  <c r="B3" i="3"/>
  <c r="A3" i="3"/>
  <c r="D3" i="2"/>
  <c r="B3" i="2"/>
  <c r="A3" i="2"/>
  <c r="O5" i="1"/>
  <c r="M5" i="1"/>
  <c r="K5" i="1"/>
  <c r="I5" i="1"/>
  <c r="G5" i="1"/>
  <c r="E5" i="1"/>
  <c r="C5" i="1"/>
  <c r="A5" i="1"/>
  <c r="C28" i="4" l="1"/>
  <c r="C24" i="4"/>
  <c r="C69" i="7"/>
  <c r="E69" i="7" s="1"/>
  <c r="F69" i="7" s="1"/>
  <c r="B12" i="3"/>
  <c r="B63" i="3"/>
  <c r="B51" i="5" s="1"/>
  <c r="F7" i="4"/>
  <c r="C23" i="4" s="1"/>
  <c r="B17" i="5" l="1"/>
  <c r="C29" i="4"/>
  <c r="C30" i="4" s="1"/>
  <c r="B36" i="5"/>
  <c r="B34" i="3"/>
  <c r="B20" i="3"/>
  <c r="B23" i="3" s="1"/>
  <c r="C27" i="4"/>
  <c r="D72" i="7"/>
  <c r="C64" i="7" l="1"/>
  <c r="E64" i="7" s="1"/>
  <c r="B35" i="3"/>
  <c r="B28" i="3"/>
  <c r="B12" i="5"/>
  <c r="B37" i="3"/>
  <c r="B40" i="3" s="1"/>
  <c r="B30" i="3"/>
  <c r="B58" i="3"/>
  <c r="B46" i="5" s="1"/>
  <c r="B47" i="3"/>
  <c r="B36" i="3"/>
  <c r="B39" i="3" s="1"/>
  <c r="B38" i="3"/>
  <c r="B27" i="5" l="1"/>
  <c r="B42" i="5"/>
  <c r="B42" i="3"/>
  <c r="C27" i="5" s="1"/>
  <c r="B21" i="5"/>
  <c r="B20" i="5"/>
  <c r="B48" i="3"/>
  <c r="C19" i="5"/>
  <c r="C17" i="5"/>
  <c r="C20" i="5"/>
  <c r="C18" i="5"/>
  <c r="B19" i="5"/>
  <c r="B38" i="5"/>
  <c r="C72" i="7"/>
  <c r="E72" i="7" s="1"/>
  <c r="F72" i="7" s="1"/>
  <c r="B37" i="5"/>
  <c r="B18" i="5"/>
  <c r="B50" i="3"/>
  <c r="B41" i="5"/>
  <c r="B41" i="3"/>
  <c r="C26" i="5" s="1"/>
  <c r="B26" i="5"/>
  <c r="B51" i="3"/>
  <c r="B49" i="3"/>
  <c r="B29" i="5" s="1"/>
  <c r="B43" i="5"/>
  <c r="B28" i="5"/>
  <c r="B43" i="3"/>
  <c r="C28" i="5" s="1"/>
  <c r="B52" i="3" l="1"/>
  <c r="E28" i="5"/>
  <c r="E26" i="5"/>
  <c r="E27" i="5"/>
  <c r="B30" i="5" l="1"/>
  <c r="B53" i="3"/>
  <c r="B54" i="3" l="1"/>
  <c r="A32" i="5" s="1"/>
  <c r="B31" i="5"/>
  <c r="C65" i="7" s="1"/>
  <c r="E65" i="7" s="1"/>
  <c r="B62" i="3"/>
  <c r="B50" i="5" l="1"/>
  <c r="C63" i="7"/>
  <c r="E63" i="7" s="1"/>
  <c r="C78" i="7" l="1"/>
  <c r="C77" i="7"/>
  <c r="B79" i="7" s="1"/>
</calcChain>
</file>

<file path=xl/sharedStrings.xml><?xml version="1.0" encoding="utf-8"?>
<sst xmlns="http://schemas.openxmlformats.org/spreadsheetml/2006/main" count="968" uniqueCount="667">
  <si>
    <t>NUTRIMETRÍA  ·  NMX-10</t>
  </si>
  <si>
    <t>Navegación — use las pestañas inferiores del libro</t>
  </si>
  <si>
    <t>Ingresar datos</t>
  </si>
  <si>
    <t>Auditar operaciones</t>
  </si>
  <si>
    <t>Registro diario</t>
  </si>
  <si>
    <t>Ver resumen</t>
  </si>
  <si>
    <t>Trazabilidad</t>
  </si>
  <si>
    <t>Control de calidad</t>
  </si>
  <si>
    <t>Constantes</t>
  </si>
  <si>
    <t>Historial</t>
  </si>
  <si>
    <t>Código del producto</t>
  </si>
  <si>
    <t>NMX-10</t>
  </si>
  <si>
    <t>Versión</t>
  </si>
  <si>
    <t>Fecha</t>
  </si>
  <si>
    <t>2026-07-14</t>
  </si>
  <si>
    <t>Formato</t>
  </si>
  <si>
    <t>.xlsx sin macros · Microsoft 365 (Windows) y Excel 2021</t>
  </si>
  <si>
    <t>Responsable</t>
  </si>
  <si>
    <t>Equipo Nutrimetría (completar por el titular)</t>
  </si>
  <si>
    <t>AVISO DE ALCANCE — LÉALO ANTES DE USAR</t>
  </si>
  <si>
    <t>APLICA A: personas ADULTAS (≥18 años) en condición estable.</t>
  </si>
  <si>
    <t>NO APLICA A: embarazo · lactancia · menores de edad · pacientes críticos.</t>
  </si>
  <si>
    <t>El MET se refiere a un reposo ESTÁNDAR (≈1 kcal/kg/h), no al metabolismo individual: el PAL derivado es una aproximación.</t>
  </si>
  <si>
    <t>Las estimaciones predictivas tienen un error individual habitual de ±10 % o más.</t>
  </si>
  <si>
    <t>No es diagnóstico ni prescripción. La calorimetría indirecta sigue siendo la referencia de medición.</t>
  </si>
  <si>
    <t>PROPÓSITO Y ALCANCE</t>
  </si>
  <si>
    <t>Propósito</t>
  </si>
  <si>
    <t>Automatizar y agilizar el cálculo de los requerimientos energéticos en adultos estables, integrando el gasto por actividad física (MET) y el efecto térmico de los alimentos (ETA), para servir como herramienta de cálculo ágil en la planificación nutricional.</t>
  </si>
  <si>
    <t>Población</t>
  </si>
  <si>
    <t>Personas adultas (≥18 años) en condición estable. No aplica a embarazo, lactancia, menores de edad ni pacientes críticos.</t>
  </si>
  <si>
    <t>Uso</t>
  </si>
  <si>
    <t>Compatibilidad</t>
  </si>
  <si>
    <t>Privacidad</t>
  </si>
  <si>
    <t>Los datos permanecen en el archivo local. El libro no transmite información.</t>
  </si>
  <si>
    <t>CÓMO SE MODELA</t>
  </si>
  <si>
    <t>GEB = metabolismo basal, según la ecuación seleccionada (o valor medido).</t>
  </si>
  <si>
    <t>AEE = Σ máx(MET−1,0)×h × Peso × 1 kcal/kg/h — solo el gasto de actividad POR ENCIMA del reposo.</t>
  </si>
  <si>
    <t>ETA = % fijo del (GEB+AEE), o por macronutrientes: Σ(g·kcal/g·coef) según Westerterp.</t>
  </si>
  <si>
    <t>Método 1 (componentes): GET = GEB + AEE + ETA.</t>
  </si>
  <si>
    <t>Método 2 (MET puro): GET = Σ(MET×h)×Peso [+ ETA opcional].</t>
  </si>
  <si>
    <t>Método 3 (PAL factorial): GET = GEB × (Σ(MET×h)/24); el PAL ya incluye el ETA.</t>
  </si>
  <si>
    <t>Datos de entrada · variables ingresadas por el usuario</t>
  </si>
  <si>
    <t>LEYENDA · Celdas ARENA con texto AZUL = editables.  Grises = calculadas y protegidas.  (opcional) = puede quedar vacía.</t>
  </si>
  <si>
    <t>► Viene cargado un CASO DE EJEMPLO realista. Reemplace los valores por los de su paciente.</t>
  </si>
  <si>
    <t>Campo</t>
  </si>
  <si>
    <t>Valor</t>
  </si>
  <si>
    <t>Unidad</t>
  </si>
  <si>
    <t>Validación</t>
  </si>
  <si>
    <t>Ayuda</t>
  </si>
  <si>
    <t>Identificador de la evaluación</t>
  </si>
  <si>
    <t>NMX-2026-0010</t>
  </si>
  <si>
    <t>—</t>
  </si>
  <si>
    <t>Texto libre</t>
  </si>
  <si>
    <t>Código interno de la evaluación.</t>
  </si>
  <si>
    <t>fecha</t>
  </si>
  <si>
    <t>dd/mm/aaaa.</t>
  </si>
  <si>
    <t>Nombre o código del paciente</t>
  </si>
  <si>
    <t>PAC-0042</t>
  </si>
  <si>
    <t>Prefiera un CÓDIGO si va a compartir el archivo.</t>
  </si>
  <si>
    <t>Sexo biológico</t>
  </si>
  <si>
    <t>Hombre</t>
  </si>
  <si>
    <t>Lista: Hombre / Mujer</t>
  </si>
  <si>
    <t>LIMITACIÓN: las ecuaciones se derivaron por sexo biológico.</t>
  </si>
  <si>
    <t>Edad</t>
  </si>
  <si>
    <t>años</t>
  </si>
  <si>
    <t>≥18 y ≤120</t>
  </si>
  <si>
    <t>Solo adultos.</t>
  </si>
  <si>
    <t>Peso</t>
  </si>
  <si>
    <t>kg</t>
  </si>
  <si>
    <t>Entre 25 y 350</t>
  </si>
  <si>
    <t>Balanza calibrada, ropa ligera.</t>
  </si>
  <si>
    <t>Estatura</t>
  </si>
  <si>
    <t>cm</t>
  </si>
  <si>
    <t>Entre 120 y 230</t>
  </si>
  <si>
    <t>Ecuación de GEB</t>
  </si>
  <si>
    <t>Mifflin–St Jeor (1990)</t>
  </si>
  <si>
    <t>Define el metabolismo basal que alimenta los métodos 1 y 3.</t>
  </si>
  <si>
    <t>GEB medido / ingresado (opcional)</t>
  </si>
  <si>
    <t>kcal/día</t>
  </si>
  <si>
    <t>Entre 500 y 5000</t>
  </si>
  <si>
    <t>Solo se usa si elige 'GEB medido' arriba. Ideal: calorimetría indirecta.</t>
  </si>
  <si>
    <t>Método de efecto térmico (ETA)</t>
  </si>
  <si>
    <t>Por macronutrientes (Westerterp)</t>
  </si>
  <si>
    <t>Lista (CONFIG C4)</t>
  </si>
  <si>
    <t>'% fijo' es robusto; 'por macronutrientes' exige la composición de la dieta.</t>
  </si>
  <si>
    <t>% de ETA fijo (opcional)</t>
  </si>
  <si>
    <t>%</t>
  </si>
  <si>
    <t>Entre 0 y 0,30</t>
  </si>
  <si>
    <t>Vacío → usa el valor por defecto de CONFIG (10 %).</t>
  </si>
  <si>
    <t>Proteína de la dieta (opcional)</t>
  </si>
  <si>
    <t>g/día</t>
  </si>
  <si>
    <t>≥0</t>
  </si>
  <si>
    <t>Necesaria para el ETA por macronutrientes.</t>
  </si>
  <si>
    <t>Carbohidratos de la dieta (opcional)</t>
  </si>
  <si>
    <t>Grasa de la dieta (opcional)</t>
  </si>
  <si>
    <t>Alcohol de la dieta (opcional)</t>
  </si>
  <si>
    <t>Deje VACÍO si no aplica.</t>
  </si>
  <si>
    <t>Método de requerimiento a reportar</t>
  </si>
  <si>
    <t>1 · Componentes (GEB + AEE + ETA)</t>
  </si>
  <si>
    <t>Lista (CONFIG C5)</t>
  </si>
  <si>
    <t>Los tres métodos se calculan igual; este define cuál se destaca.</t>
  </si>
  <si>
    <t>¿Sumar el ETA al método MET puro?</t>
  </si>
  <si>
    <t>Sí</t>
  </si>
  <si>
    <t>Lista: Sí / No</t>
  </si>
  <si>
    <t>Solo afecta al método 2. Con 'Sí' los tres métodos incluyen el ETA y son comparables.</t>
  </si>
  <si>
    <t>Observaciones</t>
  </si>
  <si>
    <t>Contexto clínico, criterios, fuente de un MET personalizado.</t>
  </si>
  <si>
    <t>► Los tres métodos se comparan en RESULTADOS. Si discrepan mucho, el libro lo advierte.</t>
  </si>
  <si>
    <t>Cadena auditable · GEB, AEE, ETA y las tres estimaciones del requerimiento</t>
  </si>
  <si>
    <t>Sin constantes dentro de las fórmulas: todas provienen de CONFIG. Sin IFERROR: cada guarda es explícita y devuelve la causa. DATO IMPOSIBLE bloquea; DATO POCO FRECUENTE solo advierte. Cada método declara si el ETA ya está incluido, para no contarlo dos veces.</t>
  </si>
  <si>
    <t>0 · CAPA BASE — se resuelve ANTES de la compuerta (el diario necesita el GEB)</t>
  </si>
  <si>
    <t>Variable</t>
  </si>
  <si>
    <t>Fórmula / nota</t>
  </si>
  <si>
    <t>m</t>
  </si>
  <si>
    <t>Estatura (cm)/100.</t>
  </si>
  <si>
    <t>IMC</t>
  </si>
  <si>
    <t>kg/m²</t>
  </si>
  <si>
    <t>Guarda contra división por cero.</t>
  </si>
  <si>
    <t>GEB · Mifflin–St Jeor</t>
  </si>
  <si>
    <t>10·P+6,25·T−5·E+cte.</t>
  </si>
  <si>
    <t>GEB · Henry / Oxford</t>
  </si>
  <si>
    <t>a+b·P por banda etaria.</t>
  </si>
  <si>
    <t>GEB · medido / ingresado</t>
  </si>
  <si>
    <t>Calorimetría indirecta u otro método directo.</t>
  </si>
  <si>
    <t>GEB SELECCIONADO</t>
  </si>
  <si>
    <t>1 · VALIDACIÓN — DATOS IMPOSIBLES (bloquean el cálculo)</t>
  </si>
  <si>
    <t>Verificación</t>
  </si>
  <si>
    <t>Estado</t>
  </si>
  <si>
    <t>Debe existir en el catálogo.</t>
  </si>
  <si>
    <t>Edad adulta</t>
  </si>
  <si>
    <t>Vacío → texto → rango.</t>
  </si>
  <si>
    <t>Peso en rango</t>
  </si>
  <si>
    <t>Bloquea vacíos, texto, cero y negativos.</t>
  </si>
  <si>
    <t>GEB calculable</t>
  </si>
  <si>
    <t>El GEB seleccionado debe ser numérico.</t>
  </si>
  <si>
    <t>Diario suma 24 h</t>
  </si>
  <si>
    <t>Cuadre del registro MET.</t>
  </si>
  <si>
    <t>Macronutrientes válidos</t>
  </si>
  <si>
    <t>Cada macro: vacío o número ≥ 0.</t>
  </si>
  <si>
    <t>¿CÁLCULO HABILITADO?</t>
  </si>
  <si>
    <t>Compuerta única. Si es NO, lo que sigue devuelve ND, nunca un error de Excel.</t>
  </si>
  <si>
    <t>2 · EFECTO TÉRMICO DE LOS ALIMENTOS (ETA)</t>
  </si>
  <si>
    <t>% de ETA efectivo</t>
  </si>
  <si>
    <t>El campo de DATOS, o el 10 % por defecto.</t>
  </si>
  <si>
    <t>ETA · % fijo</t>
  </si>
  <si>
    <t>%ETA × (GEB + AEE).</t>
  </si>
  <si>
    <t>ETA · por macronutrientes</t>
  </si>
  <si>
    <t>Σ(g·kcal/g·coef) · Westerterp 2004.</t>
  </si>
  <si>
    <t>ETA SELECCIONADO</t>
  </si>
  <si>
    <t>Método elegido en DATOS. Si pide macros y faltan, cae al % fijo.</t>
  </si>
  <si>
    <t>3 · LOS TRES MÉTODOS DE REQUERIMIENTO ENERGÉTICO (GET)</t>
  </si>
  <si>
    <t>Componente</t>
  </si>
  <si>
    <t>GEB · gasto basal</t>
  </si>
  <si>
    <t>Ecuación seleccionada.</t>
  </si>
  <si>
    <t>AEE · gasto de actividad</t>
  </si>
  <si>
    <t>Σ máx(MET−1,0)×h × Peso. Solo el incremento sobre el reposo.</t>
  </si>
  <si>
    <t>TEE_MET · compendio</t>
  </si>
  <si>
    <t>Σ(MET×h)×Peso. Rest + actividad; sin ETA.</t>
  </si>
  <si>
    <t>Índice MET medio (PAL del método 3)</t>
  </si>
  <si>
    <t>Σ(MET×h)/24.</t>
  </si>
  <si>
    <t>MÉTODO 1 · GET = GEB + AEE + ETA</t>
  </si>
  <si>
    <t>Componentes fisiológicos. El ETA se suma explícito.</t>
  </si>
  <si>
    <t>MÉTODO 2 · GET = TEE_MET [+ ETA]</t>
  </si>
  <si>
    <t>Compendio puro. El ETA se añade solo si DATOS lo pide.</t>
  </si>
  <si>
    <t>MÉTODO 3 · GET = GEB × PAL</t>
  </si>
  <si>
    <t>Factorial FAO. El PAL YA incluye el ETA: no se suma aparte.</t>
  </si>
  <si>
    <t>PAL implícito · método 1</t>
  </si>
  <si>
    <t>GET1/GEB.</t>
  </si>
  <si>
    <t>PAL implícito · método 2</t>
  </si>
  <si>
    <t>GET2/GEB.</t>
  </si>
  <si>
    <t>PAL implícito · método 3</t>
  </si>
  <si>
    <t>GET3/GEB = índice MET medio.</t>
  </si>
  <si>
    <t>4 · REQUERIMIENTO REPORTADO Y DISPERSIÓN ENTRE MÉTODOS</t>
  </si>
  <si>
    <t>Elemento</t>
  </si>
  <si>
    <t>Nota</t>
  </si>
  <si>
    <t>REQUERIMIENTO REPORTADO</t>
  </si>
  <si>
    <t>El método elegido en DATOS.</t>
  </si>
  <si>
    <t>PAL del método reportado</t>
  </si>
  <si>
    <t>Promedio de los tres métodos</t>
  </si>
  <si>
    <t>Mínimo</t>
  </si>
  <si>
    <t>Máximo</t>
  </si>
  <si>
    <t>Rango (máx − mín)</t>
  </si>
  <si>
    <t>Discrepancia entre métodos.</t>
  </si>
  <si>
    <t>Amplitud relativa (rango / promedio)</t>
  </si>
  <si>
    <t>Estado de la dispersión</t>
  </si>
  <si>
    <t>5 · ADVERTENCIAS (no bloquean)</t>
  </si>
  <si>
    <t>Chequeo</t>
  </si>
  <si>
    <t>Resultado</t>
  </si>
  <si>
    <t>Cálculo bloqueado</t>
  </si>
  <si>
    <t>El índice MET no es el PAL individual</t>
  </si>
  <si>
    <t>Doble conteo del ETA · método 2</t>
  </si>
  <si>
    <t>Doble conteo del ETA · método 3</t>
  </si>
  <si>
    <t>Dispersión entre métodos</t>
  </si>
  <si>
    <t>ETA por macros con datos faltantes</t>
  </si>
  <si>
    <t>Peso poco frecuente</t>
  </si>
  <si>
    <t>GEB medido elegido pero ausente</t>
  </si>
  <si>
    <t>Diario de 24 h · conversión MET → energía de actividad (AEE) → PAL</t>
  </si>
  <si>
    <t>Un MET es un múltiplo del metabolismo en reposo ESTÁNDAR (≈1 kcal/kg/h), NO del GEB de esta persona. Por eso Σ(MET×h)/24 es un ÍNDICE MET-h/día que se usa como PAL (método 3), y AEE = Σ(máx(MET−1,0)×h)×Peso aísla el gasto de actividad POR ENCIMA del reposo (método 1). Sigue siendo una aproximación.</t>
  </si>
  <si>
    <t>Nº</t>
  </si>
  <si>
    <t>Actividad (catálogo CONFIG C9)</t>
  </si>
  <si>
    <t>Código</t>
  </si>
  <si>
    <t>MET</t>
  </si>
  <si>
    <t>Horas/día</t>
  </si>
  <si>
    <t>máx(MET−1,0)×h</t>
  </si>
  <si>
    <t>MET×h</t>
  </si>
  <si>
    <t>Nota / justificación</t>
  </si>
  <si>
    <t>Dormir</t>
  </si>
  <si>
    <t>Trabajo sentado ligero · oficina · computador</t>
  </si>
  <si>
    <t>Estudiar sentado · lectura o escritura · esfuerzo ligero</t>
  </si>
  <si>
    <t>Combinación caminar / estar de pie (voluntariado)</t>
  </si>
  <si>
    <t>Cocina general · platos y limpieza · esfuerzo moderado</t>
  </si>
  <si>
    <t>Subir escaleras · ritmo lento</t>
  </si>
  <si>
    <t>Bajar escaleras</t>
  </si>
  <si>
    <t>Barrer garaje, acera o exterior de la casa</t>
  </si>
  <si>
    <t>(sin actividad)</t>
  </si>
  <si>
    <t>Cargar objetos pesados</t>
  </si>
  <si>
    <t>CONVERSIÓN DOCUMENTADA: MET-h/día → ENERGÍA → PAL</t>
  </si>
  <si>
    <t>1 · Total de horas registradas</t>
  </si>
  <si>
    <t>h</t>
  </si>
  <si>
    <t>Debe sumar 24 h.</t>
  </si>
  <si>
    <t>2 · Σ (MET × horas)</t>
  </si>
  <si>
    <t>MET·h/día</t>
  </si>
  <si>
    <t>Suma bruta del registro.</t>
  </si>
  <si>
    <t>3 · Σ máx(MET−1,0) × horas</t>
  </si>
  <si>
    <t>Incremento de actividad sobre el reposo.</t>
  </si>
  <si>
    <t>4 · Índice MET medio = Σ(MET×h)/24  ◄ PAL del método 3</t>
  </si>
  <si>
    <t>FAO: media ponderada de PAR = PAL.</t>
  </si>
  <si>
    <t>5 · Peso del paciente</t>
  </si>
  <si>
    <t>Desde DATOS.</t>
  </si>
  <si>
    <t>6 · Equivalente energético de 1 MET</t>
  </si>
  <si>
    <t>kcal/kg/h</t>
  </si>
  <si>
    <t>Convención estándar (CONFIG C1).</t>
  </si>
  <si>
    <t>7 · AEE = Σ máx(MET−1,0)×h × Peso × 1 kcal/kg/h</t>
  </si>
  <si>
    <t>Gasto de actividad del método 1 (por encima del reposo).</t>
  </si>
  <si>
    <t>8 · TEE_MET (compendio) = Σ(MET×h) × Peso × 1 kcal/kg/h</t>
  </si>
  <si>
    <t>Rest + actividad; NO incluye el ETA. Método 2.</t>
  </si>
  <si>
    <t>9 · GEB de la ecuación seleccionada</t>
  </si>
  <si>
    <t>Desde CALCULOS. Si es ND, el PAL derivado no se calcula.</t>
  </si>
  <si>
    <t>10 · PAL derivado = TEE_MET / GEB</t>
  </si>
  <si>
    <t>Referencial (continuidad con NMX-01); el método 3 usa el índice MET medio.</t>
  </si>
  <si>
    <t>Fuente MET: Ainsworth BE et al., 2011 Compendium of Physical Activities, DOI 10.1249/MSS.0b013e31821ece12. Prohibido alterar los valores MET o combinar actividades de distinta intensidad. Las de nivel C no están verificadas.</t>
  </si>
  <si>
    <t>Informe del requerimiento energético · MET · efecto térmico</t>
  </si>
  <si>
    <t>IDENTIFICACIÓN</t>
  </si>
  <si>
    <t>Paciente</t>
  </si>
  <si>
    <t>Sexo · edad</t>
  </si>
  <si>
    <t>Peso · estatura</t>
  </si>
  <si>
    <t>Estado del cálculo</t>
  </si>
  <si>
    <t>DESCOMPOSICIÓN DEL GASTO (método reportado)</t>
  </si>
  <si>
    <t>% del GET</t>
  </si>
  <si>
    <t>Cómo se obtiene</t>
  </si>
  <si>
    <t>Ecuación seleccionada</t>
  </si>
  <si>
    <t>Σ máx(MET−1,0)×h × Peso</t>
  </si>
  <si>
    <t>ETA · efecto térmico</t>
  </si>
  <si>
    <t>Método elegido en DATOS</t>
  </si>
  <si>
    <t>GET reportado</t>
  </si>
  <si>
    <t>Método de DATOS</t>
  </si>
  <si>
    <t>Requerimiento por kg</t>
  </si>
  <si>
    <t>GET / peso</t>
  </si>
  <si>
    <t>El GEB, el AEE y el ETA corresponden a la descomposición del MÉTODO 1 (componentes). El GET reportado es el del método elegido en DATOS y puede diferir (métodos 2 y 3 no se descomponen igual).</t>
  </si>
  <si>
    <t>COMPARACIÓN DE LOS TRES MÉTODOS</t>
  </si>
  <si>
    <t>Método</t>
  </si>
  <si>
    <t>GET (kcal/día)</t>
  </si>
  <si>
    <t>PAL implícito</t>
  </si>
  <si>
    <t>¿Incluye ETA?</t>
  </si>
  <si>
    <t>Dif. vs promedio (kcal)</t>
  </si>
  <si>
    <t>1 · Componentes (GEB+AEE+ETA)</t>
  </si>
  <si>
    <t>Sí (explícito)</t>
  </si>
  <si>
    <t>2 · MET puro (compendio)</t>
  </si>
  <si>
    <t>3 · PAL factorial (FAO)</t>
  </si>
  <si>
    <t>Sí (dentro del PAL)</t>
  </si>
  <si>
    <t>Promedio de los tres</t>
  </si>
  <si>
    <t>Amplitud relativa</t>
  </si>
  <si>
    <t>DATOS DE APOYO PARA LOS GRÁFICOS</t>
  </si>
  <si>
    <t>GEB</t>
  </si>
  <si>
    <t>AEE</t>
  </si>
  <si>
    <t>ETA</t>
  </si>
  <si>
    <t>1 · Componentes</t>
  </si>
  <si>
    <t>2 · MET puro</t>
  </si>
  <si>
    <t>3 · PAL factorial</t>
  </si>
  <si>
    <t>ADVERTENCIAS</t>
  </si>
  <si>
    <t>EXACTITUD MATEMÁTICA ≠ VALIDACIÓN CLÍNICA. Los coeficientes se cotejaron contra las fuentes de la hoja FUENTES, pero este archivo NO está validado clínicamente. Son estimaciones poblacionales, no mediciones. No constituyen diagnóstico ni prescripción y no reemplazan la calorimetría indirecta ni la evaluación profesional.</t>
  </si>
  <si>
    <t>Trazabilidad y nivel de verificación de ecuaciones y datos</t>
  </si>
  <si>
    <t>NIVEL A = publicación primaria / documento oficial · NIVEL B = resumen primario o corroboración por pares · NIVEL C = fuente secundaria. EXACTITUD BIBLIOGRÁFICA ≠ VALIDACIÓN CLÍNICA. Solo se usan ECUACIONES y COEFICIENTES (hechos no protegibles), no textos ni tablas ajenas.</t>
  </si>
  <si>
    <t>Ecuación o dato</t>
  </si>
  <si>
    <t>Autor u organización</t>
  </si>
  <si>
    <t>Año</t>
  </si>
  <si>
    <t>Población de derivación</t>
  </si>
  <si>
    <t>Fórmula / valor</t>
  </si>
  <si>
    <t>Unidades</t>
  </si>
  <si>
    <t>Limitaciones</t>
  </si>
  <si>
    <t>DOI o URL</t>
  </si>
  <si>
    <t>Fecha cotejo</t>
  </si>
  <si>
    <t>Licencia / condiciones</t>
  </si>
  <si>
    <t>Nivel</t>
  </si>
  <si>
    <t>Mifflin–St Jeor</t>
  </si>
  <si>
    <t>Mifflin MD, St Jeor ST et al. — Am J Clin Nutr 51:241-247</t>
  </si>
  <si>
    <t>1990</t>
  </si>
  <si>
    <t>498 adultos sanos de EE. UU., 19–78 años</t>
  </si>
  <si>
    <t>H: 10P+6,25T−5E+5 · M: 10P+6,25T−5E−161</t>
  </si>
  <si>
    <t>P kg; T cm; E años; kcal/día</t>
  </si>
  <si>
    <t>Población estadounidense; menor precisión en deportistas y obesidad extrema.</t>
  </si>
  <si>
    <t>10.1093/ajcn/51.2.241</t>
  </si>
  <si>
    <t>Artículo con derechos de autor; solo se usa la ecuación.</t>
  </si>
  <si>
    <t>B</t>
  </si>
  <si>
    <t>Henry / Oxford</t>
  </si>
  <si>
    <t>Henry CJK — Public Health Nutr 8(7A):1133-1152</t>
  </si>
  <si>
    <t>2005</t>
  </si>
  <si>
    <t>10.552 valores de TMB; más datos tropicales que Schofield</t>
  </si>
  <si>
    <t>a+b·P por banda 18–30/30–60/≥60</t>
  </si>
  <si>
    <t>P kg; kcal/día</t>
  </si>
  <si>
    <t>Solo peso. No aplicar las bandas adultas a menores de 18 años.</t>
  </si>
  <si>
    <t>10.1079/PHN2005801</t>
  </si>
  <si>
    <t>Artículo con derechos de autor; solo se usan los coeficientes.</t>
  </si>
  <si>
    <t>A</t>
  </si>
  <si>
    <t>Definición de PAL / factorial</t>
  </si>
  <si>
    <t>FAO/WHO/UNU — Human Energy Requirements, FNTR Series 1</t>
  </si>
  <si>
    <t>2004</t>
  </si>
  <si>
    <t>Consulta de expertos; definición oficial de PAL y TEE</t>
  </si>
  <si>
    <t>PAL = TEE 24h / TMB 24h → TEE = TMB × PAL</t>
  </si>
  <si>
    <t>adimensional</t>
  </si>
  <si>
    <t>Por definición, TMB×PAL ya es el gasto total: el efecto térmico está incluido.</t>
  </si>
  <si>
    <t>https://www.fao.org/4/y5686e/y5686e00.htm</t>
  </si>
  <si>
    <t>Documento oficial de acceso público.</t>
  </si>
  <si>
    <t>Valores MET de actividades</t>
  </si>
  <si>
    <t>Ainsworth BE et al. — Med Sci Sports Exerc 43:1575-1581</t>
  </si>
  <si>
    <t>2011</t>
  </si>
  <si>
    <t>2011 Compendium of Physical Activities</t>
  </si>
  <si>
    <t>1 MET ≈ 1 kcal/kg/h (reposo estándar)</t>
  </si>
  <si>
    <t>MET adimensional; horas/día</t>
  </si>
  <si>
    <t>El MET se refiere a un reposo ESTÁNDAR, no al GEB individual. Promediar MET×h no da el PAL.</t>
  </si>
  <si>
    <t>10.1249/MSS.0b013e31821ece12</t>
  </si>
  <si>
    <t>Uso libre (incl. comercial) si NO se alteran los MET, NO se combinan intensidades y se cita.</t>
  </si>
  <si>
    <t>Efecto térmico (TID) por macronutrientes</t>
  </si>
  <si>
    <t>Westerterp KR — Nutr Metab (Lond) 1:5</t>
  </si>
  <si>
    <t>Revisión sobre termogénesis inducida por la dieta en adultos</t>
  </si>
  <si>
    <t>Proteína ~25 % · HdeC ~8 % · Grasa ~2 % · Alcohol ~22 %</t>
  </si>
  <si>
    <t>% de la energía</t>
  </si>
  <si>
    <t>Rangos poblacionales; la TID individual varía con composición corporal y patrón de ingesta.</t>
  </si>
  <si>
    <t>10.1186/1743-7075-1-5</t>
  </si>
  <si>
    <t>Acceso abierto (BioMed Central).</t>
  </si>
  <si>
    <t>Factores generales de Atwater</t>
  </si>
  <si>
    <t>Merrill AL, Watt BK — USDA Agriculture Handbook 74</t>
  </si>
  <si>
    <t>1973</t>
  </si>
  <si>
    <t>Documento institucional del USDA</t>
  </si>
  <si>
    <t>Proteína 4 · HdeC 4 · Grasa 9 · Alcohol 7 kcal/g</t>
  </si>
  <si>
    <t>kcal/g</t>
  </si>
  <si>
    <t>Factores GENERALES; existen factores específicos por alimento no aplicados aquí.</t>
  </si>
  <si>
    <t>USDA AH-74 (1973)</t>
  </si>
  <si>
    <t>Dominio público (obra del gobierno de EE. UU.).</t>
  </si>
  <si>
    <t>PENDIENTE DE VERIFICACIÓN PRIMARIA (nivel B): Mifflin–St Jeor (resumen primario exacto; PDF completo no inspeccionado). Los MET de nivel C (códigos 17190 y 11210) NO están verificados: revíselos antes de usarlos.</t>
  </si>
  <si>
    <t>Banco de verificación · el recuento se calcula solo en el RESUMEN</t>
  </si>
  <si>
    <t>REGLA: el valor ESPERADO nunca lee el CONFIG que usa el motor. O es un literal calculado a partir de la fórmula publicada, o se reconstruye con los coeficientes publicados escritos de forma explícita. Si alguien corrompe un coeficiente de CONFIG, estas pruebas FALLAN.</t>
  </si>
  <si>
    <t>ID</t>
  </si>
  <si>
    <t>Descripción</t>
  </si>
  <si>
    <t>Sexo</t>
  </si>
  <si>
    <t>Ec.</t>
  </si>
  <si>
    <t>Est.</t>
  </si>
  <si>
    <t>a</t>
  </si>
  <si>
    <t>b_peso</t>
  </si>
  <si>
    <t>b_est</t>
  </si>
  <si>
    <t>b_edad</t>
  </si>
  <si>
    <t>Obtenido</t>
  </si>
  <si>
    <t>Esperado</t>
  </si>
  <si>
    <t>Dif.</t>
  </si>
  <si>
    <t>A01</t>
  </si>
  <si>
    <t>Mifflin · hombre normal</t>
  </si>
  <si>
    <t>Mif</t>
  </si>
  <si>
    <t>A02</t>
  </si>
  <si>
    <t>Mifflin · mujer</t>
  </si>
  <si>
    <t>Mujer</t>
  </si>
  <si>
    <t>A03</t>
  </si>
  <si>
    <t>Mifflin · hombre mayor</t>
  </si>
  <si>
    <t>A04</t>
  </si>
  <si>
    <t>Mifflin · mujer joven</t>
  </si>
  <si>
    <t>A05</t>
  </si>
  <si>
    <t>Henry · hombre 18–30</t>
  </si>
  <si>
    <t>Hen</t>
  </si>
  <si>
    <t>A06</t>
  </si>
  <si>
    <t>Henry · hombre 30–60</t>
  </si>
  <si>
    <t>A07</t>
  </si>
  <si>
    <t>Henry · hombre ≥60</t>
  </si>
  <si>
    <t>A08</t>
  </si>
  <si>
    <t>Henry · mujer 18–30</t>
  </si>
  <si>
    <t>A09</t>
  </si>
  <si>
    <t>Henry · mujer 30–60</t>
  </si>
  <si>
    <t>A10</t>
  </si>
  <si>
    <t>Henry · mujer ≥60</t>
  </si>
  <si>
    <t>BLOQUE B · CONVERSIÓN MET → AEE / TEE_MET / índice (±0,5 kcal)</t>
  </si>
  <si>
    <t>ΣMETh</t>
  </si>
  <si>
    <t>ΣAEEh</t>
  </si>
  <si>
    <t>AEE obt</t>
  </si>
  <si>
    <t>AEE esp</t>
  </si>
  <si>
    <t>Est.AEE</t>
  </si>
  <si>
    <t>TEE obt</t>
  </si>
  <si>
    <t>TEE esp</t>
  </si>
  <si>
    <t>Est.TEE</t>
  </si>
  <si>
    <t>Índice obt</t>
  </si>
  <si>
    <t>Índice esp</t>
  </si>
  <si>
    <t>Est.Índ</t>
  </si>
  <si>
    <t>B01</t>
  </si>
  <si>
    <t>Jornada ligera</t>
  </si>
  <si>
    <t>B02</t>
  </si>
  <si>
    <t>Jornada activa</t>
  </si>
  <si>
    <t>B03</t>
  </si>
  <si>
    <t>Solo reposo (todo 1 MET)</t>
  </si>
  <si>
    <t>B04</t>
  </si>
  <si>
    <t>Caso tipo</t>
  </si>
  <si>
    <t>B05</t>
  </si>
  <si>
    <t>Frontera reposo</t>
  </si>
  <si>
    <t>B06</t>
  </si>
  <si>
    <t>Atleta</t>
  </si>
  <si>
    <t>BLOQUE C · EFECTO TÉRMICO (fijo y por macronutrientes) · ±0,5 kcal</t>
  </si>
  <si>
    <t>Modo</t>
  </si>
  <si>
    <t>%/gP</t>
  </si>
  <si>
    <t>GEB/gC</t>
  </si>
  <si>
    <t>AEE/gG</t>
  </si>
  <si>
    <t>gAlc</t>
  </si>
  <si>
    <t>C01</t>
  </si>
  <si>
    <t>Fijo 10 %</t>
  </si>
  <si>
    <t>fijo</t>
  </si>
  <si>
    <t>C02</t>
  </si>
  <si>
    <t>Fijo 15 %</t>
  </si>
  <si>
    <t>C03</t>
  </si>
  <si>
    <t>Macros · caso tipo</t>
  </si>
  <si>
    <t>macro</t>
  </si>
  <si>
    <t>C04</t>
  </si>
  <si>
    <t>Macros · ligero</t>
  </si>
  <si>
    <t>C05</t>
  </si>
  <si>
    <t>Macros · con alcohol</t>
  </si>
  <si>
    <t>C06</t>
  </si>
  <si>
    <t>Macros · todo cero</t>
  </si>
  <si>
    <t>BLOQUE D · LOS TRES MÉTODOS Y EL CONTROL DE DOBLE CONTEO (±0,5 kcal)</t>
  </si>
  <si>
    <t>Escenario</t>
  </si>
  <si>
    <t>TEEmet</t>
  </si>
  <si>
    <t>PAL</t>
  </si>
  <si>
    <t>¿+ETA?</t>
  </si>
  <si>
    <t>D01</t>
  </si>
  <si>
    <t>Método 1 = GEB+AEE+ETA</t>
  </si>
  <si>
    <t>D02</t>
  </si>
  <si>
    <t>Método 2 = TEEmet + ETA (Sí)</t>
  </si>
  <si>
    <t>D03</t>
  </si>
  <si>
    <t>Método 2 = TEEmet (No)</t>
  </si>
  <si>
    <t>No</t>
  </si>
  <si>
    <t>D04</t>
  </si>
  <si>
    <t>Método 3 = GEB×PAL</t>
  </si>
  <si>
    <t>D05</t>
  </si>
  <si>
    <t>Método 3 NO suma ETA aparte</t>
  </si>
  <si>
    <t>D05 comprueba que el método 3 = GEB×PAL exactamente (2880 = 1600×1,8) y NO 3180 (=+ETA). Si alguien sumara el ETA al PAL factorial, este caso FALLARÍA.</t>
  </si>
  <si>
    <t>BLOQUE E · VALIDACIONES: vacíos, texto, negativos, imposibles y guardas por ecuación</t>
  </si>
  <si>
    <t>Entrada</t>
  </si>
  <si>
    <t>Comportamiento esperado</t>
  </si>
  <si>
    <t>Comportamiento obtenido</t>
  </si>
  <si>
    <t>E01</t>
  </si>
  <si>
    <t>Edad menor de edad (15)</t>
  </si>
  <si>
    <t>15</t>
  </si>
  <si>
    <t>ERROR: edad fuera del alcance adulto</t>
  </si>
  <si>
    <t>E02</t>
  </si>
  <si>
    <t>Edad textual</t>
  </si>
  <si>
    <t>quince</t>
  </si>
  <si>
    <t>ERROR: edad no numérica</t>
  </si>
  <si>
    <t>E03</t>
  </si>
  <si>
    <t>Peso negativo</t>
  </si>
  <si>
    <t>-70</t>
  </si>
  <si>
    <t>ERROR: peso fuera de rango</t>
  </si>
  <si>
    <t>E04</t>
  </si>
  <si>
    <t>Peso cero</t>
  </si>
  <si>
    <t>0</t>
  </si>
  <si>
    <t>E05</t>
  </si>
  <si>
    <t>Estatura vacía + Mifflin</t>
  </si>
  <si>
    <t>(vacío)</t>
  </si>
  <si>
    <t>ERROR: Mifflin exige estatura</t>
  </si>
  <si>
    <t>E06</t>
  </si>
  <si>
    <t>Estatura imposible (400)</t>
  </si>
  <si>
    <t>400</t>
  </si>
  <si>
    <t>ERROR: estatura fuera de rango</t>
  </si>
  <si>
    <t>E07</t>
  </si>
  <si>
    <t>Estatura vacía + Henry</t>
  </si>
  <si>
    <t>NO APLICA (la ecuación no usa estatura)</t>
  </si>
  <si>
    <t>E08</t>
  </si>
  <si>
    <t>Gramos negativos</t>
  </si>
  <si>
    <t>-5</t>
  </si>
  <si>
    <t>ERROR: gramos inválidos o negativos</t>
  </si>
  <si>
    <t>E09</t>
  </si>
  <si>
    <t>Gramos textuales</t>
  </si>
  <si>
    <t>abc</t>
  </si>
  <si>
    <t>E10</t>
  </si>
  <si>
    <t>Diario suma 23 h</t>
  </si>
  <si>
    <t>23</t>
  </si>
  <si>
    <t>ERROR: el diario de ACTIVIDADES no suma 24 h</t>
  </si>
  <si>
    <t>E11</t>
  </si>
  <si>
    <t>GEB medido vacío</t>
  </si>
  <si>
    <t>ND: GEB medido ausente o fuera de rango</t>
  </si>
  <si>
    <t>E12</t>
  </si>
  <si>
    <t>GEB medido fuera de rango (300)</t>
  </si>
  <si>
    <t>300</t>
  </si>
  <si>
    <t>BLOQUE F · INTEGRIDAD: cero errores de Excel en las hojas de cálculo</t>
  </si>
  <si>
    <t>Rango verificado</t>
  </si>
  <si>
    <t>Nº errores</t>
  </si>
  <si>
    <t>F01</t>
  </si>
  <si>
    <t>CALCULOS!B7:B65</t>
  </si>
  <si>
    <t>F02</t>
  </si>
  <si>
    <t>DIARIO!C21:G30</t>
  </si>
  <si>
    <t>F03</t>
  </si>
  <si>
    <t>RESULTADOS!B6:F45</t>
  </si>
  <si>
    <t>BLOQUE G · COTEJO MANUAL CON LA PUBLICACIÓN (sobre el caso vivo de DATOS)</t>
  </si>
  <si>
    <t>Obtenido (motor)</t>
  </si>
  <si>
    <t>Esperado (literal desde DATOS)</t>
  </si>
  <si>
    <t>G01</t>
  </si>
  <si>
    <t>Mifflin: c_GEB vs 10P+6,25T−5E+cte</t>
  </si>
  <si>
    <t>G02</t>
  </si>
  <si>
    <t>Henry: c_GEBhen vs a+b·P (banda 30–60 H)</t>
  </si>
  <si>
    <t>G03</t>
  </si>
  <si>
    <t>ETA por macros vs Σ(g·kcal/g·coef)</t>
  </si>
  <si>
    <t>G04</t>
  </si>
  <si>
    <t>AEE vs Σmáx(MET−1,0)h × Peso</t>
  </si>
  <si>
    <t>RESUMEN DEL BANCO DE PRUEBAS</t>
  </si>
  <si>
    <t>Casos totales</t>
  </si>
  <si>
    <t>Aprobados</t>
  </si>
  <si>
    <t>Fallidos</t>
  </si>
  <si>
    <t>ESTADO GLOBAL</t>
  </si>
  <si>
    <t>Toda constante del modelo vive aquí; ninguna fórmula del libro contiene un coeficiente escrito a mano. Las celdas arena son editables. Cambiar un valor aquí propaga a todo el libro y hace FALLAR las pruebas que cotejan contra la fuente publicada.</t>
  </si>
  <si>
    <t>C1 · PARÁMETROS, LÍMITES Y COEFICIENTES</t>
  </si>
  <si>
    <t>Parámetro</t>
  </si>
  <si>
    <t>Tipo</t>
  </si>
  <si>
    <t>Nota / fuente</t>
  </si>
  <si>
    <t>Idioma</t>
  </si>
  <si>
    <t>Español (es-CL)</t>
  </si>
  <si>
    <t>Interfaz</t>
  </si>
  <si>
    <t>Versión de las fuentes</t>
  </si>
  <si>
    <t>Ver hoja FUENTES</t>
  </si>
  <si>
    <t>Equivalente energético de 1 MET</t>
  </si>
  <si>
    <t>Constante</t>
  </si>
  <si>
    <t>Convención estándar del compendio (reposo ESTÁNDAR, no el GEB individual)</t>
  </si>
  <si>
    <t>Horas del día</t>
  </si>
  <si>
    <t>El diario de ACTIVIDADES debe cuadrar en 24 h</t>
  </si>
  <si>
    <t>Factor energético · proteína</t>
  </si>
  <si>
    <t>Atwater general (Merrill &amp; Watt, USDA AH-74, 1973)</t>
  </si>
  <si>
    <t>Factor energético · carbohidratos</t>
  </si>
  <si>
    <t>Atwater general (USDA AH-74, 1973)</t>
  </si>
  <si>
    <t>Factor energético · grasa</t>
  </si>
  <si>
    <t>Factor energético · alcohol</t>
  </si>
  <si>
    <t>Atwater · alcohol etílico</t>
  </si>
  <si>
    <t>ETA · % fijo por defecto (dieta mixta)</t>
  </si>
  <si>
    <t>Sugerencia</t>
  </si>
  <si>
    <t>Westerterp 2004: la TID de una dieta mixta ronda 5–15 %</t>
  </si>
  <si>
    <t>ETA · coeficiente proteína</t>
  </si>
  <si>
    <t>Coef.</t>
  </si>
  <si>
    <t>Westerterp 2004 · rango 20–30 %</t>
  </si>
  <si>
    <t>ETA · coeficiente carbohidratos</t>
  </si>
  <si>
    <t>Westerterp 2004 · rango 5–10 %</t>
  </si>
  <si>
    <t>ETA · coeficiente grasa</t>
  </si>
  <si>
    <t>Westerterp 2004 · rango 0–3 %</t>
  </si>
  <si>
    <t>ETA · coeficiente alcohol</t>
  </si>
  <si>
    <t>Westerterp 2004 · rango 10–30 %</t>
  </si>
  <si>
    <t>Edad mínima (adulto)</t>
  </si>
  <si>
    <t>IMPOSIBLE</t>
  </si>
  <si>
    <t>Alcance del producto: solo adultos</t>
  </si>
  <si>
    <t>Edad máxima plausible</t>
  </si>
  <si>
    <t>Límite operativo</t>
  </si>
  <si>
    <t>Peso mínimo posible</t>
  </si>
  <si>
    <t>Bajo este valor se considera imposible en un adulto</t>
  </si>
  <si>
    <t>Peso máximo posible</t>
  </si>
  <si>
    <t>Estatura mínima posible</t>
  </si>
  <si>
    <t>Estatura máxima posible</t>
  </si>
  <si>
    <t>GEB medido · mínimo plausible</t>
  </si>
  <si>
    <t>Guarda del GEB ingresado a mano</t>
  </si>
  <si>
    <t>GEB medido · máximo plausible</t>
  </si>
  <si>
    <t>% de ETA fijo · máximo</t>
  </si>
  <si>
    <t>Límite operativo del campo</t>
  </si>
  <si>
    <t>Amplitud relativa máxima entre métodos</t>
  </si>
  <si>
    <t>Umbral</t>
  </si>
  <si>
    <t>Si se supera, el libro advierte de la discrepancia</t>
  </si>
  <si>
    <t>Tolerancia de las pruebas</t>
  </si>
  <si>
    <t>kcal</t>
  </si>
  <si>
    <t>Diferencia máxima aceptada en el banco de pruebas</t>
  </si>
  <si>
    <t>MET máximo por fila</t>
  </si>
  <si>
    <t>Sobre este valor el MET del diario es imposible</t>
  </si>
  <si>
    <t>Peso poco frecuente · bajo</t>
  </si>
  <si>
    <t>POCO FRECUENTE</t>
  </si>
  <si>
    <t>Alerta, NO bloquea</t>
  </si>
  <si>
    <t>Peso poco frecuente · alto</t>
  </si>
  <si>
    <t>C2 · SEXOS</t>
  </si>
  <si>
    <t>▶  CHANGELOG</t>
  </si>
  <si>
    <t>Coeficientes derivados en varones</t>
  </si>
  <si>
    <t>Coeficientes derivados en mujeres</t>
  </si>
  <si>
    <t>C3 · ECUACIÓN DE GEB (metabolismo basal)</t>
  </si>
  <si>
    <t>Opción (lista)</t>
  </si>
  <si>
    <t>Variables indispensables</t>
  </si>
  <si>
    <t>sexo, peso, estatura, edad</t>
  </si>
  <si>
    <t>Henry / Oxford (2005) · solo peso</t>
  </si>
  <si>
    <t>sexo, peso, banda etaria</t>
  </si>
  <si>
    <t>GEB medido / ingresado a mano</t>
  </si>
  <si>
    <t>valor del campo 'GEB medido' de DATOS</t>
  </si>
  <si>
    <t>C4 · MÉTODO DE EFECTO TÉRMICO (ETA)</t>
  </si>
  <si>
    <t>Método (lista)</t>
  </si>
  <si>
    <t>Qué hace</t>
  </si>
  <si>
    <t>% fijo del gasto (GEB+AEE)</t>
  </si>
  <si>
    <t>ETA = %ETA × (GEB + AEE). Rápido y robusto.</t>
  </si>
  <si>
    <t>ETA = Σ(g·kcal/g·coef). Exige la composición de la dieta.</t>
  </si>
  <si>
    <t>C5 · MÉTODO DE REQUERIMIENTO A REPORTAR</t>
  </si>
  <si>
    <t>Fórmula</t>
  </si>
  <si>
    <t>¿Incluye el ETA?</t>
  </si>
  <si>
    <t>GEB + AEE + ETA</t>
  </si>
  <si>
    <t>Sí, ETA explícito</t>
  </si>
  <si>
    <t>Σ(MET×peso×h) [+ ETA opcional]</t>
  </si>
  <si>
    <t>Opcional (campo de DATOS)</t>
  </si>
  <si>
    <t>GEB × (Σ(MET×h)/24)</t>
  </si>
  <si>
    <t>Sí, el PAL ya lo contiene</t>
  </si>
  <si>
    <t>C5b · LISTA SÍ / NO</t>
  </si>
  <si>
    <t>C6 · MIFFLIN–ST JEOR (1990) · GEB = a + b_peso·P + b_est·T + b_edad·E</t>
  </si>
  <si>
    <t>C7 · HENRY / OXFORD (2005) · solo peso · GEB = a + b·P (por banda etaria)</t>
  </si>
  <si>
    <t>Edad desde (≥)</t>
  </si>
  <si>
    <t>Edad hasta (&lt;)</t>
  </si>
  <si>
    <t>C8 · COMPOSICIÓN DEL ETA POR MACRONUTRIENTES · documentación</t>
  </si>
  <si>
    <t>Fuente: Westerterp KR. Diet induced thermogenesis. Nutr Metab (Lond) 2004;1:5. DOI 10.1186/1743-7075-1-5 (acceso abierto). Los coeficientes de arriba (C1) son puntos medios de los rangos publicados. ETA por macros = gProteína·4·0,25 + gCHO·4·0,08 + gGrasa·9·0,02 + gAlcohol·7·0,22.</t>
  </si>
  <si>
    <t>C9 · CATÁLOGO DE ACTIVIDADES Y VALORES MET · códigos como TEXTO de 5 dígitos</t>
  </si>
  <si>
    <t>Fuente: Ainsworth BE et al. 2011 Compendium of Physical Activities. Med Sci Sports Exerc 2011;43(8):1575-81. DOI 10.1249/MSS.0b013e31821ece12. Prohibido alterar los valores MET o combinar actividades de distinta intensidad. Los códigos se guardan como texto para conservar el cero inicial. Las actividades de nivel C NO están verificadas: revíselas antes de usarlas.</t>
  </si>
  <si>
    <t>Actividad (lista)</t>
  </si>
  <si>
    <t>07030</t>
  </si>
  <si>
    <t>09060</t>
  </si>
  <si>
    <t>11580</t>
  </si>
  <si>
    <t>21070</t>
  </si>
  <si>
    <t>05035</t>
  </si>
  <si>
    <t>17070</t>
  </si>
  <si>
    <t>17133</t>
  </si>
  <si>
    <t>05140</t>
  </si>
  <si>
    <t>17190</t>
  </si>
  <si>
    <t>Caminar a ritmo moderado (4,5–5,5 km/h)</t>
  </si>
  <si>
    <t>C</t>
  </si>
  <si>
    <t>11210</t>
  </si>
  <si>
    <t>Personalizada 1</t>
  </si>
  <si>
    <t>Personalizada 2</t>
  </si>
  <si>
    <t>Personalizada 3</t>
  </si>
  <si>
    <t>Historial de versiones</t>
  </si>
  <si>
    <t>Cambio</t>
  </si>
  <si>
    <t>Motivo</t>
  </si>
  <si>
    <t>1.0</t>
  </si>
  <si>
    <t>Versión inicial. Motor de requerimiento por componentes (GEB+AEE+ETA), diario MET con AEE = Σ máx(MET−1,0)×h, ETA por % fijo y por macronutrientes (Westerterp), y comparación con los métodos MET puro y PAL factorial (FAO), con control de doble conteo.</t>
  </si>
  <si>
    <t>Primera entrega del producto 10.</t>
  </si>
  <si>
    <t>Equipo Nutrimetría</t>
  </si>
  <si>
    <t>Banco de pruebas con 40+ casos (exactitud GEB, AEE/MET, ETA, los 3 métodos, validaciones, integridad y cotejo manual con la publicación).</t>
  </si>
  <si>
    <t>Control de calidad previo a la entrega.</t>
  </si>
  <si>
    <t>Motor de requerimiento energético, MET y efecto térmico · versión 1.0.1</t>
  </si>
  <si>
    <t>1.0.1</t>
  </si>
  <si>
    <t>La usan Mifflin y Harris–Benedict. Henry y el GEB medido no exigen estatura.</t>
  </si>
  <si>
    <t>Lista (CONFIG C3 y C10)</t>
  </si>
  <si>
    <t>Mifflin, Harris–Benedict revisada, Henry o GEB medido, según la selección de DATOS.</t>
  </si>
  <si>
    <t>Estatura (Mifflin o Harris)</t>
  </si>
  <si>
    <t>Se exige para Mifflin y Harris–Benedict revisada.</t>
  </si>
  <si>
    <t>Harris–Benedict revisada</t>
  </si>
  <si>
    <t>Roza AM, Shizgal HM — Am J Clin Nutr 40:168-182</t>
  </si>
  <si>
    <t>1984</t>
  </si>
  <si>
    <t>337 adultos (168 hombres, 169 mujeres); reanálisis de la base de Harris y Benedict</t>
  </si>
  <si>
    <t>H: 88,362+13,397P+4,799T−5,677E · M: 447,593+9,247P+3,098T−4,330E</t>
  </si>
  <si>
    <t>El rango exacto de edad de la muestra no se especifica con precisión.</t>
  </si>
  <si>
    <t>10.1093/ajcn/40.1.168</t>
  </si>
  <si>
    <t>2026-08-02</t>
  </si>
  <si>
    <t>BLOQUE A · EXACTITUD DEL GEB (Mifflin, Harris revisada y Henry) · tolerancia ±0,5 kcal</t>
  </si>
  <si>
    <t>A11</t>
  </si>
  <si>
    <t>Harris revisada · hombre</t>
  </si>
  <si>
    <t>HB</t>
  </si>
  <si>
    <t>Parámetros, coeficientes y catálogos · versión 1.0.1</t>
  </si>
  <si>
    <t>2026-08 · v1.0.1</t>
  </si>
  <si>
    <t>Solo se exige a las ecuaciones que usan estatura (Mifflin y Harris–Benedict)</t>
  </si>
  <si>
    <t>C10 · HARRIS–BENEDICT REVISADA · GEB = a + b_peso·P + b_est·T + b_edad·E</t>
  </si>
  <si>
    <t>Se incorpora Harris–Benedict revisada (Roza &amp; Shizgal, 1984) al selector de GEB, con coeficientes auditables, validación de estatura, fuente y prueba independiente.</t>
  </si>
  <si>
    <t>Integrar al NMX-10 una ecuación de GEB disponible en el NMX-01 sin modificar el diseño visual.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</si>
</sst>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0"/>
    <numFmt numFmtId="167" formatCode="0.000"/>
  </numFmts>
  <fonts count="36">
    <font>
      <sz val="11"/>
      <color theme="1"/>
      <name val="Calibri"/>
    </font>
    <font>
      <b/>
      <sz val="14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1A1A1A"/>
      <name val="Arial"/>
      <family val="2"/>
    </font>
    <font>
      <b/>
      <sz val="10"/>
      <color rgb="FFFFFFFF"/>
      <name val="Arial"/>
      <family val="2"/>
    </font>
    <font>
      <sz val="9"/>
      <color rgb="FF5A6B70"/>
      <name val="Arial"/>
      <family val="2"/>
    </font>
    <font>
      <b/>
      <sz val="9"/>
      <color rgb="FFB45309"/>
      <name val="Arial"/>
      <family val="2"/>
    </font>
    <font>
      <sz val="10"/>
      <color rgb="FF0000CC"/>
      <name val="Arial"/>
      <family val="2"/>
    </font>
    <font>
      <sz val="10"/>
      <color rgb="FF5A6B70"/>
      <name val="Arial"/>
      <family val="2"/>
    </font>
    <font>
      <b/>
      <sz val="11"/>
      <color rgb="FFFFFFFF"/>
      <name val="Arial"/>
      <family val="2"/>
    </font>
    <font>
      <sz val="10"/>
      <color rgb="FFB45309"/>
      <name val="Arial"/>
      <family val="2"/>
    </font>
    <font>
      <sz val="9"/>
      <color rgb="FF1A1A1A"/>
      <name val="Arial"/>
      <family val="2"/>
    </font>
    <font>
      <b/>
      <sz val="9"/>
      <color rgb="FF1A1A1A"/>
      <name val="Arial"/>
      <family val="2"/>
    </font>
    <font>
      <b/>
      <sz val="9"/>
      <color rgb="FF1C6B72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rgb="FF1A1A1A"/>
      <name val="Arial"/>
      <family val="2"/>
    </font>
    <font>
      <b/>
      <sz val="9"/>
      <color rgb="FF5A6B70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sz val="11"/>
      <color rgb="FF155E6C"/>
      <name val="Aptos"/>
    </font>
    <font>
      <b/>
      <sz val="2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ptos"/>
    </font>
    <font>
      <b/>
      <sz val="11"/>
      <color rgb="FF1A1A1A"/>
      <name val="Arial"/>
      <family val="2"/>
    </font>
    <font>
      <b/>
      <sz val="10"/>
      <color rgb="FF1A1A1A"/>
      <name val="Arial"/>
      <family val="2"/>
    </font>
    <font>
      <b/>
      <sz val="11"/>
      <color rgb="FFFFFFFF"/>
      <name val="Arial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</font>
    <font>
      <sz val="10"/>
      <color rgb="FF0000CC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F3B44"/>
      </patternFill>
    </fill>
    <fill>
      <patternFill patternType="solid">
        <fgColor rgb="FF1C6B72"/>
      </patternFill>
    </fill>
    <fill>
      <patternFill patternType="solid">
        <fgColor rgb="FFFBE4D5"/>
      </patternFill>
    </fill>
    <fill>
      <patternFill patternType="solid">
        <fgColor rgb="FFE7E0F5"/>
      </patternFill>
    </fill>
    <fill>
      <patternFill patternType="solid">
        <fgColor rgb="FFDCE8EA"/>
      </patternFill>
    </fill>
    <fill>
      <patternFill patternType="solid">
        <fgColor rgb="FFFFF6D8"/>
      </patternFill>
    </fill>
    <fill>
      <patternFill patternType="solid">
        <fgColor rgb="FFF4F6F7"/>
      </patternFill>
    </fill>
    <fill>
      <patternFill patternType="solid">
        <fgColor rgb="FFDFF0E3"/>
      </patternFill>
    </fill>
    <fill>
      <patternFill patternType="solid">
        <fgColor rgb="FF00B050"/>
      </patternFill>
    </fill>
    <fill>
      <patternFill patternType="solid">
        <fgColor theme="2" tint="-0.749961851863155"/>
        <bgColor indexed="65"/>
      </patternFill>
    </fill>
    <fill>
      <patternFill patternType="solid">
        <fgColor rgb="FF17324D"/>
      </patternFill>
    </fill>
    <fill>
      <patternFill patternType="solid">
        <fgColor rgb="FFDCEFF1"/>
      </patternFill>
    </fill>
    <fill>
      <patternFill patternType="solid">
        <fgColor rgb="FFFBE4D5"/>
      </patternFill>
    </fill>
    <fill>
      <patternFill patternType="solid">
        <fgColor rgb="FF0F3B44"/>
      </patternFill>
    </fill>
    <fill>
      <patternFill patternType="solid">
        <fgColor rgb="FF1C6B72"/>
      </patternFill>
    </fill>
  </fills>
  <borders count="28">
    <border>
      <left/>
      <right/>
      <top/>
      <bottom/>
      <diagonal/>
    </border>
    <border>
      <left style="thin">
        <color rgb="FFC7D2D6"/>
      </left>
      <right style="thin">
        <color rgb="FFC7D2D6"/>
      </right>
      <top style="thin">
        <color rgb="FFC7D2D6"/>
      </top>
      <bottom style="thin">
        <color rgb="FFC7D2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C7D2D6"/>
      </top>
      <bottom style="thin">
        <color rgb="FFC7D2D6"/>
      </bottom>
      <diagonal/>
    </border>
    <border>
      <left/>
      <right style="thin">
        <color rgb="FFC7D2D6"/>
      </right>
      <top style="thin">
        <color rgb="FFC7D2D6"/>
      </top>
      <bottom style="thin">
        <color rgb="FFC7D2D6"/>
      </bottom>
      <diagonal/>
    </border>
    <border>
      <left style="thin">
        <color rgb="FFB7C7CB"/>
      </left>
      <right style="thin">
        <color rgb="FFB7C7CB"/>
      </right>
      <top style="thin">
        <color rgb="FFB7C7CB"/>
      </top>
      <bottom style="thin">
        <color rgb="FFB7C7CB"/>
      </bottom>
      <diagonal/>
    </border>
    <border>
      <left style="thin">
        <color rgb="FFB7C7CB"/>
      </left>
      <right/>
      <top/>
      <bottom/>
      <diagonal/>
    </border>
    <border>
      <left style="thin">
        <color rgb="FFB7C7CB"/>
      </left>
      <right style="thin">
        <color rgb="FFB7C7CB"/>
      </right>
      <top style="thin">
        <color rgb="FFB7C7CB"/>
      </top>
      <bottom/>
      <diagonal/>
    </border>
    <border>
      <left style="thin">
        <color rgb="FFB7C7CB"/>
      </left>
      <right/>
      <top style="thin">
        <color rgb="FFB7C7CB"/>
      </top>
      <bottom/>
      <diagonal/>
    </border>
    <border>
      <left/>
      <right/>
      <top style="thin">
        <color rgb="FFB7C7CB"/>
      </top>
      <bottom/>
      <diagonal/>
    </border>
    <border>
      <left style="thin">
        <color rgb="FFB7C7CB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rgb="FFC7D2D6"/>
      </left>
      <right/>
      <top style="thin">
        <color rgb="FFC7D2D6"/>
      </top>
      <bottom style="thin">
        <color rgb="FFC7D2D6"/>
      </bottom>
      <diagonal/>
    </border>
    <border>
      <left style="thin">
        <color rgb="FFC7D2D6"/>
      </left>
      <right/>
      <top/>
      <bottom/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19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166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1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7" fillId="7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17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7" fillId="7" borderId="2" xfId="0" applyNumberFormat="1" applyFont="1" applyFill="1" applyBorder="1" applyAlignment="1">
      <alignment horizontal="center" vertical="center"/>
    </xf>
    <xf numFmtId="1" fontId="7" fillId="7" borderId="2" xfId="0" applyNumberFormat="1" applyFont="1" applyFill="1" applyBorder="1" applyAlignment="1">
      <alignment horizontal="center" vertical="center"/>
    </xf>
    <xf numFmtId="164" fontId="7" fillId="7" borderId="2" xfId="0" applyNumberFormat="1" applyFont="1" applyFill="1" applyBorder="1" applyAlignment="1">
      <alignment horizontal="center" vertical="center"/>
    </xf>
    <xf numFmtId="165" fontId="7" fillId="7" borderId="2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2" fontId="2" fillId="8" borderId="2" xfId="0" applyNumberFormat="1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18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165" fontId="18" fillId="8" borderId="2" xfId="0" applyNumberFormat="1" applyFont="1" applyFill="1" applyBorder="1" applyAlignment="1">
      <alignment horizontal="center" vertical="center"/>
    </xf>
    <xf numFmtId="164" fontId="17" fillId="8" borderId="2" xfId="0" applyNumberFormat="1" applyFont="1" applyFill="1" applyBorder="1" applyAlignment="1">
      <alignment horizontal="center" vertical="center"/>
    </xf>
    <xf numFmtId="165" fontId="17" fillId="8" borderId="2" xfId="0" applyNumberFormat="1" applyFont="1" applyFill="1" applyBorder="1" applyAlignment="1">
      <alignment horizontal="center" vertical="center"/>
    </xf>
    <xf numFmtId="164" fontId="17" fillId="9" borderId="2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0" fontId="2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164" fontId="18" fillId="8" borderId="2" xfId="0" applyNumberFormat="1" applyFont="1" applyFill="1" applyBorder="1" applyAlignment="1">
      <alignment horizontal="center" vertical="center"/>
    </xf>
    <xf numFmtId="166" fontId="18" fillId="8" borderId="2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167" fontId="18" fillId="8" borderId="2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0" borderId="0" xfId="0"/>
    <xf numFmtId="0" fontId="0" fillId="11" borderId="0" xfId="0" applyFill="1"/>
    <xf numFmtId="0" fontId="33" fillId="12" borderId="21" xfId="1" applyFont="1" applyFill="1" applyBorder="1" applyAlignment="1">
      <alignment horizontal="center" vertical="center" wrapText="1"/>
    </xf>
    <xf numFmtId="0" fontId="34" fillId="12" borderId="23" xfId="1" applyFont="1" applyFill="1" applyBorder="1" applyAlignment="1">
      <alignment horizontal="center" vertical="center" wrapText="1"/>
    </xf>
    <xf numFmtId="0" fontId="34" fillId="12" borderId="21" xfId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center"/>
    </xf>
    <xf numFmtId="0" fontId="35" fillId="7" borderId="2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30" fillId="14" borderId="6" xfId="0" applyFont="1" applyFill="1" applyBorder="1" applyAlignment="1">
      <alignment vertical="center" wrapText="1"/>
    </xf>
    <xf numFmtId="0" fontId="30" fillId="14" borderId="0" xfId="0" applyFont="1" applyFill="1" applyBorder="1" applyAlignment="1">
      <alignment vertical="center" wrapText="1"/>
    </xf>
    <xf numFmtId="0" fontId="30" fillId="14" borderId="12" xfId="0" applyFont="1" applyFill="1" applyBorder="1" applyAlignment="1">
      <alignment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27" fillId="16" borderId="10" xfId="0" applyFont="1" applyFill="1" applyBorder="1" applyAlignment="1">
      <alignment horizontal="left" vertical="center" wrapText="1"/>
    </xf>
    <xf numFmtId="0" fontId="0" fillId="16" borderId="0" xfId="0" applyFill="1"/>
    <xf numFmtId="0" fontId="0" fillId="0" borderId="10" xfId="0" applyBorder="1"/>
    <xf numFmtId="0" fontId="0" fillId="0" borderId="4" xfId="0" applyBorder="1"/>
    <xf numFmtId="0" fontId="26" fillId="15" borderId="0" xfId="0" applyFont="1" applyFill="1" applyAlignment="1">
      <alignment horizontal="left" vertical="center"/>
    </xf>
    <xf numFmtId="0" fontId="0" fillId="15" borderId="0" xfId="0" applyFill="1"/>
    <xf numFmtId="0" fontId="2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28" fillId="12" borderId="15" xfId="0" applyFon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25" fillId="13" borderId="15" xfId="0" applyFont="1" applyFill="1" applyBorder="1" applyAlignment="1">
      <alignment horizontal="center" vertical="center" wrapText="1"/>
    </xf>
    <xf numFmtId="0" fontId="27" fillId="16" borderId="15" xfId="0" applyFont="1" applyFill="1" applyBorder="1" applyAlignment="1">
      <alignment horizontal="left" vertical="center"/>
    </xf>
    <xf numFmtId="0" fontId="0" fillId="16" borderId="15" xfId="0" applyFill="1" applyBorder="1"/>
    <xf numFmtId="0" fontId="28" fillId="12" borderId="18" xfId="0" applyFont="1" applyFill="1" applyBorder="1" applyAlignment="1">
      <alignment horizontal="center" vertical="center"/>
    </xf>
    <xf numFmtId="0" fontId="28" fillId="12" borderId="19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left" vertical="center" wrapText="1"/>
    </xf>
    <xf numFmtId="0" fontId="25" fillId="13" borderId="16" xfId="0" applyFont="1" applyFill="1" applyBorder="1" applyAlignment="1">
      <alignment horizontal="center" vertical="center" wrapText="1"/>
    </xf>
    <xf numFmtId="0" fontId="25" fillId="13" borderId="0" xfId="0" applyFont="1" applyFill="1" applyBorder="1" applyAlignment="1">
      <alignment horizontal="center"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4" xfId="0" applyFont="1" applyFill="1" applyBorder="1" applyAlignment="1">
      <alignment vertical="center" wrapText="1"/>
    </xf>
    <xf numFmtId="0" fontId="30" fillId="5" borderId="11" xfId="0" applyFont="1" applyFill="1" applyBorder="1" applyAlignment="1">
      <alignment vertical="center" wrapText="1"/>
    </xf>
    <xf numFmtId="0" fontId="31" fillId="3" borderId="6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31" fillId="3" borderId="12" xfId="0" applyFont="1" applyFill="1" applyBorder="1" applyAlignment="1">
      <alignment horizontal="center" vertical="center"/>
    </xf>
    <xf numFmtId="0" fontId="25" fillId="13" borderId="20" xfId="0" applyFont="1" applyFill="1" applyBorder="1" applyAlignment="1">
      <alignment horizontal="center" vertical="center" wrapText="1"/>
    </xf>
    <xf numFmtId="0" fontId="25" fillId="13" borderId="4" xfId="0" applyFont="1" applyFill="1" applyBorder="1" applyAlignment="1">
      <alignment horizontal="center" vertical="center" wrapText="1"/>
    </xf>
    <xf numFmtId="0" fontId="30" fillId="5" borderId="6" xfId="0" applyFont="1" applyFill="1" applyBorder="1" applyAlignment="1">
      <alignment vertical="center" wrapText="1"/>
    </xf>
    <xf numFmtId="0" fontId="30" fillId="5" borderId="0" xfId="0" applyFont="1" applyFill="1" applyBorder="1" applyAlignment="1">
      <alignment vertical="center" wrapText="1"/>
    </xf>
    <xf numFmtId="0" fontId="30" fillId="5" borderId="12" xfId="0" applyFont="1" applyFill="1" applyBorder="1" applyAlignment="1">
      <alignment vertical="center" wrapText="1"/>
    </xf>
    <xf numFmtId="0" fontId="21" fillId="5" borderId="2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3" xfId="0" applyBorder="1"/>
    <xf numFmtId="0" fontId="5" fillId="0" borderId="0" xfId="0" applyFont="1" applyAlignment="1">
      <alignment horizontal="left" vertical="center"/>
    </xf>
    <xf numFmtId="0" fontId="0" fillId="0" borderId="0" xfId="0"/>
    <xf numFmtId="0" fontId="22" fillId="3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34" fillId="12" borderId="22" xfId="1" applyFont="1" applyFill="1" applyBorder="1" applyAlignment="1">
      <alignment horizontal="center" vertical="center" wrapText="1"/>
    </xf>
    <xf numFmtId="0" fontId="34" fillId="12" borderId="23" xfId="1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0" fontId="34" fillId="12" borderId="0" xfId="1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left" vertical="center"/>
    </xf>
    <xf numFmtId="0" fontId="34" fillId="12" borderId="24" xfId="1" applyFont="1" applyFill="1" applyBorder="1" applyAlignment="1">
      <alignment horizontal="center" vertical="center" wrapText="1"/>
    </xf>
    <xf numFmtId="0" fontId="34" fillId="12" borderId="4" xfId="1" applyFont="1" applyFill="1" applyBorder="1" applyAlignment="1">
      <alignment horizontal="center" vertical="center" wrapText="1"/>
    </xf>
    <xf numFmtId="0" fontId="34" fillId="12" borderId="25" xfId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166" fontId="18" fillId="8" borderId="2" xfId="0" applyNumberFormat="1" applyFont="1" applyFill="1" applyBorder="1" applyAlignment="1">
      <alignment horizontal="center" vertical="center"/>
    </xf>
    <xf numFmtId="164" fontId="18" fillId="8" borderId="2" xfId="0" applyNumberFormat="1" applyFont="1" applyFill="1" applyBorder="1" applyAlignment="1">
      <alignment horizontal="center" vertical="center"/>
    </xf>
    <xf numFmtId="2" fontId="18" fillId="8" borderId="2" xfId="0" applyNumberFormat="1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8" fillId="9" borderId="2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3" borderId="11" xfId="0" applyFont="1" applyFill="1" applyBorder="1" applyAlignment="1">
      <alignment horizontal="left" vertical="center"/>
    </xf>
    <xf numFmtId="0" fontId="18" fillId="8" borderId="2" xfId="0" applyFont="1" applyFill="1" applyBorder="1" applyAlignment="1">
      <alignment horizontal="left" vertical="center"/>
    </xf>
    <xf numFmtId="14" fontId="18" fillId="8" borderId="2" xfId="0" applyNumberFormat="1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0" fillId="11" borderId="6" xfId="0" applyFill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left" vertical="center"/>
    </xf>
    <xf numFmtId="0" fontId="11" fillId="8" borderId="26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33" fillId="12" borderId="22" xfId="1" applyFont="1" applyFill="1" applyBorder="1" applyAlignment="1">
      <alignment horizontal="center" vertical="center" wrapText="1"/>
    </xf>
    <xf numFmtId="0" fontId="33" fillId="12" borderId="0" xfId="1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left" vertical="center" wrapText="1"/>
    </xf>
    <xf numFmtId="0" fontId="14" fillId="3" borderId="14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4" fillId="3" borderId="26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Hipervínculo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6B72"/>
      <rgbColor rgb="FFB3B3B3"/>
      <rgbColor rgb="FF4F81BD"/>
      <rgbColor rgb="FF9999FF"/>
      <rgbColor rgb="FF993366"/>
      <rgbColor rgb="FFFFF6D8"/>
      <rgbColor rgb="FFDCE8EA"/>
      <rgbColor rgb="FF660066"/>
      <rgbColor rgb="FFFF8080"/>
      <rgbColor rgb="FF0066CC"/>
      <rgbColor rgb="FFC7D2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FF0E3"/>
      <rgbColor rgb="FFE7E0F5"/>
      <rgbColor rgb="FFD9D9D9"/>
      <rgbColor rgb="FFFF99CC"/>
      <rgbColor rgb="FFCC99FF"/>
      <rgbColor rgb="FFFBE4D5"/>
      <rgbColor rgb="FF3366FF"/>
      <rgbColor rgb="FF33CCCC"/>
      <rgbColor rgb="FF99CC00"/>
      <rgbColor rgb="FFFFCC00"/>
      <rgbColor rgb="FFFF9900"/>
      <rgbColor rgb="FFFF6600"/>
      <rgbColor rgb="FF5A6B70"/>
      <rgbColor rgb="FF969696"/>
      <rgbColor rgb="FF0F3B44"/>
      <rgbColor rgb="FF339966"/>
      <rgbColor rgb="FF003300"/>
      <rgbColor rgb="FF333300"/>
      <rgbColor rgb="FFB45309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L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Descomposición del gasto (método 1)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RESULTADOS!$B$35</c:f>
              <c:strCache>
                <c:ptCount val="1"/>
                <c:pt idx="0">
                  <c:v>kcal/día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1"/>
          <c:cat>
            <c:strRef>
              <c:f>RESULTADOS!$A$36:$A$38</c:f>
              <c:strCache>
                <c:ptCount val="3"/>
                <c:pt idx="0">
                  <c:v>GEB</c:v>
                </c:pt>
                <c:pt idx="1">
                  <c:v>AEE</c:v>
                </c:pt>
                <c:pt idx="2">
                  <c:v>ETA</c:v>
                </c:pt>
              </c:strCache>
            </c:strRef>
          </c:cat>
          <c:val>
            <c:numRef>
              <c:f>RESULTADOS!$B$36:$B$38</c:f>
              <c:numCache>
                <c:formatCode>0.0</c:formatCode>
                <c:ptCount val="3"/>
                <c:pt idx="0">
                  <c:v>1720</c:v>
                </c:pt>
                <c:pt idx="1">
                  <c:v>2323.6</c:v>
                </c:pt>
                <c:pt idx="2">
                  <c:v>346.2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0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28-4453-9F91-165F5B019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0">
              <a:gradFill>
                <a:gsLst>
                  <a:gs pos="0">
                    <a:schemeClr val="accent2">
                      <a:lumMod val="89000"/>
                      <a:alpha val="26000"/>
                    </a:schemeClr>
                  </a:gs>
                  <a:gs pos="23000">
                    <a:schemeClr val="accent2">
                      <a:lumMod val="89000"/>
                    </a:schemeClr>
                  </a:gs>
                  <a:gs pos="69000">
                    <a:schemeClr val="accent2">
                      <a:lumMod val="75000"/>
                    </a:schemeClr>
                  </a:gs>
                  <a:gs pos="97000">
                    <a:schemeClr val="accent2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</a:gra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22225">
      <a:gradFill>
        <a:gsLst>
          <a:gs pos="0">
            <a:schemeClr val="accent2">
              <a:lumMod val="89000"/>
            </a:schemeClr>
          </a:gs>
          <a:gs pos="23000">
            <a:schemeClr val="accent2">
              <a:lumMod val="89000"/>
            </a:schemeClr>
          </a:gs>
          <a:gs pos="69000">
            <a:schemeClr val="accent2">
              <a:lumMod val="75000"/>
            </a:schemeClr>
          </a:gs>
          <a:gs pos="97000">
            <a:schemeClr val="accent2">
              <a:lumMod val="70000"/>
            </a:schemeClr>
          </a:gs>
        </a:gsLst>
        <a:path path="circle">
          <a:fillToRect l="50000" t="50000" r="50000" b="50000"/>
        </a:path>
      </a:gra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L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Comparación de los tres métodos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RESULTADOS!$B$40</c:f>
              <c:strCache>
                <c:ptCount val="1"/>
                <c:pt idx="0">
                  <c:v>GET (kcal/día)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1"/>
          <c:cat>
            <c:strRef>
              <c:f>RESULTADOS!$A$41:$A$43</c:f>
              <c:strCache>
                <c:ptCount val="3"/>
                <c:pt idx="0">
                  <c:v>1 · Componentes</c:v>
                </c:pt>
                <c:pt idx="1">
                  <c:v>2 · MET puro</c:v>
                </c:pt>
                <c:pt idx="2">
                  <c:v>3 · PAL factorial</c:v>
                </c:pt>
              </c:strCache>
            </c:strRef>
          </c:cat>
          <c:val>
            <c:numRef>
              <c:f>RESULTADOS!$B$41:$B$43</c:f>
              <c:numCache>
                <c:formatCode>0.0</c:formatCode>
                <c:ptCount val="3"/>
                <c:pt idx="0">
                  <c:v>4389.8</c:v>
                </c:pt>
                <c:pt idx="1">
                  <c:v>4553.7999999999993</c:v>
                </c:pt>
                <c:pt idx="2">
                  <c:v>3841.3333333333326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0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757-4A58-B284-C5745EC73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19050">
      <a:gradFill>
        <a:gsLst>
          <a:gs pos="0">
            <a:schemeClr val="accent2">
              <a:lumMod val="89000"/>
              <a:alpha val="0"/>
            </a:schemeClr>
          </a:gs>
          <a:gs pos="23000">
            <a:schemeClr val="accent2">
              <a:lumMod val="89000"/>
            </a:schemeClr>
          </a:gs>
          <a:gs pos="69000">
            <a:schemeClr val="accent2">
              <a:lumMod val="75000"/>
            </a:schemeClr>
          </a:gs>
          <a:gs pos="97000">
            <a:schemeClr val="accent2">
              <a:lumMod val="70000"/>
            </a:schemeClr>
          </a:gs>
        </a:gsLst>
        <a:path path="circle">
          <a:fillToRect l="50000" t="50000" r="50000" b="50000"/>
        </a:path>
      </a:gra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23</xdr:row>
      <xdr:rowOff>123825</xdr:rowOff>
    </xdr:from>
    <xdr:to>
      <xdr:col>11</xdr:col>
      <xdr:colOff>480060</xdr:colOff>
      <xdr:row>36</xdr:row>
      <xdr:rowOff>165885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133350</xdr:colOff>
      <xdr:row>39</xdr:row>
      <xdr:rowOff>9525</xdr:rowOff>
    </xdr:from>
    <xdr:to>
      <xdr:col>11</xdr:col>
      <xdr:colOff>470535</xdr:colOff>
      <xdr:row>51</xdr:row>
      <xdr:rowOff>129765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showGridLines="0" workbookViewId="0">
      <selection sqref="A1:Q1"/>
    </sheetView>
  </sheetViews>
  <sheetFormatPr baseColWidth="10" defaultColWidth="9.140625" defaultRowHeight="15"/>
  <cols>
    <col min="1" max="1" width="18.5703125" style="73" customWidth="1"/>
    <col min="2" max="2" width="15" style="73" customWidth="1"/>
    <col min="4" max="4" width="11" customWidth="1"/>
    <col min="6" max="6" width="10" customWidth="1"/>
    <col min="8" max="8" width="9.85546875" customWidth="1"/>
    <col min="10" max="10" width="11.28515625" customWidth="1"/>
    <col min="11" max="11" width="15.42578125" customWidth="1"/>
    <col min="12" max="12" width="9" customWidth="1"/>
  </cols>
  <sheetData>
    <row r="1" spans="1:17" ht="25.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17" ht="15" customHeight="1">
      <c r="A2" s="85" t="s">
        <v>642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</row>
    <row r="3" spans="1:17" ht="15" customHeight="1">
      <c r="A3" s="87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</row>
    <row r="4" spans="1:17" ht="27.75" customHeight="1">
      <c r="A4" s="97" t="s">
        <v>1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</row>
    <row r="5" spans="1:17" ht="27.75" customHeight="1">
      <c r="A5" s="99" t="str">
        <f>HYPERLINK("#DATOS!A1","▶  DATOS")</f>
        <v>▶  DATOS</v>
      </c>
      <c r="B5" s="100"/>
      <c r="C5" s="94" t="str">
        <f>HYPERLINK("#CALCULOS!A1","▶  CALCULOS")</f>
        <v>▶  CALCULOS</v>
      </c>
      <c r="D5" s="95"/>
      <c r="E5" s="94" t="str">
        <f>HYPERLINK("#DIARIO!A1","▶  DIARIO")</f>
        <v>▶  DIARIO</v>
      </c>
      <c r="F5" s="95"/>
      <c r="G5" s="94" t="str">
        <f>HYPERLINK("#RESULTADOS!A1","▶  RESULTADOS")</f>
        <v>▶  RESULTADOS</v>
      </c>
      <c r="H5" s="95"/>
      <c r="I5" s="94" t="str">
        <f>HYPERLINK("#FUENTES!A1","▶  FUENTES")</f>
        <v>▶  FUENTES</v>
      </c>
      <c r="J5" s="95"/>
      <c r="K5" s="94" t="str">
        <f>HYPERLINK("#PRUEBAS!A1","▶  PRUEBAS")</f>
        <v>▶  PRUEBAS</v>
      </c>
      <c r="L5" s="95"/>
      <c r="M5" s="94" t="str">
        <f>HYPERLINK("#CONFIG!A1","▶  CONFIG")</f>
        <v>▶  CONFIG</v>
      </c>
      <c r="N5" s="95"/>
      <c r="O5" s="99" t="str">
        <f>HYPERLINK("#CHANGELOG!A1","▶  CHANGELOG")</f>
        <v>▶  CHANGELOG</v>
      </c>
      <c r="P5" s="100"/>
      <c r="Q5" s="100"/>
    </row>
    <row r="6" spans="1:17" ht="29.25" customHeight="1">
      <c r="A6" s="110" t="s">
        <v>2</v>
      </c>
      <c r="B6" s="111"/>
      <c r="C6" s="91" t="s">
        <v>3</v>
      </c>
      <c r="D6" s="92"/>
      <c r="E6" s="91" t="s">
        <v>4</v>
      </c>
      <c r="F6" s="92"/>
      <c r="G6" s="91" t="s">
        <v>5</v>
      </c>
      <c r="H6" s="92"/>
      <c r="I6" s="91" t="s">
        <v>6</v>
      </c>
      <c r="J6" s="92"/>
      <c r="K6" s="91" t="s">
        <v>7</v>
      </c>
      <c r="L6" s="93"/>
      <c r="M6" s="96" t="s">
        <v>8</v>
      </c>
      <c r="N6" s="93"/>
      <c r="O6" s="102" t="s">
        <v>9</v>
      </c>
      <c r="P6" s="103"/>
      <c r="Q6" s="103"/>
    </row>
    <row r="7" spans="1:17" ht="15" customHeight="1">
      <c r="A7" s="101" t="s">
        <v>10</v>
      </c>
      <c r="B7" s="101"/>
      <c r="C7" s="84" t="s">
        <v>11</v>
      </c>
      <c r="D7" s="84"/>
      <c r="E7" s="84"/>
      <c r="F7" s="84"/>
      <c r="G7" s="84"/>
      <c r="H7" s="84"/>
      <c r="I7" s="84"/>
      <c r="J7" s="84"/>
      <c r="K7" s="84"/>
    </row>
    <row r="8" spans="1:17" ht="15" customHeight="1">
      <c r="A8" s="101" t="s">
        <v>12</v>
      </c>
      <c r="B8" s="101"/>
      <c r="C8" s="84" t="s">
        <v>643</v>
      </c>
      <c r="D8" s="84"/>
      <c r="E8" s="84"/>
      <c r="F8" s="84"/>
      <c r="G8" s="84"/>
      <c r="H8" s="84"/>
      <c r="I8" s="84"/>
      <c r="J8" s="84"/>
      <c r="K8" s="84"/>
    </row>
    <row r="9" spans="1:17" ht="15" customHeight="1">
      <c r="A9" s="101" t="s">
        <v>13</v>
      </c>
      <c r="B9" s="101"/>
      <c r="C9" s="84" t="s">
        <v>14</v>
      </c>
      <c r="D9" s="84"/>
      <c r="E9" s="84"/>
      <c r="F9" s="84"/>
      <c r="G9" s="84"/>
      <c r="H9" s="84"/>
      <c r="I9" s="84"/>
      <c r="J9" s="84"/>
      <c r="K9" s="84"/>
    </row>
    <row r="10" spans="1:17" ht="15" customHeight="1">
      <c r="A10" s="101" t="s">
        <v>15</v>
      </c>
      <c r="B10" s="101"/>
      <c r="C10" s="84" t="s">
        <v>16</v>
      </c>
      <c r="D10" s="84"/>
      <c r="E10" s="84"/>
      <c r="F10" s="84"/>
      <c r="G10" s="84"/>
      <c r="H10" s="84"/>
      <c r="I10" s="84"/>
      <c r="J10" s="84"/>
      <c r="K10" s="84"/>
    </row>
    <row r="11" spans="1:17" ht="15" customHeight="1">
      <c r="A11" s="101" t="s">
        <v>17</v>
      </c>
      <c r="B11" s="101"/>
      <c r="C11" s="84" t="s">
        <v>18</v>
      </c>
      <c r="D11" s="84"/>
      <c r="E11" s="84"/>
      <c r="F11" s="84"/>
      <c r="G11" s="84"/>
      <c r="H11" s="84"/>
      <c r="I11" s="84"/>
      <c r="J11" s="84"/>
      <c r="K11" s="84"/>
    </row>
    <row r="12" spans="1:17" ht="15" customHeight="1">
      <c r="A12" s="107" t="s">
        <v>19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9"/>
    </row>
    <row r="13" spans="1:17" ht="15" customHeight="1">
      <c r="A13" s="107"/>
      <c r="B13" s="108"/>
      <c r="C13" s="108"/>
      <c r="D13" s="108"/>
      <c r="E13" s="108"/>
      <c r="F13" s="108"/>
      <c r="G13" s="108"/>
      <c r="H13" s="108"/>
      <c r="I13" s="108"/>
      <c r="J13" s="108"/>
      <c r="K13" s="109"/>
    </row>
    <row r="14" spans="1:17" ht="22.5" customHeight="1">
      <c r="A14" s="81" t="s">
        <v>20</v>
      </c>
      <c r="B14" s="82"/>
      <c r="C14" s="82"/>
      <c r="D14" s="82"/>
      <c r="E14" s="82"/>
      <c r="F14" s="82"/>
      <c r="G14" s="82"/>
      <c r="H14" s="82"/>
      <c r="I14" s="82"/>
      <c r="J14" s="82"/>
      <c r="K14" s="83"/>
    </row>
    <row r="15" spans="1:17" ht="24" customHeight="1">
      <c r="A15" s="81" t="s">
        <v>21</v>
      </c>
      <c r="B15" s="82"/>
      <c r="C15" s="82"/>
      <c r="D15" s="82"/>
      <c r="E15" s="82"/>
      <c r="F15" s="82"/>
      <c r="G15" s="82"/>
      <c r="H15" s="82"/>
      <c r="I15" s="82"/>
      <c r="J15" s="82"/>
      <c r="K15" s="83"/>
    </row>
    <row r="16" spans="1:17" ht="21.75" customHeight="1">
      <c r="A16" s="81" t="s">
        <v>22</v>
      </c>
      <c r="B16" s="82"/>
      <c r="C16" s="82"/>
      <c r="D16" s="82"/>
      <c r="E16" s="82"/>
      <c r="F16" s="82"/>
      <c r="G16" s="82"/>
      <c r="H16" s="82"/>
      <c r="I16" s="82"/>
      <c r="J16" s="82"/>
      <c r="K16" s="83"/>
    </row>
    <row r="17" spans="1:11" ht="20.25" customHeight="1">
      <c r="A17" s="81" t="s">
        <v>23</v>
      </c>
      <c r="B17" s="82"/>
      <c r="C17" s="82"/>
      <c r="D17" s="82"/>
      <c r="E17" s="82"/>
      <c r="F17" s="82"/>
      <c r="G17" s="82"/>
      <c r="H17" s="82"/>
      <c r="I17" s="82"/>
      <c r="J17" s="82"/>
      <c r="K17" s="83"/>
    </row>
    <row r="18" spans="1:11" ht="24" customHeight="1">
      <c r="A18" s="81" t="s">
        <v>24</v>
      </c>
      <c r="B18" s="82"/>
      <c r="C18" s="82"/>
      <c r="D18" s="82"/>
      <c r="E18" s="82"/>
      <c r="F18" s="82"/>
      <c r="G18" s="82"/>
      <c r="H18" s="82"/>
      <c r="I18" s="82"/>
      <c r="J18" s="82"/>
      <c r="K18" s="83"/>
    </row>
    <row r="19" spans="1:11" ht="15" customHeight="1">
      <c r="A19" s="107" t="s">
        <v>25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9"/>
    </row>
    <row r="20" spans="1:11" ht="18.75" customHeight="1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9"/>
    </row>
    <row r="21" spans="1:11" ht="44.25" customHeight="1">
      <c r="A21" s="101" t="s">
        <v>26</v>
      </c>
      <c r="B21" s="101"/>
      <c r="C21" s="84" t="s">
        <v>27</v>
      </c>
      <c r="D21" s="84"/>
      <c r="E21" s="84"/>
      <c r="F21" s="84"/>
      <c r="G21" s="84"/>
      <c r="H21" s="84"/>
      <c r="I21" s="84"/>
      <c r="J21" s="84"/>
      <c r="K21" s="84"/>
    </row>
    <row r="22" spans="1:11" ht="44.25" customHeight="1">
      <c r="A22" s="101" t="s">
        <v>28</v>
      </c>
      <c r="B22" s="101"/>
      <c r="C22" s="84" t="s">
        <v>29</v>
      </c>
      <c r="D22" s="84"/>
      <c r="E22" s="84"/>
      <c r="F22" s="84"/>
      <c r="G22" s="84"/>
      <c r="H22" s="84"/>
      <c r="I22" s="84"/>
      <c r="J22" s="84"/>
      <c r="K22" s="84"/>
    </row>
    <row r="23" spans="1:11" ht="32.25" customHeight="1">
      <c r="A23" s="101" t="s">
        <v>30</v>
      </c>
      <c r="B23" s="101"/>
      <c r="C23" s="84" t="s">
        <v>24</v>
      </c>
      <c r="D23" s="84"/>
      <c r="E23" s="84"/>
      <c r="F23" s="84"/>
      <c r="G23" s="84"/>
      <c r="H23" s="84"/>
      <c r="I23" s="84"/>
      <c r="J23" s="84"/>
      <c r="K23" s="84"/>
    </row>
    <row r="24" spans="1:11" ht="27.75" customHeight="1">
      <c r="A24" s="101" t="s">
        <v>31</v>
      </c>
      <c r="B24" s="101"/>
      <c r="C24" s="84" t="s">
        <v>16</v>
      </c>
      <c r="D24" s="84"/>
      <c r="E24" s="84"/>
      <c r="F24" s="84"/>
      <c r="G24" s="84"/>
      <c r="H24" s="84"/>
      <c r="I24" s="84"/>
      <c r="J24" s="84"/>
      <c r="K24" s="84"/>
    </row>
    <row r="25" spans="1:11" ht="30" customHeight="1">
      <c r="A25" s="101" t="s">
        <v>32</v>
      </c>
      <c r="B25" s="101"/>
      <c r="C25" s="84" t="s">
        <v>33</v>
      </c>
      <c r="D25" s="84"/>
      <c r="E25" s="84"/>
      <c r="F25" s="84"/>
      <c r="G25" s="84"/>
      <c r="H25" s="84"/>
      <c r="I25" s="84"/>
      <c r="J25" s="84"/>
      <c r="K25" s="84"/>
    </row>
    <row r="26" spans="1:11" ht="15" customHeight="1">
      <c r="A26" s="107" t="s">
        <v>34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9"/>
    </row>
    <row r="27" spans="1:11" ht="15" customHeight="1">
      <c r="A27" s="107"/>
      <c r="B27" s="108"/>
      <c r="C27" s="108"/>
      <c r="D27" s="108"/>
      <c r="E27" s="108"/>
      <c r="F27" s="108"/>
      <c r="G27" s="108"/>
      <c r="H27" s="108"/>
      <c r="I27" s="108"/>
      <c r="J27" s="108"/>
      <c r="K27" s="109"/>
    </row>
    <row r="28" spans="1:11" ht="21.75" customHeight="1">
      <c r="A28" s="112" t="s">
        <v>35</v>
      </c>
      <c r="B28" s="113"/>
      <c r="C28" s="113"/>
      <c r="D28" s="113"/>
      <c r="E28" s="113"/>
      <c r="F28" s="113"/>
      <c r="G28" s="113"/>
      <c r="H28" s="113"/>
      <c r="I28" s="113"/>
      <c r="J28" s="113"/>
      <c r="K28" s="114"/>
    </row>
    <row r="29" spans="1:11" ht="21.75" customHeight="1">
      <c r="A29" s="112" t="s">
        <v>36</v>
      </c>
      <c r="B29" s="113"/>
      <c r="C29" s="113"/>
      <c r="D29" s="113"/>
      <c r="E29" s="113"/>
      <c r="F29" s="113"/>
      <c r="G29" s="113"/>
      <c r="H29" s="113"/>
      <c r="I29" s="113"/>
      <c r="J29" s="113"/>
      <c r="K29" s="114"/>
    </row>
    <row r="30" spans="1:11" ht="20.25" customHeight="1">
      <c r="A30" s="112" t="s">
        <v>37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4"/>
    </row>
    <row r="31" spans="1:11" ht="19.5" customHeight="1">
      <c r="A31" s="112" t="s">
        <v>38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4"/>
    </row>
    <row r="32" spans="1:11" ht="22.5" customHeight="1">
      <c r="A32" s="112" t="s">
        <v>39</v>
      </c>
      <c r="B32" s="113"/>
      <c r="C32" s="113"/>
      <c r="D32" s="113"/>
      <c r="E32" s="113"/>
      <c r="F32" s="113"/>
      <c r="G32" s="113"/>
      <c r="H32" s="113"/>
      <c r="I32" s="113"/>
      <c r="J32" s="113"/>
      <c r="K32" s="114"/>
    </row>
    <row r="33" spans="1:11" ht="22.5" customHeight="1">
      <c r="A33" s="104" t="s">
        <v>40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6"/>
    </row>
  </sheetData>
  <sheetProtection algorithmName="SHA-512" hashValue="XTXnY0KmIVbckAfsd4iOO0GfUb1pgWrunqhxVj+6g7UKaL3GIF8JMr17d4Sczsg2RsbFwNXB1NyOCBh4DZUofA==" saltValue="1NwBzYWv4+1cmnepKL08iA==" spinCount="100000" sheet="1" objects="1" scenarios="1"/>
  <mergeCells count="53">
    <mergeCell ref="O6:Q6"/>
    <mergeCell ref="A33:K33"/>
    <mergeCell ref="A12:K13"/>
    <mergeCell ref="A5:B5"/>
    <mergeCell ref="A6:B6"/>
    <mergeCell ref="A28:K28"/>
    <mergeCell ref="A29:K29"/>
    <mergeCell ref="A30:K30"/>
    <mergeCell ref="A31:K31"/>
    <mergeCell ref="A32:K32"/>
    <mergeCell ref="C23:K23"/>
    <mergeCell ref="C24:K24"/>
    <mergeCell ref="C25:K25"/>
    <mergeCell ref="A26:K27"/>
    <mergeCell ref="A19:K20"/>
    <mergeCell ref="A24:B24"/>
    <mergeCell ref="A25:B25"/>
    <mergeCell ref="A7:B7"/>
    <mergeCell ref="A8:B8"/>
    <mergeCell ref="A9:B9"/>
    <mergeCell ref="A10:B10"/>
    <mergeCell ref="A11:B11"/>
    <mergeCell ref="A14:K14"/>
    <mergeCell ref="A15:K15"/>
    <mergeCell ref="A21:B21"/>
    <mergeCell ref="A22:B22"/>
    <mergeCell ref="A23:B23"/>
    <mergeCell ref="C7:K7"/>
    <mergeCell ref="C8:K8"/>
    <mergeCell ref="C9:K9"/>
    <mergeCell ref="C10:K10"/>
    <mergeCell ref="C11:K11"/>
    <mergeCell ref="A2:Q3"/>
    <mergeCell ref="A1:Q1"/>
    <mergeCell ref="E6:F6"/>
    <mergeCell ref="I6:J6"/>
    <mergeCell ref="K6:L6"/>
    <mergeCell ref="G5:H5"/>
    <mergeCell ref="M5:N5"/>
    <mergeCell ref="K5:L5"/>
    <mergeCell ref="G6:H6"/>
    <mergeCell ref="M6:N6"/>
    <mergeCell ref="C5:D5"/>
    <mergeCell ref="A4:Q4"/>
    <mergeCell ref="E5:F5"/>
    <mergeCell ref="I5:J5"/>
    <mergeCell ref="C6:D6"/>
    <mergeCell ref="O5:Q5"/>
    <mergeCell ref="A17:K17"/>
    <mergeCell ref="A18:K18"/>
    <mergeCell ref="C21:K21"/>
    <mergeCell ref="C22:K22"/>
    <mergeCell ref="A16:K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6B72"/>
  </sheetPr>
  <dimension ref="A1:E28"/>
  <sheetViews>
    <sheetView showGridLines="0" workbookViewId="0">
      <selection activeCell="B14" sqref="B14"/>
    </sheetView>
  </sheetViews>
  <sheetFormatPr baseColWidth="10" defaultColWidth="8.7109375" defaultRowHeight="15"/>
  <cols>
    <col min="1" max="1" width="38" style="73" customWidth="1"/>
    <col min="2" max="2" width="30" style="73" customWidth="1"/>
    <col min="3" max="3" width="12" style="73" customWidth="1"/>
    <col min="4" max="4" width="30" style="73" customWidth="1"/>
    <col min="5" max="5" width="54" style="73" customWidth="1"/>
  </cols>
  <sheetData>
    <row r="1" spans="1:5" ht="25.5" customHeight="1">
      <c r="A1" s="1" t="s">
        <v>0</v>
      </c>
      <c r="B1" s="2"/>
      <c r="C1" s="2"/>
      <c r="D1" s="2"/>
      <c r="E1" s="2"/>
    </row>
    <row r="2" spans="1:5" ht="23.25" customHeight="1">
      <c r="A2" s="120" t="s">
        <v>41</v>
      </c>
      <c r="B2" s="88"/>
      <c r="C2" s="88"/>
      <c r="D2" s="88"/>
      <c r="E2" s="88"/>
    </row>
    <row r="3" spans="1:5" ht="15" customHeight="1">
      <c r="A3" s="75" t="str">
        <f>HYPERLINK("#INICIO!A1","◀ INICIO")</f>
        <v>◀ INICIO</v>
      </c>
      <c r="B3" s="122" t="str">
        <f>HYPERLINK("#CALCULOS!A1","▶  CALCULOS")</f>
        <v>▶  CALCULOS</v>
      </c>
      <c r="C3" s="123"/>
      <c r="D3" s="122" t="str">
        <f>HYPERLINK("#RESULTADOS!A1","▶ RESULTADOS")</f>
        <v>▶ RESULTADOS</v>
      </c>
      <c r="E3" s="123"/>
    </row>
    <row r="4" spans="1:5" ht="19.5" customHeight="1">
      <c r="A4" s="115" t="s">
        <v>42</v>
      </c>
      <c r="B4" s="116"/>
      <c r="C4" s="116"/>
      <c r="D4" s="116"/>
      <c r="E4" s="117"/>
    </row>
    <row r="5" spans="1:5" ht="15" customHeight="1">
      <c r="A5" s="121" t="s">
        <v>43</v>
      </c>
      <c r="B5" s="116"/>
      <c r="C5" s="116"/>
      <c r="D5" s="116"/>
      <c r="E5" s="117"/>
    </row>
    <row r="6" spans="1:5" ht="15" customHeight="1">
      <c r="A6" s="41" t="s">
        <v>44</v>
      </c>
      <c r="B6" s="41" t="s">
        <v>45</v>
      </c>
      <c r="C6" s="41" t="s">
        <v>46</v>
      </c>
      <c r="D6" s="41" t="s">
        <v>47</v>
      </c>
      <c r="E6" s="41" t="s">
        <v>48</v>
      </c>
    </row>
    <row r="7" spans="1:5" ht="15" customHeight="1">
      <c r="A7" s="68" t="s">
        <v>49</v>
      </c>
      <c r="B7" s="43" t="s">
        <v>50</v>
      </c>
      <c r="C7" s="49" t="s">
        <v>51</v>
      </c>
      <c r="D7" s="56" t="s">
        <v>52</v>
      </c>
      <c r="E7" s="56" t="s">
        <v>53</v>
      </c>
    </row>
    <row r="8" spans="1:5" ht="15" customHeight="1">
      <c r="A8" s="68" t="s">
        <v>13</v>
      </c>
      <c r="B8" s="45">
        <v>46217</v>
      </c>
      <c r="C8" s="49" t="s">
        <v>54</v>
      </c>
      <c r="D8" s="56" t="s">
        <v>13</v>
      </c>
      <c r="E8" s="56" t="s">
        <v>55</v>
      </c>
    </row>
    <row r="9" spans="1:5" ht="15" customHeight="1">
      <c r="A9" s="68" t="s">
        <v>56</v>
      </c>
      <c r="B9" s="43" t="s">
        <v>57</v>
      </c>
      <c r="C9" s="49" t="s">
        <v>51</v>
      </c>
      <c r="D9" s="56" t="s">
        <v>52</v>
      </c>
      <c r="E9" s="56" t="s">
        <v>58</v>
      </c>
    </row>
    <row r="10" spans="1:5" ht="15" customHeight="1">
      <c r="A10" s="68" t="s">
        <v>59</v>
      </c>
      <c r="B10" s="43" t="s">
        <v>60</v>
      </c>
      <c r="C10" s="49" t="s">
        <v>51</v>
      </c>
      <c r="D10" s="56" t="s">
        <v>61</v>
      </c>
      <c r="E10" s="56" t="s">
        <v>62</v>
      </c>
    </row>
    <row r="11" spans="1:5" ht="15" customHeight="1">
      <c r="A11" s="68" t="s">
        <v>63</v>
      </c>
      <c r="B11" s="46">
        <v>34</v>
      </c>
      <c r="C11" s="49" t="s">
        <v>64</v>
      </c>
      <c r="D11" s="56" t="s">
        <v>65</v>
      </c>
      <c r="E11" s="56" t="s">
        <v>66</v>
      </c>
    </row>
    <row r="12" spans="1:5" ht="15" customHeight="1">
      <c r="A12" s="68" t="s">
        <v>67</v>
      </c>
      <c r="B12" s="47">
        <v>78.5</v>
      </c>
      <c r="C12" s="49" t="s">
        <v>68</v>
      </c>
      <c r="D12" s="56" t="s">
        <v>69</v>
      </c>
      <c r="E12" s="56" t="s">
        <v>70</v>
      </c>
    </row>
    <row r="13" spans="1:5" ht="15" customHeight="1">
      <c r="A13" s="68" t="s">
        <v>71</v>
      </c>
      <c r="B13" s="47">
        <v>176</v>
      </c>
      <c r="C13" s="49" t="s">
        <v>72</v>
      </c>
      <c r="D13" s="56" t="s">
        <v>73</v>
      </c>
      <c r="E13" s="56" t="s">
        <v>644</v>
      </c>
    </row>
    <row r="14" spans="1:5" ht="15" customHeight="1">
      <c r="A14" s="68" t="s">
        <v>74</v>
      </c>
      <c r="B14" s="43" t="s">
        <v>75</v>
      </c>
      <c r="C14" s="49" t="s">
        <v>51</v>
      </c>
      <c r="D14" s="56" t="s">
        <v>645</v>
      </c>
      <c r="E14" s="56" t="s">
        <v>76</v>
      </c>
    </row>
    <row r="15" spans="1:5" ht="24" customHeight="1">
      <c r="A15" s="68" t="s">
        <v>77</v>
      </c>
      <c r="B15" s="46">
        <v>500</v>
      </c>
      <c r="C15" s="49" t="s">
        <v>78</v>
      </c>
      <c r="D15" s="56" t="s">
        <v>79</v>
      </c>
      <c r="E15" s="56" t="s">
        <v>80</v>
      </c>
    </row>
    <row r="16" spans="1:5" ht="21.75" customHeight="1">
      <c r="A16" s="68" t="s">
        <v>81</v>
      </c>
      <c r="B16" s="43" t="s">
        <v>82</v>
      </c>
      <c r="C16" s="49" t="s">
        <v>51</v>
      </c>
      <c r="D16" s="56" t="s">
        <v>83</v>
      </c>
      <c r="E16" s="56" t="s">
        <v>84</v>
      </c>
    </row>
    <row r="17" spans="1:5" ht="15" customHeight="1">
      <c r="A17" s="68" t="s">
        <v>85</v>
      </c>
      <c r="B17" s="48"/>
      <c r="C17" s="49" t="s">
        <v>86</v>
      </c>
      <c r="D17" s="56" t="s">
        <v>87</v>
      </c>
      <c r="E17" s="56" t="s">
        <v>88</v>
      </c>
    </row>
    <row r="18" spans="1:5" ht="15" customHeight="1">
      <c r="A18" s="68" t="s">
        <v>89</v>
      </c>
      <c r="B18" s="46">
        <v>170</v>
      </c>
      <c r="C18" s="49" t="s">
        <v>90</v>
      </c>
      <c r="D18" s="56" t="s">
        <v>91</v>
      </c>
      <c r="E18" s="56" t="s">
        <v>92</v>
      </c>
    </row>
    <row r="19" spans="1:5" ht="15" customHeight="1">
      <c r="A19" s="68" t="s">
        <v>93</v>
      </c>
      <c r="B19" s="46">
        <v>500</v>
      </c>
      <c r="C19" s="49" t="s">
        <v>90</v>
      </c>
      <c r="D19" s="56" t="s">
        <v>91</v>
      </c>
      <c r="E19" s="56" t="s">
        <v>92</v>
      </c>
    </row>
    <row r="20" spans="1:5" ht="15" customHeight="1">
      <c r="A20" s="68" t="s">
        <v>94</v>
      </c>
      <c r="B20" s="46">
        <v>90</v>
      </c>
      <c r="C20" s="49" t="s">
        <v>90</v>
      </c>
      <c r="D20" s="56" t="s">
        <v>91</v>
      </c>
      <c r="E20" s="56" t="s">
        <v>92</v>
      </c>
    </row>
    <row r="21" spans="1:5" ht="15" customHeight="1">
      <c r="A21" s="68" t="s">
        <v>95</v>
      </c>
      <c r="B21" s="46"/>
      <c r="C21" s="49" t="s">
        <v>90</v>
      </c>
      <c r="D21" s="56" t="s">
        <v>91</v>
      </c>
      <c r="E21" s="56" t="s">
        <v>96</v>
      </c>
    </row>
    <row r="22" spans="1:5" ht="15" customHeight="1">
      <c r="A22" s="68" t="s">
        <v>97</v>
      </c>
      <c r="B22" s="43" t="s">
        <v>98</v>
      </c>
      <c r="C22" s="49" t="s">
        <v>51</v>
      </c>
      <c r="D22" s="56" t="s">
        <v>99</v>
      </c>
      <c r="E22" s="56" t="s">
        <v>100</v>
      </c>
    </row>
    <row r="23" spans="1:5" ht="21.75" customHeight="1">
      <c r="A23" s="68" t="s">
        <v>101</v>
      </c>
      <c r="B23" s="43" t="s">
        <v>102</v>
      </c>
      <c r="C23" s="49" t="s">
        <v>51</v>
      </c>
      <c r="D23" s="56" t="s">
        <v>103</v>
      </c>
      <c r="E23" s="56" t="s">
        <v>104</v>
      </c>
    </row>
    <row r="24" spans="1:5" ht="15" customHeight="1">
      <c r="A24" s="68" t="s">
        <v>105</v>
      </c>
      <c r="B24" s="43"/>
      <c r="C24" s="49" t="s">
        <v>51</v>
      </c>
      <c r="D24" s="56" t="s">
        <v>52</v>
      </c>
      <c r="E24" s="56" t="s">
        <v>106</v>
      </c>
    </row>
    <row r="26" spans="1:5" ht="15" customHeight="1">
      <c r="A26" s="118" t="s">
        <v>107</v>
      </c>
      <c r="B26" s="119"/>
      <c r="C26" s="119"/>
      <c r="D26" s="119"/>
      <c r="E26" s="119"/>
    </row>
    <row r="28" spans="1:5">
      <c r="A28"/>
      <c r="B28"/>
      <c r="C28"/>
      <c r="D28"/>
      <c r="E28"/>
    </row>
  </sheetData>
  <sheetProtection algorithmName="SHA-512" hashValue="+tK/YoUpIS7xYP//oAiw4gcoz0suqMLeYdLElp3RKrCGed9uUPEOxKePn9K0i3/r4TP2iRPVHiAVz45nsCFCtA==" saltValue="x2q2ZDMDQagDw3rxomZw/A==" spinCount="100000" sheet="1" objects="1" scenarios="1"/>
  <protectedRanges>
    <protectedRange sqref="B7:B24" name="Rango1"/>
  </protectedRanges>
  <mergeCells count="6">
    <mergeCell ref="A4:E4"/>
    <mergeCell ref="A26:E26"/>
    <mergeCell ref="A2:E2"/>
    <mergeCell ref="A5:E5"/>
    <mergeCell ref="B3:C3"/>
    <mergeCell ref="D3:E3"/>
  </mergeCells>
  <dataValidations count="11">
    <dataValidation type="list" allowBlank="1" sqref="B10" xr:uid="{00000000-0002-0000-0100-000000000000}">
      <formula1>SEXOS</formula1>
    </dataValidation>
    <dataValidation type="decimal" allowBlank="1" sqref="B11" xr:uid="{00000000-0002-0000-0100-000001000000}">
      <formula1>EDAD_MIN</formula1>
      <formula2>EDAD_MAX</formula2>
    </dataValidation>
    <dataValidation type="decimal" allowBlank="1" sqref="B12" xr:uid="{00000000-0002-0000-0100-000002000000}">
      <formula1>PESO_MIN</formula1>
      <formula2>PESO_MAX</formula2>
    </dataValidation>
    <dataValidation type="decimal" allowBlank="1" sqref="B13" xr:uid="{00000000-0002-0000-0100-000003000000}">
      <formula1>EST_MIN</formula1>
      <formula2>EST_MAX</formula2>
    </dataValidation>
    <dataValidation type="list" allowBlank="1" sqref="B14" xr:uid="{00000000-0002-0000-0100-000004000000}">
      <formula1>"Mifflin–St Jeor (1990),Harris–Benedict revisada · Roza &amp; Shizgal (1984),Henry / Oxford (2005) · solo peso,GEB medido / ingresado a mano"</formula1>
    </dataValidation>
    <dataValidation type="decimal" allowBlank="1" sqref="B15" xr:uid="{00000000-0002-0000-0100-000005000000}">
      <formula1>GEB_MIN</formula1>
      <formula2>GEB_MAX</formula2>
    </dataValidation>
    <dataValidation type="list" allowBlank="1" sqref="B16" xr:uid="{00000000-0002-0000-0100-000006000000}">
      <formula1>LISTA_ETA</formula1>
    </dataValidation>
    <dataValidation type="decimal" allowBlank="1" sqref="B17" xr:uid="{00000000-0002-0000-0100-000007000000}">
      <formula1>0</formula1>
      <formula2>ETA_MAX</formula2>
    </dataValidation>
    <dataValidation type="decimal" operator="greaterThanOrEqual" allowBlank="1" sqref="B18:B21" xr:uid="{00000000-0002-0000-0100-000008000000}">
      <formula1>0</formula1>
    </dataValidation>
    <dataValidation type="list" allowBlank="1" sqref="B22" xr:uid="{00000000-0002-0000-0100-000009000000}">
      <formula1>LISTA_MET</formula1>
    </dataValidation>
    <dataValidation type="list" allowBlank="1" sqref="B23" xr:uid="{00000000-0002-0000-0100-00000A000000}">
      <formula1>SINO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6B72"/>
  </sheetPr>
  <dimension ref="A1:D66"/>
  <sheetViews>
    <sheetView showGridLines="0" topLeftCell="A43" workbookViewId="0"/>
  </sheetViews>
  <sheetFormatPr baseColWidth="10" defaultColWidth="8.7109375" defaultRowHeight="15"/>
  <cols>
    <col min="1" max="1" width="50" style="73" customWidth="1"/>
    <col min="2" max="2" width="43.140625" style="73" customWidth="1"/>
    <col min="3" max="3" width="12" style="73" customWidth="1"/>
    <col min="4" max="4" width="60" style="73" customWidth="1"/>
  </cols>
  <sheetData>
    <row r="1" spans="1:4" ht="25.5" customHeight="1">
      <c r="A1" s="78" t="s">
        <v>0</v>
      </c>
      <c r="B1" s="2"/>
      <c r="C1" s="2"/>
      <c r="D1" s="2"/>
    </row>
    <row r="2" spans="1:4" ht="27.75" customHeight="1">
      <c r="A2" s="131" t="s">
        <v>108</v>
      </c>
      <c r="B2" s="131"/>
      <c r="C2" s="131"/>
      <c r="D2" s="131"/>
    </row>
    <row r="3" spans="1:4" ht="15" customHeight="1">
      <c r="A3" s="77" t="str">
        <f>HYPERLINK("#DATOS!A1","◀ DATOS")</f>
        <v>◀ DATOS</v>
      </c>
      <c r="B3" s="76" t="str">
        <f>HYPERLINK("#DIARIO!A1", "▶ DIARIO")</f>
        <v>▶ DIARIO</v>
      </c>
      <c r="C3" s="122" t="str">
        <f>HYPERLINK("#RESULTADOS!A1","▶ RESULTADOS")</f>
        <v>▶ RESULTADOS</v>
      </c>
      <c r="D3" s="130"/>
    </row>
    <row r="4" spans="1:4" ht="42" customHeight="1">
      <c r="A4" s="126" t="s">
        <v>109</v>
      </c>
      <c r="B4" s="119"/>
      <c r="C4" s="119"/>
      <c r="D4" s="119"/>
    </row>
    <row r="5" spans="1:4" ht="15" customHeight="1">
      <c r="A5" s="129" t="s">
        <v>110</v>
      </c>
      <c r="B5" s="116"/>
      <c r="C5" s="116"/>
      <c r="D5" s="117"/>
    </row>
    <row r="6" spans="1:4" ht="15" customHeight="1">
      <c r="A6" s="41" t="s">
        <v>111</v>
      </c>
      <c r="B6" s="41" t="s">
        <v>45</v>
      </c>
      <c r="C6" s="41" t="s">
        <v>46</v>
      </c>
      <c r="D6" s="62" t="s">
        <v>112</v>
      </c>
    </row>
    <row r="7" spans="1:4" ht="15" customHeight="1">
      <c r="A7" s="39" t="s">
        <v>71</v>
      </c>
      <c r="B7" s="51">
        <f>IF(ISNUMBER(in_Est),in_Est/100,"ND")</f>
        <v>1.76</v>
      </c>
      <c r="C7" s="44" t="s">
        <v>113</v>
      </c>
      <c r="D7" s="54" t="s">
        <v>114</v>
      </c>
    </row>
    <row r="8" spans="1:4" ht="15" customHeight="1">
      <c r="A8" s="39" t="s">
        <v>115</v>
      </c>
      <c r="B8" s="51">
        <f>IF(AND(ISNUMBER(in_Peso),ISNUMBER(in_Est),in_Est&gt;0),in_Peso/(in_Est/100)^2,"ND: falta peso o estatura")</f>
        <v>25.342200413223143</v>
      </c>
      <c r="C8" s="44" t="s">
        <v>116</v>
      </c>
      <c r="D8" s="54" t="s">
        <v>117</v>
      </c>
    </row>
    <row r="9" spans="1:4" ht="15" customHeight="1">
      <c r="A9" s="39" t="s">
        <v>118</v>
      </c>
      <c r="B9" s="52">
        <f>IF(AND(COUNTIF(SEXOS,in_Sexo)&gt;0,ISNUMBER(in_Peso),ISNUMBER(in_Est),in_Est&gt;0,ISNUMBER(in_Edad)),INDEX(CONFIG!$B$64:$B$65,MATCH(in_Sexo,CONFIG!$A$64:$A$65,0))+INDEX(CONFIG!$C$64:$C$65,MATCH(in_Sexo,CONFIG!$A$64:$A$65,0))*in_Peso+INDEX(CONFIG!$D$64:$D$65,MATCH(in_Sexo,CONFIG!$A$64:$A$65,0))*in_Est+INDEX(CONFIG!$E$64:$E$65,MATCH(in_Sexo,CONFIG!$A$64:$A$65,0))*in_Edad,"ND: Mifflin exige sexo, peso, estatura y edad")</f>
        <v>1720</v>
      </c>
      <c r="C9" s="44" t="s">
        <v>78</v>
      </c>
      <c r="D9" s="54" t="s">
        <v>119</v>
      </c>
    </row>
    <row r="10" spans="1:4" ht="15" customHeight="1">
      <c r="A10" s="39" t="s">
        <v>120</v>
      </c>
      <c r="B10" s="52">
        <f>IF(AND(COUNTIF(SEXOS,in_Sexo)&gt;0,ISNUMBER(in_Peso),ISNUMBER(in_Edad)),SUMPRODUCT((CONFIG!$A$69:$A$74=in_Sexo)*(CONFIG!$B$69:$B$74&lt;=in_Edad)*(in_Edad&lt;CONFIG!$C$69:$C$74)*CONFIG!$D$69:$D$74)+SUMPRODUCT((CONFIG!$A$69:$A$74=in_Sexo)*(CONFIG!$B$69:$B$74&lt;=in_Edad)*(in_Edad&lt;CONFIG!$C$69:$C$74)*CONFIG!$E$69:$E$74)*in_Peso,"ND: Henry exige sexo, peso y edad")</f>
        <v>1707.7</v>
      </c>
      <c r="C10" s="44" t="s">
        <v>78</v>
      </c>
      <c r="D10" s="54" t="s">
        <v>121</v>
      </c>
    </row>
    <row r="11" spans="1:4" ht="15" customHeight="1">
      <c r="A11" s="39" t="s">
        <v>122</v>
      </c>
      <c r="B11" s="52">
        <f>IF(AND(ISNUMBER(in_GEBman),in_GEBman&gt;=GEB_MIN,in_GEBman&lt;=GEB_MAX),in_GEBman,"ND: GEB medido ausente o fuera de rango")</f>
        <v>500</v>
      </c>
      <c r="C11" s="44" t="s">
        <v>78</v>
      </c>
      <c r="D11" s="54" t="s">
        <v>123</v>
      </c>
    </row>
    <row r="12" spans="1:4" ht="15" customHeight="1">
      <c r="A12" s="38" t="s">
        <v>124</v>
      </c>
      <c r="B12" s="53">
        <f>IF(AND(in_Ecu&lt;&gt;"Mifflin–St Jeor (1990)",in_Ecu&lt;&gt;"Harris–Benedict revisada · Roza &amp; Shizgal (1984)",in_Ecu&lt;&gt;"Henry / Oxford (2005) · solo peso",in_Ecu&lt;&gt;"GEB medido / ingresado a mano"),"ND: ecuación no válida",IF(in_Ecu="Mifflin–St Jeor (1990)",B9,IF(in_Ecu="Harris–Benedict revisada · Roza &amp; Shizgal (1984)",IF(AND(COUNTIF(SEXOS,in_Sexo)&gt;0,ISNUMBER(in_Peso),ISNUMBER(in_Est),in_Est&gt;0,ISNUMBER(in_Edad)),INDEX(CONFIG!$B$99:$B$100,MATCH(in_Sexo,CONFIG!$A$99:$A$100,0))+INDEX(CONFIG!$C$99:$C$100,MATCH(in_Sexo,CONFIG!$A$99:$A$100,0))*in_Peso+INDEX(CONFIG!$D$99:$D$100,MATCH(in_Sexo,CONFIG!$A$99:$A$100,0))*in_Est+INDEX(CONFIG!$E$99:$E$100,MATCH(in_Sexo,CONFIG!$A$99:$A$100,0))*in_Edad,"ND: Harris exige sexo, peso, estatura y edad"),IF(in_Ecu="Henry / Oxford (2005) · solo peso",B10,B11))))</f>
        <v>1720</v>
      </c>
      <c r="C12" s="44" t="s">
        <v>78</v>
      </c>
      <c r="D12" s="54" t="s">
        <v>646</v>
      </c>
    </row>
    <row r="13" spans="1:4">
      <c r="A13" s="61"/>
      <c r="B13" s="61"/>
      <c r="C13" s="61"/>
      <c r="D13" s="61"/>
    </row>
    <row r="14" spans="1:4" ht="15" customHeight="1">
      <c r="A14" s="129" t="s">
        <v>125</v>
      </c>
      <c r="B14" s="116"/>
      <c r="C14" s="116"/>
      <c r="D14" s="117"/>
    </row>
    <row r="15" spans="1:4" ht="15" customHeight="1">
      <c r="A15" s="41" t="s">
        <v>126</v>
      </c>
      <c r="B15" s="41" t="s">
        <v>127</v>
      </c>
      <c r="C15" s="125" t="s">
        <v>112</v>
      </c>
      <c r="D15" s="117"/>
    </row>
    <row r="16" spans="1:4" ht="15" customHeight="1">
      <c r="A16" s="68" t="s">
        <v>59</v>
      </c>
      <c r="B16" s="55" t="str">
        <f>IF(COUNTIF(SEXOS,in_Sexo)&gt;0,"OK","ERROR: sexo no válido")</f>
        <v>OK</v>
      </c>
      <c r="C16" s="128" t="s">
        <v>128</v>
      </c>
      <c r="D16" s="117"/>
    </row>
    <row r="17" spans="1:4" ht="15" customHeight="1">
      <c r="A17" s="68" t="s">
        <v>129</v>
      </c>
      <c r="B17" s="55" t="str">
        <f>IF(NOT(ISNUMBER(in_Edad)),"ERROR: edad no numérica",IF(AND(in_Edad&gt;=EDAD_MIN,in_Edad&lt;=EDAD_MAX),"OK","ERROR: edad fuera del alcance adulto"))</f>
        <v>OK</v>
      </c>
      <c r="C17" s="128" t="s">
        <v>130</v>
      </c>
      <c r="D17" s="117"/>
    </row>
    <row r="18" spans="1:4" ht="15" customHeight="1">
      <c r="A18" s="68" t="s">
        <v>131</v>
      </c>
      <c r="B18" s="55" t="str">
        <f>IF(NOT(ISNUMBER(in_Peso)),"ERROR: peso no numérico",IF(AND(in_Peso&gt;=PESO_MIN,in_Peso&lt;=PESO_MAX),"OK","ERROR: peso fuera de rango"))</f>
        <v>OK</v>
      </c>
      <c r="C18" s="128" t="s">
        <v>132</v>
      </c>
      <c r="D18" s="117"/>
    </row>
    <row r="19" spans="1:4" ht="15" customHeight="1">
      <c r="A19" s="68" t="s">
        <v>647</v>
      </c>
      <c r="B19" s="55" t="str">
        <f>IF(OR(in_Ecu="Mifflin–St Jeor (1990)",in_Ecu="Harris–Benedict revisada · Roza &amp; Shizgal (1984)"),IF(NOT(ISNUMBER(in_Est)),"ERROR: la ecuación seleccionada exige estatura",IF(AND(in_Est&gt;=EST_MIN,in_Est&lt;=EST_MAX),"OK","ERROR: estatura fuera de rango")),"NO APLICA (la ecuación no usa estatura)")</f>
        <v>OK</v>
      </c>
      <c r="C19" s="128" t="s">
        <v>648</v>
      </c>
      <c r="D19" s="117"/>
    </row>
    <row r="20" spans="1:4" ht="15" customHeight="1">
      <c r="A20" s="68" t="s">
        <v>133</v>
      </c>
      <c r="B20" s="55" t="str">
        <f>IF(ISNUMBER(B12),"OK","ERROR: el GEB no se puede calcular con los datos actuales")</f>
        <v>OK</v>
      </c>
      <c r="C20" s="128" t="s">
        <v>134</v>
      </c>
      <c r="D20" s="117"/>
    </row>
    <row r="21" spans="1:4" ht="15" customHeight="1">
      <c r="A21" s="68" t="s">
        <v>135</v>
      </c>
      <c r="B21" s="55" t="str">
        <f>IF(ABS(a_Horas-HORAS_DIA)&lt;=0.001,"OK","ERROR: el diario de ACTIVIDADES no suma 24 h")</f>
        <v>OK</v>
      </c>
      <c r="C21" s="128" t="s">
        <v>136</v>
      </c>
      <c r="D21" s="117"/>
    </row>
    <row r="22" spans="1:4" ht="15" customHeight="1">
      <c r="A22" s="68" t="s">
        <v>137</v>
      </c>
      <c r="B22" s="55" t="str">
        <f>IF(AND(OR(ISBLANK(in_gPro),AND(ISNUMBER(in_gPro),in_gPro&gt;=0)),OR(ISBLANK(in_gCho),AND(ISNUMBER(in_gCho),in_gCho&gt;=0)),OR(ISBLANK(in_gGra),AND(ISNUMBER(in_gGra),in_gGra&gt;=0)),OR(ISBLANK(in_gAlc),AND(ISNUMBER(in_gAlc),in_gAlc&gt;=0))),"OK","ERROR: gramos inválidos o negativos")</f>
        <v>OK</v>
      </c>
      <c r="C22" s="128" t="s">
        <v>138</v>
      </c>
      <c r="D22" s="117"/>
    </row>
    <row r="23" spans="1:4" ht="15" customHeight="1">
      <c r="A23" s="68" t="s">
        <v>139</v>
      </c>
      <c r="B23" s="55" t="str">
        <f>IF(OR(LEFT(B16,5)="ERROR",LEFT(B17,5)="ERROR",LEFT(B18,5)="ERROR",LEFT(B19,5)="ERROR",LEFT(B20,5)="ERROR",LEFT(B21,5)="ERROR",LEFT(B22,5)="ERROR"),"NO","SÍ")</f>
        <v>SÍ</v>
      </c>
      <c r="C23" s="128" t="s">
        <v>140</v>
      </c>
      <c r="D23" s="117"/>
    </row>
    <row r="24" spans="1:4">
      <c r="A24" s="61"/>
      <c r="B24" s="61"/>
      <c r="C24" s="61"/>
      <c r="D24" s="61"/>
    </row>
    <row r="25" spans="1:4" ht="15" customHeight="1">
      <c r="A25" s="129" t="s">
        <v>141</v>
      </c>
      <c r="B25" s="116"/>
      <c r="C25" s="116"/>
      <c r="D25" s="117"/>
    </row>
    <row r="26" spans="1:4" ht="15" customHeight="1">
      <c r="A26" s="41" t="s">
        <v>111</v>
      </c>
      <c r="B26" s="41" t="s">
        <v>45</v>
      </c>
      <c r="C26" s="41" t="s">
        <v>46</v>
      </c>
      <c r="D26" s="41" t="s">
        <v>112</v>
      </c>
    </row>
    <row r="27" spans="1:4" ht="15" customHeight="1">
      <c r="A27" s="68" t="s">
        <v>142</v>
      </c>
      <c r="B27" s="57">
        <f>IF(ISNUMBER(in_pETA),in_pETA,TEF_FIJO)</f>
        <v>0.1</v>
      </c>
      <c r="C27" s="49" t="s">
        <v>86</v>
      </c>
      <c r="D27" s="56" t="s">
        <v>143</v>
      </c>
    </row>
    <row r="28" spans="1:4" ht="15" customHeight="1">
      <c r="A28" s="68" t="s">
        <v>144</v>
      </c>
      <c r="B28" s="66">
        <f>IF(AND(c_Gate="SÍ",ISNUMBER(B12),ISNUMBER(a_AEE)),B27*(B12+a_AEE),"—")</f>
        <v>404.36</v>
      </c>
      <c r="C28" s="49" t="s">
        <v>78</v>
      </c>
      <c r="D28" s="56" t="s">
        <v>145</v>
      </c>
    </row>
    <row r="29" spans="1:4" ht="15" customHeight="1">
      <c r="A29" s="68" t="s">
        <v>146</v>
      </c>
      <c r="B29" s="66">
        <f>IF(AND(ISNUMBER(in_gPro),ISNUMBER(in_gCho),ISNUMBER(in_gGra)),in_gPro*KPRO*TEF_PRO+in_gCho*KCHO*TEF_CHO+in_gGra*KGRA*TEF_GRA+IF(ISNUMBER(in_gAlc),in_gAlc,0)*KALC*TEF_ALC,"ND: faltan gramos de la dieta")</f>
        <v>346.2</v>
      </c>
      <c r="C29" s="49" t="s">
        <v>78</v>
      </c>
      <c r="D29" s="56" t="s">
        <v>147</v>
      </c>
    </row>
    <row r="30" spans="1:4" ht="15" customHeight="1">
      <c r="A30" s="68" t="s">
        <v>148</v>
      </c>
      <c r="B30" s="66">
        <f>IF(c_Gate&lt;&gt;"SÍ","—",IF(in_MetETA=INDEX(LISTA_ETA,1),B28,IF(ISNUMBER(B29),B29,B28)))</f>
        <v>346.2</v>
      </c>
      <c r="C30" s="49" t="s">
        <v>78</v>
      </c>
      <c r="D30" s="56" t="s">
        <v>149</v>
      </c>
    </row>
    <row r="31" spans="1:4">
      <c r="A31" s="61"/>
      <c r="B31" s="61"/>
      <c r="C31" s="61"/>
      <c r="D31" s="61"/>
    </row>
    <row r="32" spans="1:4" ht="15" customHeight="1">
      <c r="A32" s="129" t="s">
        <v>150</v>
      </c>
      <c r="B32" s="116"/>
      <c r="C32" s="116"/>
      <c r="D32" s="117"/>
    </row>
    <row r="33" spans="1:4" ht="15" customHeight="1">
      <c r="A33" s="41" t="s">
        <v>151</v>
      </c>
      <c r="B33" s="41" t="s">
        <v>45</v>
      </c>
      <c r="C33" s="41" t="s">
        <v>46</v>
      </c>
      <c r="D33" s="41" t="s">
        <v>112</v>
      </c>
    </row>
    <row r="34" spans="1:4" ht="15" customHeight="1">
      <c r="A34" s="68" t="s">
        <v>152</v>
      </c>
      <c r="B34" s="66">
        <f>IF(ISNUMBER(B12),B12,"ND")</f>
        <v>1720</v>
      </c>
      <c r="C34" s="49" t="s">
        <v>78</v>
      </c>
      <c r="D34" s="56" t="s">
        <v>153</v>
      </c>
    </row>
    <row r="35" spans="1:4" ht="15" customHeight="1">
      <c r="A35" s="68" t="s">
        <v>154</v>
      </c>
      <c r="B35" s="66">
        <f>IF(c_Gate="SÍ",a_AEE,"—")</f>
        <v>2323.6</v>
      </c>
      <c r="C35" s="49" t="s">
        <v>78</v>
      </c>
      <c r="D35" s="56" t="s">
        <v>155</v>
      </c>
    </row>
    <row r="36" spans="1:4" ht="15" customHeight="1">
      <c r="A36" s="68" t="s">
        <v>156</v>
      </c>
      <c r="B36" s="66">
        <f>IF(c_Gate="SÍ",a_TEEmet,"—")</f>
        <v>4207.5999999999995</v>
      </c>
      <c r="C36" s="49" t="s">
        <v>78</v>
      </c>
      <c r="D36" s="56" t="s">
        <v>157</v>
      </c>
    </row>
    <row r="37" spans="1:4" ht="15" customHeight="1">
      <c r="A37" s="68" t="s">
        <v>158</v>
      </c>
      <c r="B37" s="67">
        <f>IF(c_Gate="SÍ",a_IndiceMET,"—")</f>
        <v>2.2333333333333329</v>
      </c>
      <c r="C37" s="49" t="s">
        <v>51</v>
      </c>
      <c r="D37" s="56" t="s">
        <v>159</v>
      </c>
    </row>
    <row r="38" spans="1:4" ht="15" customHeight="1">
      <c r="A38" s="68" t="s">
        <v>160</v>
      </c>
      <c r="B38" s="60">
        <f>IF(AND(c_Gate="SÍ",ISNUMBER(B12),ISNUMBER(B35),ISNUMBER(B30)),B12+B35+B30,"ND")</f>
        <v>4389.8</v>
      </c>
      <c r="C38" s="49" t="s">
        <v>78</v>
      </c>
      <c r="D38" s="56" t="s">
        <v>161</v>
      </c>
    </row>
    <row r="39" spans="1:4" ht="15" customHeight="1">
      <c r="A39" s="68" t="s">
        <v>162</v>
      </c>
      <c r="B39" s="60">
        <f>IF(AND(c_Gate="SÍ",ISNUMBER(B36)),B36+IF(in_ETA2="Sí",IF(ISNUMBER(B30),B30,0),0),"ND")</f>
        <v>4553.7999999999993</v>
      </c>
      <c r="C39" s="49" t="s">
        <v>78</v>
      </c>
      <c r="D39" s="56" t="s">
        <v>163</v>
      </c>
    </row>
    <row r="40" spans="1:4" ht="15" customHeight="1">
      <c r="A40" s="68" t="s">
        <v>164</v>
      </c>
      <c r="B40" s="60">
        <f>IF(AND(c_Gate="SÍ",ISNUMBER(B12),ISNUMBER(B37)),B12*B37,"ND")</f>
        <v>3841.3333333333326</v>
      </c>
      <c r="C40" s="49" t="s">
        <v>78</v>
      </c>
      <c r="D40" s="56" t="s">
        <v>165</v>
      </c>
    </row>
    <row r="41" spans="1:4" ht="15" customHeight="1">
      <c r="A41" s="68" t="s">
        <v>166</v>
      </c>
      <c r="B41" s="67">
        <f>IF(AND(ISNUMBER(B38),ISNUMBER(B12)),B38/B12,"ND")</f>
        <v>2.5522093023255814</v>
      </c>
      <c r="C41" s="49" t="s">
        <v>51</v>
      </c>
      <c r="D41" s="56" t="s">
        <v>167</v>
      </c>
    </row>
    <row r="42" spans="1:4" ht="15" customHeight="1">
      <c r="A42" s="68" t="s">
        <v>168</v>
      </c>
      <c r="B42" s="67">
        <f>IF(AND(ISNUMBER(B39),ISNUMBER(B12)),B39/B12,"ND")</f>
        <v>2.6475581395348833</v>
      </c>
      <c r="C42" s="49" t="s">
        <v>51</v>
      </c>
      <c r="D42" s="56" t="s">
        <v>169</v>
      </c>
    </row>
    <row r="43" spans="1:4" ht="15" customHeight="1">
      <c r="A43" s="68" t="s">
        <v>170</v>
      </c>
      <c r="B43" s="67">
        <f>IF(AND(ISNUMBER(B40),ISNUMBER(B12)),B40/B12,"ND")</f>
        <v>2.2333333333333329</v>
      </c>
      <c r="C43" s="49" t="s">
        <v>51</v>
      </c>
      <c r="D43" s="56" t="s">
        <v>171</v>
      </c>
    </row>
    <row r="44" spans="1:4">
      <c r="A44" s="61"/>
      <c r="B44" s="61"/>
      <c r="C44" s="61"/>
      <c r="D44" s="61"/>
    </row>
    <row r="45" spans="1:4" ht="15" customHeight="1">
      <c r="A45" s="129" t="s">
        <v>172</v>
      </c>
      <c r="B45" s="116"/>
      <c r="C45" s="116"/>
      <c r="D45" s="117"/>
    </row>
    <row r="46" spans="1:4" ht="15" customHeight="1">
      <c r="A46" s="41" t="s">
        <v>173</v>
      </c>
      <c r="B46" s="41" t="s">
        <v>45</v>
      </c>
      <c r="C46" s="41" t="s">
        <v>46</v>
      </c>
      <c r="D46" s="41" t="s">
        <v>174</v>
      </c>
    </row>
    <row r="47" spans="1:4" ht="15" customHeight="1">
      <c r="A47" s="68" t="s">
        <v>175</v>
      </c>
      <c r="B47" s="60">
        <f>IF(c_Gate&lt;&gt;"SÍ","ND",CHOOSE(MATCH(in_MetReq,LISTA_MET,0),B38,B39,B40))</f>
        <v>4389.8</v>
      </c>
      <c r="C47" s="49" t="s">
        <v>78</v>
      </c>
      <c r="D47" s="56" t="s">
        <v>176</v>
      </c>
    </row>
    <row r="48" spans="1:4" ht="15" customHeight="1">
      <c r="A48" s="68" t="s">
        <v>177</v>
      </c>
      <c r="B48" s="67">
        <f>IF(AND(ISNUMBER(B47),ISNUMBER(B12)),B47/B12,"ND")</f>
        <v>2.5522093023255814</v>
      </c>
      <c r="C48" s="49" t="s">
        <v>51</v>
      </c>
      <c r="D48" s="56"/>
    </row>
    <row r="49" spans="1:4" ht="15" customHeight="1">
      <c r="A49" s="68" t="s">
        <v>178</v>
      </c>
      <c r="B49" s="66">
        <f>IF(AND(ISNUMBER(B38),ISNUMBER(B39),ISNUMBER(B40)),AVERAGE(B38:B40),"ND")</f>
        <v>4261.6444444444433</v>
      </c>
      <c r="C49" s="49" t="s">
        <v>78</v>
      </c>
      <c r="D49" s="56"/>
    </row>
    <row r="50" spans="1:4" ht="15" customHeight="1">
      <c r="A50" s="68" t="s">
        <v>179</v>
      </c>
      <c r="B50" s="66">
        <f>IF(AND(ISNUMBER(B38),ISNUMBER(B39),ISNUMBER(B40)),MIN(B38:B40),"ND")</f>
        <v>3841.3333333333326</v>
      </c>
      <c r="C50" s="49" t="s">
        <v>78</v>
      </c>
      <c r="D50" s="56"/>
    </row>
    <row r="51" spans="1:4" ht="15" customHeight="1">
      <c r="A51" s="68" t="s">
        <v>180</v>
      </c>
      <c r="B51" s="66">
        <f>IF(AND(ISNUMBER(B38),ISNUMBER(B39),ISNUMBER(B40)),MAX(B38:B40),"ND")</f>
        <v>4553.7999999999993</v>
      </c>
      <c r="C51" s="49" t="s">
        <v>78</v>
      </c>
      <c r="D51" s="56"/>
    </row>
    <row r="52" spans="1:4" ht="15" customHeight="1">
      <c r="A52" s="68" t="s">
        <v>181</v>
      </c>
      <c r="B52" s="66">
        <f>IF(AND(ISNUMBER(B50),ISNUMBER(B51)),B51-B50,"ND")</f>
        <v>712.4666666666667</v>
      </c>
      <c r="C52" s="49" t="s">
        <v>78</v>
      </c>
      <c r="D52" s="56" t="s">
        <v>182</v>
      </c>
    </row>
    <row r="53" spans="1:4" ht="15" customHeight="1">
      <c r="A53" s="68" t="s">
        <v>183</v>
      </c>
      <c r="B53" s="57">
        <f>IF(AND(ISNUMBER(B52),ISNUMBER(B49),B49&gt;0),B52/B49,"ND")</f>
        <v>0.16718116115844697</v>
      </c>
      <c r="C53" s="49" t="s">
        <v>86</v>
      </c>
      <c r="D53" s="56"/>
    </row>
    <row r="54" spans="1:4" ht="15" customHeight="1">
      <c r="A54" s="68" t="s">
        <v>184</v>
      </c>
      <c r="B54" s="66" t="str">
        <f>IF(ISNUMBER(B53),IF(B53&lt;=DISP_MAX,"OK: los tres métodos concuerdan dentro del umbral configurado.","ATENCIÓN: los métodos discrepan por encima del umbral. Revise el diario y la ecuación."),"ND")</f>
        <v>OK: los tres métodos concuerdan dentro del umbral configurado.</v>
      </c>
      <c r="C54" s="49" t="s">
        <v>51</v>
      </c>
      <c r="D54" s="56"/>
    </row>
    <row r="55" spans="1:4">
      <c r="A55" s="61"/>
      <c r="B55" s="61"/>
      <c r="C55" s="61"/>
      <c r="D55" s="61"/>
    </row>
    <row r="56" spans="1:4" ht="15" customHeight="1">
      <c r="A56" s="129" t="s">
        <v>185</v>
      </c>
      <c r="B56" s="116"/>
      <c r="C56" s="116"/>
      <c r="D56" s="117"/>
    </row>
    <row r="57" spans="1:4" ht="15" customHeight="1">
      <c r="A57" s="41" t="s">
        <v>186</v>
      </c>
      <c r="B57" s="127" t="s">
        <v>187</v>
      </c>
      <c r="C57" s="116"/>
      <c r="D57" s="117"/>
    </row>
    <row r="58" spans="1:4" ht="15" customHeight="1">
      <c r="A58" s="40" t="s">
        <v>188</v>
      </c>
      <c r="B58" s="124" t="str">
        <f>IF(c_Gate="SÍ","—","⚠ Cálculo bloqueado por un dato imposible (bloque 1).")</f>
        <v>—</v>
      </c>
      <c r="C58" s="116"/>
      <c r="D58" s="117"/>
    </row>
    <row r="59" spans="1:4" ht="23.25" customHeight="1">
      <c r="A59" s="40" t="s">
        <v>189</v>
      </c>
      <c r="B59" s="124" t="str">
        <f>"Nota: el índice MET medio se usa como PAL (método 3). Es una aproximación: el MET estándar no se ajusta al metabolismo de la persona."</f>
        <v>Nota: el índice MET medio se usa como PAL (método 3). Es una aproximación: el MET estándar no se ajusta al metabolismo de la persona.</v>
      </c>
      <c r="C59" s="116"/>
      <c r="D59" s="117"/>
    </row>
    <row r="60" spans="1:4" ht="15" customHeight="1">
      <c r="A60" s="40" t="s">
        <v>190</v>
      </c>
      <c r="B60" s="124" t="str">
        <f>IF(AND(in_MetReq=INDEX(LISTA_MET,2),in_ETA2="Sí"),"Nota: el método 2 suma el ETA; verifique que su compendio no lo incluya ya.","—")</f>
        <v>—</v>
      </c>
      <c r="C60" s="116"/>
      <c r="D60" s="117"/>
    </row>
    <row r="61" spans="1:4" ht="15" customHeight="1">
      <c r="A61" s="40" t="s">
        <v>191</v>
      </c>
      <c r="B61" s="124" t="str">
        <f>IF(in_MetReq=INDEX(LISTA_MET,3),"Nota: el PAL factorial YA contiene el ETA; el libro NO le suma un ETA aparte.","—")</f>
        <v>—</v>
      </c>
      <c r="C61" s="116"/>
      <c r="D61" s="117"/>
    </row>
    <row r="62" spans="1:4" ht="15" customHeight="1">
      <c r="A62" s="40" t="s">
        <v>192</v>
      </c>
      <c r="B62" s="124" t="str">
        <f>IF(AND(ISNUMBER(B53),B53&gt;DISP_MAX),"⚠ Los tres métodos discrepan más de lo tolerado.","—")</f>
        <v>—</v>
      </c>
      <c r="C62" s="116"/>
      <c r="D62" s="117"/>
    </row>
    <row r="63" spans="1:4" ht="15" customHeight="1">
      <c r="A63" s="40" t="s">
        <v>193</v>
      </c>
      <c r="B63" s="124" t="str">
        <f>IF(AND(in_MetETA=INDEX(LISTA_ETA,2),NOT(ISNUMBER(B29))),"⚠ Pidió ETA por macronutrientes pero faltan gramos; se usó el % fijo.","—")</f>
        <v>—</v>
      </c>
      <c r="C63" s="116"/>
      <c r="D63" s="117"/>
    </row>
    <row r="64" spans="1:4" ht="15" customHeight="1">
      <c r="A64" s="40" t="s">
        <v>194</v>
      </c>
      <c r="B64" s="124" t="str">
        <f>IF(AND(ISNUMBER(in_Peso),OR(in_Peso&lt;PESO_RB,in_Peso&gt;PESO_RA)),"⚠ Peso poco frecuente (no bloquea).","—")</f>
        <v>—</v>
      </c>
      <c r="C64" s="116"/>
      <c r="D64" s="117"/>
    </row>
    <row r="65" spans="1:4" ht="15" customHeight="1">
      <c r="A65" s="40" t="s">
        <v>195</v>
      </c>
      <c r="B65" s="124" t="str">
        <f>IF(AND(in_Ecu=INDEX(LISTA_ECU,3),NOT(ISNUMBER(B11))),"⚠ Eligió GEB medido pero el campo está vacío o fuera de rango.","—")</f>
        <v>—</v>
      </c>
      <c r="C65" s="116"/>
      <c r="D65" s="117"/>
    </row>
    <row r="66" spans="1:4">
      <c r="A66" s="61"/>
      <c r="B66" s="61"/>
      <c r="C66" s="61"/>
      <c r="D66" s="61"/>
    </row>
  </sheetData>
  <sheetProtection algorithmName="SHA-512" hashValue="x05jVRo8TplNt1jnjDK0KwK1XmNhU4oQZPE5p3rrWB0YBZTiuqq/gbSJqJ/RJrHY1fwjiZZjIfMqJZocm2eauA==" saltValue="buEwWsjxx2CBq0EfM8ASEw==" spinCount="100000" sheet="1" objects="1" scenarios="1"/>
  <mergeCells count="27">
    <mergeCell ref="C3:D3"/>
    <mergeCell ref="A2:D2"/>
    <mergeCell ref="B65:D65"/>
    <mergeCell ref="B64:D64"/>
    <mergeCell ref="A45:D45"/>
    <mergeCell ref="C21:D21"/>
    <mergeCell ref="B63:D63"/>
    <mergeCell ref="A25:D25"/>
    <mergeCell ref="B62:D62"/>
    <mergeCell ref="C23:D23"/>
    <mergeCell ref="A56:D56"/>
    <mergeCell ref="B59:D59"/>
    <mergeCell ref="B58:D58"/>
    <mergeCell ref="A32:D32"/>
    <mergeCell ref="A5:D5"/>
    <mergeCell ref="B60:D60"/>
    <mergeCell ref="B61:D61"/>
    <mergeCell ref="C15:D15"/>
    <mergeCell ref="A4:D4"/>
    <mergeCell ref="B57:D57"/>
    <mergeCell ref="C20:D20"/>
    <mergeCell ref="C16:D16"/>
    <mergeCell ref="C22:D22"/>
    <mergeCell ref="C17:D17"/>
    <mergeCell ref="C19:D19"/>
    <mergeCell ref="C18:D18"/>
    <mergeCell ref="A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6B72"/>
  </sheetPr>
  <dimension ref="A1:H32"/>
  <sheetViews>
    <sheetView showGridLines="0" workbookViewId="0"/>
  </sheetViews>
  <sheetFormatPr baseColWidth="10" defaultColWidth="8.7109375" defaultRowHeight="15"/>
  <cols>
    <col min="1" max="1" width="5" style="73" customWidth="1"/>
    <col min="2" max="2" width="46" style="73" customWidth="1"/>
    <col min="3" max="3" width="10" style="73" customWidth="1"/>
    <col min="4" max="4" width="8" style="73" customWidth="1"/>
    <col min="5" max="5" width="11" style="73" customWidth="1"/>
    <col min="6" max="6" width="16" style="73" customWidth="1"/>
    <col min="7" max="7" width="11" style="73" customWidth="1"/>
    <col min="8" max="8" width="26" style="73" customWidth="1"/>
  </cols>
  <sheetData>
    <row r="1" spans="1:8" ht="25.5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27" customHeight="1">
      <c r="A2" s="139" t="s">
        <v>196</v>
      </c>
      <c r="B2" s="139"/>
      <c r="C2" s="139"/>
      <c r="D2" s="139"/>
      <c r="E2" s="139"/>
      <c r="F2" s="139"/>
      <c r="G2" s="139"/>
      <c r="H2" s="139"/>
    </row>
    <row r="3" spans="1:8" ht="43.5" customHeight="1">
      <c r="A3" s="126" t="s">
        <v>197</v>
      </c>
      <c r="B3" s="119"/>
      <c r="C3" s="119"/>
      <c r="D3" s="119"/>
      <c r="E3" s="119"/>
      <c r="F3" s="119"/>
      <c r="G3" s="119"/>
      <c r="H3" s="119"/>
    </row>
    <row r="4" spans="1:8" ht="22.5" customHeight="1">
      <c r="A4" s="122" t="str">
        <f>HYPERLINK("#DATOS!A1","◀ DATOS")</f>
        <v>◀ DATOS</v>
      </c>
      <c r="B4" s="130"/>
      <c r="C4" s="132" t="str">
        <f>HYPERLINK("#CALCULOS!A1","◀  CALCULOS")</f>
        <v>◀  CALCULOS</v>
      </c>
      <c r="D4" s="133"/>
      <c r="E4" s="134"/>
      <c r="F4" s="122" t="str">
        <f>HYPERLINK("#RESULTADOS!A1","▶ RESULTADOS")</f>
        <v>▶ RESULTADOS</v>
      </c>
      <c r="G4" s="130"/>
      <c r="H4" s="130"/>
    </row>
    <row r="6" spans="1:8" ht="15" customHeight="1">
      <c r="A6" s="63" t="s">
        <v>198</v>
      </c>
      <c r="B6" s="63" t="s">
        <v>199</v>
      </c>
      <c r="C6" s="63" t="s">
        <v>200</v>
      </c>
      <c r="D6" s="63" t="s">
        <v>201</v>
      </c>
      <c r="E6" s="63" t="s">
        <v>202</v>
      </c>
      <c r="F6" s="63" t="s">
        <v>203</v>
      </c>
      <c r="G6" s="63" t="s">
        <v>204</v>
      </c>
      <c r="H6" s="63" t="s">
        <v>205</v>
      </c>
    </row>
    <row r="7" spans="1:8" ht="15" customHeight="1">
      <c r="A7" s="44">
        <v>1</v>
      </c>
      <c r="B7" s="64" t="s">
        <v>206</v>
      </c>
      <c r="C7" s="65" t="str">
        <f t="shared" ref="C7:C18" si="0">IF($B7="","",INDEX(COD_ACT,MATCH($B7,LISTA_ACT,0)))</f>
        <v>07030</v>
      </c>
      <c r="D7" s="52">
        <f t="shared" ref="D7:D18" si="1">IF($B7="",0,N(INDEX(MET_VAL,MATCH($B7,LISTA_ACT,0))))</f>
        <v>1</v>
      </c>
      <c r="E7" s="47">
        <v>8</v>
      </c>
      <c r="F7" s="51">
        <f t="shared" ref="F7:F18" si="2">MAX($D7-1,0)*$E7</f>
        <v>0</v>
      </c>
      <c r="G7" s="51">
        <f t="shared" ref="G7:G18" si="3">$D7*$E7</f>
        <v>8</v>
      </c>
      <c r="H7" s="64"/>
    </row>
    <row r="8" spans="1:8" ht="15" customHeight="1">
      <c r="A8" s="44">
        <v>2</v>
      </c>
      <c r="B8" s="64" t="s">
        <v>207</v>
      </c>
      <c r="C8" s="65" t="str">
        <f t="shared" si="0"/>
        <v>11580</v>
      </c>
      <c r="D8" s="52">
        <f t="shared" si="1"/>
        <v>1.5</v>
      </c>
      <c r="E8" s="47">
        <v>2</v>
      </c>
      <c r="F8" s="51">
        <f t="shared" si="2"/>
        <v>1</v>
      </c>
      <c r="G8" s="51">
        <f t="shared" si="3"/>
        <v>3</v>
      </c>
      <c r="H8" s="64"/>
    </row>
    <row r="9" spans="1:8" ht="15" customHeight="1">
      <c r="A9" s="44">
        <v>3</v>
      </c>
      <c r="B9" s="64" t="s">
        <v>208</v>
      </c>
      <c r="C9" s="65" t="str">
        <f t="shared" si="0"/>
        <v>09060</v>
      </c>
      <c r="D9" s="52">
        <f t="shared" si="1"/>
        <v>1.3</v>
      </c>
      <c r="E9" s="47">
        <v>3</v>
      </c>
      <c r="F9" s="51">
        <f t="shared" si="2"/>
        <v>0.90000000000000013</v>
      </c>
      <c r="G9" s="51">
        <f t="shared" si="3"/>
        <v>3.9000000000000004</v>
      </c>
      <c r="H9" s="64"/>
    </row>
    <row r="10" spans="1:8" ht="15" customHeight="1">
      <c r="A10" s="44">
        <v>4</v>
      </c>
      <c r="B10" s="64" t="s">
        <v>209</v>
      </c>
      <c r="C10" s="65" t="str">
        <f t="shared" si="0"/>
        <v>21070</v>
      </c>
      <c r="D10" s="52">
        <f t="shared" si="1"/>
        <v>3</v>
      </c>
      <c r="E10" s="47">
        <v>2</v>
      </c>
      <c r="F10" s="51">
        <f t="shared" si="2"/>
        <v>4</v>
      </c>
      <c r="G10" s="51">
        <f t="shared" si="3"/>
        <v>6</v>
      </c>
      <c r="H10" s="64"/>
    </row>
    <row r="11" spans="1:8" ht="15" customHeight="1">
      <c r="A11" s="44">
        <v>5</v>
      </c>
      <c r="B11" s="64" t="s">
        <v>210</v>
      </c>
      <c r="C11" s="65" t="str">
        <f t="shared" si="0"/>
        <v>05035</v>
      </c>
      <c r="D11" s="52">
        <f t="shared" si="1"/>
        <v>3.3</v>
      </c>
      <c r="E11" s="47">
        <v>1.5</v>
      </c>
      <c r="F11" s="51">
        <f t="shared" si="2"/>
        <v>3.4499999999999997</v>
      </c>
      <c r="G11" s="51">
        <f t="shared" si="3"/>
        <v>4.9499999999999993</v>
      </c>
      <c r="H11" s="64"/>
    </row>
    <row r="12" spans="1:8" ht="15" customHeight="1">
      <c r="A12" s="44">
        <v>6</v>
      </c>
      <c r="B12" s="64" t="s">
        <v>211</v>
      </c>
      <c r="C12" s="65" t="str">
        <f t="shared" si="0"/>
        <v>17133</v>
      </c>
      <c r="D12" s="52">
        <f t="shared" si="1"/>
        <v>4</v>
      </c>
      <c r="E12" s="47">
        <v>0.5</v>
      </c>
      <c r="F12" s="51">
        <f t="shared" si="2"/>
        <v>1.5</v>
      </c>
      <c r="G12" s="51">
        <f t="shared" si="3"/>
        <v>2</v>
      </c>
      <c r="H12" s="64"/>
    </row>
    <row r="13" spans="1:8" ht="15" customHeight="1">
      <c r="A13" s="44">
        <v>7</v>
      </c>
      <c r="B13" s="64" t="s">
        <v>212</v>
      </c>
      <c r="C13" s="65" t="str">
        <f t="shared" si="0"/>
        <v>17070</v>
      </c>
      <c r="D13" s="52">
        <f t="shared" si="1"/>
        <v>3.5</v>
      </c>
      <c r="E13" s="47">
        <v>0.5</v>
      </c>
      <c r="F13" s="51">
        <f t="shared" si="2"/>
        <v>1.25</v>
      </c>
      <c r="G13" s="51">
        <f t="shared" si="3"/>
        <v>1.75</v>
      </c>
      <c r="H13" s="64"/>
    </row>
    <row r="14" spans="1:8" ht="15" customHeight="1">
      <c r="A14" s="44">
        <v>8</v>
      </c>
      <c r="B14" s="64" t="s">
        <v>213</v>
      </c>
      <c r="C14" s="65" t="str">
        <f t="shared" si="0"/>
        <v>05140</v>
      </c>
      <c r="D14" s="52">
        <f t="shared" si="1"/>
        <v>4</v>
      </c>
      <c r="E14" s="47">
        <v>0.5</v>
      </c>
      <c r="F14" s="51">
        <f t="shared" si="2"/>
        <v>1.5</v>
      </c>
      <c r="G14" s="51">
        <f t="shared" si="3"/>
        <v>2</v>
      </c>
      <c r="H14" s="64"/>
    </row>
    <row r="15" spans="1:8" ht="15" customHeight="1">
      <c r="A15" s="44">
        <v>9</v>
      </c>
      <c r="B15" s="64" t="s">
        <v>214</v>
      </c>
      <c r="C15" s="65" t="str">
        <f t="shared" si="0"/>
        <v>—</v>
      </c>
      <c r="D15" s="52">
        <f t="shared" si="1"/>
        <v>0</v>
      </c>
      <c r="E15" s="47">
        <v>0</v>
      </c>
      <c r="F15" s="51">
        <f t="shared" si="2"/>
        <v>0</v>
      </c>
      <c r="G15" s="51">
        <f t="shared" si="3"/>
        <v>0</v>
      </c>
      <c r="H15" s="64"/>
    </row>
    <row r="16" spans="1:8" ht="15" customHeight="1">
      <c r="A16" s="44">
        <v>10</v>
      </c>
      <c r="B16" s="79" t="s">
        <v>213</v>
      </c>
      <c r="C16" s="65" t="str">
        <f t="shared" si="0"/>
        <v>05140</v>
      </c>
      <c r="D16" s="52">
        <f t="shared" si="1"/>
        <v>4</v>
      </c>
      <c r="E16" s="47">
        <v>4</v>
      </c>
      <c r="F16" s="51">
        <f t="shared" si="2"/>
        <v>12</v>
      </c>
      <c r="G16" s="51">
        <f t="shared" si="3"/>
        <v>16</v>
      </c>
      <c r="H16" s="64"/>
    </row>
    <row r="17" spans="1:8" ht="15" customHeight="1">
      <c r="A17" s="44">
        <v>11</v>
      </c>
      <c r="B17" s="64" t="s">
        <v>209</v>
      </c>
      <c r="C17" s="65" t="str">
        <f t="shared" si="0"/>
        <v>21070</v>
      </c>
      <c r="D17" s="52">
        <f t="shared" si="1"/>
        <v>3</v>
      </c>
      <c r="E17" s="47">
        <v>2</v>
      </c>
      <c r="F17" s="51">
        <f t="shared" si="2"/>
        <v>4</v>
      </c>
      <c r="G17" s="51">
        <f t="shared" si="3"/>
        <v>6</v>
      </c>
      <c r="H17" s="64"/>
    </row>
    <row r="18" spans="1:8" ht="15" customHeight="1">
      <c r="A18" s="44">
        <v>12</v>
      </c>
      <c r="B18" s="64" t="s">
        <v>215</v>
      </c>
      <c r="C18" s="65" t="str">
        <f t="shared" si="0"/>
        <v>11210</v>
      </c>
      <c r="D18" s="52">
        <f t="shared" si="1"/>
        <v>8</v>
      </c>
      <c r="E18" s="47">
        <v>0</v>
      </c>
      <c r="F18" s="51">
        <f t="shared" si="2"/>
        <v>0</v>
      </c>
      <c r="G18" s="51">
        <f t="shared" si="3"/>
        <v>0</v>
      </c>
      <c r="H18" s="64"/>
    </row>
    <row r="19" spans="1:8">
      <c r="D19" s="34">
        <f>SUM(D7:D18)</f>
        <v>36.6</v>
      </c>
      <c r="E19" s="34">
        <f>SUM(E7:E18)</f>
        <v>24</v>
      </c>
    </row>
    <row r="20" spans="1:8" ht="15" customHeight="1">
      <c r="A20" s="14" t="s">
        <v>216</v>
      </c>
      <c r="B20" s="5"/>
      <c r="C20" s="5"/>
      <c r="D20" s="5"/>
      <c r="E20" s="5"/>
      <c r="F20" s="5"/>
      <c r="G20" s="5"/>
      <c r="H20" s="5"/>
    </row>
    <row r="21" spans="1:8" ht="15" customHeight="1">
      <c r="A21" s="135" t="s">
        <v>217</v>
      </c>
      <c r="B21" s="117"/>
      <c r="C21" s="137">
        <f>SUM(E7:E18)</f>
        <v>24</v>
      </c>
      <c r="D21" s="117"/>
      <c r="E21" s="49" t="s">
        <v>218</v>
      </c>
      <c r="F21" s="128" t="s">
        <v>219</v>
      </c>
      <c r="G21" s="116"/>
      <c r="H21" s="117"/>
    </row>
    <row r="22" spans="1:8" ht="15" customHeight="1">
      <c r="A22" s="135" t="s">
        <v>220</v>
      </c>
      <c r="B22" s="117"/>
      <c r="C22" s="138">
        <f>SUM(G7:G18)</f>
        <v>53.599999999999994</v>
      </c>
      <c r="D22" s="117"/>
      <c r="E22" s="49" t="s">
        <v>221</v>
      </c>
      <c r="F22" s="128" t="s">
        <v>222</v>
      </c>
      <c r="G22" s="116"/>
      <c r="H22" s="117"/>
    </row>
    <row r="23" spans="1:8" ht="15" customHeight="1">
      <c r="A23" s="135" t="s">
        <v>223</v>
      </c>
      <c r="B23" s="117"/>
      <c r="C23" s="138">
        <f>SUM(F7:F18)</f>
        <v>29.6</v>
      </c>
      <c r="D23" s="117"/>
      <c r="E23" s="49" t="s">
        <v>221</v>
      </c>
      <c r="F23" s="128" t="s">
        <v>224</v>
      </c>
      <c r="G23" s="116"/>
      <c r="H23" s="117"/>
    </row>
    <row r="24" spans="1:8" ht="15" customHeight="1">
      <c r="A24" s="135" t="s">
        <v>225</v>
      </c>
      <c r="B24" s="117"/>
      <c r="C24" s="136">
        <f>a_SumMETh/HORAS_DIA</f>
        <v>2.2333333333333329</v>
      </c>
      <c r="D24" s="117"/>
      <c r="E24" s="49" t="s">
        <v>51</v>
      </c>
      <c r="F24" s="128" t="s">
        <v>226</v>
      </c>
      <c r="G24" s="116"/>
      <c r="H24" s="117"/>
    </row>
    <row r="25" spans="1:8" ht="15" customHeight="1">
      <c r="A25" s="135" t="s">
        <v>227</v>
      </c>
      <c r="B25" s="117"/>
      <c r="C25" s="137">
        <f>in_Peso</f>
        <v>78.5</v>
      </c>
      <c r="D25" s="117"/>
      <c r="E25" s="49" t="s">
        <v>68</v>
      </c>
      <c r="F25" s="128" t="s">
        <v>228</v>
      </c>
      <c r="G25" s="116"/>
      <c r="H25" s="117"/>
    </row>
    <row r="26" spans="1:8" ht="15" customHeight="1">
      <c r="A26" s="135" t="s">
        <v>229</v>
      </c>
      <c r="B26" s="117"/>
      <c r="C26" s="137">
        <f>MET_KCAL</f>
        <v>1</v>
      </c>
      <c r="D26" s="117"/>
      <c r="E26" s="49" t="s">
        <v>230</v>
      </c>
      <c r="F26" s="128" t="s">
        <v>231</v>
      </c>
      <c r="G26" s="116"/>
      <c r="H26" s="117"/>
    </row>
    <row r="27" spans="1:8" ht="15" customHeight="1">
      <c r="A27" s="135" t="s">
        <v>232</v>
      </c>
      <c r="B27" s="117"/>
      <c r="C27" s="137">
        <f>a_SumAEEh*a_Peso*MET_KCAL</f>
        <v>2323.6</v>
      </c>
      <c r="D27" s="117"/>
      <c r="E27" s="49" t="s">
        <v>78</v>
      </c>
      <c r="F27" s="128" t="s">
        <v>233</v>
      </c>
      <c r="G27" s="116"/>
      <c r="H27" s="117"/>
    </row>
    <row r="28" spans="1:8" ht="15" customHeight="1">
      <c r="A28" s="135" t="s">
        <v>234</v>
      </c>
      <c r="B28" s="117"/>
      <c r="C28" s="137">
        <f>a_SumMETh*a_Peso*MET_KCAL</f>
        <v>4207.5999999999995</v>
      </c>
      <c r="D28" s="117"/>
      <c r="E28" s="49" t="s">
        <v>78</v>
      </c>
      <c r="F28" s="128" t="s">
        <v>235</v>
      </c>
      <c r="G28" s="116"/>
      <c r="H28" s="117"/>
    </row>
    <row r="29" spans="1:8" ht="15" customHeight="1">
      <c r="A29" s="135" t="s">
        <v>236</v>
      </c>
      <c r="B29" s="117"/>
      <c r="C29" s="137">
        <f>CALCULOS!B12</f>
        <v>1720</v>
      </c>
      <c r="D29" s="117"/>
      <c r="E29" s="49" t="s">
        <v>78</v>
      </c>
      <c r="F29" s="128" t="s">
        <v>237</v>
      </c>
      <c r="G29" s="116"/>
      <c r="H29" s="117"/>
    </row>
    <row r="30" spans="1:8" ht="21.75" customHeight="1">
      <c r="A30" s="135" t="s">
        <v>238</v>
      </c>
      <c r="B30" s="117"/>
      <c r="C30" s="136">
        <f>IF(ISNUMBER(a_GEB),a_TEEmet/a_GEB,"ND: GEB no disponible")</f>
        <v>2.4462790697674417</v>
      </c>
      <c r="D30" s="117"/>
      <c r="E30" s="49" t="s">
        <v>51</v>
      </c>
      <c r="F30" s="128" t="s">
        <v>239</v>
      </c>
      <c r="G30" s="116"/>
      <c r="H30" s="117"/>
    </row>
    <row r="32" spans="1:8" ht="30" customHeight="1">
      <c r="A32" s="140" t="s">
        <v>240</v>
      </c>
      <c r="B32" s="119"/>
      <c r="C32" s="119"/>
      <c r="D32" s="119"/>
      <c r="E32" s="119"/>
      <c r="F32" s="119"/>
      <c r="G32" s="119"/>
      <c r="H32" s="119"/>
    </row>
  </sheetData>
  <sheetProtection algorithmName="SHA-512" hashValue="LbHH/iJ4FECQI4h68ftVLNag1/+ZwNEjc39N2K/jpfzGbZY31WdfISN7muo3TLffggT8BYT6M+KAvv+d4O7Xhw==" saltValue="PYXjlH/+A2bY1M31mWzubA==" spinCount="100000" sheet="1" objects="1" scenarios="1"/>
  <protectedRanges>
    <protectedRange sqref="H7:H18" name="Rango3"/>
    <protectedRange sqref="E7:E18" name="Rango2"/>
    <protectedRange sqref="B7:B18" name="Rango1"/>
  </protectedRanges>
  <mergeCells count="36">
    <mergeCell ref="F4:H4"/>
    <mergeCell ref="A2:H2"/>
    <mergeCell ref="A32:H32"/>
    <mergeCell ref="C23:D23"/>
    <mergeCell ref="F29:H29"/>
    <mergeCell ref="A22:B22"/>
    <mergeCell ref="F25:H25"/>
    <mergeCell ref="A29:B29"/>
    <mergeCell ref="A28:B28"/>
    <mergeCell ref="C28:D28"/>
    <mergeCell ref="F30:H30"/>
    <mergeCell ref="F24:H24"/>
    <mergeCell ref="A3:H3"/>
    <mergeCell ref="A21:B21"/>
    <mergeCell ref="C21:D21"/>
    <mergeCell ref="C27:D27"/>
    <mergeCell ref="F21:H21"/>
    <mergeCell ref="F23:H23"/>
    <mergeCell ref="C29:D29"/>
    <mergeCell ref="F22:H22"/>
    <mergeCell ref="F28:H28"/>
    <mergeCell ref="C25:D25"/>
    <mergeCell ref="F27:H27"/>
    <mergeCell ref="C22:D22"/>
    <mergeCell ref="F26:H26"/>
    <mergeCell ref="A4:B4"/>
    <mergeCell ref="C4:E4"/>
    <mergeCell ref="A30:B30"/>
    <mergeCell ref="C30:D30"/>
    <mergeCell ref="C24:D24"/>
    <mergeCell ref="C26:D26"/>
    <mergeCell ref="A23:B23"/>
    <mergeCell ref="A25:B25"/>
    <mergeCell ref="A27:B27"/>
    <mergeCell ref="A26:B26"/>
    <mergeCell ref="A24:B24"/>
  </mergeCells>
  <dataValidations count="1">
    <dataValidation type="list" allowBlank="1" sqref="B7:B18" xr:uid="{00000000-0002-0000-0300-000000000000}">
      <formula1>LISTA_ACT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6B72"/>
  </sheetPr>
  <dimension ref="A1:H55"/>
  <sheetViews>
    <sheetView showGridLines="0" topLeftCell="A37" workbookViewId="0">
      <selection activeCell="A33" sqref="A33:F34"/>
    </sheetView>
  </sheetViews>
  <sheetFormatPr baseColWidth="10" defaultColWidth="8.7109375" defaultRowHeight="15"/>
  <cols>
    <col min="1" max="1" width="36" style="73" customWidth="1"/>
    <col min="2" max="2" width="22" style="73" customWidth="1"/>
    <col min="3" max="3" width="16" style="73" customWidth="1"/>
    <col min="4" max="4" width="15.140625" style="73" customWidth="1"/>
    <col min="5" max="5" width="18" style="73" customWidth="1"/>
    <col min="6" max="6" width="20" style="73" customWidth="1"/>
    <col min="8" max="8" width="17.28515625" customWidth="1"/>
  </cols>
  <sheetData>
    <row r="1" spans="1:8" ht="25.5" customHeight="1">
      <c r="A1" s="163" t="s">
        <v>0</v>
      </c>
      <c r="B1" s="163"/>
      <c r="C1" s="163"/>
      <c r="D1" s="163"/>
      <c r="E1" s="163"/>
      <c r="F1" s="163"/>
      <c r="G1" s="163"/>
      <c r="H1" s="163"/>
    </row>
    <row r="2" spans="1:8" ht="15" customHeight="1">
      <c r="A2" s="139" t="s">
        <v>241</v>
      </c>
      <c r="B2" s="139"/>
      <c r="C2" s="139"/>
      <c r="D2" s="139"/>
      <c r="E2" s="139"/>
      <c r="F2" s="139"/>
      <c r="G2" s="139"/>
      <c r="H2" s="139"/>
    </row>
    <row r="3" spans="1:8" ht="21.75" customHeight="1">
      <c r="A3" s="77" t="str">
        <f>HYPERLINK("#DATOS!A1","◀ DATOS")</f>
        <v>◀ DATOS</v>
      </c>
      <c r="B3" s="132" t="str">
        <f>HYPERLINK("#CALCULOS!A1","◀  CALCULOS")</f>
        <v>◀  CALCULOS</v>
      </c>
      <c r="C3" s="133"/>
      <c r="D3" s="134"/>
      <c r="E3" s="132" t="str">
        <f>HYPERLINK("#DIARIO!A1", "◀ DIARIO")</f>
        <v>◀ DIARIO</v>
      </c>
      <c r="F3" s="134"/>
      <c r="G3" s="122" t="str">
        <f>HYPERLINK("#FUENTES!A1","▶  FUENTES")</f>
        <v>▶  FUENTES</v>
      </c>
      <c r="H3" s="123"/>
    </row>
    <row r="4" spans="1:8">
      <c r="A4" s="145" t="s">
        <v>242</v>
      </c>
      <c r="B4" s="146"/>
      <c r="C4" s="146"/>
      <c r="D4" s="146"/>
      <c r="E4" s="146"/>
      <c r="F4" s="147"/>
    </row>
    <row r="5" spans="1:8" ht="15" customHeight="1">
      <c r="A5" s="148"/>
      <c r="B5" s="149"/>
      <c r="C5" s="149"/>
      <c r="D5" s="149"/>
      <c r="E5" s="149"/>
      <c r="F5" s="150"/>
    </row>
    <row r="6" spans="1:8" ht="15" customHeight="1">
      <c r="A6" s="68" t="s">
        <v>49</v>
      </c>
      <c r="B6" s="151" t="str">
        <f>in_ID</f>
        <v>NMX-2026-0010</v>
      </c>
      <c r="C6" s="116"/>
      <c r="D6" s="116"/>
      <c r="E6" s="116"/>
      <c r="F6" s="117"/>
    </row>
    <row r="7" spans="1:8" ht="15" customHeight="1">
      <c r="A7" s="68" t="s">
        <v>13</v>
      </c>
      <c r="B7" s="152">
        <f>in_Fecha</f>
        <v>46217</v>
      </c>
      <c r="C7" s="116"/>
      <c r="D7" s="116"/>
      <c r="E7" s="116"/>
      <c r="F7" s="117"/>
    </row>
    <row r="8" spans="1:8" ht="15" customHeight="1">
      <c r="A8" s="68" t="s">
        <v>243</v>
      </c>
      <c r="B8" s="151" t="str">
        <f>in_Pac</f>
        <v>PAC-0042</v>
      </c>
      <c r="C8" s="116"/>
      <c r="D8" s="116"/>
      <c r="E8" s="116"/>
      <c r="F8" s="117"/>
    </row>
    <row r="9" spans="1:8" ht="15" customHeight="1">
      <c r="A9" s="68" t="s">
        <v>244</v>
      </c>
      <c r="B9" s="151" t="str">
        <f>in_Sexo&amp;" · "&amp;IF(ISNUMBER(in_Edad),in_Edad&amp;" años","(edad no válida)")</f>
        <v>Hombre · 34 años</v>
      </c>
      <c r="C9" s="116"/>
      <c r="D9" s="116"/>
      <c r="E9" s="116"/>
      <c r="F9" s="117"/>
    </row>
    <row r="10" spans="1:8" ht="15" customHeight="1">
      <c r="A10" s="68" t="s">
        <v>245</v>
      </c>
      <c r="B10" s="151" t="str">
        <f>IF(ISNUMBER(in_Peso),ROUND(in_Peso,1)&amp;" kg","(?)")&amp;" · "&amp;IF(ISNUMBER(in_Est),ROUND(in_Est,1)&amp;" cm","(?)")</f>
        <v>78,5 kg · 176 cm</v>
      </c>
      <c r="C10" s="116"/>
      <c r="D10" s="116"/>
      <c r="E10" s="116"/>
      <c r="F10" s="117"/>
    </row>
    <row r="11" spans="1:8" ht="15" customHeight="1">
      <c r="A11" s="68" t="s">
        <v>74</v>
      </c>
      <c r="B11" s="151" t="str">
        <f>in_Ecu</f>
        <v>Mifflin–St Jeor (1990)</v>
      </c>
      <c r="C11" s="116"/>
      <c r="D11" s="116"/>
      <c r="E11" s="116"/>
      <c r="F11" s="117"/>
    </row>
    <row r="12" spans="1:8" ht="15" customHeight="1">
      <c r="A12" s="68" t="s">
        <v>246</v>
      </c>
      <c r="B12" s="151" t="str">
        <f>IF(c_Gate="SÍ","HABILITADO","BLOQUEADO — corrija los datos imposibles")</f>
        <v>HABILITADO</v>
      </c>
      <c r="C12" s="116"/>
      <c r="D12" s="116"/>
      <c r="E12" s="116"/>
      <c r="F12" s="117"/>
    </row>
    <row r="13" spans="1:8" ht="15" customHeight="1">
      <c r="A13" s="68" t="s">
        <v>105</v>
      </c>
      <c r="B13" s="151" t="str">
        <f>IF(in_Obs="","—",in_Obs)</f>
        <v>—</v>
      </c>
      <c r="C13" s="116"/>
      <c r="D13" s="116"/>
      <c r="E13" s="116"/>
      <c r="F13" s="117"/>
    </row>
    <row r="14" spans="1:8">
      <c r="A14" s="153" t="s">
        <v>247</v>
      </c>
      <c r="B14" s="153"/>
      <c r="C14" s="153"/>
      <c r="D14" s="153"/>
      <c r="E14" s="153"/>
      <c r="F14" s="153"/>
    </row>
    <row r="15" spans="1:8" ht="15" customHeight="1">
      <c r="A15" s="153"/>
      <c r="B15" s="153"/>
      <c r="C15" s="153"/>
      <c r="D15" s="153"/>
      <c r="E15" s="153"/>
      <c r="F15" s="153"/>
    </row>
    <row r="16" spans="1:8" ht="15" customHeight="1">
      <c r="A16" s="41" t="s">
        <v>151</v>
      </c>
      <c r="B16" s="41" t="s">
        <v>78</v>
      </c>
      <c r="C16" s="41" t="s">
        <v>248</v>
      </c>
      <c r="D16" s="41" t="s">
        <v>249</v>
      </c>
      <c r="E16" s="41"/>
      <c r="F16" s="41"/>
    </row>
    <row r="17" spans="1:6" ht="15" customHeight="1">
      <c r="A17" s="50" t="s">
        <v>152</v>
      </c>
      <c r="B17" s="66">
        <f>c_GEB</f>
        <v>1720</v>
      </c>
      <c r="C17" s="57">
        <f>IF(ISNUMBER(c_GETrep),c_GEB/c_GETrep,"—")</f>
        <v>0.39181739486992573</v>
      </c>
      <c r="D17" s="142" t="s">
        <v>250</v>
      </c>
      <c r="E17" s="116"/>
      <c r="F17" s="117"/>
    </row>
    <row r="18" spans="1:6" ht="15" customHeight="1">
      <c r="A18" s="50" t="s">
        <v>154</v>
      </c>
      <c r="B18" s="66">
        <f>c_AEE</f>
        <v>2323.6</v>
      </c>
      <c r="C18" s="57">
        <f>IF(ISNUMBER(c_GETrep),c_AEE/c_GETrep,"—")</f>
        <v>0.52931796437195311</v>
      </c>
      <c r="D18" s="142" t="s">
        <v>251</v>
      </c>
      <c r="E18" s="116"/>
      <c r="F18" s="117"/>
    </row>
    <row r="19" spans="1:6" ht="15" customHeight="1">
      <c r="A19" s="50" t="s">
        <v>252</v>
      </c>
      <c r="B19" s="66">
        <f>c_ETA</f>
        <v>346.2</v>
      </c>
      <c r="C19" s="57">
        <f>IF(ISNUMBER(c_GETrep),c_ETA/c_GETrep,"—")</f>
        <v>7.8864640758121093E-2</v>
      </c>
      <c r="D19" s="142" t="s">
        <v>253</v>
      </c>
      <c r="E19" s="116"/>
      <c r="F19" s="117"/>
    </row>
    <row r="20" spans="1:6" ht="15" customHeight="1">
      <c r="A20" s="50" t="s">
        <v>254</v>
      </c>
      <c r="B20" s="60">
        <f>c_GETrep</f>
        <v>4389.8</v>
      </c>
      <c r="C20" s="57">
        <f>IF(ISNUMBER(c_GETrep),1,"—")</f>
        <v>1</v>
      </c>
      <c r="D20" s="142" t="s">
        <v>255</v>
      </c>
      <c r="E20" s="116"/>
      <c r="F20" s="117"/>
    </row>
    <row r="21" spans="1:6" ht="15" customHeight="1">
      <c r="A21" s="50" t="s">
        <v>256</v>
      </c>
      <c r="B21" s="66">
        <f>IF(AND(ISNUMBER(c_GETrep),ISNUMBER(in_Peso)),c_GETrep/in_Peso,"ND")</f>
        <v>55.921019108280255</v>
      </c>
      <c r="C21" s="57" t="s">
        <v>51</v>
      </c>
      <c r="D21" s="142" t="s">
        <v>257</v>
      </c>
      <c r="E21" s="116"/>
      <c r="F21" s="117"/>
    </row>
    <row r="22" spans="1:6" ht="27.75" customHeight="1">
      <c r="A22" s="144" t="s">
        <v>258</v>
      </c>
      <c r="B22" s="116"/>
      <c r="C22" s="116"/>
      <c r="D22" s="116"/>
      <c r="E22" s="116"/>
      <c r="F22" s="117"/>
    </row>
    <row r="23" spans="1:6">
      <c r="A23" s="145" t="s">
        <v>259</v>
      </c>
      <c r="B23" s="146"/>
      <c r="C23" s="146"/>
      <c r="D23" s="146"/>
      <c r="E23" s="146"/>
      <c r="F23" s="147"/>
    </row>
    <row r="24" spans="1:6" ht="15" customHeight="1">
      <c r="A24" s="148"/>
      <c r="B24" s="149"/>
      <c r="C24" s="149"/>
      <c r="D24" s="149"/>
      <c r="E24" s="149"/>
      <c r="F24" s="150"/>
    </row>
    <row r="25" spans="1:6" ht="15" customHeight="1">
      <c r="A25" s="41" t="s">
        <v>260</v>
      </c>
      <c r="B25" s="41" t="s">
        <v>261</v>
      </c>
      <c r="C25" s="41" t="s">
        <v>262</v>
      </c>
      <c r="D25" s="41" t="s">
        <v>263</v>
      </c>
      <c r="E25" s="41" t="s">
        <v>264</v>
      </c>
      <c r="F25" s="41"/>
    </row>
    <row r="26" spans="1:6" ht="15" customHeight="1">
      <c r="A26" s="68" t="s">
        <v>265</v>
      </c>
      <c r="B26" s="66">
        <f>c_GET1</f>
        <v>4389.8</v>
      </c>
      <c r="C26" s="71">
        <f>c_PAL1</f>
        <v>2.5522093023255814</v>
      </c>
      <c r="D26" s="72" t="s">
        <v>266</v>
      </c>
      <c r="E26" s="137">
        <f>IF(AND(ISNUMBER(B26),ISNUMBER(c_prom)),B26-c_prom,"—")</f>
        <v>128.15555555555693</v>
      </c>
      <c r="F26" s="117"/>
    </row>
    <row r="27" spans="1:6" ht="15" customHeight="1">
      <c r="A27" s="68" t="s">
        <v>267</v>
      </c>
      <c r="B27" s="66">
        <f>c_GET2</f>
        <v>4553.7999999999993</v>
      </c>
      <c r="C27" s="71">
        <f>c_PAL2</f>
        <v>2.6475581395348833</v>
      </c>
      <c r="D27" s="72" t="str">
        <f>IF(in_ETA2="Sí","Sí (sumado)","No")</f>
        <v>Sí (sumado)</v>
      </c>
      <c r="E27" s="137">
        <f>IF(AND(ISNUMBER(B27),ISNUMBER(c_prom)),B27-c_prom,"—")</f>
        <v>292.15555555555602</v>
      </c>
      <c r="F27" s="117"/>
    </row>
    <row r="28" spans="1:6" ht="15" customHeight="1">
      <c r="A28" s="68" t="s">
        <v>268</v>
      </c>
      <c r="B28" s="66">
        <f>c_GET3</f>
        <v>3841.3333333333326</v>
      </c>
      <c r="C28" s="71">
        <f>c_PAL3</f>
        <v>2.2333333333333329</v>
      </c>
      <c r="D28" s="72" t="s">
        <v>269</v>
      </c>
      <c r="E28" s="137">
        <f>IF(AND(ISNUMBER(B28),ISNUMBER(c_prom)),B28-c_prom,"—")</f>
        <v>-420.31111111111068</v>
      </c>
      <c r="F28" s="117"/>
    </row>
    <row r="29" spans="1:6" ht="15" customHeight="1">
      <c r="A29" s="68" t="s">
        <v>270</v>
      </c>
      <c r="B29" s="58">
        <f>c_prom</f>
        <v>4261.6444444444433</v>
      </c>
      <c r="C29" s="143"/>
      <c r="D29" s="116"/>
      <c r="E29" s="116"/>
      <c r="F29" s="117"/>
    </row>
    <row r="30" spans="1:6" ht="15" customHeight="1">
      <c r="A30" s="68" t="s">
        <v>181</v>
      </c>
      <c r="B30" s="58">
        <f>c_rango</f>
        <v>712.4666666666667</v>
      </c>
      <c r="C30" s="143"/>
      <c r="D30" s="116"/>
      <c r="E30" s="116"/>
      <c r="F30" s="117"/>
    </row>
    <row r="31" spans="1:6" ht="15" customHeight="1">
      <c r="A31" s="68" t="s">
        <v>271</v>
      </c>
      <c r="B31" s="59">
        <f>c_ampl</f>
        <v>0.16718116115844697</v>
      </c>
      <c r="C31" s="143"/>
      <c r="D31" s="116"/>
      <c r="E31" s="116"/>
      <c r="F31" s="117"/>
    </row>
    <row r="32" spans="1:6" ht="15" customHeight="1">
      <c r="A32" s="141" t="str">
        <f>c_estado</f>
        <v>OK: los tres métodos concuerdan dentro del umbral configurado.</v>
      </c>
      <c r="B32" s="116"/>
      <c r="C32" s="116"/>
      <c r="D32" s="116"/>
      <c r="E32" s="116"/>
      <c r="F32" s="117"/>
    </row>
    <row r="33" spans="1:7">
      <c r="A33" s="145" t="s">
        <v>272</v>
      </c>
      <c r="B33" s="146"/>
      <c r="C33" s="146"/>
      <c r="D33" s="146"/>
      <c r="E33" s="146"/>
      <c r="F33" s="147"/>
    </row>
    <row r="34" spans="1:7" ht="15" customHeight="1">
      <c r="A34" s="148"/>
      <c r="B34" s="149"/>
      <c r="C34" s="149"/>
      <c r="D34" s="149"/>
      <c r="E34" s="149"/>
      <c r="F34" s="150"/>
    </row>
    <row r="35" spans="1:7" ht="15" customHeight="1">
      <c r="A35" s="42" t="s">
        <v>151</v>
      </c>
      <c r="B35" s="69" t="s">
        <v>78</v>
      </c>
    </row>
    <row r="36" spans="1:7" ht="15" customHeight="1">
      <c r="A36" s="68" t="s">
        <v>273</v>
      </c>
      <c r="B36" s="70">
        <f>c_GEB</f>
        <v>1720</v>
      </c>
      <c r="C36" s="74"/>
      <c r="D36" s="74"/>
      <c r="E36" s="74"/>
      <c r="F36" s="74"/>
      <c r="G36" s="74"/>
    </row>
    <row r="37" spans="1:7" ht="15" customHeight="1">
      <c r="A37" s="68" t="s">
        <v>274</v>
      </c>
      <c r="B37" s="70">
        <f>c_AEE</f>
        <v>2323.6</v>
      </c>
    </row>
    <row r="38" spans="1:7" ht="15" customHeight="1">
      <c r="A38" s="68" t="s">
        <v>275</v>
      </c>
      <c r="B38" s="70">
        <f>c_ETA</f>
        <v>346.2</v>
      </c>
    </row>
    <row r="39" spans="1:7">
      <c r="A39" s="61"/>
      <c r="B39" s="61"/>
    </row>
    <row r="40" spans="1:7" ht="15" customHeight="1">
      <c r="A40" s="42" t="s">
        <v>260</v>
      </c>
      <c r="B40" s="69" t="s">
        <v>261</v>
      </c>
    </row>
    <row r="41" spans="1:7" ht="15" customHeight="1">
      <c r="A41" s="68" t="s">
        <v>276</v>
      </c>
      <c r="B41" s="70">
        <f>c_GET1</f>
        <v>4389.8</v>
      </c>
    </row>
    <row r="42" spans="1:7" ht="15" customHeight="1">
      <c r="A42" s="68" t="s">
        <v>277</v>
      </c>
      <c r="B42" s="70">
        <f>c_GET2</f>
        <v>4553.7999999999993</v>
      </c>
      <c r="C42" s="156"/>
      <c r="D42" s="119"/>
      <c r="E42" s="119"/>
      <c r="F42" s="119"/>
      <c r="G42" s="119"/>
    </row>
    <row r="43" spans="1:7" ht="15" customHeight="1">
      <c r="A43" s="68" t="s">
        <v>278</v>
      </c>
      <c r="B43" s="70">
        <f>c_GET3</f>
        <v>3841.3333333333326</v>
      </c>
    </row>
    <row r="44" spans="1:7">
      <c r="A44" s="157" t="s">
        <v>279</v>
      </c>
      <c r="B44" s="158"/>
      <c r="C44" s="158"/>
      <c r="D44" s="158"/>
      <c r="E44" s="158"/>
      <c r="F44" s="159"/>
    </row>
    <row r="45" spans="1:7" ht="15" customHeight="1">
      <c r="A45" s="160"/>
      <c r="B45" s="161"/>
      <c r="C45" s="161"/>
      <c r="D45" s="161"/>
      <c r="E45" s="161"/>
      <c r="F45" s="162"/>
    </row>
    <row r="46" spans="1:7" ht="15" customHeight="1">
      <c r="A46" s="39" t="s">
        <v>188</v>
      </c>
      <c r="B46" s="155" t="str">
        <f>CALCULOS!B58</f>
        <v>—</v>
      </c>
      <c r="C46" s="116"/>
      <c r="D46" s="116"/>
      <c r="E46" s="116"/>
      <c r="F46" s="117"/>
    </row>
    <row r="47" spans="1:7" ht="23.25" customHeight="1">
      <c r="A47" s="39" t="s">
        <v>189</v>
      </c>
      <c r="B47" s="155" t="str">
        <f>CALCULOS!B59</f>
        <v>Nota: el índice MET medio se usa como PAL (método 3). Es una aproximación: el MET estándar no se ajusta al metabolismo de la persona.</v>
      </c>
      <c r="C47" s="116"/>
      <c r="D47" s="116"/>
      <c r="E47" s="116"/>
      <c r="F47" s="117"/>
    </row>
    <row r="48" spans="1:7" ht="15" customHeight="1">
      <c r="A48" s="39" t="s">
        <v>190</v>
      </c>
      <c r="B48" s="155" t="str">
        <f>CALCULOS!B60</f>
        <v>—</v>
      </c>
      <c r="C48" s="116"/>
      <c r="D48" s="116"/>
      <c r="E48" s="116"/>
      <c r="F48" s="117"/>
    </row>
    <row r="49" spans="1:6" ht="15" customHeight="1">
      <c r="A49" s="39" t="s">
        <v>191</v>
      </c>
      <c r="B49" s="155" t="str">
        <f>CALCULOS!B61</f>
        <v>—</v>
      </c>
      <c r="C49" s="116"/>
      <c r="D49" s="116"/>
      <c r="E49" s="116"/>
      <c r="F49" s="117"/>
    </row>
    <row r="50" spans="1:6" ht="15" customHeight="1">
      <c r="A50" s="39" t="s">
        <v>192</v>
      </c>
      <c r="B50" s="155" t="str">
        <f>CALCULOS!B62</f>
        <v>—</v>
      </c>
      <c r="C50" s="116"/>
      <c r="D50" s="116"/>
      <c r="E50" s="116"/>
      <c r="F50" s="117"/>
    </row>
    <row r="51" spans="1:6" ht="15" customHeight="1">
      <c r="A51" s="39" t="s">
        <v>193</v>
      </c>
      <c r="B51" s="155" t="str">
        <f>CALCULOS!B63</f>
        <v>—</v>
      </c>
      <c r="C51" s="116"/>
      <c r="D51" s="116"/>
      <c r="E51" s="116"/>
      <c r="F51" s="117"/>
    </row>
    <row r="52" spans="1:6" ht="15" customHeight="1">
      <c r="A52" s="39" t="s">
        <v>194</v>
      </c>
      <c r="B52" s="155" t="str">
        <f>CALCULOS!B64</f>
        <v>—</v>
      </c>
      <c r="C52" s="116"/>
      <c r="D52" s="116"/>
      <c r="E52" s="116"/>
      <c r="F52" s="117"/>
    </row>
    <row r="53" spans="1:6" ht="15" customHeight="1">
      <c r="A53" s="39" t="s">
        <v>195</v>
      </c>
      <c r="B53" s="155" t="str">
        <f>CALCULOS!B65</f>
        <v>—</v>
      </c>
      <c r="C53" s="116"/>
      <c r="D53" s="116"/>
      <c r="E53" s="116"/>
      <c r="F53" s="117"/>
    </row>
    <row r="54" spans="1:6">
      <c r="A54" s="61"/>
      <c r="B54" s="61"/>
      <c r="C54" s="61"/>
      <c r="D54" s="61"/>
      <c r="E54" s="61"/>
      <c r="F54" s="61"/>
    </row>
    <row r="55" spans="1:6" ht="43.5" customHeight="1">
      <c r="A55" s="154" t="s">
        <v>280</v>
      </c>
      <c r="B55" s="116"/>
      <c r="C55" s="116"/>
      <c r="D55" s="116"/>
      <c r="E55" s="116"/>
      <c r="F55" s="117"/>
    </row>
  </sheetData>
  <sheetProtection algorithmName="SHA-512" hashValue="vxKtLUkRZjQ6Qf/enl0Wlro92wjeG8Bz1RitGGrpnmIgyYwSI6xVKFhfDT32mSb8eUP29VIjEd69YPJU6gPs9w==" saltValue="iiPpx6OcPUOVC5nOsRlpjQ==" spinCount="100000" sheet="1" objects="1" scenarios="1"/>
  <mergeCells count="41">
    <mergeCell ref="A2:H2"/>
    <mergeCell ref="A1:H1"/>
    <mergeCell ref="B3:D3"/>
    <mergeCell ref="G3:H3"/>
    <mergeCell ref="E3:F3"/>
    <mergeCell ref="A55:F55"/>
    <mergeCell ref="B52:F52"/>
    <mergeCell ref="B12:F12"/>
    <mergeCell ref="B48:F48"/>
    <mergeCell ref="B51:F51"/>
    <mergeCell ref="B50:F50"/>
    <mergeCell ref="B47:F47"/>
    <mergeCell ref="C42:G42"/>
    <mergeCell ref="B46:F46"/>
    <mergeCell ref="A33:F34"/>
    <mergeCell ref="A44:F45"/>
    <mergeCell ref="B49:F49"/>
    <mergeCell ref="D19:F19"/>
    <mergeCell ref="C31:F31"/>
    <mergeCell ref="B13:F13"/>
    <mergeCell ref="B53:F53"/>
    <mergeCell ref="B8:F8"/>
    <mergeCell ref="D21:F21"/>
    <mergeCell ref="B7:F7"/>
    <mergeCell ref="D17:F17"/>
    <mergeCell ref="A4:F5"/>
    <mergeCell ref="A14:F15"/>
    <mergeCell ref="B6:F6"/>
    <mergeCell ref="B9:F9"/>
    <mergeCell ref="B10:F10"/>
    <mergeCell ref="D20:F20"/>
    <mergeCell ref="B11:F11"/>
    <mergeCell ref="A32:F32"/>
    <mergeCell ref="D18:F18"/>
    <mergeCell ref="E28:F28"/>
    <mergeCell ref="C30:F30"/>
    <mergeCell ref="A22:F22"/>
    <mergeCell ref="A23:F24"/>
    <mergeCell ref="E27:F27"/>
    <mergeCell ref="C29:F29"/>
    <mergeCell ref="E26:F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6B70"/>
  </sheetPr>
  <dimension ref="A1:K13"/>
  <sheetViews>
    <sheetView showGridLines="0" workbookViewId="0"/>
  </sheetViews>
  <sheetFormatPr baseColWidth="10" defaultColWidth="8.7109375" defaultRowHeight="15"/>
  <cols>
    <col min="1" max="1" width="24" style="73" customWidth="1"/>
    <col min="2" max="2" width="30" style="73" customWidth="1"/>
    <col min="3" max="3" width="8" style="73" customWidth="1"/>
    <col min="4" max="5" width="34" style="73" customWidth="1"/>
    <col min="6" max="6" width="16" style="73" customWidth="1"/>
    <col min="7" max="7" width="38" style="73" customWidth="1"/>
    <col min="8" max="8" width="26" style="73" customWidth="1"/>
    <col min="9" max="9" width="13" style="73" customWidth="1"/>
    <col min="10" max="10" width="30" style="73" customWidth="1"/>
    <col min="11" max="11" width="8" style="73" customWidth="1"/>
  </cols>
  <sheetData>
    <row r="1" spans="1:1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>
      <c r="A2" s="139" t="s">
        <v>281</v>
      </c>
      <c r="B2" s="139"/>
      <c r="C2" s="139"/>
      <c r="D2" s="139"/>
      <c r="E2" s="139"/>
    </row>
    <row r="3" spans="1:11" ht="39.75" customHeight="1">
      <c r="A3" s="126" t="s">
        <v>282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1" ht="15" customHeight="1">
      <c r="A4" s="75" t="str">
        <f>HYPERLINK("#INICIO!A1","◀ INICIO")</f>
        <v>◀ INICIO</v>
      </c>
      <c r="B4" s="77" t="str">
        <f>HYPERLINK("#DATOS!A1","◀ DATOS")</f>
        <v>◀ DATOS</v>
      </c>
      <c r="C4" s="132" t="str">
        <f>HYPERLINK("#CALCULOS!A1","◀  CALCULOS")</f>
        <v>◀  CALCULOS</v>
      </c>
      <c r="D4" s="133"/>
      <c r="E4" s="134"/>
      <c r="K4"/>
    </row>
    <row r="5" spans="1:11" ht="15" customHeight="1">
      <c r="A5" s="19" t="s">
        <v>283</v>
      </c>
      <c r="B5" s="19" t="s">
        <v>284</v>
      </c>
      <c r="C5" s="19" t="s">
        <v>285</v>
      </c>
      <c r="D5" s="19" t="s">
        <v>286</v>
      </c>
      <c r="E5" s="19" t="s">
        <v>287</v>
      </c>
      <c r="F5" s="19" t="s">
        <v>288</v>
      </c>
      <c r="G5" s="19" t="s">
        <v>289</v>
      </c>
      <c r="H5" s="19" t="s">
        <v>290</v>
      </c>
      <c r="I5" s="19" t="s">
        <v>291</v>
      </c>
      <c r="J5" s="19" t="s">
        <v>292</v>
      </c>
      <c r="K5" s="19" t="s">
        <v>293</v>
      </c>
    </row>
    <row r="6" spans="1:11" ht="54" customHeight="1">
      <c r="A6" s="20" t="s">
        <v>294</v>
      </c>
      <c r="B6" s="20" t="s">
        <v>295</v>
      </c>
      <c r="C6" s="20" t="s">
        <v>296</v>
      </c>
      <c r="D6" s="20" t="s">
        <v>297</v>
      </c>
      <c r="E6" s="20" t="s">
        <v>298</v>
      </c>
      <c r="F6" s="20" t="s">
        <v>299</v>
      </c>
      <c r="G6" s="20" t="s">
        <v>300</v>
      </c>
      <c r="H6" s="20" t="s">
        <v>301</v>
      </c>
      <c r="I6" s="20" t="s">
        <v>14</v>
      </c>
      <c r="J6" s="20" t="s">
        <v>302</v>
      </c>
      <c r="K6" s="21" t="s">
        <v>303</v>
      </c>
    </row>
    <row r="7" spans="1:11" ht="54" customHeight="1">
      <c r="A7" s="20" t="s">
        <v>304</v>
      </c>
      <c r="B7" s="20" t="s">
        <v>305</v>
      </c>
      <c r="C7" s="20" t="s">
        <v>306</v>
      </c>
      <c r="D7" s="20" t="s">
        <v>307</v>
      </c>
      <c r="E7" s="20" t="s">
        <v>308</v>
      </c>
      <c r="F7" s="20" t="s">
        <v>309</v>
      </c>
      <c r="G7" s="20" t="s">
        <v>310</v>
      </c>
      <c r="H7" s="20" t="s">
        <v>311</v>
      </c>
      <c r="I7" s="20" t="s">
        <v>14</v>
      </c>
      <c r="J7" s="20" t="s">
        <v>312</v>
      </c>
      <c r="K7" s="21" t="s">
        <v>313</v>
      </c>
    </row>
    <row r="8" spans="1:11" ht="54" customHeight="1">
      <c r="A8" s="20" t="s">
        <v>314</v>
      </c>
      <c r="B8" s="20" t="s">
        <v>315</v>
      </c>
      <c r="C8" s="20" t="s">
        <v>316</v>
      </c>
      <c r="D8" s="20" t="s">
        <v>317</v>
      </c>
      <c r="E8" s="20" t="s">
        <v>318</v>
      </c>
      <c r="F8" s="20" t="s">
        <v>319</v>
      </c>
      <c r="G8" s="20" t="s">
        <v>320</v>
      </c>
      <c r="H8" s="20" t="s">
        <v>321</v>
      </c>
      <c r="I8" s="20" t="s">
        <v>14</v>
      </c>
      <c r="J8" s="20" t="s">
        <v>322</v>
      </c>
      <c r="K8" s="21" t="s">
        <v>313</v>
      </c>
    </row>
    <row r="9" spans="1:11" ht="54" customHeight="1">
      <c r="A9" s="20" t="s">
        <v>323</v>
      </c>
      <c r="B9" s="20" t="s">
        <v>324</v>
      </c>
      <c r="C9" s="20" t="s">
        <v>325</v>
      </c>
      <c r="D9" s="20" t="s">
        <v>326</v>
      </c>
      <c r="E9" s="20" t="s">
        <v>327</v>
      </c>
      <c r="F9" s="20" t="s">
        <v>328</v>
      </c>
      <c r="G9" s="20" t="s">
        <v>329</v>
      </c>
      <c r="H9" s="20" t="s">
        <v>330</v>
      </c>
      <c r="I9" s="20" t="s">
        <v>14</v>
      </c>
      <c r="J9" s="20" t="s">
        <v>331</v>
      </c>
      <c r="K9" s="21" t="s">
        <v>313</v>
      </c>
    </row>
    <row r="10" spans="1:11" ht="54" customHeight="1">
      <c r="A10" s="20" t="s">
        <v>332</v>
      </c>
      <c r="B10" s="20" t="s">
        <v>333</v>
      </c>
      <c r="C10" s="20" t="s">
        <v>316</v>
      </c>
      <c r="D10" s="20" t="s">
        <v>334</v>
      </c>
      <c r="E10" s="20" t="s">
        <v>335</v>
      </c>
      <c r="F10" s="20" t="s">
        <v>336</v>
      </c>
      <c r="G10" s="20" t="s">
        <v>337</v>
      </c>
      <c r="H10" s="20" t="s">
        <v>338</v>
      </c>
      <c r="I10" s="20" t="s">
        <v>14</v>
      </c>
      <c r="J10" s="20" t="s">
        <v>339</v>
      </c>
      <c r="K10" s="21" t="s">
        <v>313</v>
      </c>
    </row>
    <row r="11" spans="1:11" ht="54" customHeight="1">
      <c r="A11" s="20" t="s">
        <v>340</v>
      </c>
      <c r="B11" s="20" t="s">
        <v>341</v>
      </c>
      <c r="C11" s="20" t="s">
        <v>342</v>
      </c>
      <c r="D11" s="20" t="s">
        <v>343</v>
      </c>
      <c r="E11" s="20" t="s">
        <v>344</v>
      </c>
      <c r="F11" s="20" t="s">
        <v>345</v>
      </c>
      <c r="G11" s="20" t="s">
        <v>346</v>
      </c>
      <c r="H11" s="20" t="s">
        <v>347</v>
      </c>
      <c r="I11" s="20" t="s">
        <v>14</v>
      </c>
      <c r="J11" s="20" t="s">
        <v>348</v>
      </c>
      <c r="K11" s="21" t="s">
        <v>313</v>
      </c>
    </row>
    <row r="12" spans="1:11">
      <c r="A12" t="s">
        <v>649</v>
      </c>
      <c r="B12" t="s">
        <v>650</v>
      </c>
      <c r="C12" t="s">
        <v>651</v>
      </c>
      <c r="D12" t="s">
        <v>652</v>
      </c>
      <c r="E12" t="s">
        <v>653</v>
      </c>
      <c r="F12" t="s">
        <v>299</v>
      </c>
      <c r="G12" t="s">
        <v>654</v>
      </c>
      <c r="H12" t="s">
        <v>655</v>
      </c>
      <c r="I12" t="s">
        <v>656</v>
      </c>
      <c r="J12" t="s">
        <v>302</v>
      </c>
      <c r="K12" t="s">
        <v>313</v>
      </c>
    </row>
    <row r="13" spans="1:11" ht="30" customHeight="1">
      <c r="A13" s="126" t="s">
        <v>349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</row>
  </sheetData>
  <sheetProtection algorithmName="SHA-512" hashValue="ZvGAKxmvBQyVEwi6+j6OXGDsgTMYYrWuTyTdMfKYLTERv0fUWnCEri6JzBBe57NLuhZhaVKmwNK8NbZF4RwgIw==" saltValue="zN8SW6GFuK1c8ZkgENrPTw==" spinCount="100000" sheet="1" objects="1" scenarios="1"/>
  <mergeCells count="4">
    <mergeCell ref="A3:K3"/>
    <mergeCell ref="A13:K13"/>
    <mergeCell ref="C4:E4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A6B70"/>
  </sheetPr>
  <dimension ref="A1:O79"/>
  <sheetViews>
    <sheetView showGridLines="0" workbookViewId="0">
      <selection activeCell="D48" sqref="D48:E59"/>
    </sheetView>
  </sheetViews>
  <sheetFormatPr baseColWidth="10" defaultColWidth="8.7109375" defaultRowHeight="15"/>
  <cols>
    <col min="1" max="1" width="6" style="73" customWidth="1"/>
    <col min="2" max="2" width="40" style="73" customWidth="1"/>
    <col min="3" max="3" width="14.85546875" style="73" customWidth="1"/>
    <col min="4" max="4" width="18.5703125" style="73" customWidth="1"/>
    <col min="5" max="5" width="33.7109375" style="73" customWidth="1"/>
    <col min="6" max="7" width="8" style="73" customWidth="1"/>
    <col min="8" max="11" width="9" style="73" customWidth="1"/>
    <col min="12" max="13" width="12" style="73" customWidth="1"/>
    <col min="14" max="14" width="12.28515625" style="73" customWidth="1"/>
    <col min="15" max="15" width="11" style="73" customWidth="1"/>
  </cols>
  <sheetData>
    <row r="1" spans="1:15" ht="25.5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15" customHeight="1">
      <c r="A2" s="139" t="s">
        <v>350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 ht="33.75" customHeight="1">
      <c r="A3" s="126" t="s">
        <v>351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</row>
    <row r="4" spans="1:15" ht="17.25" customHeight="1">
      <c r="A4" s="170" t="str">
        <f>HYPERLINK("#INICIO!A1","◀ INICIO")</f>
        <v>◀ INICIO</v>
      </c>
      <c r="B4" s="171"/>
      <c r="C4" s="171"/>
      <c r="D4" s="171"/>
      <c r="N4"/>
      <c r="O4"/>
    </row>
    <row r="6" spans="1:15" ht="15" customHeight="1">
      <c r="A6" s="178" t="s">
        <v>657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80"/>
    </row>
    <row r="7" spans="1:15" ht="15" customHeight="1">
      <c r="A7" s="24" t="s">
        <v>352</v>
      </c>
      <c r="B7" s="24" t="s">
        <v>353</v>
      </c>
      <c r="C7" s="24" t="s">
        <v>354</v>
      </c>
      <c r="D7" s="24" t="s">
        <v>355</v>
      </c>
      <c r="E7" s="24" t="s">
        <v>63</v>
      </c>
      <c r="F7" s="24" t="s">
        <v>67</v>
      </c>
      <c r="G7" s="24" t="s">
        <v>356</v>
      </c>
      <c r="H7" s="24" t="s">
        <v>357</v>
      </c>
      <c r="I7" s="24" t="s">
        <v>358</v>
      </c>
      <c r="J7" s="24" t="s">
        <v>359</v>
      </c>
      <c r="K7" s="24" t="s">
        <v>360</v>
      </c>
      <c r="L7" s="24" t="s">
        <v>361</v>
      </c>
      <c r="M7" s="24" t="s">
        <v>362</v>
      </c>
      <c r="N7" s="24" t="s">
        <v>363</v>
      </c>
      <c r="O7" s="24" t="s">
        <v>127</v>
      </c>
    </row>
    <row r="8" spans="1:15" ht="15" customHeight="1">
      <c r="A8" s="25" t="s">
        <v>364</v>
      </c>
      <c r="B8" s="26" t="s">
        <v>365</v>
      </c>
      <c r="C8" s="18" t="s">
        <v>60</v>
      </c>
      <c r="D8" s="18" t="s">
        <v>366</v>
      </c>
      <c r="E8" s="25">
        <v>30</v>
      </c>
      <c r="F8" s="25">
        <v>70</v>
      </c>
      <c r="G8" s="25">
        <v>175</v>
      </c>
      <c r="H8" s="25">
        <v>5</v>
      </c>
      <c r="I8" s="25">
        <v>10</v>
      </c>
      <c r="J8" s="25">
        <v>6.25</v>
      </c>
      <c r="K8" s="25">
        <v>-5</v>
      </c>
      <c r="L8" s="13">
        <f t="shared" ref="L8:L17" si="0">H8+I8*F8+J8*G8+K8*E8</f>
        <v>1648.75</v>
      </c>
      <c r="M8" s="27">
        <v>1648.75</v>
      </c>
      <c r="N8" s="13">
        <f t="shared" ref="N8:N17" si="1">L8-M8</f>
        <v>0</v>
      </c>
      <c r="O8" s="28" t="str">
        <f t="shared" ref="O8:O17" si="2">IF(ABS(N8)&lt;=TOL_KCAL,"APROBADO","FALLIDO")</f>
        <v>APROBADO</v>
      </c>
    </row>
    <row r="9" spans="1:15" ht="15" customHeight="1">
      <c r="A9" s="25" t="s">
        <v>367</v>
      </c>
      <c r="B9" s="26" t="s">
        <v>368</v>
      </c>
      <c r="C9" s="18" t="s">
        <v>369</v>
      </c>
      <c r="D9" s="18" t="s">
        <v>366</v>
      </c>
      <c r="E9" s="25">
        <v>45</v>
      </c>
      <c r="F9" s="25">
        <v>62</v>
      </c>
      <c r="G9" s="25">
        <v>162</v>
      </c>
      <c r="H9" s="25">
        <v>-161</v>
      </c>
      <c r="I9" s="25">
        <v>10</v>
      </c>
      <c r="J9" s="25">
        <v>6.25</v>
      </c>
      <c r="K9" s="25">
        <v>-5</v>
      </c>
      <c r="L9" s="13">
        <f t="shared" si="0"/>
        <v>1246.5</v>
      </c>
      <c r="M9" s="27">
        <v>1246.5</v>
      </c>
      <c r="N9" s="13">
        <f t="shared" si="1"/>
        <v>0</v>
      </c>
      <c r="O9" s="28" t="str">
        <f t="shared" si="2"/>
        <v>APROBADO</v>
      </c>
    </row>
    <row r="10" spans="1:15" ht="15" customHeight="1">
      <c r="A10" s="25" t="s">
        <v>370</v>
      </c>
      <c r="B10" s="26" t="s">
        <v>371</v>
      </c>
      <c r="C10" s="18" t="s">
        <v>60</v>
      </c>
      <c r="D10" s="18" t="s">
        <v>366</v>
      </c>
      <c r="E10" s="25">
        <v>55</v>
      </c>
      <c r="F10" s="25">
        <v>85</v>
      </c>
      <c r="G10" s="25">
        <v>180</v>
      </c>
      <c r="H10" s="25">
        <v>5</v>
      </c>
      <c r="I10" s="25">
        <v>10</v>
      </c>
      <c r="J10" s="25">
        <v>6.25</v>
      </c>
      <c r="K10" s="25">
        <v>-5</v>
      </c>
      <c r="L10" s="13">
        <f t="shared" si="0"/>
        <v>1705</v>
      </c>
      <c r="M10" s="27">
        <v>1705</v>
      </c>
      <c r="N10" s="13">
        <f t="shared" si="1"/>
        <v>0</v>
      </c>
      <c r="O10" s="28" t="str">
        <f t="shared" si="2"/>
        <v>APROBADO</v>
      </c>
    </row>
    <row r="11" spans="1:15" ht="15" customHeight="1">
      <c r="A11" s="25" t="s">
        <v>372</v>
      </c>
      <c r="B11" s="26" t="s">
        <v>373</v>
      </c>
      <c r="C11" s="18" t="s">
        <v>369</v>
      </c>
      <c r="D11" s="18" t="s">
        <v>366</v>
      </c>
      <c r="E11" s="25">
        <v>38</v>
      </c>
      <c r="F11" s="25">
        <v>58</v>
      </c>
      <c r="G11" s="25">
        <v>160</v>
      </c>
      <c r="H11" s="25">
        <v>-161</v>
      </c>
      <c r="I11" s="25">
        <v>10</v>
      </c>
      <c r="J11" s="25">
        <v>6.25</v>
      </c>
      <c r="K11" s="25">
        <v>-5</v>
      </c>
      <c r="L11" s="13">
        <f t="shared" si="0"/>
        <v>1229</v>
      </c>
      <c r="M11" s="27">
        <v>1229</v>
      </c>
      <c r="N11" s="13">
        <f t="shared" si="1"/>
        <v>0</v>
      </c>
      <c r="O11" s="28" t="str">
        <f t="shared" si="2"/>
        <v>APROBADO</v>
      </c>
    </row>
    <row r="12" spans="1:15" ht="15" customHeight="1">
      <c r="A12" s="25" t="s">
        <v>374</v>
      </c>
      <c r="B12" s="26" t="s">
        <v>375</v>
      </c>
      <c r="C12" s="18" t="s">
        <v>60</v>
      </c>
      <c r="D12" s="18" t="s">
        <v>376</v>
      </c>
      <c r="E12" s="25">
        <v>25</v>
      </c>
      <c r="F12" s="25">
        <v>70</v>
      </c>
      <c r="G12" s="25">
        <v>0</v>
      </c>
      <c r="H12" s="25">
        <v>545</v>
      </c>
      <c r="I12" s="25">
        <v>16</v>
      </c>
      <c r="J12" s="25">
        <v>0</v>
      </c>
      <c r="K12" s="25">
        <v>0</v>
      </c>
      <c r="L12" s="13">
        <f t="shared" si="0"/>
        <v>1665</v>
      </c>
      <c r="M12" s="27">
        <v>1665</v>
      </c>
      <c r="N12" s="13">
        <f t="shared" si="1"/>
        <v>0</v>
      </c>
      <c r="O12" s="28" t="str">
        <f t="shared" si="2"/>
        <v>APROBADO</v>
      </c>
    </row>
    <row r="13" spans="1:15" ht="15" customHeight="1">
      <c r="A13" s="25" t="s">
        <v>377</v>
      </c>
      <c r="B13" s="26" t="s">
        <v>378</v>
      </c>
      <c r="C13" s="18" t="s">
        <v>60</v>
      </c>
      <c r="D13" s="18" t="s">
        <v>376</v>
      </c>
      <c r="E13" s="25">
        <v>40</v>
      </c>
      <c r="F13" s="25">
        <v>80</v>
      </c>
      <c r="G13" s="25">
        <v>0</v>
      </c>
      <c r="H13" s="25">
        <v>593</v>
      </c>
      <c r="I13" s="25">
        <v>14.2</v>
      </c>
      <c r="J13" s="25">
        <v>0</v>
      </c>
      <c r="K13" s="25">
        <v>0</v>
      </c>
      <c r="L13" s="13">
        <f t="shared" si="0"/>
        <v>1729</v>
      </c>
      <c r="M13" s="27">
        <v>1729</v>
      </c>
      <c r="N13" s="13">
        <f t="shared" si="1"/>
        <v>0</v>
      </c>
      <c r="O13" s="28" t="str">
        <f t="shared" si="2"/>
        <v>APROBADO</v>
      </c>
    </row>
    <row r="14" spans="1:15" ht="15" customHeight="1">
      <c r="A14" s="25" t="s">
        <v>379</v>
      </c>
      <c r="B14" s="26" t="s">
        <v>380</v>
      </c>
      <c r="C14" s="18" t="s">
        <v>60</v>
      </c>
      <c r="D14" s="18" t="s">
        <v>376</v>
      </c>
      <c r="E14" s="25">
        <v>65</v>
      </c>
      <c r="F14" s="25">
        <v>75</v>
      </c>
      <c r="G14" s="25">
        <v>0</v>
      </c>
      <c r="H14" s="25">
        <v>514</v>
      </c>
      <c r="I14" s="25">
        <v>13.5</v>
      </c>
      <c r="J14" s="25">
        <v>0</v>
      </c>
      <c r="K14" s="25">
        <v>0</v>
      </c>
      <c r="L14" s="13">
        <f t="shared" si="0"/>
        <v>1526.5</v>
      </c>
      <c r="M14" s="27">
        <v>1526.5</v>
      </c>
      <c r="N14" s="13">
        <f t="shared" si="1"/>
        <v>0</v>
      </c>
      <c r="O14" s="28" t="str">
        <f t="shared" si="2"/>
        <v>APROBADO</v>
      </c>
    </row>
    <row r="15" spans="1:15" ht="15" customHeight="1">
      <c r="A15" s="25" t="s">
        <v>381</v>
      </c>
      <c r="B15" s="26" t="s">
        <v>382</v>
      </c>
      <c r="C15" s="18" t="s">
        <v>369</v>
      </c>
      <c r="D15" s="18" t="s">
        <v>376</v>
      </c>
      <c r="E15" s="25">
        <v>25</v>
      </c>
      <c r="F15" s="25">
        <v>60</v>
      </c>
      <c r="G15" s="25">
        <v>0</v>
      </c>
      <c r="H15" s="25">
        <v>558</v>
      </c>
      <c r="I15" s="25">
        <v>13.1</v>
      </c>
      <c r="J15" s="25">
        <v>0</v>
      </c>
      <c r="K15" s="25">
        <v>0</v>
      </c>
      <c r="L15" s="13">
        <f t="shared" si="0"/>
        <v>1344</v>
      </c>
      <c r="M15" s="27">
        <v>1344</v>
      </c>
      <c r="N15" s="13">
        <f t="shared" si="1"/>
        <v>0</v>
      </c>
      <c r="O15" s="28" t="str">
        <f t="shared" si="2"/>
        <v>APROBADO</v>
      </c>
    </row>
    <row r="16" spans="1:15" ht="15" customHeight="1">
      <c r="A16" s="25" t="s">
        <v>383</v>
      </c>
      <c r="B16" s="26" t="s">
        <v>384</v>
      </c>
      <c r="C16" s="18" t="s">
        <v>369</v>
      </c>
      <c r="D16" s="18" t="s">
        <v>376</v>
      </c>
      <c r="E16" s="25">
        <v>45</v>
      </c>
      <c r="F16" s="25">
        <v>58</v>
      </c>
      <c r="G16" s="25">
        <v>0</v>
      </c>
      <c r="H16" s="25">
        <v>694</v>
      </c>
      <c r="I16" s="25">
        <v>9.74</v>
      </c>
      <c r="J16" s="25">
        <v>0</v>
      </c>
      <c r="K16" s="25">
        <v>0</v>
      </c>
      <c r="L16" s="13">
        <f t="shared" si="0"/>
        <v>1258.92</v>
      </c>
      <c r="M16" s="27">
        <v>1258.92</v>
      </c>
      <c r="N16" s="13">
        <f t="shared" si="1"/>
        <v>0</v>
      </c>
      <c r="O16" s="28" t="str">
        <f t="shared" si="2"/>
        <v>APROBADO</v>
      </c>
    </row>
    <row r="17" spans="1:15" ht="15" customHeight="1">
      <c r="A17" s="25" t="s">
        <v>385</v>
      </c>
      <c r="B17" s="26" t="s">
        <v>386</v>
      </c>
      <c r="C17" s="18" t="s">
        <v>369</v>
      </c>
      <c r="D17" s="18" t="s">
        <v>376</v>
      </c>
      <c r="E17" s="25">
        <v>70</v>
      </c>
      <c r="F17" s="25">
        <v>68</v>
      </c>
      <c r="G17" s="25">
        <v>0</v>
      </c>
      <c r="H17" s="25">
        <v>569</v>
      </c>
      <c r="I17" s="25">
        <v>10.1</v>
      </c>
      <c r="J17" s="25">
        <v>0</v>
      </c>
      <c r="K17" s="25">
        <v>0</v>
      </c>
      <c r="L17" s="13">
        <f t="shared" si="0"/>
        <v>1255.8</v>
      </c>
      <c r="M17" s="27">
        <v>1255.8</v>
      </c>
      <c r="N17" s="13">
        <f t="shared" si="1"/>
        <v>0</v>
      </c>
      <c r="O17" s="28" t="str">
        <f t="shared" si="2"/>
        <v>APROBADO</v>
      </c>
    </row>
    <row r="18" spans="1:15">
      <c r="A18" t="s">
        <v>658</v>
      </c>
      <c r="B18" t="s">
        <v>659</v>
      </c>
      <c r="C18" t="s">
        <v>60</v>
      </c>
      <c r="D18" t="s">
        <v>660</v>
      </c>
      <c r="E18">
        <v>30</v>
      </c>
      <c r="F18">
        <v>70</v>
      </c>
      <c r="G18">
        <v>175</v>
      </c>
      <c r="H18">
        <v>88.361999999999995</v>
      </c>
      <c r="I18">
        <v>13.397</v>
      </c>
      <c r="J18">
        <v>4.7990000000000004</v>
      </c>
      <c r="K18">
        <v>-5.6769999999999996</v>
      </c>
      <c r="L18">
        <f>H18+I18*F18+J18*G18+K18*E18</f>
        <v>1695.6670000000001</v>
      </c>
      <c r="M18">
        <v>1695.6669999999999</v>
      </c>
      <c r="N18">
        <f>L18-M18</f>
        <v>0</v>
      </c>
      <c r="O18" t="str">
        <f>IF(ABS(N18)&lt;=TOL_KCAL,"APROBADO","FALLIDO")</f>
        <v>APROBADO</v>
      </c>
    </row>
    <row r="19" spans="1:15" ht="15" customHeight="1">
      <c r="A19" s="178" t="s">
        <v>387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80"/>
    </row>
    <row r="20" spans="1:15" ht="15" customHeight="1">
      <c r="A20" s="24" t="s">
        <v>352</v>
      </c>
      <c r="B20" s="24" t="s">
        <v>353</v>
      </c>
      <c r="C20" s="24" t="s">
        <v>67</v>
      </c>
      <c r="D20" s="24" t="s">
        <v>388</v>
      </c>
      <c r="E20" s="24" t="s">
        <v>389</v>
      </c>
      <c r="F20" s="24" t="s">
        <v>390</v>
      </c>
      <c r="G20" s="24" t="s">
        <v>391</v>
      </c>
      <c r="H20" s="24" t="s">
        <v>392</v>
      </c>
      <c r="I20" s="24" t="s">
        <v>393</v>
      </c>
      <c r="J20" s="24" t="s">
        <v>394</v>
      </c>
      <c r="K20" s="24" t="s">
        <v>395</v>
      </c>
      <c r="L20" s="24" t="s">
        <v>396</v>
      </c>
      <c r="M20" s="24" t="s">
        <v>397</v>
      </c>
      <c r="N20" s="24" t="s">
        <v>398</v>
      </c>
      <c r="O20" s="24" t="s">
        <v>51</v>
      </c>
    </row>
    <row r="21" spans="1:15" ht="15" customHeight="1">
      <c r="A21" s="25" t="s">
        <v>399</v>
      </c>
      <c r="B21" s="26" t="s">
        <v>400</v>
      </c>
      <c r="C21" s="25">
        <v>70</v>
      </c>
      <c r="D21" s="29">
        <v>36</v>
      </c>
      <c r="E21" s="29">
        <v>14</v>
      </c>
      <c r="F21" s="12">
        <f t="shared" ref="F21:F26" si="3">E21*C21</f>
        <v>980</v>
      </c>
      <c r="G21" s="29">
        <v>980</v>
      </c>
      <c r="H21" s="28" t="str">
        <f t="shared" ref="H21:H26" si="4">IF(ABS(F21-G21)&lt;=TOL_KCAL,"APROBADO","FALLIDO")</f>
        <v>APROBADO</v>
      </c>
      <c r="I21" s="12">
        <f t="shared" ref="I21:I26" si="5">D21*C21</f>
        <v>2520</v>
      </c>
      <c r="J21" s="29">
        <v>2520</v>
      </c>
      <c r="K21" s="28" t="str">
        <f t="shared" ref="K21:K26" si="6">IF(ABS(I21-J21)&lt;=TOL_KCAL,"APROBADO","FALLIDO")</f>
        <v>APROBADO</v>
      </c>
      <c r="L21" s="15">
        <f t="shared" ref="L21:L26" si="7">D21/24</f>
        <v>1.5</v>
      </c>
      <c r="M21" s="30">
        <v>1.5</v>
      </c>
      <c r="N21" s="28" t="str">
        <f t="shared" ref="N21:N26" si="8">IF(ABS(L21-M21)&lt;=0.0001,"APROBADO","FALLIDO")</f>
        <v>APROBADO</v>
      </c>
      <c r="O21" s="4"/>
    </row>
    <row r="22" spans="1:15" ht="15" customHeight="1">
      <c r="A22" s="25" t="s">
        <v>401</v>
      </c>
      <c r="B22" s="26" t="s">
        <v>402</v>
      </c>
      <c r="C22" s="25">
        <v>80</v>
      </c>
      <c r="D22" s="29">
        <v>48</v>
      </c>
      <c r="E22" s="29">
        <v>24</v>
      </c>
      <c r="F22" s="12">
        <f t="shared" si="3"/>
        <v>1920</v>
      </c>
      <c r="G22" s="29">
        <v>1920</v>
      </c>
      <c r="H22" s="28" t="str">
        <f t="shared" si="4"/>
        <v>APROBADO</v>
      </c>
      <c r="I22" s="12">
        <f t="shared" si="5"/>
        <v>3840</v>
      </c>
      <c r="J22" s="29">
        <v>3840</v>
      </c>
      <c r="K22" s="28" t="str">
        <f t="shared" si="6"/>
        <v>APROBADO</v>
      </c>
      <c r="L22" s="15">
        <f t="shared" si="7"/>
        <v>2</v>
      </c>
      <c r="M22" s="30">
        <v>2</v>
      </c>
      <c r="N22" s="28" t="str">
        <f t="shared" si="8"/>
        <v>APROBADO</v>
      </c>
      <c r="O22" s="4"/>
    </row>
    <row r="23" spans="1:15" ht="15" customHeight="1">
      <c r="A23" s="25" t="s">
        <v>403</v>
      </c>
      <c r="B23" s="26" t="s">
        <v>404</v>
      </c>
      <c r="C23" s="25">
        <v>55</v>
      </c>
      <c r="D23" s="29">
        <v>24</v>
      </c>
      <c r="E23" s="29">
        <v>0</v>
      </c>
      <c r="F23" s="12">
        <f t="shared" si="3"/>
        <v>0</v>
      </c>
      <c r="G23" s="29">
        <v>0</v>
      </c>
      <c r="H23" s="28" t="str">
        <f t="shared" si="4"/>
        <v>APROBADO</v>
      </c>
      <c r="I23" s="12">
        <f t="shared" si="5"/>
        <v>1320</v>
      </c>
      <c r="J23" s="29">
        <v>1320</v>
      </c>
      <c r="K23" s="28" t="str">
        <f t="shared" si="6"/>
        <v>APROBADO</v>
      </c>
      <c r="L23" s="15">
        <f t="shared" si="7"/>
        <v>1</v>
      </c>
      <c r="M23" s="30">
        <v>1</v>
      </c>
      <c r="N23" s="28" t="str">
        <f t="shared" si="8"/>
        <v>APROBADO</v>
      </c>
      <c r="O23" s="4"/>
    </row>
    <row r="24" spans="1:15" ht="15" customHeight="1">
      <c r="A24" s="25" t="s">
        <v>405</v>
      </c>
      <c r="B24" s="26" t="s">
        <v>406</v>
      </c>
      <c r="C24" s="25">
        <v>90</v>
      </c>
      <c r="D24" s="29">
        <v>40.6</v>
      </c>
      <c r="E24" s="29">
        <v>16.600000000000001</v>
      </c>
      <c r="F24" s="12">
        <f t="shared" si="3"/>
        <v>1494.0000000000002</v>
      </c>
      <c r="G24" s="29">
        <v>1494</v>
      </c>
      <c r="H24" s="28" t="str">
        <f t="shared" si="4"/>
        <v>APROBADO</v>
      </c>
      <c r="I24" s="12">
        <f t="shared" si="5"/>
        <v>3654</v>
      </c>
      <c r="J24" s="29">
        <v>3654</v>
      </c>
      <c r="K24" s="28" t="str">
        <f t="shared" si="6"/>
        <v>APROBADO</v>
      </c>
      <c r="L24" s="15">
        <f t="shared" si="7"/>
        <v>1.6916666666666667</v>
      </c>
      <c r="M24" s="30">
        <v>1.691667</v>
      </c>
      <c r="N24" s="28" t="str">
        <f t="shared" si="8"/>
        <v>APROBADO</v>
      </c>
      <c r="O24" s="4"/>
    </row>
    <row r="25" spans="1:15" ht="15" customHeight="1">
      <c r="A25" s="25" t="s">
        <v>407</v>
      </c>
      <c r="B25" s="26" t="s">
        <v>408</v>
      </c>
      <c r="C25" s="25">
        <v>60</v>
      </c>
      <c r="D25" s="29">
        <v>24</v>
      </c>
      <c r="E25" s="29">
        <v>6</v>
      </c>
      <c r="F25" s="12">
        <f t="shared" si="3"/>
        <v>360</v>
      </c>
      <c r="G25" s="29">
        <v>360</v>
      </c>
      <c r="H25" s="28" t="str">
        <f t="shared" si="4"/>
        <v>APROBADO</v>
      </c>
      <c r="I25" s="12">
        <f t="shared" si="5"/>
        <v>1440</v>
      </c>
      <c r="J25" s="29">
        <v>1440</v>
      </c>
      <c r="K25" s="28" t="str">
        <f t="shared" si="6"/>
        <v>APROBADO</v>
      </c>
      <c r="L25" s="15">
        <f t="shared" si="7"/>
        <v>1</v>
      </c>
      <c r="M25" s="30">
        <v>1</v>
      </c>
      <c r="N25" s="28" t="str">
        <f t="shared" si="8"/>
        <v>APROBADO</v>
      </c>
      <c r="O25" s="4"/>
    </row>
    <row r="26" spans="1:15" ht="15" customHeight="1">
      <c r="A26" s="25" t="s">
        <v>409</v>
      </c>
      <c r="B26" s="26" t="s">
        <v>410</v>
      </c>
      <c r="C26" s="25">
        <v>100</v>
      </c>
      <c r="D26" s="29">
        <v>60</v>
      </c>
      <c r="E26" s="29">
        <v>30</v>
      </c>
      <c r="F26" s="12">
        <f t="shared" si="3"/>
        <v>3000</v>
      </c>
      <c r="G26" s="29">
        <v>3000</v>
      </c>
      <c r="H26" s="28" t="str">
        <f t="shared" si="4"/>
        <v>APROBADO</v>
      </c>
      <c r="I26" s="12">
        <f t="shared" si="5"/>
        <v>6000</v>
      </c>
      <c r="J26" s="29">
        <v>6000</v>
      </c>
      <c r="K26" s="28" t="str">
        <f t="shared" si="6"/>
        <v>APROBADO</v>
      </c>
      <c r="L26" s="15">
        <f t="shared" si="7"/>
        <v>2.5</v>
      </c>
      <c r="M26" s="30">
        <v>2.5</v>
      </c>
      <c r="N26" s="28" t="str">
        <f t="shared" si="8"/>
        <v>APROBADO</v>
      </c>
      <c r="O26" s="4"/>
    </row>
    <row r="28" spans="1:15" ht="15" customHeight="1">
      <c r="A28" s="178" t="s">
        <v>411</v>
      </c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80"/>
    </row>
    <row r="29" spans="1:15" ht="15" customHeight="1">
      <c r="A29" s="24" t="s">
        <v>352</v>
      </c>
      <c r="B29" s="24" t="s">
        <v>353</v>
      </c>
      <c r="C29" s="24" t="s">
        <v>412</v>
      </c>
      <c r="D29" s="24" t="s">
        <v>413</v>
      </c>
      <c r="E29" s="24" t="s">
        <v>414</v>
      </c>
      <c r="F29" s="24" t="s">
        <v>415</v>
      </c>
      <c r="G29" s="24" t="s">
        <v>416</v>
      </c>
      <c r="H29" s="24" t="s">
        <v>361</v>
      </c>
      <c r="I29" s="24" t="s">
        <v>362</v>
      </c>
      <c r="J29" s="24" t="s">
        <v>363</v>
      </c>
      <c r="K29" s="172" t="s">
        <v>127</v>
      </c>
      <c r="L29" s="173"/>
      <c r="M29" s="173"/>
      <c r="N29" s="173"/>
      <c r="O29" s="174"/>
    </row>
    <row r="30" spans="1:15" ht="15" customHeight="1">
      <c r="A30" s="25" t="s">
        <v>417</v>
      </c>
      <c r="B30" s="26" t="s">
        <v>418</v>
      </c>
      <c r="C30" s="18" t="s">
        <v>419</v>
      </c>
      <c r="D30" s="27">
        <v>0.1</v>
      </c>
      <c r="E30" s="25">
        <v>1600</v>
      </c>
      <c r="F30" s="25">
        <v>900</v>
      </c>
      <c r="G30" s="25">
        <v>0</v>
      </c>
      <c r="H30" s="13">
        <f>D30*(E30+F30)</f>
        <v>250</v>
      </c>
      <c r="I30" s="27">
        <v>250</v>
      </c>
      <c r="J30" s="13">
        <f t="shared" ref="J30:J35" si="9">H30-I30</f>
        <v>0</v>
      </c>
      <c r="K30" s="164" t="str">
        <f t="shared" ref="K30:K35" si="10">IF(ABS(J30)&lt;=TOL_KCAL,"APROBADO","FALLIDO")</f>
        <v>APROBADO</v>
      </c>
      <c r="L30" s="165"/>
      <c r="M30" s="165"/>
      <c r="N30" s="165"/>
      <c r="O30" s="166"/>
    </row>
    <row r="31" spans="1:15" ht="15" customHeight="1">
      <c r="A31" s="25" t="s">
        <v>420</v>
      </c>
      <c r="B31" s="26" t="s">
        <v>421</v>
      </c>
      <c r="C31" s="18" t="s">
        <v>419</v>
      </c>
      <c r="D31" s="27">
        <v>0.15</v>
      </c>
      <c r="E31" s="25">
        <v>1400</v>
      </c>
      <c r="F31" s="25">
        <v>600</v>
      </c>
      <c r="G31" s="25">
        <v>0</v>
      </c>
      <c r="H31" s="13">
        <f>D31*(E31+F31)</f>
        <v>300</v>
      </c>
      <c r="I31" s="27">
        <v>300</v>
      </c>
      <c r="J31" s="13">
        <f t="shared" si="9"/>
        <v>0</v>
      </c>
      <c r="K31" s="164" t="str">
        <f t="shared" si="10"/>
        <v>APROBADO</v>
      </c>
      <c r="L31" s="165"/>
      <c r="M31" s="165"/>
      <c r="N31" s="165"/>
      <c r="O31" s="166"/>
    </row>
    <row r="32" spans="1:15" ht="15" customHeight="1">
      <c r="A32" s="25" t="s">
        <v>422</v>
      </c>
      <c r="B32" s="26" t="s">
        <v>423</v>
      </c>
      <c r="C32" s="18" t="s">
        <v>424</v>
      </c>
      <c r="D32" s="27">
        <v>126</v>
      </c>
      <c r="E32" s="25">
        <v>348</v>
      </c>
      <c r="F32" s="25">
        <v>90</v>
      </c>
      <c r="G32" s="25">
        <v>0</v>
      </c>
      <c r="H32" s="13">
        <f>D32*4*0.25+E32*4*0.08+F32*9*0.02+G32*7*0.22</f>
        <v>253.56</v>
      </c>
      <c r="I32" s="27">
        <v>253.56</v>
      </c>
      <c r="J32" s="13">
        <f t="shared" si="9"/>
        <v>0</v>
      </c>
      <c r="K32" s="164" t="str">
        <f t="shared" si="10"/>
        <v>APROBADO</v>
      </c>
      <c r="L32" s="165"/>
      <c r="M32" s="165"/>
      <c r="N32" s="165"/>
      <c r="O32" s="166"/>
    </row>
    <row r="33" spans="1:15" ht="15" customHeight="1">
      <c r="A33" s="25" t="s">
        <v>425</v>
      </c>
      <c r="B33" s="26" t="s">
        <v>426</v>
      </c>
      <c r="C33" s="18" t="s">
        <v>424</v>
      </c>
      <c r="D33" s="27">
        <v>100</v>
      </c>
      <c r="E33" s="25">
        <v>200</v>
      </c>
      <c r="F33" s="25">
        <v>70</v>
      </c>
      <c r="G33" s="25">
        <v>0</v>
      </c>
      <c r="H33" s="13">
        <f>D33*4*0.25+E33*4*0.08+F33*9*0.02+G33*7*0.22</f>
        <v>176.6</v>
      </c>
      <c r="I33" s="27">
        <v>176.6</v>
      </c>
      <c r="J33" s="13">
        <f t="shared" si="9"/>
        <v>0</v>
      </c>
      <c r="K33" s="164" t="str">
        <f t="shared" si="10"/>
        <v>APROBADO</v>
      </c>
      <c r="L33" s="165"/>
      <c r="M33" s="165"/>
      <c r="N33" s="165"/>
      <c r="O33" s="166"/>
    </row>
    <row r="34" spans="1:15" ht="15" customHeight="1">
      <c r="A34" s="25" t="s">
        <v>427</v>
      </c>
      <c r="B34" s="26" t="s">
        <v>428</v>
      </c>
      <c r="C34" s="18" t="s">
        <v>424</v>
      </c>
      <c r="D34" s="27">
        <v>150</v>
      </c>
      <c r="E34" s="25">
        <v>300</v>
      </c>
      <c r="F34" s="25">
        <v>60</v>
      </c>
      <c r="G34" s="25">
        <v>20</v>
      </c>
      <c r="H34" s="13">
        <f>D34*4*0.25+E34*4*0.08+F34*9*0.02+G34*7*0.22</f>
        <v>287.60000000000002</v>
      </c>
      <c r="I34" s="27">
        <v>287.60000000000002</v>
      </c>
      <c r="J34" s="13">
        <f t="shared" si="9"/>
        <v>0</v>
      </c>
      <c r="K34" s="164" t="str">
        <f t="shared" si="10"/>
        <v>APROBADO</v>
      </c>
      <c r="L34" s="165"/>
      <c r="M34" s="165"/>
      <c r="N34" s="165"/>
      <c r="O34" s="166"/>
    </row>
    <row r="35" spans="1:15" ht="15" customHeight="1">
      <c r="A35" s="25" t="s">
        <v>429</v>
      </c>
      <c r="B35" s="26" t="s">
        <v>430</v>
      </c>
      <c r="C35" s="18" t="s">
        <v>424</v>
      </c>
      <c r="D35" s="27">
        <v>0</v>
      </c>
      <c r="E35" s="25">
        <v>0</v>
      </c>
      <c r="F35" s="25">
        <v>0</v>
      </c>
      <c r="G35" s="25">
        <v>0</v>
      </c>
      <c r="H35" s="13">
        <f>D35*4*0.25+E35*4*0.08+F35*9*0.02+G35*7*0.22</f>
        <v>0</v>
      </c>
      <c r="I35" s="27">
        <v>0</v>
      </c>
      <c r="J35" s="13">
        <f t="shared" si="9"/>
        <v>0</v>
      </c>
      <c r="K35" s="164" t="str">
        <f t="shared" si="10"/>
        <v>APROBADO</v>
      </c>
      <c r="L35" s="165"/>
      <c r="M35" s="165"/>
      <c r="N35" s="165"/>
      <c r="O35" s="166"/>
    </row>
    <row r="37" spans="1:15" ht="15" customHeight="1">
      <c r="A37" s="178" t="s">
        <v>431</v>
      </c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80"/>
    </row>
    <row r="38" spans="1:15" ht="15" customHeight="1">
      <c r="A38" s="24" t="s">
        <v>352</v>
      </c>
      <c r="B38" s="24" t="s">
        <v>432</v>
      </c>
      <c r="C38" s="24" t="s">
        <v>273</v>
      </c>
      <c r="D38" s="24" t="s">
        <v>274</v>
      </c>
      <c r="E38" s="24" t="s">
        <v>275</v>
      </c>
      <c r="F38" s="24" t="s">
        <v>433</v>
      </c>
      <c r="G38" s="24" t="s">
        <v>434</v>
      </c>
      <c r="H38" s="24" t="s">
        <v>435</v>
      </c>
      <c r="I38" s="24" t="s">
        <v>361</v>
      </c>
      <c r="J38" s="24" t="s">
        <v>362</v>
      </c>
      <c r="K38" s="24" t="s">
        <v>363</v>
      </c>
      <c r="L38" s="172" t="s">
        <v>127</v>
      </c>
      <c r="M38" s="173"/>
      <c r="N38" s="173"/>
      <c r="O38" s="174"/>
    </row>
    <row r="39" spans="1:15" ht="15" customHeight="1">
      <c r="A39" s="25" t="s">
        <v>436</v>
      </c>
      <c r="B39" s="26" t="s">
        <v>437</v>
      </c>
      <c r="C39" s="25">
        <v>1720</v>
      </c>
      <c r="D39" s="29">
        <v>1303.0999999999999</v>
      </c>
      <c r="E39" s="29">
        <v>253.56</v>
      </c>
      <c r="F39" s="29">
        <v>3187.1</v>
      </c>
      <c r="G39" s="30">
        <v>1.691667</v>
      </c>
      <c r="H39" s="25" t="s">
        <v>51</v>
      </c>
      <c r="I39" s="13">
        <f>C39+D39+E39</f>
        <v>3276.66</v>
      </c>
      <c r="J39" s="27">
        <v>3276.66</v>
      </c>
      <c r="K39" s="13">
        <f>I39-J39</f>
        <v>0</v>
      </c>
      <c r="L39" s="164" t="str">
        <f>IF(ABS(K39)&lt;=TOL_KCAL,"APROBADO","FALLIDO")</f>
        <v>APROBADO</v>
      </c>
      <c r="M39" s="165"/>
      <c r="N39" s="165"/>
      <c r="O39" s="166"/>
    </row>
    <row r="40" spans="1:15" ht="15" customHeight="1">
      <c r="A40" s="25" t="s">
        <v>438</v>
      </c>
      <c r="B40" s="26" t="s">
        <v>439</v>
      </c>
      <c r="C40" s="25">
        <v>1720</v>
      </c>
      <c r="D40" s="29">
        <v>1303.0999999999999</v>
      </c>
      <c r="E40" s="29">
        <v>253.56</v>
      </c>
      <c r="F40" s="29">
        <v>3187.1</v>
      </c>
      <c r="G40" s="30">
        <v>1.691667</v>
      </c>
      <c r="H40" s="25" t="s">
        <v>102</v>
      </c>
      <c r="I40" s="13">
        <f>F40+IF(H40="Sí",E40,0)</f>
        <v>3440.66</v>
      </c>
      <c r="J40" s="27">
        <v>3440.66</v>
      </c>
      <c r="K40" s="13">
        <f>I40-J40</f>
        <v>0</v>
      </c>
      <c r="L40" s="164" t="str">
        <f>IF(ABS(K40)&lt;=TOL_KCAL,"APROBADO","FALLIDO")</f>
        <v>APROBADO</v>
      </c>
      <c r="M40" s="165"/>
      <c r="N40" s="165"/>
      <c r="O40" s="166"/>
    </row>
    <row r="41" spans="1:15" ht="15" customHeight="1">
      <c r="A41" s="25" t="s">
        <v>440</v>
      </c>
      <c r="B41" s="26" t="s">
        <v>441</v>
      </c>
      <c r="C41" s="25">
        <v>1720</v>
      </c>
      <c r="D41" s="29">
        <v>1303.0999999999999</v>
      </c>
      <c r="E41" s="29">
        <v>253.56</v>
      </c>
      <c r="F41" s="29">
        <v>3187.1</v>
      </c>
      <c r="G41" s="30">
        <v>1.691667</v>
      </c>
      <c r="H41" s="25" t="s">
        <v>442</v>
      </c>
      <c r="I41" s="13">
        <f>F41+IF(H41="Sí",E41,0)</f>
        <v>3187.1</v>
      </c>
      <c r="J41" s="27">
        <v>3187.1</v>
      </c>
      <c r="K41" s="13">
        <f>I41-J41</f>
        <v>0</v>
      </c>
      <c r="L41" s="164" t="str">
        <f>IF(ABS(K41)&lt;=TOL_KCAL,"APROBADO","FALLIDO")</f>
        <v>APROBADO</v>
      </c>
      <c r="M41" s="165"/>
      <c r="N41" s="165"/>
      <c r="O41" s="166"/>
    </row>
    <row r="42" spans="1:15" ht="15" customHeight="1">
      <c r="A42" s="25" t="s">
        <v>443</v>
      </c>
      <c r="B42" s="26" t="s">
        <v>444</v>
      </c>
      <c r="C42" s="25">
        <v>1720</v>
      </c>
      <c r="D42" s="29">
        <v>1303.0999999999999</v>
      </c>
      <c r="E42" s="29">
        <v>253.56</v>
      </c>
      <c r="F42" s="29">
        <v>3187.1</v>
      </c>
      <c r="G42" s="30">
        <v>1.691667</v>
      </c>
      <c r="H42" s="25" t="s">
        <v>51</v>
      </c>
      <c r="I42" s="13">
        <f>C42*G42</f>
        <v>2909.6672400000002</v>
      </c>
      <c r="J42" s="27">
        <v>2909.6667000000002</v>
      </c>
      <c r="K42" s="13">
        <f>I42-J42</f>
        <v>5.4000000000087311E-4</v>
      </c>
      <c r="L42" s="164" t="str">
        <f>IF(ABS(K42)&lt;=TOL_KCAL,"APROBADO","FALLIDO")</f>
        <v>APROBADO</v>
      </c>
      <c r="M42" s="165"/>
      <c r="N42" s="165"/>
      <c r="O42" s="166"/>
    </row>
    <row r="43" spans="1:15" ht="15" customHeight="1">
      <c r="A43" s="25" t="s">
        <v>445</v>
      </c>
      <c r="B43" s="26" t="s">
        <v>446</v>
      </c>
      <c r="C43" s="25">
        <v>1600</v>
      </c>
      <c r="D43" s="29">
        <v>1000</v>
      </c>
      <c r="E43" s="29">
        <v>300</v>
      </c>
      <c r="F43" s="29">
        <v>3000</v>
      </c>
      <c r="G43" s="30">
        <v>1.8</v>
      </c>
      <c r="H43" s="25" t="s">
        <v>51</v>
      </c>
      <c r="I43" s="13">
        <f>C43*G43</f>
        <v>2880</v>
      </c>
      <c r="J43" s="27">
        <v>2880</v>
      </c>
      <c r="K43" s="13">
        <f>I43-J43</f>
        <v>0</v>
      </c>
      <c r="L43" s="164" t="str">
        <f>IF(ABS(K43)&lt;=TOL_KCAL,"APROBADO","FALLIDO")</f>
        <v>APROBADO</v>
      </c>
      <c r="M43" s="165"/>
      <c r="N43" s="165"/>
      <c r="O43" s="166"/>
    </row>
    <row r="44" spans="1:15" ht="25.5" customHeight="1">
      <c r="B44" s="140" t="s">
        <v>447</v>
      </c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</row>
    <row r="46" spans="1:15" ht="15" customHeight="1">
      <c r="A46" s="178" t="s">
        <v>448</v>
      </c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80"/>
    </row>
    <row r="47" spans="1:15" ht="25.5" customHeight="1">
      <c r="A47" s="24" t="s">
        <v>352</v>
      </c>
      <c r="B47" s="24" t="s">
        <v>432</v>
      </c>
      <c r="C47" s="24" t="s">
        <v>449</v>
      </c>
      <c r="D47" s="24" t="s">
        <v>450</v>
      </c>
      <c r="E47" s="24" t="s">
        <v>451</v>
      </c>
      <c r="F47" s="181" t="s">
        <v>127</v>
      </c>
      <c r="G47" s="182"/>
      <c r="H47" s="182"/>
      <c r="I47" s="182"/>
      <c r="J47" s="182"/>
      <c r="K47" s="182"/>
      <c r="L47" s="182"/>
      <c r="M47" s="182"/>
      <c r="N47" s="182"/>
      <c r="O47" s="183"/>
    </row>
    <row r="48" spans="1:15" ht="24" customHeight="1">
      <c r="A48" s="25" t="s">
        <v>452</v>
      </c>
      <c r="B48" s="26" t="s">
        <v>453</v>
      </c>
      <c r="C48" s="18" t="s">
        <v>454</v>
      </c>
      <c r="D48" s="20" t="s">
        <v>455</v>
      </c>
      <c r="E48" s="190" t="str">
        <f>IF(NOT(ISNUMBER(15)),"ERROR: edad no numérica",IF(AND(15&gt;=18,15&lt;=120),"OK","ERROR: edad fuera del alcance adulto"))</f>
        <v>ERROR: edad fuera del alcance adulto</v>
      </c>
      <c r="F48" s="164" t="str">
        <f t="shared" ref="F48:F59" si="11">IF(E48=D48,"APROBADO","FALLIDO")</f>
        <v>APROBADO</v>
      </c>
      <c r="G48" s="165"/>
      <c r="H48" s="165"/>
      <c r="I48" s="165"/>
      <c r="J48" s="165"/>
      <c r="K48" s="165"/>
      <c r="L48" s="165"/>
      <c r="M48" s="165"/>
      <c r="N48" s="165"/>
      <c r="O48" s="166"/>
    </row>
    <row r="49" spans="1:15" ht="24" customHeight="1">
      <c r="A49" s="25" t="s">
        <v>456</v>
      </c>
      <c r="B49" s="26" t="s">
        <v>457</v>
      </c>
      <c r="C49" s="18" t="s">
        <v>458</v>
      </c>
      <c r="D49" s="20" t="s">
        <v>459</v>
      </c>
      <c r="E49" s="190" t="str">
        <f>IF(NOT(ISNUMBER("quince")),"ERROR: edad no numérica",IF(AND("quince"&gt;=18,"quince"&lt;=120),"OK","ERROR: edad fuera del alcance adulto"))</f>
        <v>ERROR: edad no numérica</v>
      </c>
      <c r="F49" s="164" t="str">
        <f t="shared" si="11"/>
        <v>APROBADO</v>
      </c>
      <c r="G49" s="165"/>
      <c r="H49" s="165"/>
      <c r="I49" s="165"/>
      <c r="J49" s="165"/>
      <c r="K49" s="165"/>
      <c r="L49" s="165"/>
      <c r="M49" s="165"/>
      <c r="N49" s="165"/>
      <c r="O49" s="166"/>
    </row>
    <row r="50" spans="1:15" ht="24" customHeight="1">
      <c r="A50" s="25" t="s">
        <v>460</v>
      </c>
      <c r="B50" s="26" t="s">
        <v>461</v>
      </c>
      <c r="C50" s="18" t="s">
        <v>462</v>
      </c>
      <c r="D50" s="20" t="s">
        <v>463</v>
      </c>
      <c r="E50" s="190" t="str">
        <f>IF(NOT(ISNUMBER(-70)),"ERROR: peso no numérico",IF(AND(-70&gt;=25,-70&lt;=350),"OK","ERROR: peso fuera de rango"))</f>
        <v>ERROR: peso fuera de rango</v>
      </c>
      <c r="F50" s="164" t="str">
        <f t="shared" si="11"/>
        <v>APROBADO</v>
      </c>
      <c r="G50" s="165"/>
      <c r="H50" s="165"/>
      <c r="I50" s="165"/>
      <c r="J50" s="165"/>
      <c r="K50" s="165"/>
      <c r="L50" s="165"/>
      <c r="M50" s="165"/>
      <c r="N50" s="165"/>
      <c r="O50" s="166"/>
    </row>
    <row r="51" spans="1:15" ht="24" customHeight="1">
      <c r="A51" s="25" t="s">
        <v>464</v>
      </c>
      <c r="B51" s="26" t="s">
        <v>465</v>
      </c>
      <c r="C51" s="18" t="s">
        <v>466</v>
      </c>
      <c r="D51" s="20" t="s">
        <v>463</v>
      </c>
      <c r="E51" s="190" t="str">
        <f>IF(NOT(ISNUMBER(0)),"ERROR: peso no numérico",IF(AND(0&gt;=25,0&lt;=350),"OK","ERROR: peso fuera de rango"))</f>
        <v>ERROR: peso fuera de rango</v>
      </c>
      <c r="F51" s="164" t="str">
        <f t="shared" si="11"/>
        <v>APROBADO</v>
      </c>
      <c r="G51" s="165"/>
      <c r="H51" s="165"/>
      <c r="I51" s="165"/>
      <c r="J51" s="165"/>
      <c r="K51" s="165"/>
      <c r="L51" s="165"/>
      <c r="M51" s="165"/>
      <c r="N51" s="165"/>
      <c r="O51" s="166"/>
    </row>
    <row r="52" spans="1:15" ht="24" customHeight="1">
      <c r="A52" s="25" t="s">
        <v>467</v>
      </c>
      <c r="B52" s="26" t="s">
        <v>468</v>
      </c>
      <c r="C52" s="18" t="s">
        <v>469</v>
      </c>
      <c r="D52" s="20" t="s">
        <v>470</v>
      </c>
      <c r="E52" s="190" t="str">
        <f>IF("Mifflin–St Jeor (1990)"&lt;&gt;"Mifflin–St Jeor (1990)","NO APLICA (la ecuación no usa estatura)",IF(NOT(ISNUMBER("")),"ERROR: Mifflin exige estatura",IF(AND(""&gt;=120,""&lt;=230),"OK","ERROR: estatura fuera de rango")))</f>
        <v>ERROR: Mifflin exige estatura</v>
      </c>
      <c r="F52" s="164" t="str">
        <f t="shared" si="11"/>
        <v>APROBADO</v>
      </c>
      <c r="G52" s="165"/>
      <c r="H52" s="165"/>
      <c r="I52" s="165"/>
      <c r="J52" s="165"/>
      <c r="K52" s="165"/>
      <c r="L52" s="165"/>
      <c r="M52" s="165"/>
      <c r="N52" s="165"/>
      <c r="O52" s="166"/>
    </row>
    <row r="53" spans="1:15" ht="24" customHeight="1">
      <c r="A53" s="25" t="s">
        <v>471</v>
      </c>
      <c r="B53" s="26" t="s">
        <v>472</v>
      </c>
      <c r="C53" s="18" t="s">
        <v>473</v>
      </c>
      <c r="D53" s="20" t="s">
        <v>474</v>
      </c>
      <c r="E53" s="190" t="str">
        <f>IF("Mifflin–St Jeor (1990)"&lt;&gt;"Mifflin–St Jeor (1990)","NO APLICA (la ecuación no usa estatura)",IF(NOT(ISNUMBER(400)),"ERROR: Mifflin exige estatura",IF(AND(400&gt;=120,400&lt;=230),"OK","ERROR: estatura fuera de rango")))</f>
        <v>ERROR: estatura fuera de rango</v>
      </c>
      <c r="F53" s="164" t="str">
        <f t="shared" si="11"/>
        <v>APROBADO</v>
      </c>
      <c r="G53" s="165"/>
      <c r="H53" s="165"/>
      <c r="I53" s="165"/>
      <c r="J53" s="165"/>
      <c r="K53" s="165"/>
      <c r="L53" s="165"/>
      <c r="M53" s="165"/>
      <c r="N53" s="165"/>
      <c r="O53" s="166"/>
    </row>
    <row r="54" spans="1:15" ht="24" customHeight="1">
      <c r="A54" s="25" t="s">
        <v>475</v>
      </c>
      <c r="B54" s="26" t="s">
        <v>476</v>
      </c>
      <c r="C54" s="18" t="s">
        <v>469</v>
      </c>
      <c r="D54" s="20" t="s">
        <v>477</v>
      </c>
      <c r="E54" s="190" t="str">
        <f>IF("Henry / Oxford (2005) · solo peso"&lt;&gt;"Mifflin–St Jeor (1990)","NO APLICA (la ecuación no usa estatura)",IF(NOT(ISNUMBER("")),"ERROR: Mifflin exige estatura",IF(AND(""&gt;=120,""&lt;=230),"OK","ERROR: estatura fuera de rango")))</f>
        <v>NO APLICA (la ecuación no usa estatura)</v>
      </c>
      <c r="F54" s="164" t="str">
        <f t="shared" si="11"/>
        <v>APROBADO</v>
      </c>
      <c r="G54" s="165"/>
      <c r="H54" s="165"/>
      <c r="I54" s="165"/>
      <c r="J54" s="165"/>
      <c r="K54" s="165"/>
      <c r="L54" s="165"/>
      <c r="M54" s="165"/>
      <c r="N54" s="165"/>
      <c r="O54" s="166"/>
    </row>
    <row r="55" spans="1:15" ht="24" customHeight="1">
      <c r="A55" s="25" t="s">
        <v>478</v>
      </c>
      <c r="B55" s="26" t="s">
        <v>479</v>
      </c>
      <c r="C55" s="18" t="s">
        <v>480</v>
      </c>
      <c r="D55" s="20" t="s">
        <v>481</v>
      </c>
      <c r="E55" s="190" t="str">
        <f>IF(OR(-5="",AND(ISNUMBER(-5),-5&gt;=0)),"OK","ERROR: gramos inválidos o negativos")</f>
        <v>ERROR: gramos inválidos o negativos</v>
      </c>
      <c r="F55" s="164" t="str">
        <f t="shared" si="11"/>
        <v>APROBADO</v>
      </c>
      <c r="G55" s="165"/>
      <c r="H55" s="165"/>
      <c r="I55" s="165"/>
      <c r="J55" s="165"/>
      <c r="K55" s="165"/>
      <c r="L55" s="165"/>
      <c r="M55" s="165"/>
      <c r="N55" s="165"/>
      <c r="O55" s="166"/>
    </row>
    <row r="56" spans="1:15" ht="24" customHeight="1">
      <c r="A56" s="25" t="s">
        <v>482</v>
      </c>
      <c r="B56" s="26" t="s">
        <v>483</v>
      </c>
      <c r="C56" s="18" t="s">
        <v>484</v>
      </c>
      <c r="D56" s="20" t="s">
        <v>481</v>
      </c>
      <c r="E56" s="190" t="str">
        <f>IF(OR("abc"="",AND(ISNUMBER("abc"),"abc"&gt;=0)),"OK","ERROR: gramos inválidos o negativos")</f>
        <v>ERROR: gramos inválidos o negativos</v>
      </c>
      <c r="F56" s="164" t="str">
        <f t="shared" si="11"/>
        <v>APROBADO</v>
      </c>
      <c r="G56" s="165"/>
      <c r="H56" s="165"/>
      <c r="I56" s="165"/>
      <c r="J56" s="165"/>
      <c r="K56" s="165"/>
      <c r="L56" s="165"/>
      <c r="M56" s="165"/>
      <c r="N56" s="165"/>
      <c r="O56" s="166"/>
    </row>
    <row r="57" spans="1:15" ht="24" customHeight="1">
      <c r="A57" s="25" t="s">
        <v>485</v>
      </c>
      <c r="B57" s="26" t="s">
        <v>486</v>
      </c>
      <c r="C57" s="18" t="s">
        <v>487</v>
      </c>
      <c r="D57" s="20" t="s">
        <v>488</v>
      </c>
      <c r="E57" s="190" t="str">
        <f>IF(ABS(23-24)&lt;=0.001,"OK","ERROR: el diario de ACTIVIDADES no suma 24 h")</f>
        <v>ERROR: el diario de ACTIVIDADES no suma 24 h</v>
      </c>
      <c r="F57" s="164" t="str">
        <f t="shared" si="11"/>
        <v>APROBADO</v>
      </c>
      <c r="G57" s="165"/>
      <c r="H57" s="165"/>
      <c r="I57" s="165"/>
      <c r="J57" s="165"/>
      <c r="K57" s="165"/>
      <c r="L57" s="165"/>
      <c r="M57" s="165"/>
      <c r="N57" s="165"/>
      <c r="O57" s="166"/>
    </row>
    <row r="58" spans="1:15" ht="24" customHeight="1">
      <c r="A58" s="25" t="s">
        <v>489</v>
      </c>
      <c r="B58" s="26" t="s">
        <v>490</v>
      </c>
      <c r="C58" s="18" t="s">
        <v>469</v>
      </c>
      <c r="D58" s="20" t="s">
        <v>491</v>
      </c>
      <c r="E58" s="190" t="str">
        <f>IF(AND(ISNUMBER(""),""&gt;=500,""&lt;=5000),"OK","ND: GEB medido ausente o fuera de rango")</f>
        <v>ND: GEB medido ausente o fuera de rango</v>
      </c>
      <c r="F58" s="164" t="str">
        <f t="shared" si="11"/>
        <v>APROBADO</v>
      </c>
      <c r="G58" s="165"/>
      <c r="H58" s="165"/>
      <c r="I58" s="165"/>
      <c r="J58" s="165"/>
      <c r="K58" s="165"/>
      <c r="L58" s="165"/>
      <c r="M58" s="165"/>
      <c r="N58" s="165"/>
      <c r="O58" s="166"/>
    </row>
    <row r="59" spans="1:15" ht="24" customHeight="1">
      <c r="A59" s="25" t="s">
        <v>492</v>
      </c>
      <c r="B59" s="26" t="s">
        <v>493</v>
      </c>
      <c r="C59" s="18" t="s">
        <v>494</v>
      </c>
      <c r="D59" s="20" t="s">
        <v>491</v>
      </c>
      <c r="E59" s="190" t="str">
        <f>IF(AND(ISNUMBER(300),300&gt;=500,300&lt;=5000),"OK","ND: GEB medido ausente o fuera de rango")</f>
        <v>ND: GEB medido ausente o fuera de rango</v>
      </c>
      <c r="F59" s="164" t="str">
        <f t="shared" si="11"/>
        <v>APROBADO</v>
      </c>
      <c r="G59" s="165"/>
      <c r="H59" s="165"/>
      <c r="I59" s="165"/>
      <c r="J59" s="165"/>
      <c r="K59" s="165"/>
      <c r="L59" s="165"/>
      <c r="M59" s="165"/>
      <c r="N59" s="165"/>
      <c r="O59" s="166"/>
    </row>
    <row r="61" spans="1:15" ht="15" customHeight="1">
      <c r="A61" s="178" t="s">
        <v>495</v>
      </c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80"/>
    </row>
    <row r="62" spans="1:15" ht="21.75" customHeight="1">
      <c r="A62" s="24" t="s">
        <v>352</v>
      </c>
      <c r="B62" s="24" t="s">
        <v>496</v>
      </c>
      <c r="C62" s="24" t="s">
        <v>497</v>
      </c>
      <c r="D62" s="24" t="s">
        <v>362</v>
      </c>
      <c r="E62" s="172" t="s">
        <v>127</v>
      </c>
      <c r="F62" s="173"/>
      <c r="G62" s="173"/>
      <c r="H62" s="173"/>
      <c r="I62" s="173"/>
      <c r="J62" s="173"/>
      <c r="K62" s="173"/>
      <c r="L62" s="173"/>
      <c r="M62" s="173"/>
      <c r="N62" s="173"/>
      <c r="O62" s="174"/>
    </row>
    <row r="63" spans="1:15" ht="15" customHeight="1">
      <c r="A63" s="25" t="s">
        <v>498</v>
      </c>
      <c r="B63" s="26" t="s">
        <v>499</v>
      </c>
      <c r="C63" s="16">
        <f>SUMPRODUCT(--ISERROR(CALCULOS!B7:B65))</f>
        <v>0</v>
      </c>
      <c r="D63" s="25">
        <v>0</v>
      </c>
      <c r="E63" s="164" t="str">
        <f>IF(C63=D63,"APROBADO","FALLIDO")</f>
        <v>APROBADO</v>
      </c>
      <c r="F63" s="165"/>
      <c r="G63" s="165"/>
      <c r="H63" s="165"/>
      <c r="I63" s="165"/>
      <c r="J63" s="165"/>
      <c r="K63" s="165"/>
      <c r="L63" s="165"/>
      <c r="M63" s="165"/>
      <c r="N63" s="165"/>
      <c r="O63" s="166"/>
    </row>
    <row r="64" spans="1:15" ht="15" customHeight="1">
      <c r="A64" s="25" t="s">
        <v>500</v>
      </c>
      <c r="B64" s="26" t="s">
        <v>501</v>
      </c>
      <c r="C64" s="16">
        <f>SUMPRODUCT(--ISERROR(DIARIO!C21:G30))</f>
        <v>0</v>
      </c>
      <c r="D64" s="25">
        <v>0</v>
      </c>
      <c r="E64" s="164" t="str">
        <f>IF(C64=D64,"APROBADO","FALLIDO")</f>
        <v>APROBADO</v>
      </c>
      <c r="F64" s="165"/>
      <c r="G64" s="165"/>
      <c r="H64" s="165"/>
      <c r="I64" s="165"/>
      <c r="J64" s="165"/>
      <c r="K64" s="165"/>
      <c r="L64" s="165"/>
      <c r="M64" s="165"/>
      <c r="N64" s="165"/>
      <c r="O64" s="166"/>
    </row>
    <row r="65" spans="1:15" ht="15" customHeight="1">
      <c r="A65" s="25" t="s">
        <v>502</v>
      </c>
      <c r="B65" s="26" t="s">
        <v>503</v>
      </c>
      <c r="C65" s="16">
        <f>SUMPRODUCT(--ISERROR(RESULTADOS!B6:F45))</f>
        <v>0</v>
      </c>
      <c r="D65" s="25">
        <v>0</v>
      </c>
      <c r="E65" s="164" t="str">
        <f>IF(C65=D65,"APROBADO","FALLIDO")</f>
        <v>APROBADO</v>
      </c>
      <c r="F65" s="165"/>
      <c r="G65" s="165"/>
      <c r="H65" s="165"/>
      <c r="I65" s="165"/>
      <c r="J65" s="165"/>
      <c r="K65" s="165"/>
      <c r="L65" s="165"/>
      <c r="M65" s="165"/>
      <c r="N65" s="165"/>
      <c r="O65" s="166"/>
    </row>
    <row r="67" spans="1:15" ht="15" customHeight="1">
      <c r="A67" s="178" t="s">
        <v>504</v>
      </c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80"/>
    </row>
    <row r="68" spans="1:15" ht="25.5" customHeight="1">
      <c r="A68" s="24" t="s">
        <v>352</v>
      </c>
      <c r="B68" s="24" t="s">
        <v>126</v>
      </c>
      <c r="C68" s="24" t="s">
        <v>505</v>
      </c>
      <c r="D68" s="24" t="s">
        <v>506</v>
      </c>
      <c r="E68" s="24" t="s">
        <v>363</v>
      </c>
      <c r="F68" s="172" t="s">
        <v>127</v>
      </c>
      <c r="G68" s="173"/>
      <c r="H68" s="173"/>
      <c r="I68" s="173"/>
      <c r="J68" s="173"/>
      <c r="K68" s="173"/>
      <c r="L68" s="173"/>
      <c r="M68" s="173"/>
      <c r="N68" s="173"/>
      <c r="O68" s="174"/>
    </row>
    <row r="69" spans="1:15" ht="15" customHeight="1">
      <c r="A69" s="25" t="s">
        <v>507</v>
      </c>
      <c r="B69" s="26" t="s">
        <v>508</v>
      </c>
      <c r="C69" s="13">
        <f>CALCULOS!B9</f>
        <v>1720</v>
      </c>
      <c r="D69" s="13">
        <f>10*in_Peso+6.25*in_Est-5*in_Edad+IF(in_Sexo="Hombre",5,-161)</f>
        <v>1720</v>
      </c>
      <c r="E69" s="13">
        <f>C69-D69</f>
        <v>0</v>
      </c>
      <c r="F69" s="164" t="str">
        <f>IF(ABS(E69)&lt;=TOL_KCAL,"APROBADO","FALLIDO")</f>
        <v>APROBADO</v>
      </c>
      <c r="G69" s="165"/>
      <c r="H69" s="165"/>
      <c r="I69" s="165"/>
      <c r="J69" s="165"/>
      <c r="K69" s="165"/>
      <c r="L69" s="165"/>
      <c r="M69" s="165"/>
      <c r="N69" s="165"/>
      <c r="O69" s="166"/>
    </row>
    <row r="70" spans="1:15" ht="15" customHeight="1">
      <c r="A70" s="25" t="s">
        <v>509</v>
      </c>
      <c r="B70" s="26" t="s">
        <v>510</v>
      </c>
      <c r="C70" s="13">
        <f>CALCULOS!B10</f>
        <v>1707.7</v>
      </c>
      <c r="D70" s="13">
        <f>593+14.2*in_Peso</f>
        <v>1707.7</v>
      </c>
      <c r="E70" s="13">
        <f>C70-D70</f>
        <v>0</v>
      </c>
      <c r="F70" s="164" t="str">
        <f>IF(ABS(E70)&lt;=TOL_KCAL,"APROBADO","FALLIDO")</f>
        <v>APROBADO</v>
      </c>
      <c r="G70" s="165"/>
      <c r="H70" s="165"/>
      <c r="I70" s="165"/>
      <c r="J70" s="165"/>
      <c r="K70" s="165"/>
      <c r="L70" s="165"/>
      <c r="M70" s="165"/>
      <c r="N70" s="165"/>
      <c r="O70" s="166"/>
    </row>
    <row r="71" spans="1:15" ht="15" customHeight="1">
      <c r="A71" s="25" t="s">
        <v>511</v>
      </c>
      <c r="B71" s="26" t="s">
        <v>512</v>
      </c>
      <c r="C71" s="13">
        <f>CALCULOS!B29</f>
        <v>346.2</v>
      </c>
      <c r="D71" s="13">
        <f>in_gPro*4*0.25+in_gCho*4*0.08+in_gGra*9*0.02+IF(ISNUMBER(in_gAlc),in_gAlc,0)*7*0.22</f>
        <v>346.2</v>
      </c>
      <c r="E71" s="13">
        <f>C71-D71</f>
        <v>0</v>
      </c>
      <c r="F71" s="164" t="str">
        <f>IF(ABS(E71)&lt;=TOL_KCAL,"APROBADO","FALLIDO")</f>
        <v>APROBADO</v>
      </c>
      <c r="G71" s="165"/>
      <c r="H71" s="165"/>
      <c r="I71" s="165"/>
      <c r="J71" s="165"/>
      <c r="K71" s="165"/>
      <c r="L71" s="165"/>
      <c r="M71" s="165"/>
      <c r="N71" s="165"/>
      <c r="O71" s="166"/>
    </row>
    <row r="72" spans="1:15" ht="15" customHeight="1">
      <c r="A72" s="25" t="s">
        <v>513</v>
      </c>
      <c r="B72" s="26" t="s">
        <v>514</v>
      </c>
      <c r="C72" s="13">
        <f>CALCULOS!B35</f>
        <v>2323.6</v>
      </c>
      <c r="D72" s="13">
        <f>DIARIO!C23*in_Peso*MET_KCAL</f>
        <v>2323.6</v>
      </c>
      <c r="E72" s="13">
        <f>C72-D72</f>
        <v>0</v>
      </c>
      <c r="F72" s="164" t="str">
        <f>IF(ABS(E72)&lt;=TOL_KCAL,"APROBADO","FALLIDO")</f>
        <v>APROBADO</v>
      </c>
      <c r="G72" s="165"/>
      <c r="H72" s="165"/>
      <c r="I72" s="165"/>
      <c r="J72" s="165"/>
      <c r="K72" s="165"/>
      <c r="L72" s="165"/>
      <c r="M72" s="165"/>
      <c r="N72" s="165"/>
      <c r="O72" s="166"/>
    </row>
    <row r="75" spans="1:15" ht="15" customHeight="1">
      <c r="A75" s="6" t="s">
        <v>515</v>
      </c>
      <c r="B75" s="175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7"/>
    </row>
    <row r="76" spans="1:15" ht="15" customHeight="1">
      <c r="A76" s="4" t="s">
        <v>516</v>
      </c>
      <c r="C76" s="31">
        <v>59</v>
      </c>
    </row>
    <row r="77" spans="1:15" ht="15" customHeight="1">
      <c r="A77" s="4" t="s">
        <v>517</v>
      </c>
      <c r="C77" s="31">
        <f>IF(O8="APROBADO",1,0)+IF(O9="APROBADO",1,0)+IF(O10="APROBADO",1,0)+IF(O11="APROBADO",1,0)+IF(O12="APROBADO",1,0)+IF(O13="APROBADO",1,0)+IF(O14="APROBADO",1,0)+IF(O15="APROBADO",1,0)+IF(O16="APROBADO",1,0)+IF(O17="APROBADO",1,0)+IF(H21="APROBADO",1,0)+IF(K21="APROBADO",1,0)+IF(N21="APROBADO",1,0)+IF(H22="APROBADO",1,0)+IF(K22="APROBADO",1,0)+IF(N22="APROBADO",1,0)+IF(H23="APROBADO",1,0)+IF(K23="APROBADO",1,0)+IF(N23="APROBADO",1,0)+IF(H24="APROBADO",1,0)+IF(K24="APROBADO",1,0)+IF(N24="APROBADO",1,0)+IF(H25="APROBADO",1,0)+IF(K25="APROBADO",1,0)+IF(N25="APROBADO",1,0)+IF(H26="APROBADO",1,0)+IF(K26="APROBADO",1,0)+IF(N26="APROBADO",1,0)+IF(K30="APROBADO",1,0)+IF(K31="APROBADO",1,0)+IF(K32="APROBADO",1,0)+IF(K33="APROBADO",1,0)+IF(K34="APROBADO",1,0)+IF(K35="APROBADO",1,0)+IF(L39="APROBADO",1,0)+IF(L40="APROBADO",1,0)+IF(L41="APROBADO",1,0)+IF(L42="APROBADO",1,0)+IF(L43="APROBADO",1,0)+IF(F48="APROBADO",1,0)+IF(F49="APROBADO",1,0)+IF(F50="APROBADO",1,0)+IF(F51="APROBADO",1,0)+IF(F52="APROBADO",1,0)+IF(F53="APROBADO",1,0)+IF(F54="APROBADO",1,0)+IF(F55="APROBADO",1,0)+IF(F56="APROBADO",1,0)+IF(F57="APROBADO",1,0)+IF(F58="APROBADO",1,0)+IF(F59="APROBADO",1,0)+IF(E63="APROBADO",1,0)+IF(E64="APROBADO",1,0)+IF(E65="APROBADO",1,0)+IF(F69="APROBADO",1,0)+IF(F70="APROBADO",1,0)+IF(F71="APROBADO",1,0)+IF(F72="APROBADO",1,0)+IF(O18="APROBADO",1,0)</f>
        <v>59</v>
      </c>
    </row>
    <row r="78" spans="1:15" ht="15" customHeight="1">
      <c r="A78" s="4" t="s">
        <v>518</v>
      </c>
      <c r="C78" s="31">
        <f>IF(O8="FALLIDO",1,0)+IF(O9="FALLIDO",1,0)+IF(O10="FALLIDO",1,0)+IF(O11="FALLIDO",1,0)+IF(O12="FALLIDO",1,0)+IF(O13="FALLIDO",1,0)+IF(O14="FALLIDO",1,0)+IF(O15="FALLIDO",1,0)+IF(O16="FALLIDO",1,0)+IF(O17="FALLIDO",1,0)+IF(H21="FALLIDO",1,0)+IF(K21="FALLIDO",1,0)+IF(N21="FALLIDO",1,0)+IF(H22="FALLIDO",1,0)+IF(K22="FALLIDO",1,0)+IF(N22="FALLIDO",1,0)+IF(H23="FALLIDO",1,0)+IF(K23="FALLIDO",1,0)+IF(N23="FALLIDO",1,0)+IF(H24="FALLIDO",1,0)+IF(K24="FALLIDO",1,0)+IF(N24="FALLIDO",1,0)+IF(H25="FALLIDO",1,0)+IF(K25="FALLIDO",1,0)+IF(N25="FALLIDO",1,0)+IF(H26="FALLIDO",1,0)+IF(K26="FALLIDO",1,0)+IF(N26="FALLIDO",1,0)+IF(K30="FALLIDO",1,0)+IF(K31="FALLIDO",1,0)+IF(K32="FALLIDO",1,0)+IF(K33="FALLIDO",1,0)+IF(K34="FALLIDO",1,0)+IF(K35="FALLIDO",1,0)+IF(L39="FALLIDO",1,0)+IF(L40="FALLIDO",1,0)+IF(L41="FALLIDO",1,0)+IF(L42="FALLIDO",1,0)+IF(L43="FALLIDO",1,0)+IF(F48="FALLIDO",1,0)+IF(F49="FALLIDO",1,0)+IF(F50="FALLIDO",1,0)+IF(F51="FALLIDO",1,0)+IF(F52="FALLIDO",1,0)+IF(F53="FALLIDO",1,0)+IF(F54="FALLIDO",1,0)+IF(F55="FALLIDO",1,0)+IF(F56="FALLIDO",1,0)+IF(F57="FALLIDO",1,0)+IF(F58="FALLIDO",1,0)+IF(F59="FALLIDO",1,0)+IF(E63="FALLIDO",1,0)+IF(E64="FALLIDO",1,0)+IF(E65="FALLIDO",1,0)+IF(F69="FALLIDO",1,0)+IF(F70="FALLIDO",1,0)+IF(F71="FALLIDO",1,0)+IF(F72="FALLIDO",1,0)+IF(O18="FALLIDO",1,0)</f>
        <v>0</v>
      </c>
    </row>
    <row r="79" spans="1:15" ht="15" customHeight="1">
      <c r="A79" s="3" t="s">
        <v>519</v>
      </c>
      <c r="B79" s="167" t="str">
        <f>IF(C77=59,"TODAS LAS PRUEBAS APROBADAS","HAY PRUEBAS FALLIDAS — REVISAR")</f>
        <v>TODAS LAS PRUEBAS APROBADAS</v>
      </c>
      <c r="C79" s="168"/>
      <c r="D79" s="168"/>
      <c r="E79" s="168"/>
      <c r="F79" s="169"/>
    </row>
  </sheetData>
  <sheetProtection algorithmName="SHA-512" hashValue="/qtxX+gDX0lxkOD9qEr3mvizhlxqF5ovcDDuW/kZfX/N6vKE63P3jQYuiEstcBSfATXZ/JnVeSeCFH8OO44wnQ==" saltValue="m8nT2c8nNGRTHTbFI5Hfjg==" spinCount="100000" sheet="1" objects="1" scenarios="1"/>
  <mergeCells count="50">
    <mergeCell ref="F57:O57"/>
    <mergeCell ref="F58:O58"/>
    <mergeCell ref="L39:O39"/>
    <mergeCell ref="L40:O40"/>
    <mergeCell ref="A19:O19"/>
    <mergeCell ref="A6:O6"/>
    <mergeCell ref="E65:O65"/>
    <mergeCell ref="F47:O47"/>
    <mergeCell ref="F48:O48"/>
    <mergeCell ref="F51:O51"/>
    <mergeCell ref="F52:O52"/>
    <mergeCell ref="F53:O53"/>
    <mergeCell ref="L41:O41"/>
    <mergeCell ref="L42:O42"/>
    <mergeCell ref="L43:O43"/>
    <mergeCell ref="F54:O54"/>
    <mergeCell ref="F55:O55"/>
    <mergeCell ref="F56:O56"/>
    <mergeCell ref="A46:O46"/>
    <mergeCell ref="A37:O37"/>
    <mergeCell ref="A2:E2"/>
    <mergeCell ref="F2:J2"/>
    <mergeCell ref="K2:O2"/>
    <mergeCell ref="A3:O3"/>
    <mergeCell ref="B44:O44"/>
    <mergeCell ref="A28:O28"/>
    <mergeCell ref="K29:O29"/>
    <mergeCell ref="K30:O30"/>
    <mergeCell ref="K31:O31"/>
    <mergeCell ref="K32:O32"/>
    <mergeCell ref="K33:O33"/>
    <mergeCell ref="K34:O34"/>
    <mergeCell ref="K35:O35"/>
    <mergeCell ref="L38:O38"/>
    <mergeCell ref="F49:O49"/>
    <mergeCell ref="F50:O50"/>
    <mergeCell ref="B79:F79"/>
    <mergeCell ref="A4:D4"/>
    <mergeCell ref="F68:O68"/>
    <mergeCell ref="F69:O69"/>
    <mergeCell ref="F70:O70"/>
    <mergeCell ref="F71:O71"/>
    <mergeCell ref="F72:O72"/>
    <mergeCell ref="B75:O75"/>
    <mergeCell ref="A67:O67"/>
    <mergeCell ref="A61:O61"/>
    <mergeCell ref="E62:O62"/>
    <mergeCell ref="E63:O63"/>
    <mergeCell ref="E64:O64"/>
    <mergeCell ref="F59:O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6B70"/>
  </sheetPr>
  <dimension ref="A1:E100"/>
  <sheetViews>
    <sheetView showGridLines="0" topLeftCell="A88" workbookViewId="0">
      <selection activeCell="E106" sqref="E106"/>
    </sheetView>
  </sheetViews>
  <sheetFormatPr baseColWidth="10" defaultColWidth="8.7109375" defaultRowHeight="15"/>
  <cols>
    <col min="1" max="1" width="46" style="73" customWidth="1"/>
    <col min="2" max="2" width="16" style="73" customWidth="1"/>
    <col min="3" max="3" width="22" style="73" customWidth="1"/>
    <col min="4" max="4" width="14" style="73" customWidth="1"/>
    <col min="5" max="5" width="64.5703125" style="73" customWidth="1"/>
  </cols>
  <sheetData>
    <row r="1" spans="1:5" ht="25.5" customHeight="1">
      <c r="A1" s="1" t="s">
        <v>0</v>
      </c>
      <c r="B1" s="2"/>
      <c r="C1" s="2"/>
      <c r="D1" s="2"/>
      <c r="E1" s="2"/>
    </row>
    <row r="2" spans="1:5" ht="15" customHeight="1">
      <c r="A2" s="139" t="s">
        <v>661</v>
      </c>
      <c r="B2" s="139"/>
      <c r="C2" s="139"/>
      <c r="D2" s="139"/>
      <c r="E2" s="139"/>
    </row>
    <row r="3" spans="1:5" ht="15" customHeight="1">
      <c r="A3" s="170" t="str">
        <f>HYPERLINK("#INICIO!A1","◀ INICIO")</f>
        <v>◀ INICIO</v>
      </c>
      <c r="B3" s="171"/>
      <c r="C3" s="171"/>
      <c r="D3" s="171"/>
      <c r="E3"/>
    </row>
    <row r="4" spans="1:5" ht="42" customHeight="1">
      <c r="A4" s="126" t="s">
        <v>520</v>
      </c>
      <c r="B4" s="126"/>
      <c r="C4" s="126"/>
      <c r="D4" s="126"/>
      <c r="E4" s="126"/>
    </row>
    <row r="6" spans="1:5" ht="15" customHeight="1">
      <c r="A6" s="14" t="s">
        <v>521</v>
      </c>
      <c r="B6" s="5"/>
      <c r="C6" s="5"/>
      <c r="D6" s="5"/>
      <c r="E6" s="5"/>
    </row>
    <row r="7" spans="1:5" ht="15" customHeight="1">
      <c r="A7" s="6" t="s">
        <v>522</v>
      </c>
      <c r="B7" s="6" t="s">
        <v>45</v>
      </c>
      <c r="C7" s="6" t="s">
        <v>46</v>
      </c>
      <c r="D7" s="6" t="s">
        <v>523</v>
      </c>
      <c r="E7" s="6" t="s">
        <v>524</v>
      </c>
    </row>
    <row r="8" spans="1:5" ht="15" customHeight="1">
      <c r="A8" s="4" t="s">
        <v>525</v>
      </c>
      <c r="B8" s="7" t="s">
        <v>526</v>
      </c>
      <c r="C8" s="35" t="s">
        <v>51</v>
      </c>
      <c r="D8" s="36" t="s">
        <v>51</v>
      </c>
      <c r="E8" s="37" t="s">
        <v>527</v>
      </c>
    </row>
    <row r="9" spans="1:5" ht="15" customHeight="1">
      <c r="A9" s="4" t="s">
        <v>528</v>
      </c>
      <c r="B9" s="7" t="s">
        <v>662</v>
      </c>
      <c r="C9" s="35" t="s">
        <v>51</v>
      </c>
      <c r="D9" s="36" t="s">
        <v>51</v>
      </c>
      <c r="E9" s="37" t="s">
        <v>529</v>
      </c>
    </row>
    <row r="10" spans="1:5" ht="21.75" customHeight="1">
      <c r="A10" s="4" t="s">
        <v>530</v>
      </c>
      <c r="B10" s="8">
        <v>1</v>
      </c>
      <c r="C10" s="35" t="s">
        <v>230</v>
      </c>
      <c r="D10" s="36" t="s">
        <v>531</v>
      </c>
      <c r="E10" s="37" t="s">
        <v>532</v>
      </c>
    </row>
    <row r="11" spans="1:5" ht="15" customHeight="1">
      <c r="A11" s="4" t="s">
        <v>533</v>
      </c>
      <c r="B11" s="8">
        <v>24</v>
      </c>
      <c r="C11" s="35" t="s">
        <v>218</v>
      </c>
      <c r="D11" s="36" t="s">
        <v>531</v>
      </c>
      <c r="E11" s="37" t="s">
        <v>534</v>
      </c>
    </row>
    <row r="12" spans="1:5" ht="15" customHeight="1">
      <c r="A12" s="4" t="s">
        <v>535</v>
      </c>
      <c r="B12" s="8">
        <v>4</v>
      </c>
      <c r="C12" s="35" t="s">
        <v>345</v>
      </c>
      <c r="D12" s="36" t="s">
        <v>531</v>
      </c>
      <c r="E12" s="37" t="s">
        <v>536</v>
      </c>
    </row>
    <row r="13" spans="1:5" ht="15" customHeight="1">
      <c r="A13" s="4" t="s">
        <v>537</v>
      </c>
      <c r="B13" s="8">
        <v>4</v>
      </c>
      <c r="C13" s="35" t="s">
        <v>345</v>
      </c>
      <c r="D13" s="36" t="s">
        <v>531</v>
      </c>
      <c r="E13" s="37" t="s">
        <v>538</v>
      </c>
    </row>
    <row r="14" spans="1:5" ht="15" customHeight="1">
      <c r="A14" s="4" t="s">
        <v>539</v>
      </c>
      <c r="B14" s="8">
        <v>9</v>
      </c>
      <c r="C14" s="35" t="s">
        <v>345</v>
      </c>
      <c r="D14" s="36" t="s">
        <v>531</v>
      </c>
      <c r="E14" s="37" t="s">
        <v>538</v>
      </c>
    </row>
    <row r="15" spans="1:5" ht="15" customHeight="1">
      <c r="A15" s="4" t="s">
        <v>540</v>
      </c>
      <c r="B15" s="8">
        <v>7</v>
      </c>
      <c r="C15" s="35" t="s">
        <v>345</v>
      </c>
      <c r="D15" s="36" t="s">
        <v>531</v>
      </c>
      <c r="E15" s="37" t="s">
        <v>541</v>
      </c>
    </row>
    <row r="16" spans="1:5" ht="21.75" customHeight="1">
      <c r="A16" s="4" t="s">
        <v>542</v>
      </c>
      <c r="B16" s="10">
        <v>0.1</v>
      </c>
      <c r="C16" s="35" t="s">
        <v>86</v>
      </c>
      <c r="D16" s="36" t="s">
        <v>543</v>
      </c>
      <c r="E16" s="37" t="s">
        <v>544</v>
      </c>
    </row>
    <row r="17" spans="1:5" ht="15" customHeight="1">
      <c r="A17" s="4" t="s">
        <v>545</v>
      </c>
      <c r="B17" s="10">
        <v>0.25</v>
      </c>
      <c r="C17" s="35" t="s">
        <v>86</v>
      </c>
      <c r="D17" s="36" t="s">
        <v>546</v>
      </c>
      <c r="E17" s="37" t="s">
        <v>547</v>
      </c>
    </row>
    <row r="18" spans="1:5" ht="15" customHeight="1">
      <c r="A18" s="4" t="s">
        <v>548</v>
      </c>
      <c r="B18" s="10">
        <v>0.08</v>
      </c>
      <c r="C18" s="35" t="s">
        <v>86</v>
      </c>
      <c r="D18" s="36" t="s">
        <v>546</v>
      </c>
      <c r="E18" s="37" t="s">
        <v>549</v>
      </c>
    </row>
    <row r="19" spans="1:5" ht="15" customHeight="1">
      <c r="A19" s="4" t="s">
        <v>550</v>
      </c>
      <c r="B19" s="10">
        <v>0.02</v>
      </c>
      <c r="C19" s="35" t="s">
        <v>86</v>
      </c>
      <c r="D19" s="36" t="s">
        <v>546</v>
      </c>
      <c r="E19" s="37" t="s">
        <v>551</v>
      </c>
    </row>
    <row r="20" spans="1:5" ht="15" customHeight="1">
      <c r="A20" s="4" t="s">
        <v>552</v>
      </c>
      <c r="B20" s="10">
        <v>0.22</v>
      </c>
      <c r="C20" s="35" t="s">
        <v>86</v>
      </c>
      <c r="D20" s="36" t="s">
        <v>546</v>
      </c>
      <c r="E20" s="37" t="s">
        <v>553</v>
      </c>
    </row>
    <row r="21" spans="1:5" ht="15" customHeight="1">
      <c r="A21" s="4" t="s">
        <v>554</v>
      </c>
      <c r="B21" s="8">
        <v>18</v>
      </c>
      <c r="C21" s="35" t="s">
        <v>64</v>
      </c>
      <c r="D21" s="36" t="s">
        <v>555</v>
      </c>
      <c r="E21" s="37" t="s">
        <v>556</v>
      </c>
    </row>
    <row r="22" spans="1:5" ht="15" customHeight="1">
      <c r="A22" s="4" t="s">
        <v>557</v>
      </c>
      <c r="B22" s="8">
        <v>120</v>
      </c>
      <c r="C22" s="35" t="s">
        <v>64</v>
      </c>
      <c r="D22" s="36" t="s">
        <v>555</v>
      </c>
      <c r="E22" s="37" t="s">
        <v>558</v>
      </c>
    </row>
    <row r="23" spans="1:5" ht="15" customHeight="1">
      <c r="A23" s="4" t="s">
        <v>559</v>
      </c>
      <c r="B23" s="8">
        <v>25</v>
      </c>
      <c r="C23" s="35" t="s">
        <v>68</v>
      </c>
      <c r="D23" s="36" t="s">
        <v>555</v>
      </c>
      <c r="E23" s="37" t="s">
        <v>560</v>
      </c>
    </row>
    <row r="24" spans="1:5" ht="15" customHeight="1">
      <c r="A24" s="4" t="s">
        <v>561</v>
      </c>
      <c r="B24" s="8">
        <v>350</v>
      </c>
      <c r="C24" s="35" t="s">
        <v>68</v>
      </c>
      <c r="D24" s="36" t="s">
        <v>555</v>
      </c>
      <c r="E24" s="37" t="s">
        <v>558</v>
      </c>
    </row>
    <row r="25" spans="1:5" ht="15" customHeight="1">
      <c r="A25" s="4" t="s">
        <v>562</v>
      </c>
      <c r="B25" s="8">
        <v>120</v>
      </c>
      <c r="C25" s="35" t="s">
        <v>72</v>
      </c>
      <c r="D25" s="36" t="s">
        <v>555</v>
      </c>
      <c r="E25" s="37" t="s">
        <v>663</v>
      </c>
    </row>
    <row r="26" spans="1:5" ht="15" customHeight="1">
      <c r="A26" s="4" t="s">
        <v>563</v>
      </c>
      <c r="B26" s="8">
        <v>230</v>
      </c>
      <c r="C26" s="35" t="s">
        <v>72</v>
      </c>
      <c r="D26" s="36" t="s">
        <v>555</v>
      </c>
      <c r="E26" s="37" t="s">
        <v>558</v>
      </c>
    </row>
    <row r="27" spans="1:5" ht="15" customHeight="1">
      <c r="A27" s="4" t="s">
        <v>564</v>
      </c>
      <c r="B27" s="8">
        <v>500</v>
      </c>
      <c r="C27" s="35" t="s">
        <v>78</v>
      </c>
      <c r="D27" s="36" t="s">
        <v>555</v>
      </c>
      <c r="E27" s="37" t="s">
        <v>565</v>
      </c>
    </row>
    <row r="28" spans="1:5" ht="15" customHeight="1">
      <c r="A28" s="4" t="s">
        <v>566</v>
      </c>
      <c r="B28" s="8">
        <v>5000</v>
      </c>
      <c r="C28" s="35" t="s">
        <v>78</v>
      </c>
      <c r="D28" s="36" t="s">
        <v>555</v>
      </c>
      <c r="E28" s="37" t="s">
        <v>565</v>
      </c>
    </row>
    <row r="29" spans="1:5" ht="15" customHeight="1">
      <c r="A29" s="4" t="s">
        <v>567</v>
      </c>
      <c r="B29" s="33">
        <v>0.3</v>
      </c>
      <c r="C29" s="35" t="s">
        <v>86</v>
      </c>
      <c r="D29" s="36" t="s">
        <v>555</v>
      </c>
      <c r="E29" s="37" t="s">
        <v>568</v>
      </c>
    </row>
    <row r="30" spans="1:5" ht="15" customHeight="1">
      <c r="A30" s="4" t="s">
        <v>569</v>
      </c>
      <c r="B30" s="33">
        <v>0.2</v>
      </c>
      <c r="C30" s="35" t="s">
        <v>86</v>
      </c>
      <c r="D30" s="36" t="s">
        <v>570</v>
      </c>
      <c r="E30" s="37" t="s">
        <v>571</v>
      </c>
    </row>
    <row r="31" spans="1:5" ht="15" customHeight="1">
      <c r="A31" s="4" t="s">
        <v>572</v>
      </c>
      <c r="B31" s="9">
        <v>0.5</v>
      </c>
      <c r="C31" s="35" t="s">
        <v>573</v>
      </c>
      <c r="D31" s="36" t="s">
        <v>570</v>
      </c>
      <c r="E31" s="37" t="s">
        <v>574</v>
      </c>
    </row>
    <row r="32" spans="1:5" ht="15" customHeight="1">
      <c r="A32" s="4" t="s">
        <v>575</v>
      </c>
      <c r="B32" s="8">
        <v>20</v>
      </c>
      <c r="C32" s="35" t="s">
        <v>201</v>
      </c>
      <c r="D32" s="36" t="s">
        <v>555</v>
      </c>
      <c r="E32" s="37" t="s">
        <v>576</v>
      </c>
    </row>
    <row r="33" spans="1:5" ht="15" customHeight="1">
      <c r="A33" s="4" t="s">
        <v>577</v>
      </c>
      <c r="B33" s="8">
        <v>40</v>
      </c>
      <c r="C33" s="35" t="s">
        <v>68</v>
      </c>
      <c r="D33" s="36" t="s">
        <v>578</v>
      </c>
      <c r="E33" s="37" t="s">
        <v>579</v>
      </c>
    </row>
    <row r="34" spans="1:5" ht="15" customHeight="1">
      <c r="A34" s="4" t="s">
        <v>580</v>
      </c>
      <c r="B34" s="8">
        <v>200</v>
      </c>
      <c r="C34" s="35" t="s">
        <v>68</v>
      </c>
      <c r="D34" s="36" t="s">
        <v>578</v>
      </c>
      <c r="E34" s="37" t="s">
        <v>579</v>
      </c>
    </row>
    <row r="36" spans="1:5" ht="15" customHeight="1">
      <c r="A36" s="186" t="s">
        <v>581</v>
      </c>
      <c r="B36" s="186"/>
      <c r="C36" s="186"/>
    </row>
    <row r="37" spans="1:5" ht="15" customHeight="1">
      <c r="A37" s="6" t="s">
        <v>582</v>
      </c>
      <c r="B37" s="184" t="s">
        <v>174</v>
      </c>
      <c r="C37" s="185"/>
    </row>
    <row r="38" spans="1:5" ht="15" customHeight="1">
      <c r="A38" s="4" t="s">
        <v>60</v>
      </c>
      <c r="B38" s="17" t="s">
        <v>583</v>
      </c>
    </row>
    <row r="39" spans="1:5" ht="15" customHeight="1">
      <c r="A39" s="4" t="s">
        <v>369</v>
      </c>
      <c r="B39" s="17" t="s">
        <v>584</v>
      </c>
    </row>
    <row r="41" spans="1:5" ht="15" customHeight="1">
      <c r="A41" s="186" t="s">
        <v>585</v>
      </c>
      <c r="B41" s="186"/>
      <c r="C41" s="186"/>
    </row>
    <row r="42" spans="1:5" ht="15" customHeight="1">
      <c r="A42" s="6" t="s">
        <v>586</v>
      </c>
      <c r="B42" s="184" t="s">
        <v>587</v>
      </c>
      <c r="C42" s="185"/>
    </row>
    <row r="43" spans="1:5" ht="15" customHeight="1">
      <c r="A43" s="4" t="s">
        <v>75</v>
      </c>
      <c r="B43" s="17" t="s">
        <v>588</v>
      </c>
    </row>
    <row r="44" spans="1:5" ht="15" customHeight="1">
      <c r="A44" s="4" t="s">
        <v>589</v>
      </c>
      <c r="B44" s="17" t="s">
        <v>590</v>
      </c>
    </row>
    <row r="45" spans="1:5" ht="15" customHeight="1">
      <c r="A45" s="4" t="s">
        <v>591</v>
      </c>
      <c r="B45" s="17" t="s">
        <v>592</v>
      </c>
    </row>
    <row r="47" spans="1:5" ht="15" customHeight="1">
      <c r="A47" s="186" t="s">
        <v>593</v>
      </c>
      <c r="B47" s="186"/>
      <c r="C47" s="186"/>
    </row>
    <row r="48" spans="1:5" ht="15" customHeight="1">
      <c r="A48" s="6" t="s">
        <v>594</v>
      </c>
      <c r="B48" s="184" t="s">
        <v>595</v>
      </c>
      <c r="C48" s="185"/>
    </row>
    <row r="49" spans="1:5" ht="15" customHeight="1">
      <c r="A49" s="4" t="s">
        <v>596</v>
      </c>
      <c r="B49" s="17" t="s">
        <v>597</v>
      </c>
    </row>
    <row r="50" spans="1:5" ht="15" customHeight="1">
      <c r="A50" s="4" t="s">
        <v>82</v>
      </c>
      <c r="B50" s="17" t="s">
        <v>598</v>
      </c>
    </row>
    <row r="52" spans="1:5" ht="15" customHeight="1">
      <c r="A52" s="14" t="s">
        <v>599</v>
      </c>
      <c r="B52" s="5"/>
      <c r="C52" s="5"/>
    </row>
    <row r="53" spans="1:5" ht="15" customHeight="1">
      <c r="A53" s="6" t="s">
        <v>594</v>
      </c>
      <c r="B53" s="6" t="s">
        <v>600</v>
      </c>
      <c r="C53" s="6" t="s">
        <v>601</v>
      </c>
    </row>
    <row r="54" spans="1:5" ht="15" customHeight="1">
      <c r="A54" s="4" t="s">
        <v>98</v>
      </c>
      <c r="B54" s="17" t="s">
        <v>602</v>
      </c>
      <c r="C54" s="17" t="s">
        <v>603</v>
      </c>
    </row>
    <row r="55" spans="1:5" ht="15" customHeight="1">
      <c r="A55" s="4" t="s">
        <v>267</v>
      </c>
      <c r="B55" s="17" t="s">
        <v>604</v>
      </c>
      <c r="C55" s="17" t="s">
        <v>605</v>
      </c>
    </row>
    <row r="56" spans="1:5" ht="15" customHeight="1">
      <c r="A56" s="4" t="s">
        <v>268</v>
      </c>
      <c r="B56" s="17" t="s">
        <v>606</v>
      </c>
      <c r="C56" s="17" t="s">
        <v>607</v>
      </c>
    </row>
    <row r="58" spans="1:5" ht="15" customHeight="1">
      <c r="A58" s="187" t="s">
        <v>608</v>
      </c>
      <c r="B58" s="187"/>
      <c r="C58" s="187"/>
    </row>
    <row r="59" spans="1:5" ht="15" customHeight="1">
      <c r="A59" s="188" t="s">
        <v>102</v>
      </c>
      <c r="B59" s="189"/>
      <c r="C59" s="189"/>
    </row>
    <row r="60" spans="1:5" ht="15" customHeight="1">
      <c r="A60" s="188" t="s">
        <v>442</v>
      </c>
      <c r="B60" s="189"/>
      <c r="C60" s="189"/>
    </row>
    <row r="62" spans="1:5" ht="15" customHeight="1">
      <c r="A62" s="14" t="s">
        <v>609</v>
      </c>
      <c r="B62" s="5"/>
      <c r="C62" s="5"/>
      <c r="D62" s="5"/>
      <c r="E62" s="5"/>
    </row>
    <row r="63" spans="1:5" ht="15" customHeight="1">
      <c r="A63" s="6" t="s">
        <v>354</v>
      </c>
      <c r="B63" s="6" t="s">
        <v>357</v>
      </c>
      <c r="C63" s="6" t="s">
        <v>358</v>
      </c>
      <c r="D63" s="6" t="s">
        <v>359</v>
      </c>
      <c r="E63" s="6" t="s">
        <v>360</v>
      </c>
    </row>
    <row r="64" spans="1:5" ht="15" customHeight="1">
      <c r="A64" s="4" t="s">
        <v>60</v>
      </c>
      <c r="B64" s="7">
        <v>5</v>
      </c>
      <c r="C64" s="7">
        <v>10</v>
      </c>
      <c r="D64" s="7">
        <v>6.25</v>
      </c>
      <c r="E64" s="7">
        <v>-5</v>
      </c>
    </row>
    <row r="65" spans="1:5" ht="15" customHeight="1">
      <c r="A65" s="4" t="s">
        <v>369</v>
      </c>
      <c r="B65" s="7">
        <v>-161</v>
      </c>
      <c r="C65" s="7">
        <v>10</v>
      </c>
      <c r="D65" s="7">
        <v>6.25</v>
      </c>
      <c r="E65" s="7">
        <v>-5</v>
      </c>
    </row>
    <row r="67" spans="1:5" ht="15" customHeight="1">
      <c r="A67" s="14" t="s">
        <v>610</v>
      </c>
      <c r="B67" s="5"/>
      <c r="C67" s="5"/>
      <c r="D67" s="5"/>
      <c r="E67" s="5"/>
    </row>
    <row r="68" spans="1:5" ht="15" customHeight="1">
      <c r="A68" s="6" t="s">
        <v>354</v>
      </c>
      <c r="B68" s="6" t="s">
        <v>611</v>
      </c>
      <c r="C68" s="6" t="s">
        <v>612</v>
      </c>
      <c r="D68" s="6" t="s">
        <v>357</v>
      </c>
      <c r="E68" s="6" t="s">
        <v>358</v>
      </c>
    </row>
    <row r="69" spans="1:5" ht="15" customHeight="1">
      <c r="A69" s="4" t="s">
        <v>60</v>
      </c>
      <c r="B69" s="25">
        <v>18</v>
      </c>
      <c r="C69" s="25">
        <v>30</v>
      </c>
      <c r="D69" s="7">
        <v>545</v>
      </c>
      <c r="E69" s="7">
        <v>16</v>
      </c>
    </row>
    <row r="70" spans="1:5" ht="15" customHeight="1">
      <c r="A70" s="4" t="s">
        <v>60</v>
      </c>
      <c r="B70" s="25">
        <v>30</v>
      </c>
      <c r="C70" s="25">
        <v>60</v>
      </c>
      <c r="D70" s="7">
        <v>593</v>
      </c>
      <c r="E70" s="7">
        <v>14.2</v>
      </c>
    </row>
    <row r="71" spans="1:5" ht="15" customHeight="1">
      <c r="A71" s="4" t="s">
        <v>60</v>
      </c>
      <c r="B71" s="25">
        <v>60</v>
      </c>
      <c r="C71" s="25">
        <v>200</v>
      </c>
      <c r="D71" s="7">
        <v>514</v>
      </c>
      <c r="E71" s="7">
        <v>13.5</v>
      </c>
    </row>
    <row r="72" spans="1:5" ht="15" customHeight="1">
      <c r="A72" s="4" t="s">
        <v>369</v>
      </c>
      <c r="B72" s="25">
        <v>18</v>
      </c>
      <c r="C72" s="25">
        <v>30</v>
      </c>
      <c r="D72" s="7">
        <v>558</v>
      </c>
      <c r="E72" s="7">
        <v>13.1</v>
      </c>
    </row>
    <row r="73" spans="1:5" ht="15" customHeight="1">
      <c r="A73" s="4" t="s">
        <v>369</v>
      </c>
      <c r="B73" s="25">
        <v>30</v>
      </c>
      <c r="C73" s="25">
        <v>60</v>
      </c>
      <c r="D73" s="7">
        <v>694</v>
      </c>
      <c r="E73" s="7">
        <v>9.74</v>
      </c>
    </row>
    <row r="74" spans="1:5" ht="15" customHeight="1">
      <c r="A74" s="4" t="s">
        <v>369</v>
      </c>
      <c r="B74" s="25">
        <v>60</v>
      </c>
      <c r="C74" s="25">
        <v>200</v>
      </c>
      <c r="D74" s="7">
        <v>569</v>
      </c>
      <c r="E74" s="7">
        <v>10.1</v>
      </c>
    </row>
    <row r="76" spans="1:5" ht="15" customHeight="1">
      <c r="A76" s="14" t="s">
        <v>613</v>
      </c>
      <c r="B76" s="5"/>
      <c r="C76" s="5"/>
      <c r="D76" s="5"/>
    </row>
    <row r="77" spans="1:5" ht="43.5" customHeight="1">
      <c r="A77" s="126" t="s">
        <v>614</v>
      </c>
      <c r="B77" s="126"/>
      <c r="C77" s="126"/>
      <c r="D77" s="126"/>
      <c r="E77" s="126"/>
    </row>
    <row r="79" spans="1:5" ht="15" customHeight="1">
      <c r="A79" s="14" t="s">
        <v>615</v>
      </c>
      <c r="B79" s="5"/>
      <c r="C79" s="5"/>
      <c r="D79" s="5"/>
    </row>
    <row r="80" spans="1:5" ht="43.5" customHeight="1">
      <c r="A80" s="126" t="s">
        <v>616</v>
      </c>
      <c r="B80" s="126"/>
      <c r="C80" s="126"/>
      <c r="D80" s="126"/>
      <c r="E80" s="126"/>
    </row>
    <row r="81" spans="1:4" ht="15" customHeight="1">
      <c r="A81" s="6" t="s">
        <v>200</v>
      </c>
      <c r="B81" s="6" t="s">
        <v>617</v>
      </c>
      <c r="C81" s="6" t="s">
        <v>201</v>
      </c>
      <c r="D81" s="6" t="s">
        <v>293</v>
      </c>
    </row>
    <row r="82" spans="1:4" ht="15" customHeight="1">
      <c r="A82" s="11" t="s">
        <v>618</v>
      </c>
      <c r="B82" s="4" t="s">
        <v>206</v>
      </c>
      <c r="C82" s="7">
        <v>1</v>
      </c>
      <c r="D82" s="32" t="s">
        <v>313</v>
      </c>
    </row>
    <row r="83" spans="1:4" ht="15" customHeight="1">
      <c r="A83" s="11" t="s">
        <v>619</v>
      </c>
      <c r="B83" s="4" t="s">
        <v>208</v>
      </c>
      <c r="C83" s="7">
        <v>1.3</v>
      </c>
      <c r="D83" s="32" t="s">
        <v>313</v>
      </c>
    </row>
    <row r="84" spans="1:4" ht="15" customHeight="1">
      <c r="A84" s="11" t="s">
        <v>620</v>
      </c>
      <c r="B84" s="4" t="s">
        <v>207</v>
      </c>
      <c r="C84" s="7">
        <v>1.5</v>
      </c>
      <c r="D84" s="32" t="s">
        <v>313</v>
      </c>
    </row>
    <row r="85" spans="1:4" ht="15" customHeight="1">
      <c r="A85" s="11" t="s">
        <v>621</v>
      </c>
      <c r="B85" s="4" t="s">
        <v>209</v>
      </c>
      <c r="C85" s="7">
        <v>3</v>
      </c>
      <c r="D85" s="32" t="s">
        <v>313</v>
      </c>
    </row>
    <row r="86" spans="1:4" ht="15" customHeight="1">
      <c r="A86" s="11" t="s">
        <v>622</v>
      </c>
      <c r="B86" s="4" t="s">
        <v>210</v>
      </c>
      <c r="C86" s="7">
        <v>3.3</v>
      </c>
      <c r="D86" s="32" t="s">
        <v>313</v>
      </c>
    </row>
    <row r="87" spans="1:4" ht="15" customHeight="1">
      <c r="A87" s="11" t="s">
        <v>623</v>
      </c>
      <c r="B87" s="4" t="s">
        <v>212</v>
      </c>
      <c r="C87" s="7">
        <v>3.5</v>
      </c>
      <c r="D87" s="32" t="s">
        <v>313</v>
      </c>
    </row>
    <row r="88" spans="1:4" ht="15" customHeight="1">
      <c r="A88" s="11" t="s">
        <v>624</v>
      </c>
      <c r="B88" s="4" t="s">
        <v>211</v>
      </c>
      <c r="C88" s="7">
        <v>4</v>
      </c>
      <c r="D88" s="32" t="s">
        <v>313</v>
      </c>
    </row>
    <row r="89" spans="1:4" ht="15" customHeight="1">
      <c r="A89" s="11" t="s">
        <v>625</v>
      </c>
      <c r="B89" s="4" t="s">
        <v>213</v>
      </c>
      <c r="C89" s="7">
        <v>4</v>
      </c>
      <c r="D89" s="32" t="s">
        <v>313</v>
      </c>
    </row>
    <row r="90" spans="1:4" ht="15" customHeight="1">
      <c r="A90" s="11" t="s">
        <v>626</v>
      </c>
      <c r="B90" s="4" t="s">
        <v>627</v>
      </c>
      <c r="C90" s="7">
        <v>3.5</v>
      </c>
      <c r="D90" s="32" t="s">
        <v>628</v>
      </c>
    </row>
    <row r="91" spans="1:4" ht="15" customHeight="1">
      <c r="A91" s="11" t="s">
        <v>629</v>
      </c>
      <c r="B91" s="4" t="s">
        <v>215</v>
      </c>
      <c r="C91" s="7">
        <v>8</v>
      </c>
      <c r="D91" s="32" t="s">
        <v>628</v>
      </c>
    </row>
    <row r="92" spans="1:4" ht="15" customHeight="1">
      <c r="A92" s="11"/>
      <c r="B92" s="4" t="s">
        <v>630</v>
      </c>
      <c r="C92" s="7"/>
      <c r="D92" s="32" t="s">
        <v>628</v>
      </c>
    </row>
    <row r="93" spans="1:4" ht="15" customHeight="1">
      <c r="A93" s="11"/>
      <c r="B93" s="4" t="s">
        <v>631</v>
      </c>
      <c r="C93" s="7"/>
      <c r="D93" s="32" t="s">
        <v>628</v>
      </c>
    </row>
    <row r="94" spans="1:4" ht="15" customHeight="1">
      <c r="A94" s="11"/>
      <c r="B94" s="4" t="s">
        <v>632</v>
      </c>
      <c r="C94" s="7"/>
      <c r="D94" s="32" t="s">
        <v>628</v>
      </c>
    </row>
    <row r="95" spans="1:4" ht="15" customHeight="1">
      <c r="A95" s="11" t="s">
        <v>51</v>
      </c>
      <c r="B95" s="4" t="s">
        <v>214</v>
      </c>
      <c r="C95" s="7">
        <v>0</v>
      </c>
      <c r="D95" s="32" t="s">
        <v>51</v>
      </c>
    </row>
    <row r="97" spans="1:5">
      <c r="A97" s="80" t="s">
        <v>664</v>
      </c>
      <c r="B97" s="80"/>
      <c r="C97" s="80"/>
      <c r="D97" s="80"/>
      <c r="E97" s="80"/>
    </row>
    <row r="98" spans="1:5">
      <c r="A98" s="6" t="s">
        <v>354</v>
      </c>
      <c r="B98" s="6" t="s">
        <v>357</v>
      </c>
      <c r="C98" s="6" t="s">
        <v>358</v>
      </c>
      <c r="D98" s="6" t="s">
        <v>359</v>
      </c>
      <c r="E98" s="6" t="s">
        <v>360</v>
      </c>
    </row>
    <row r="99" spans="1:5">
      <c r="A99" s="4" t="s">
        <v>60</v>
      </c>
      <c r="B99" s="7">
        <v>88.361999999999995</v>
      </c>
      <c r="C99" s="7">
        <v>13.397</v>
      </c>
      <c r="D99" s="7">
        <v>4.7990000000000004</v>
      </c>
      <c r="E99" s="7">
        <v>-5.6769999999999996</v>
      </c>
    </row>
    <row r="100" spans="1:5">
      <c r="A100" s="4" t="s">
        <v>369</v>
      </c>
      <c r="B100" s="7">
        <v>447.59300000000002</v>
      </c>
      <c r="C100" s="7">
        <v>9.2469999999999999</v>
      </c>
      <c r="D100" s="7">
        <v>3.0979999999999999</v>
      </c>
      <c r="E100" s="7">
        <v>-4.33</v>
      </c>
    </row>
  </sheetData>
  <sheetProtection algorithmName="SHA-512" hashValue="LZUaGYO1n98JmUdd3pGsXneo7RKg3BNrOwm6esBDdp8RmoMK48bVesnfCMAwWf8XrZjeOmi5oyOgjaTqNMOvEw==" saltValue="E6Tp3kNnklBNetlRrl3leA==" spinCount="100000" sheet="1" objects="1" scenarios="1"/>
  <protectedRanges>
    <protectedRange sqref="B99:E100" name="Rango5"/>
    <protectedRange sqref="B8:B34" name="Rango1"/>
    <protectedRange sqref="B64:E65" name="Rango2"/>
    <protectedRange sqref="D69:E74" name="Rango3"/>
    <protectedRange sqref="C82:C95" name="Rango4"/>
  </protectedRanges>
  <mergeCells count="14">
    <mergeCell ref="A77:E77"/>
    <mergeCell ref="A80:E80"/>
    <mergeCell ref="A4:E4"/>
    <mergeCell ref="A3:D3"/>
    <mergeCell ref="A2:E2"/>
    <mergeCell ref="B42:C42"/>
    <mergeCell ref="A41:C41"/>
    <mergeCell ref="A36:C36"/>
    <mergeCell ref="B37:C37"/>
    <mergeCell ref="A47:C47"/>
    <mergeCell ref="B48:C48"/>
    <mergeCell ref="A58:C58"/>
    <mergeCell ref="A59:C59"/>
    <mergeCell ref="A60:C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A6B70"/>
  </sheetPr>
  <dimension ref="A1:E8"/>
  <sheetViews>
    <sheetView showGridLines="0" tabSelected="1" workbookViewId="0">
      <selection activeCell="C16" sqref="C16"/>
    </sheetView>
  </sheetViews>
  <sheetFormatPr baseColWidth="10" defaultColWidth="8.7109375" defaultRowHeight="15"/>
  <cols>
    <col min="1" max="1" width="12" style="73" customWidth="1"/>
    <col min="2" max="2" width="14" style="73" customWidth="1"/>
    <col min="3" max="3" width="54" style="73" customWidth="1"/>
    <col min="4" max="4" width="40" style="73" customWidth="1"/>
    <col min="5" max="5" width="20" style="73" customWidth="1"/>
  </cols>
  <sheetData>
    <row r="1" spans="1:5" ht="25.5" customHeight="1">
      <c r="A1" s="1" t="s">
        <v>0</v>
      </c>
      <c r="B1" s="2"/>
      <c r="C1" s="2"/>
      <c r="D1" s="2"/>
      <c r="E1" s="2"/>
    </row>
    <row r="2" spans="1:5" ht="15" customHeight="1">
      <c r="A2" s="139" t="s">
        <v>633</v>
      </c>
      <c r="B2" s="139"/>
      <c r="C2" s="139"/>
      <c r="D2" s="139"/>
      <c r="E2" s="139"/>
    </row>
    <row r="3" spans="1:5" ht="15" customHeight="1">
      <c r="A3" s="170" t="str">
        <f>HYPERLINK("#INICIO!A1","◀ INICIO")</f>
        <v>◀ INICIO</v>
      </c>
      <c r="B3" s="171"/>
      <c r="C3" s="171"/>
      <c r="D3" s="171"/>
      <c r="E3"/>
    </row>
    <row r="5" spans="1:5" ht="15" customHeight="1">
      <c r="A5" s="6" t="s">
        <v>12</v>
      </c>
      <c r="B5" s="6" t="s">
        <v>13</v>
      </c>
      <c r="C5" s="6" t="s">
        <v>634</v>
      </c>
      <c r="D5" s="6" t="s">
        <v>635</v>
      </c>
      <c r="E5" s="6" t="s">
        <v>17</v>
      </c>
    </row>
    <row r="6" spans="1:5" ht="54" customHeight="1">
      <c r="A6" s="25" t="s">
        <v>636</v>
      </c>
      <c r="B6" s="25" t="s">
        <v>14</v>
      </c>
      <c r="C6" s="20" t="s">
        <v>637</v>
      </c>
      <c r="D6" s="20" t="s">
        <v>638</v>
      </c>
      <c r="E6" s="26" t="s">
        <v>639</v>
      </c>
    </row>
    <row r="7" spans="1:5" ht="54" customHeight="1">
      <c r="A7" s="25" t="s">
        <v>636</v>
      </c>
      <c r="B7" s="25" t="s">
        <v>14</v>
      </c>
      <c r="C7" s="20" t="s">
        <v>640</v>
      </c>
      <c r="D7" s="20" t="s">
        <v>641</v>
      </c>
      <c r="E7" s="26" t="s">
        <v>639</v>
      </c>
    </row>
    <row r="8" spans="1:5" ht="39" customHeight="1">
      <c r="A8" s="25" t="s">
        <v>643</v>
      </c>
      <c r="B8" s="25" t="s">
        <v>656</v>
      </c>
      <c r="C8" s="191" t="s">
        <v>665</v>
      </c>
      <c r="D8" s="191" t="s">
        <v>666</v>
      </c>
      <c r="E8" s="25" t="s">
        <v>639</v>
      </c>
    </row>
  </sheetData>
  <sheetProtection algorithmName="SHA-512" hashValue="XXxdZIAxjotm/3QGH4BAW78+rMpkIffic0iwMzHDl+NHci5/h7u5ue4JuzjDBJMZ5IPw8+gH91yf+Z+hfBrqOg==" saltValue="aTsCUzVblwpjayyAUKlbEw==" spinCount="100000" sheet="1" objects="1" scenarios="1"/>
  <mergeCells count="2">
    <mergeCell ref="A3:D3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90</vt:i4>
      </vt:variant>
    </vt:vector>
  </HeadingPairs>
  <TitlesOfParts>
    <vt:vector size="99" baseType="lpstr">
      <vt:lpstr>INICIO</vt:lpstr>
      <vt:lpstr>DATOS</vt:lpstr>
      <vt:lpstr>CALCULOS</vt:lpstr>
      <vt:lpstr>DIARIO</vt:lpstr>
      <vt:lpstr>RESULTADOS</vt:lpstr>
      <vt:lpstr>FUENTES</vt:lpstr>
      <vt:lpstr>PRUEBAS</vt:lpstr>
      <vt:lpstr>CONFIG</vt:lpstr>
      <vt:lpstr>CHANGELOG</vt:lpstr>
      <vt:lpstr>a_AEE</vt:lpstr>
      <vt:lpstr>a_GEB</vt:lpstr>
      <vt:lpstr>a_Horas</vt:lpstr>
      <vt:lpstr>a_IndiceMET</vt:lpstr>
      <vt:lpstr>a_PALderiv</vt:lpstr>
      <vt:lpstr>a_Peso</vt:lpstr>
      <vt:lpstr>a_SumAEEh</vt:lpstr>
      <vt:lpstr>a_SumMETh</vt:lpstr>
      <vt:lpstr>a_TEEmet</vt:lpstr>
      <vt:lpstr>c_AEE</vt:lpstr>
      <vt:lpstr>c_ampl</vt:lpstr>
      <vt:lpstr>c_estado</vt:lpstr>
      <vt:lpstr>c_ETA</vt:lpstr>
      <vt:lpstr>c_ETAfijo</vt:lpstr>
      <vt:lpstr>c_ETAmacro</vt:lpstr>
      <vt:lpstr>c_Gate</vt:lpstr>
      <vt:lpstr>c_GEB</vt:lpstr>
      <vt:lpstr>c_GEB2</vt:lpstr>
      <vt:lpstr>c_GEBhen</vt:lpstr>
      <vt:lpstr>c_GEBmed</vt:lpstr>
      <vt:lpstr>c_GEBmif</vt:lpstr>
      <vt:lpstr>c_GET1</vt:lpstr>
      <vt:lpstr>c_GET2</vt:lpstr>
      <vt:lpstr>c_GET3</vt:lpstr>
      <vt:lpstr>c_GETrep</vt:lpstr>
      <vt:lpstr>c_IMC</vt:lpstr>
      <vt:lpstr>c_max</vt:lpstr>
      <vt:lpstr>c_min</vt:lpstr>
      <vt:lpstr>c_PAL1</vt:lpstr>
      <vt:lpstr>c_PAL2</vt:lpstr>
      <vt:lpstr>c_PAL3</vt:lpstr>
      <vt:lpstr>c_PALind</vt:lpstr>
      <vt:lpstr>c_PALrep</vt:lpstr>
      <vt:lpstr>c_pETAeff</vt:lpstr>
      <vt:lpstr>c_prom</vt:lpstr>
      <vt:lpstr>c_rango</vt:lpstr>
      <vt:lpstr>c_TallaM</vt:lpstr>
      <vt:lpstr>c_TEEmet</vt:lpstr>
      <vt:lpstr>COD_ACT</vt:lpstr>
      <vt:lpstr>DISP_MAX</vt:lpstr>
      <vt:lpstr>EDAD_MAX</vt:lpstr>
      <vt:lpstr>EDAD_MIN</vt:lpstr>
      <vt:lpstr>EST_MAX</vt:lpstr>
      <vt:lpstr>EST_MIN</vt:lpstr>
      <vt:lpstr>ETA_MAX</vt:lpstr>
      <vt:lpstr>GEB_MAX</vt:lpstr>
      <vt:lpstr>GEB_MIN</vt:lpstr>
      <vt:lpstr>HORAS_DIA</vt:lpstr>
      <vt:lpstr>in_Ecu</vt:lpstr>
      <vt:lpstr>in_Edad</vt:lpstr>
      <vt:lpstr>in_Est</vt:lpstr>
      <vt:lpstr>in_ETA2</vt:lpstr>
      <vt:lpstr>in_Fecha</vt:lpstr>
      <vt:lpstr>in_gAlc</vt:lpstr>
      <vt:lpstr>in_gCho</vt:lpstr>
      <vt:lpstr>in_GEBman</vt:lpstr>
      <vt:lpstr>in_gGra</vt:lpstr>
      <vt:lpstr>in_gPro</vt:lpstr>
      <vt:lpstr>in_ID</vt:lpstr>
      <vt:lpstr>in_MetETA</vt:lpstr>
      <vt:lpstr>in_MetReq</vt:lpstr>
      <vt:lpstr>in_Obs</vt:lpstr>
      <vt:lpstr>in_Pac</vt:lpstr>
      <vt:lpstr>in_Peso</vt:lpstr>
      <vt:lpstr>in_pETA</vt:lpstr>
      <vt:lpstr>in_Sexo</vt:lpstr>
      <vt:lpstr>KALC</vt:lpstr>
      <vt:lpstr>KCHO</vt:lpstr>
      <vt:lpstr>KGRA</vt:lpstr>
      <vt:lpstr>KPRO</vt:lpstr>
      <vt:lpstr>LISTA_ACT</vt:lpstr>
      <vt:lpstr>LISTA_ECU</vt:lpstr>
      <vt:lpstr>LISTA_ETA</vt:lpstr>
      <vt:lpstr>LISTA_MET</vt:lpstr>
      <vt:lpstr>MET_KCAL</vt:lpstr>
      <vt:lpstr>MET_MAX</vt:lpstr>
      <vt:lpstr>MET_VAL</vt:lpstr>
      <vt:lpstr>PESO_MAX</vt:lpstr>
      <vt:lpstr>PESO_MIN</vt:lpstr>
      <vt:lpstr>PESO_RA</vt:lpstr>
      <vt:lpstr>PESO_RB</vt:lpstr>
      <vt:lpstr>SEXOS</vt:lpstr>
      <vt:lpstr>SINO</vt:lpstr>
      <vt:lpstr>TEF_ALC</vt:lpstr>
      <vt:lpstr>TEF_CHO</vt:lpstr>
      <vt:lpstr>TEF_FIJO</vt:lpstr>
      <vt:lpstr>TEF_GRA</vt:lpstr>
      <vt:lpstr>TEF_PRO</vt:lpstr>
      <vt:lpstr>TOL_KCAL</vt:lpstr>
      <vt:lpstr>w_block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</cp:lastModifiedBy>
  <dcterms:modified xsi:type="dcterms:W3CDTF">2026-08-12T18:04:21Z</dcterms:modified>
</cp:coreProperties>
</file>
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13788.15779\"/>
    </mc:Choice>
  </mc:AlternateContent>
  <xr:revisionPtr revIDLastSave="0" documentId="13_ncr:1_{2028B0B3-DD3D-45AE-AE99-CBBDEE778D5C}" xr6:coauthVersionLast="47" xr6:coauthVersionMax="47" xr10:uidLastSave="{00000000-0000-0000-0000-000000000000}"/>
  <bookViews>
    <workbookView xWindow="-120" yWindow="-120" windowWidth="29040" windowHeight="15840" tabRatio="595" activeTab="9" xr2:uid="{00000000-000D-0000-FFFF-FFFF00000000}"/>
  </bookViews>
  <sheets>
    <sheet name="INICIO" sheetId="1" r:id="rId1"/>
    <sheet name="DATOS" sheetId="2" r:id="rId2"/>
    <sheet name="MICROCICLO" sheetId="3" r:id="rId3"/>
    <sheet name="PERIODIZACION" sheetId="4" r:id="rId4"/>
    <sheet name="TIMING" sheetId="5" r:id="rId5"/>
    <sheet name="PANEL" sheetId="6" r:id="rId6"/>
    <sheet name="RESUMEN" sheetId="7" r:id="rId7"/>
    <sheet name="FUENTES" sheetId="8" r:id="rId8"/>
    <sheet name="PRUEBAS" sheetId="9" r:id="rId9"/>
    <sheet name="CONFIG" sheetId="10" r:id="rId10"/>
    <sheet name="CHANGELOG" sheetId="11" r:id="rId11"/>
  </sheets>
  <definedNames>
    <definedName name="_xlnm.Print_Area" localSheetId="6">RESUMEN!$A$1:$H$25</definedName>
    <definedName name="k_cho">CONFIG!$E$27</definedName>
    <definedName name="k_lip">CONFIG!$E$28</definedName>
    <definedName name="k_lipMin">CONFIG!$E$21</definedName>
    <definedName name="k_prot">CONFIG!$E$26</definedName>
    <definedName name="k_protMax">CONFIG!$E$20</definedName>
    <definedName name="k_protMin">CONFIG!$E$19</definedName>
    <definedName name="k_recCHO">CONFIG!$E$22</definedName>
    <definedName name="k_recHoras">CONFIG!$E$23</definedName>
    <definedName name="k_tol">CONFIG!$E$29</definedName>
    <definedName name="lst_dia">CONFIG!$A$33:$A$39</definedName>
    <definedName name="lst_fase">CONFIG!$C$33:$C$37</definedName>
    <definedName name="lst_momento">CONFIG!#REF!</definedName>
    <definedName name="lst_objetivo">CONFIG!$M$33:$M$36</definedName>
    <definedName name="lst_sesion">CONFIG!$A$8:$A$13</definedName>
    <definedName name="lst_si">CONFIG!$G$33:$G$34</definedName>
    <definedName name="rng_sesion">CONFIG!$A$8:$G$13</definedName>
    <definedName name="u_lowMax">CONFIG!$E$25</definedName>
    <definedName name="u_lowMin">CONFIG!$E$24</definedName>
    <definedName name="v_choSemMax">PERIODIZACION!$G$15</definedName>
    <definedName name="v_choSemMin">PERIODIZACION!$F$15</definedName>
    <definedName name="v_fase">DATOS!$C$18</definedName>
    <definedName name="v_kcalSemMax">PERIODIZACION!$K$15</definedName>
    <definedName name="v_kcalSemMin">PERIODIZACION!$J$15</definedName>
    <definedName name="v_peso">DATOS!$C$10</definedName>
    <definedName name="v_protObj">DATOS!$C$30</definedName>
    <definedName name="v_razon">PERIODIZACION!$C$21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1" l="1"/>
  <c r="A4" i="10"/>
  <c r="C36" i="9"/>
  <c r="E36" i="9" s="1"/>
  <c r="A4" i="9"/>
  <c r="A4" i="8"/>
  <c r="C13" i="7"/>
  <c r="C12" i="7"/>
  <c r="C11" i="7"/>
  <c r="C10" i="7"/>
  <c r="C9" i="7"/>
  <c r="C8" i="7"/>
  <c r="C7" i="7"/>
  <c r="A4" i="7"/>
  <c r="M13" i="6"/>
  <c r="A13" i="6"/>
  <c r="A4" i="6"/>
  <c r="C14" i="5"/>
  <c r="B14" i="5"/>
  <c r="G14" i="5" s="1"/>
  <c r="H23" i="7" s="1"/>
  <c r="A14" i="5"/>
  <c r="C13" i="5"/>
  <c r="B13" i="5"/>
  <c r="A13" i="5"/>
  <c r="C12" i="5"/>
  <c r="B12" i="5"/>
  <c r="G12" i="5" s="1"/>
  <c r="H21" i="7" s="1"/>
  <c r="A12" i="5"/>
  <c r="C11" i="5"/>
  <c r="B11" i="5"/>
  <c r="A11" i="5"/>
  <c r="C10" i="5"/>
  <c r="B10" i="5"/>
  <c r="G10" i="5" s="1"/>
  <c r="H19" i="7" s="1"/>
  <c r="A10" i="5"/>
  <c r="C9" i="5"/>
  <c r="B9" i="5"/>
  <c r="A9" i="5"/>
  <c r="C8" i="5"/>
  <c r="B8" i="5"/>
  <c r="G8" i="5" s="1"/>
  <c r="H17" i="7" s="1"/>
  <c r="A8" i="5"/>
  <c r="A4" i="5"/>
  <c r="C14" i="4"/>
  <c r="B36" i="6" s="1"/>
  <c r="B14" i="4"/>
  <c r="E14" i="4" s="1"/>
  <c r="G14" i="4" s="1"/>
  <c r="A14" i="4"/>
  <c r="C13" i="4"/>
  <c r="B35" i="6" s="1"/>
  <c r="B13" i="4"/>
  <c r="A13" i="4"/>
  <c r="C12" i="4"/>
  <c r="C21" i="7" s="1"/>
  <c r="B12" i="4"/>
  <c r="E12" i="4" s="1"/>
  <c r="G12" i="4" s="1"/>
  <c r="A12" i="4"/>
  <c r="A21" i="7" s="1"/>
  <c r="C11" i="4"/>
  <c r="D23" i="6" s="1"/>
  <c r="B11" i="4"/>
  <c r="B20" i="7" s="1"/>
  <c r="A11" i="4"/>
  <c r="A20" i="7" s="1"/>
  <c r="C10" i="4"/>
  <c r="B32" i="6" s="1"/>
  <c r="B10" i="4"/>
  <c r="B19" i="7" s="1"/>
  <c r="A10" i="4"/>
  <c r="C9" i="4"/>
  <c r="B31" i="6" s="1"/>
  <c r="B9" i="4"/>
  <c r="A9" i="4"/>
  <c r="C8" i="4"/>
  <c r="C17" i="7" s="1"/>
  <c r="B8" i="4"/>
  <c r="E8" i="4" s="1"/>
  <c r="G8" i="4" s="1"/>
  <c r="A8" i="4"/>
  <c r="A17" i="7" s="1"/>
  <c r="A4" i="4"/>
  <c r="C19" i="3"/>
  <c r="C10" i="9" s="1"/>
  <c r="E10" i="9" s="1"/>
  <c r="C15" i="3"/>
  <c r="C18" i="3" s="1"/>
  <c r="G14" i="3"/>
  <c r="G13" i="3"/>
  <c r="G12" i="3"/>
  <c r="G11" i="3"/>
  <c r="G10" i="3"/>
  <c r="G9" i="3"/>
  <c r="G8" i="3"/>
  <c r="A4" i="3"/>
  <c r="C29" i="2"/>
  <c r="C28" i="2"/>
  <c r="C27" i="2"/>
  <c r="A4" i="2"/>
  <c r="C7" i="1"/>
  <c r="A7" i="1"/>
  <c r="O5" i="1"/>
  <c r="M5" i="1"/>
  <c r="K5" i="1"/>
  <c r="I5" i="1"/>
  <c r="G5" i="1"/>
  <c r="E5" i="1"/>
  <c r="C5" i="1"/>
  <c r="A5" i="1"/>
  <c r="D10" i="5" l="1"/>
  <c r="F19" i="7" s="1"/>
  <c r="E10" i="5"/>
  <c r="G19" i="7" s="1"/>
  <c r="F13" i="5"/>
  <c r="C26" i="9" s="1"/>
  <c r="E26" i="9" s="1"/>
  <c r="D24" i="6"/>
  <c r="C22" i="7"/>
  <c r="F11" i="5"/>
  <c r="G11" i="5"/>
  <c r="H20" i="7" s="1"/>
  <c r="I14" i="5"/>
  <c r="A33" i="6"/>
  <c r="C18" i="7"/>
  <c r="I10" i="5"/>
  <c r="I11" i="5"/>
  <c r="L11" i="5"/>
  <c r="F12" i="5"/>
  <c r="L14" i="5"/>
  <c r="D25" i="6"/>
  <c r="B34" i="6"/>
  <c r="C19" i="7"/>
  <c r="C23" i="7"/>
  <c r="E11" i="4"/>
  <c r="G11" i="4" s="1"/>
  <c r="C33" i="6" s="1"/>
  <c r="L10" i="5"/>
  <c r="D11" i="5"/>
  <c r="F20" i="7" s="1"/>
  <c r="E13" i="5"/>
  <c r="G22" i="7" s="1"/>
  <c r="D14" i="5"/>
  <c r="F23" i="7" s="1"/>
  <c r="D20" i="6"/>
  <c r="B30" i="6"/>
  <c r="C20" i="7"/>
  <c r="E11" i="5"/>
  <c r="G20" i="7" s="1"/>
  <c r="E14" i="5"/>
  <c r="G23" i="7" s="1"/>
  <c r="D8" i="6"/>
  <c r="D21" i="6"/>
  <c r="C20" i="3"/>
  <c r="C11" i="9" s="1"/>
  <c r="E11" i="9" s="1"/>
  <c r="C26" i="6"/>
  <c r="C36" i="6"/>
  <c r="H13" i="4"/>
  <c r="E22" i="7" s="1"/>
  <c r="D13" i="4"/>
  <c r="F13" i="4" s="1"/>
  <c r="I13" i="4"/>
  <c r="I9" i="5"/>
  <c r="D9" i="5"/>
  <c r="G9" i="5"/>
  <c r="H18" i="7" s="1"/>
  <c r="L9" i="5"/>
  <c r="A24" i="6"/>
  <c r="B22" i="7"/>
  <c r="H8" i="4"/>
  <c r="D8" i="4"/>
  <c r="F8" i="4" s="1"/>
  <c r="I8" i="4"/>
  <c r="E10" i="4"/>
  <c r="G10" i="4" s="1"/>
  <c r="H12" i="4"/>
  <c r="E21" i="7" s="1"/>
  <c r="D12" i="4"/>
  <c r="F12" i="4" s="1"/>
  <c r="I12" i="4"/>
  <c r="F8" i="5"/>
  <c r="L12" i="5"/>
  <c r="E12" i="5"/>
  <c r="G21" i="7" s="1"/>
  <c r="I12" i="5"/>
  <c r="D12" i="5"/>
  <c r="F21" i="7" s="1"/>
  <c r="A23" i="6"/>
  <c r="A34" i="6"/>
  <c r="B21" i="7"/>
  <c r="E13" i="4"/>
  <c r="G13" i="4" s="1"/>
  <c r="A23" i="7"/>
  <c r="A26" i="6"/>
  <c r="A36" i="6"/>
  <c r="E9" i="5"/>
  <c r="G18" i="7" s="1"/>
  <c r="I13" i="5"/>
  <c r="C32" i="9" s="1"/>
  <c r="E32" i="9" s="1"/>
  <c r="D13" i="5"/>
  <c r="F22" i="7" s="1"/>
  <c r="G13" i="5"/>
  <c r="H22" i="7" s="1"/>
  <c r="L13" i="5"/>
  <c r="A20" i="6"/>
  <c r="H9" i="4"/>
  <c r="E18" i="7" s="1"/>
  <c r="D9" i="4"/>
  <c r="F9" i="4" s="1"/>
  <c r="I9" i="4"/>
  <c r="E9" i="4"/>
  <c r="G9" i="4" s="1"/>
  <c r="A19" i="7"/>
  <c r="A22" i="6"/>
  <c r="A32" i="6"/>
  <c r="H11" i="4"/>
  <c r="E20" i="7" s="1"/>
  <c r="D11" i="4"/>
  <c r="F11" i="4" s="1"/>
  <c r="I11" i="4"/>
  <c r="C9" i="9"/>
  <c r="E9" i="9" s="1"/>
  <c r="A8" i="6"/>
  <c r="C15" i="9"/>
  <c r="E15" i="9" s="1"/>
  <c r="C20" i="6"/>
  <c r="C30" i="6"/>
  <c r="A18" i="7"/>
  <c r="A31" i="6"/>
  <c r="A21" i="6"/>
  <c r="H10" i="4"/>
  <c r="E19" i="7" s="1"/>
  <c r="D10" i="4"/>
  <c r="F10" i="4" s="1"/>
  <c r="I10" i="4"/>
  <c r="C24" i="6"/>
  <c r="C34" i="6"/>
  <c r="A22" i="7"/>
  <c r="A35" i="6"/>
  <c r="A25" i="6"/>
  <c r="H14" i="4"/>
  <c r="E23" i="7" s="1"/>
  <c r="D14" i="4"/>
  <c r="F14" i="4" s="1"/>
  <c r="I14" i="4"/>
  <c r="L8" i="5"/>
  <c r="E8" i="5"/>
  <c r="G17" i="7" s="1"/>
  <c r="I8" i="5"/>
  <c r="D8" i="5"/>
  <c r="F17" i="7" s="1"/>
  <c r="F9" i="5"/>
  <c r="C27" i="9" s="1"/>
  <c r="E27" i="9" s="1"/>
  <c r="A30" i="6"/>
  <c r="B17" i="7"/>
  <c r="B18" i="7"/>
  <c r="B23" i="7"/>
  <c r="F10" i="5"/>
  <c r="F14" i="5"/>
  <c r="D22" i="6"/>
  <c r="D26" i="6"/>
  <c r="B33" i="6"/>
  <c r="K8" i="4" l="1"/>
  <c r="C23" i="6"/>
  <c r="K12" i="4"/>
  <c r="G16" i="4"/>
  <c r="C21" i="9" s="1"/>
  <c r="E21" i="9" s="1"/>
  <c r="C19" i="4"/>
  <c r="L14" i="4"/>
  <c r="C35" i="9" s="1"/>
  <c r="E35" i="9" s="1"/>
  <c r="E19" i="5"/>
  <c r="C30" i="9" s="1"/>
  <c r="E30" i="9" s="1"/>
  <c r="C21" i="3"/>
  <c r="C22" i="3" s="1"/>
  <c r="D19" i="7"/>
  <c r="B22" i="6"/>
  <c r="J10" i="4"/>
  <c r="K10" i="4"/>
  <c r="C32" i="6"/>
  <c r="C22" i="6"/>
  <c r="L8" i="4"/>
  <c r="B25" i="6"/>
  <c r="D22" i="7"/>
  <c r="J13" i="4"/>
  <c r="K14" i="4"/>
  <c r="L11" i="4"/>
  <c r="E23" i="6" s="1"/>
  <c r="D21" i="7"/>
  <c r="B24" i="6"/>
  <c r="J12" i="4"/>
  <c r="I15" i="4"/>
  <c r="C31" i="9"/>
  <c r="E31" i="9" s="1"/>
  <c r="F18" i="7"/>
  <c r="C16" i="9"/>
  <c r="E16" i="9" s="1"/>
  <c r="K9" i="4"/>
  <c r="C31" i="6"/>
  <c r="C21" i="6"/>
  <c r="L9" i="4"/>
  <c r="E21" i="6" s="1"/>
  <c r="C18" i="9"/>
  <c r="E18" i="9" s="1"/>
  <c r="D23" i="7"/>
  <c r="B26" i="6"/>
  <c r="J14" i="4"/>
  <c r="L10" i="4"/>
  <c r="E22" i="6" s="1"/>
  <c r="C14" i="9"/>
  <c r="E14" i="9" s="1"/>
  <c r="C20" i="4"/>
  <c r="D17" i="7"/>
  <c r="B20" i="6"/>
  <c r="F16" i="4"/>
  <c r="J8" i="4"/>
  <c r="F15" i="4"/>
  <c r="C19" i="9" s="1"/>
  <c r="E19" i="9" s="1"/>
  <c r="L13" i="4"/>
  <c r="D20" i="7"/>
  <c r="J11" i="4"/>
  <c r="B23" i="6"/>
  <c r="B21" i="6"/>
  <c r="D18" i="7"/>
  <c r="J9" i="4"/>
  <c r="C17" i="9"/>
  <c r="E17" i="9" s="1"/>
  <c r="K13" i="4"/>
  <c r="C25" i="6"/>
  <c r="C35" i="6"/>
  <c r="C28" i="9"/>
  <c r="E28" i="9" s="1"/>
  <c r="E18" i="5"/>
  <c r="E17" i="5"/>
  <c r="L12" i="4"/>
  <c r="E24" i="6" s="1"/>
  <c r="C23" i="9"/>
  <c r="E23" i="9" s="1"/>
  <c r="E17" i="7"/>
  <c r="H15" i="4"/>
  <c r="C22" i="9" s="1"/>
  <c r="E22" i="9" s="1"/>
  <c r="K11" i="4"/>
  <c r="G15" i="4"/>
  <c r="J8" i="6" l="1"/>
  <c r="C21" i="4"/>
  <c r="C39" i="6" s="1"/>
  <c r="G13" i="6"/>
  <c r="E26" i="6"/>
  <c r="C12" i="9"/>
  <c r="E12" i="9" s="1"/>
  <c r="E20" i="5"/>
  <c r="K16" i="4"/>
  <c r="C20" i="9"/>
  <c r="E20" i="9" s="1"/>
  <c r="G8" i="6"/>
  <c r="K15" i="4"/>
  <c r="D13" i="6" s="1"/>
  <c r="J15" i="4"/>
  <c r="J16" i="4"/>
  <c r="C13" i="9"/>
  <c r="E13" i="9" s="1"/>
  <c r="C40" i="6"/>
  <c r="C34" i="9"/>
  <c r="E34" i="9" s="1"/>
  <c r="E20" i="6"/>
  <c r="C29" i="9"/>
  <c r="E29" i="9" s="1"/>
  <c r="J13" i="6"/>
  <c r="C33" i="9"/>
  <c r="E33" i="9" s="1"/>
  <c r="E25" i="6"/>
  <c r="M8" i="6" l="1"/>
  <c r="C24" i="9"/>
  <c r="E24" i="9" s="1"/>
  <c r="C22" i="4"/>
  <c r="C25" i="9" s="1"/>
  <c r="E25" i="9" s="1"/>
  <c r="C38" i="9" l="1"/>
  <c r="D38" i="9"/>
  <c r="E38" i="9" l="1"/>
</calcChain>
</file>

<file path=xl/sharedStrings.xml><?xml version="1.0" encoding="utf-8"?>
<sst xmlns="http://schemas.openxmlformats.org/spreadsheetml/2006/main" count="459" uniqueCount="356">
  <si>
    <t>NUTRIMETRÍA  ·  NMX-11</t>
  </si>
  <si>
    <t>Planificador integrado de entrenamiento y nutrición · versión 1.0 · Fase 6 · planificación</t>
  </si>
  <si>
    <t>Navegación — use las pestañas inferiores del libro</t>
  </si>
  <si>
    <t>Deportista y fase</t>
  </si>
  <si>
    <t>Semana de entrenamiento</t>
  </si>
  <si>
    <t>Combustible por día</t>
  </si>
  <si>
    <t>Antes, durante y después</t>
  </si>
  <si>
    <t>Tablero visual</t>
  </si>
  <si>
    <t>Plan para entregar</t>
  </si>
  <si>
    <t>Evidencia y trazabilidad</t>
  </si>
  <si>
    <t>Control de calidad</t>
  </si>
  <si>
    <t>Constantes</t>
  </si>
  <si>
    <t>Historial</t>
  </si>
  <si>
    <t>Código del producto</t>
  </si>
  <si>
    <t>NMX-11</t>
  </si>
  <si>
    <t>Versión</t>
  </si>
  <si>
    <t>1.0</t>
  </si>
  <si>
    <t>Fecha</t>
  </si>
  <si>
    <t>2026-07-23</t>
  </si>
  <si>
    <t>Base conceptual</t>
  </si>
  <si>
    <t>Combustible para el trabajo requerido · Impey 2018 · Jeukendrup 2017</t>
  </si>
  <si>
    <t>Formato</t>
  </si>
  <si>
    <t>.xlsx sin macros · Microsoft 365 (Windows) y Excel 2021 · sin funciones matriciales</t>
  </si>
  <si>
    <t>Responsable</t>
  </si>
  <si>
    <t>Equipo Nutrimetría (completar por el titular)</t>
  </si>
  <si>
    <t>IDEA CENTRAL DEL PLANIFICADOR</t>
  </si>
  <si>
    <t>No se come igual todos los días porque no se entrena igual todos los días. La ingesta de carbohidratos se ajusta a la demanda de CADA sesión, en lugar de mantener una cifra fija durante toda la temporada.</t>
  </si>
  <si>
    <t>La proteína NO se periodiza: se mantiene constante incluso en los días de descanso. Los lípidos tienen un mínimo que sostiene la función hormonal.</t>
  </si>
  <si>
    <t>Nunca se subalimenta una sesión de calidad. Si hay que reducir energía, se reduce en los días suaves y de descanso.</t>
  </si>
  <si>
    <t>Entrenar con disponibilidad reducida es una herramienta para una fracción de las sesiones, no una meta permanente.</t>
  </si>
  <si>
    <t>AVISO DE ALCANCE — LÉALO ANTES DE USAR</t>
  </si>
  <si>
    <t>EXACTITUD MATEMÁTICA ≠ VALIDACIÓN CLÍNICA. Este archivo NO está validado clínicamente y no constituye prescripción dietética.</t>
  </si>
  <si>
    <t>APLICA A: personas deportistas ADULTAS (≥18 años) en condición estable, con entrenamiento planificado.</t>
  </si>
  <si>
    <t>NO APLICA A: menores de edad · embarazo · lactancia · patología aguda o descompensada · personas con trastorno de la conducta alimentaria o sospecha de deficiencia energética relativa, en quienes la restricción periodizada está contraindicada.</t>
  </si>
  <si>
    <t>Las cifras son RANGOS de referencia por kilo de peso tomados de literatura de consenso, no una prescripción individual. Son editables en CONFIG.</t>
  </si>
  <si>
    <t>El libro NO estima el gasto energético de las sesiones ni evalúa lo realmente consumido: planifica.</t>
  </si>
  <si>
    <t>Toda estrategia de aporte durante el ejercicio debe probarse en entrenamiento antes de usarse en competencia.</t>
  </si>
  <si>
    <t>FLUJO DE USO</t>
  </si>
  <si>
    <t>En DATOS registre peso, fase de la temporada y objetivo. El peso determina todos los gramajes.</t>
  </si>
  <si>
    <t>En MICROCICLO cargue la semana de entrenamiento: día, tipo de sesión y duración.</t>
  </si>
  <si>
    <t>PERIODIZACIÓN calcula sola el carbohidrato de cada día según la demanda de su sesión.</t>
  </si>
  <si>
    <t>TIMING entrega la pauta de antes, durante y después de cada sesión.</t>
  </si>
  <si>
    <t>PANEL muestra el tablero: si el perfil de carbohidrato no sigue la forma de la carga, algo está mal planificado.</t>
  </si>
  <si>
    <t>RESUMEN es la hoja imprimible que se entrega al deportista.</t>
  </si>
  <si>
    <t>En CONFIG ajuste los rangos por tipo de sesión al criterio que usted utiliza.</t>
  </si>
  <si>
    <t>Deportista, fase de la temporada y objetivo del plan</t>
  </si>
  <si>
    <t>DEPORTISTA</t>
  </si>
  <si>
    <t>Nombre o identificador</t>
  </si>
  <si>
    <t>Caso de ejemplo</t>
  </si>
  <si>
    <t>Edad (años)</t>
  </si>
  <si>
    <t>Sexo</t>
  </si>
  <si>
    <t>Femenino</t>
  </si>
  <si>
    <t>Peso (kg)</t>
  </si>
  <si>
    <t>Determina todos los gramajes del plan</t>
  </si>
  <si>
    <t>Talla (cm)</t>
  </si>
  <si>
    <t>Masa libre de grasa (kg)</t>
  </si>
  <si>
    <t>—</t>
  </si>
  <si>
    <t>Opcional: si la tiene, anótela</t>
  </si>
  <si>
    <t>Deporte o disciplina</t>
  </si>
  <si>
    <t>Ciclismo de ruta</t>
  </si>
  <si>
    <t>Nivel competitivo</t>
  </si>
  <si>
    <t>Federado</t>
  </si>
  <si>
    <t>¿Sujeto a control antidopaje?</t>
  </si>
  <si>
    <t>Sí</t>
  </si>
  <si>
    <t>FASE Y OBJETIVO</t>
  </si>
  <si>
    <t>Fase de la temporada</t>
  </si>
  <si>
    <t>Construcción</t>
  </si>
  <si>
    <t>Determina el marco general del plan</t>
  </si>
  <si>
    <t>Semana del mesociclo</t>
  </si>
  <si>
    <t>Objetivo principal</t>
  </si>
  <si>
    <t>Rendimiento</t>
  </si>
  <si>
    <t>Próxima competencia</t>
  </si>
  <si>
    <t>2026-09-12</t>
  </si>
  <si>
    <t>Semanas hasta la competencia</t>
  </si>
  <si>
    <t>Profesional responsable</t>
  </si>
  <si>
    <t>Fecha del plan</t>
  </si>
  <si>
    <t>REFERENCIAS DIARIAS FIJAS</t>
  </si>
  <si>
    <t>Proteína mínima (g/día)</t>
  </si>
  <si>
    <t>Proteína máxima (g/día)</t>
  </si>
  <si>
    <t>Lípidos mínimos (g/día)</t>
  </si>
  <si>
    <t>Proteína objetivo del plan (g/día)</t>
  </si>
  <si>
    <t>Elija un valor dentro del rango: se mantiene CONSTANTE toda la semana</t>
  </si>
  <si>
    <t>La proteína se mantiene CONSTANTE todos los días, incluidos los de descanso: lo que se periodiza son los carbohidratos, no la proteína. Los lípidos completan la energía restante y no deben bajar del mínimo, porque sostienen la función hormonal.</t>
  </si>
  <si>
    <t>Microciclo · la semana de entrenamiento</t>
  </si>
  <si>
    <t>SESIONES DE LA SEMANA</t>
  </si>
  <si>
    <t>Día</t>
  </si>
  <si>
    <t>Tipo de sesión</t>
  </si>
  <si>
    <t>Duración (min)</t>
  </si>
  <si>
    <t>Momento del día</t>
  </si>
  <si>
    <t>Descripción del trabajo</t>
  </si>
  <si>
    <t>Horas hasta la sesión siguiente</t>
  </si>
  <si>
    <t>Disponibilidad prevista</t>
  </si>
  <si>
    <t>Lunes</t>
  </si>
  <si>
    <t>Descanso</t>
  </si>
  <si>
    <t>Descanso completo</t>
  </si>
  <si>
    <t>Martes</t>
  </si>
  <si>
    <t>Alta intensidad o intervalos</t>
  </si>
  <si>
    <t>Tarde</t>
  </si>
  <si>
    <t>6 × 5 min en umbral</t>
  </si>
  <si>
    <t>Miércoles</t>
  </si>
  <si>
    <t>Suave o regenerativa</t>
  </si>
  <si>
    <t>Mañana</t>
  </si>
  <si>
    <t>Rodaje en zona 2</t>
  </si>
  <si>
    <t>Jueves</t>
  </si>
  <si>
    <t>Bloques de fuerza-resistencia</t>
  </si>
  <si>
    <t>Viernes</t>
  </si>
  <si>
    <t>Activación previa al fondo</t>
  </si>
  <si>
    <t>Sábado</t>
  </si>
  <si>
    <t>Larga o fondo</t>
  </si>
  <si>
    <t>Salida larga con ritmo variable</t>
  </si>
  <si>
    <t>Domingo</t>
  </si>
  <si>
    <t>Moderada</t>
  </si>
  <si>
    <t>Rodaje sostenido</t>
  </si>
  <si>
    <t>TOTAL SEMANAL</t>
  </si>
  <si>
    <t>CONTROL DE LA CARGA</t>
  </si>
  <si>
    <t>Horas de entrenamiento en la semana</t>
  </si>
  <si>
    <t>Número de sesiones</t>
  </si>
  <si>
    <t>Sesiones con disponibilidad reducida</t>
  </si>
  <si>
    <t>Proporción de sesiones con disponibilidad reducida</t>
  </si>
  <si>
    <t>Lectura de la distribución</t>
  </si>
  <si>
    <t>Entrenar con disponibilidad reducida es una herramienta, no una meta: se aplica a una fracción de las sesiones y nunca a las de mayor calidad, que son las que definen la adaptación al rendimiento. Si la proporción se dispara, lo que se obtiene no es adaptación sino fatiga.</t>
  </si>
  <si>
    <t>Periodización de carbohidratos · combustible para el trabajo requerido</t>
  </si>
  <si>
    <t>PLAN DIARIO DE MACRONUTRIENTES</t>
  </si>
  <si>
    <t>Min</t>
  </si>
  <si>
    <t>CHO g/kg mín</t>
  </si>
  <si>
    <t>CHO g/kg máx</t>
  </si>
  <si>
    <t>CHO g/día mín</t>
  </si>
  <si>
    <t>CHO g/día máx</t>
  </si>
  <si>
    <t>Proteína g/día</t>
  </si>
  <si>
    <t>Lípidos g/día mín</t>
  </si>
  <si>
    <t>Energía mín (kcal)</t>
  </si>
  <si>
    <t>Energía máx (kcal)</t>
  </si>
  <si>
    <t>Nivel del día</t>
  </si>
  <si>
    <t>TOTAL DE LA SEMANA</t>
  </si>
  <si>
    <t>PROMEDIO DIARIO</t>
  </si>
  <si>
    <t>CONTRASTE ENTRE EL DÍA MÁS EXIGENTE Y EL MÁS SUAVE</t>
  </si>
  <si>
    <t>Mayor carbohidrato del microciclo (g)</t>
  </si>
  <si>
    <t>Menor carbohidrato del microciclo (g)</t>
  </si>
  <si>
    <t>Razón entre ambos extremos</t>
  </si>
  <si>
    <t>Lectura de la periodización</t>
  </si>
  <si>
    <t>Los carbohidratos se periodizan; la proteína NO. Por eso la columna de proteína repite el mismo valor todos los días, incluido el de descanso. Los lípidos aparecen como mínimo a respetar, no como objetivo: completan la energía que falte una vez fijados carbohidratos y proteína.</t>
  </si>
  <si>
    <t>La energía que muestra este plan es la que se deriva de los gramajes, no una meta calórica prescrita. Si el objetivo incluye cambio de composición corporal, el ajuste se hace en los días de menor demanda y nunca recortando el combustible de las sesiones de calidad.</t>
  </si>
  <si>
    <t>Distribución en torno a la sesión · antes, durante y después</t>
  </si>
  <si>
    <t>PAUTA POR SESIÓN</t>
  </si>
  <si>
    <t>ANTES · g de CHO (1 a 4 h antes)</t>
  </si>
  <si>
    <t>DURANTE · g por hora</t>
  </si>
  <si>
    <t>DURANTE · total de la sesión</t>
  </si>
  <si>
    <t>DESPUÉS · ventana rápida</t>
  </si>
  <si>
    <t>Proteína tras la sesión (g)</t>
  </si>
  <si>
    <t>Nota operativa</t>
  </si>
  <si>
    <t>g/h máx (auxiliar)</t>
  </si>
  <si>
    <t>Día sin sesión: mantenga proteína y no compense con exceso de carbohidrato.</t>
  </si>
  <si>
    <t>Sesión de calidad: no debe realizarse con disponibilidad reducida.</t>
  </si>
  <si>
    <t>Candidata a disponibilidad reducida si el objetivo es adaptativo.</t>
  </si>
  <si>
    <t>Sesión de calidad: llegue con reservas completas.</t>
  </si>
  <si>
    <t>Activación previa al fondo: aporte ligero.</t>
  </si>
  <si>
    <t>Sesión más larga: entrene también la tolerancia digestiva al aporte durante.</t>
  </si>
  <si>
    <t>Sesión moderada: aporte durante si supera los 60 minutos.</t>
  </si>
  <si>
    <t>TOTALES DE APORTE DURANTE LAS SESIONES</t>
  </si>
  <si>
    <t>Carbohidrato a consumir durante las sesiones en la semana (g)</t>
  </si>
  <si>
    <t>Sesión de mayor aporte durante (g)</t>
  </si>
  <si>
    <t>Aporte por hora más alto de la semana (g/h)</t>
  </si>
  <si>
    <t>Tolerancia digestiva</t>
  </si>
  <si>
    <t>El aporte durante la sesión NO se resta del total diario: forma parte de él. Las cifras por hora son rangos de referencia y dependen de la tolerancia individual, que se entrena. Nunca estrene en competencia una estrategia que no haya probado antes en entrenamiento.</t>
  </si>
  <si>
    <t>La ventana de recuperación rápida solo es determinante cuando la próxima sesión ocurre en menos de ocho horas. Con intervalos mayores, la recuperación se resuelve con las comidas habituales del día y no requiere una ventana estrecha.</t>
  </si>
  <si>
    <t>Tablero del microciclo · lectura rápida del plan</t>
  </si>
  <si>
    <t>INDICADORES DE LA SEMANA</t>
  </si>
  <si>
    <t>HORAS DE ENTRENAMIENTO</t>
  </si>
  <si>
    <t>SESIONES</t>
  </si>
  <si>
    <t>CARBOHIDRATO SEMANAL</t>
  </si>
  <si>
    <t>RAZÓN ALTO / BAJO</t>
  </si>
  <si>
    <t>horas en la semana</t>
  </si>
  <si>
    <t>sesiones programadas</t>
  </si>
  <si>
    <t>gramos · límite superior</t>
  </si>
  <si>
    <t>gramos de CHO al día</t>
  </si>
  <si>
    <t>veces entre extremos</t>
  </si>
  <si>
    <t>PROTEÍNA DIARIA</t>
  </si>
  <si>
    <t>ENERGÍA SEMANAL</t>
  </si>
  <si>
    <t>DISPONIBILIDAD REDUCIDA</t>
  </si>
  <si>
    <t>APORTE DURANTE</t>
  </si>
  <si>
    <t>SEMANAS A COMPETIR</t>
  </si>
  <si>
    <t>gramos constantes</t>
  </si>
  <si>
    <t>kcal · límite superior</t>
  </si>
  <si>
    <t>proporción de sesiones</t>
  </si>
  <si>
    <t>gramos en la semana</t>
  </si>
  <si>
    <t>semanas restantes</t>
  </si>
  <si>
    <t>CARBOHIDRATO POR DÍA · el perfil que define la periodización</t>
  </si>
  <si>
    <t>CHO mínimo (g)</t>
  </si>
  <si>
    <t>CHO máximo (g)</t>
  </si>
  <si>
    <t>Minutos</t>
  </si>
  <si>
    <t>Nivel</t>
  </si>
  <si>
    <t>CARGA FRENTE A COMBUSTIBLE · deben moverse juntas</t>
  </si>
  <si>
    <t>Minutos de sesión</t>
  </si>
  <si>
    <t>LECTURA DEL TABLERO</t>
  </si>
  <si>
    <t>Coherencia entre carga y combustible</t>
  </si>
  <si>
    <t>Distribución de sesiones</t>
  </si>
  <si>
    <t>Este tablero resume el PLAN, no lo ejecutado. Para comparar plan contra realidad utilice un registro de ingesta y el módulo de evaluación dietética que corresponda.</t>
  </si>
  <si>
    <t>Plan para entregar al deportista</t>
  </si>
  <si>
    <t>ENCABEZADO DEL PLAN</t>
  </si>
  <si>
    <t>Deportista</t>
  </si>
  <si>
    <t>Peso de referencia (kg)</t>
  </si>
  <si>
    <t>QUÉ COMER CADA DÍA</t>
  </si>
  <si>
    <t>Sesión</t>
  </si>
  <si>
    <t>Duración</t>
  </si>
  <si>
    <t>Carbohidrato del día</t>
  </si>
  <si>
    <t>Proteína</t>
  </si>
  <si>
    <t>Antes de entrenar</t>
  </si>
  <si>
    <t>Durante</t>
  </si>
  <si>
    <t>Después</t>
  </si>
  <si>
    <t>INDICACIONES GENERALES</t>
  </si>
  <si>
    <t>La proteína se mantiene igual todos los días, incluido el de descanso.</t>
  </si>
  <si>
    <t>Los días exigentes llevan más carbohidrato: no recorte el combustible de una sesión de calidad.</t>
  </si>
  <si>
    <t>El ajuste de energía, si lo hay, se hace en los días suaves y de descanso.</t>
  </si>
  <si>
    <t>Lo que come durante la sesión forma parte del total del día, no se suma aparte.</t>
  </si>
  <si>
    <t>Pruebe en entrenamiento cualquier estrategia antes de usarla en competencia.</t>
  </si>
  <si>
    <t>Si una sesión se mueve o se cancela, avise: el plan del día cambia con ella.</t>
  </si>
  <si>
    <t>ESPACIO PARA OBSERVACIONES DEL PROFESIONAL</t>
  </si>
  <si>
    <t>Ajustes acordados con el deportista</t>
  </si>
  <si>
    <t>Señales de alerta a vigilar</t>
  </si>
  <si>
    <t>Fecha del próximo control</t>
  </si>
  <si>
    <t>Este plan expresa rangos de referencia por kilo de peso, no una prescripción individual cerrada. La tolerancia digestiva, la disponibilidad de alimentos, los horarios reales y la respuesta de la persona obligan a ajustarlo. No sustituye la evaluación nutricional que lo fundamenta ni el seguimiento profesional.</t>
  </si>
  <si>
    <t>Evidencia, referencias y trazabilidad</t>
  </si>
  <si>
    <t>MARCO CONCEPTUAL Y REFERENCIAS</t>
  </si>
  <si>
    <t>Elemento</t>
  </si>
  <si>
    <t>Referencia y alcance</t>
  </si>
  <si>
    <t>Combustible para el trabajo requerido</t>
  </si>
  <si>
    <t>Impey SG, Hearris MA, Hammond KM, Bartlett JD, Louis J, Close GL, Morton JP. «Fuel for the work required: a theoretical framework for carbohydrate periodization and the glycogen threshold hypothesis». Sports Medicine, 2018; 48(5): 1031-1048. DOI 10.1007/s40279-018-0867-7. Propone ajustar la disponibilidad de carbohidratos a la demanda de la sesión siguiente y plantea la hipótesis del umbral de glucógeno.</t>
  </si>
  <si>
    <t>Periodización nutricional</t>
  </si>
  <si>
    <t>Jeukendrup AE. «Periodized Nutrition for Athletes». Sports Medicine, 2017; 47(Supl 1): 51-63. Formaliza la idea de que la nutrición debe planificarse con la misma lógica con que se planifica el entrenamiento, en lugar de mantener una dieta fija durante toda la temporada.</t>
  </si>
  <si>
    <t>Secuencia de la periodización</t>
  </si>
  <si>
    <t>Stellingwerff T, Morton JP, Burke LM proponen alinear la estrategia en tres escalas: macrociclo por fases de la temporada, mesociclo por semanas y microciclo por sesión. Este libro trabaja en la escala del MICROCICLO.</t>
  </si>
  <si>
    <t>La literatura sobre entrenamiento con baja disponibilidad sitúa entre el 30% y el 50% de las sesiones como rango en que se han observado señales adaptativas sin comprometer la calidad del entrenamiento. Es un rango orientador y editable en CONFIG, no una regla.</t>
  </si>
  <si>
    <t>Carbohidrato durante el ejercicio</t>
  </si>
  <si>
    <t>Referencias de consenso ampliamente difundidas: sesiones bajo 60 a 75 minutos no requieren aporte; entre 1 y 3 horas, del orden de 30 a 60 gramos por hora; en intensidad sostenida sobre 2 a 3 horas se describen aportes mayores, que exigen entrenamiento previo de la tolerancia digestiva.</t>
  </si>
  <si>
    <t>Carbohidrato antes de la sesión</t>
  </si>
  <si>
    <t>El rango de 1 a 4 gramos por kilo entre 1 y 4 horas antes proviene del documento de posición conjunto de la Academy of Nutrition and Dietetics, Dietitians of Canada y el American College of Sports Medicine sobre nutrición y rendimiento deportivo.</t>
  </si>
  <si>
    <t>Se mantiene constante entre 1,6 y 2,2 gramos por kilo al día con independencia de la carga. Lo que se periodiza son los carbohidratos. Referencia: documento de posición de la International Society of Sports Nutrition sobre proteína y ejercicio, Jäger R y cols., 2017.</t>
  </si>
  <si>
    <t>Comparación con la restricción crónica</t>
  </si>
  <si>
    <t>Burke LM y Hawley JA discuten en Science, 2018; 362(6416): 781-787, por qué la estrategia de disponibilidad permanentemente alta y la restricción crónica de carbohidratos resultan ambas subóptimas frente a un enfoque periodizado.</t>
  </si>
  <si>
    <t>Qué NO hace este libro</t>
  </si>
  <si>
    <t>No estima el gasto energético de las sesiones; no prescribe una meta calórica; no reemplaza la evaluación nutricional que fundamenta el plan; no evalúa la ingesta realmente consumida; no está validado clínicamente.</t>
  </si>
  <si>
    <t>Advertencia sobre las fuentes</t>
  </si>
  <si>
    <t>Las cifras precargadas son rangos de referencia poblacionales tomados de literatura de consenso, EDITABLES en CONFIG. No provienen de una guía clínica única ni constituyen una prescripción individual. Verifique los criterios vigentes que usted aplica en su práctica.</t>
  </si>
  <si>
    <t>La periodización nutricional es un marco de planificación, no una garantía de resultado. Su eficacia depende de que el entrenamiento efectivamente ocurra como está planificado y de que la persona tolere y sostenga la estrategia. Un plan que no se puede cumplir no es mejor que una dieta fija.</t>
  </si>
  <si>
    <t>Control de calidad del motor de cálculo</t>
  </si>
  <si>
    <t>Los valores esperados se calcularon de forma independiente del motor del libro (verificación externa).</t>
  </si>
  <si>
    <t>Bloque</t>
  </si>
  <si>
    <t>Descripción de la prueba</t>
  </si>
  <si>
    <t>Obtenido</t>
  </si>
  <si>
    <t>Esperado</t>
  </si>
  <si>
    <t>Estado</t>
  </si>
  <si>
    <t>A</t>
  </si>
  <si>
    <t>Horas de entrenamiento de la semana</t>
  </si>
  <si>
    <t>Número de sesiones programadas</t>
  </si>
  <si>
    <t>La proporción queda dentro del rango recomendado</t>
  </si>
  <si>
    <t>DENTRO</t>
  </si>
  <si>
    <t>B</t>
  </si>
  <si>
    <t>Lunes · descanso · carbohidrato mínimo (3 g/kg × 70)</t>
  </si>
  <si>
    <t>Lunes · descanso · carbohidrato máximo (5 g/kg × 70)</t>
  </si>
  <si>
    <t>Martes · alta intensidad · máximo (10 g/kg × 70)</t>
  </si>
  <si>
    <t>Sábado · fondo · máximo (12 g/kg × 70)</t>
  </si>
  <si>
    <t>Domingo · moderada · mínimo (5 g/kg × 70)</t>
  </si>
  <si>
    <t>C</t>
  </si>
  <si>
    <t>Carbohidrato semanal · límite inferior</t>
  </si>
  <si>
    <t>Carbohidrato semanal · límite superior</t>
  </si>
  <si>
    <t>Promedio diario · límite superior</t>
  </si>
  <si>
    <t>Proteína semanal (126 g × 7 días)</t>
  </si>
  <si>
    <t>D</t>
  </si>
  <si>
    <t>La proteína del día de descanso es igual a la del día de fondo</t>
  </si>
  <si>
    <t>Razón entre el día más alto y el más bajo</t>
  </si>
  <si>
    <t>La periodización se evalúa como coherente</t>
  </si>
  <si>
    <t>COHERENTE</t>
  </si>
  <si>
    <t>E</t>
  </si>
  <si>
    <t>Sábado · aporte durante la sesión (90 g/h × 3 h)</t>
  </si>
  <si>
    <t>Martes · aporte durante la sesión (60 g/h × 1,25 h)</t>
  </si>
  <si>
    <t>Lunes · sin sesión, sin aporte durante</t>
  </si>
  <si>
    <t>Carbohidrato total a consumir durante las sesiones</t>
  </si>
  <si>
    <t>Aporte por hora más alto de la semana</t>
  </si>
  <si>
    <t>F</t>
  </si>
  <si>
    <t>Martes · carbohidrato antes de la sesión (3 g/kg × 70)</t>
  </si>
  <si>
    <t>Sábado · proteína tras la sesión (0,3 g/kg × 70)</t>
  </si>
  <si>
    <t>G</t>
  </si>
  <si>
    <t>Nivel asignado al día de fondo</t>
  </si>
  <si>
    <t>ALTO</t>
  </si>
  <si>
    <t>Nivel asignado al día de descanso</t>
  </si>
  <si>
    <t>BAJO</t>
  </si>
  <si>
    <t>Nivel asignado al día moderado</t>
  </si>
  <si>
    <t>MEDIO</t>
  </si>
  <si>
    <t>H</t>
  </si>
  <si>
    <t>Un valor ausente NO se interpreta como cero</t>
  </si>
  <si>
    <t>ND</t>
  </si>
  <si>
    <t>RESUMEN</t>
  </si>
  <si>
    <t>Pruebas aprobadas</t>
  </si>
  <si>
    <t>Configuración · combustible por tipo de sesión</t>
  </si>
  <si>
    <t>CARBOHIDRATOS SEGÚN LA DEMANDA DE LA SESIÓN (gramos por kilo de peso al día)</t>
  </si>
  <si>
    <t>CHO mínimo (g/kg)</t>
  </si>
  <si>
    <t>CHO máximo (g/kg)</t>
  </si>
  <si>
    <t>Durante · mínimo (g/h)</t>
  </si>
  <si>
    <t>Durante · máximo (g/h)</t>
  </si>
  <si>
    <t>Antes de la sesión (g/kg)</t>
  </si>
  <si>
    <t>Disponibilidad</t>
  </si>
  <si>
    <t>Reducida</t>
  </si>
  <si>
    <t>Media</t>
  </si>
  <si>
    <t>Alta</t>
  </si>
  <si>
    <t>Competencia</t>
  </si>
  <si>
    <t>Principio rector: alimentar el trabajo que se va a realizar. La ingesta de carbohidratos se ajusta a la demanda de CADA sesión en lugar de mantener una cifra fija todos los días. Nunca se subalimenta la sesión exigente: el margen se toma de los días suaves y de descanso.</t>
  </si>
  <si>
    <t>OTRAS CONSTANTES DEL PLAN</t>
  </si>
  <si>
    <t>Proteína · mínimo diario</t>
  </si>
  <si>
    <t>g/kg</t>
  </si>
  <si>
    <t>Proteína · máximo diario</t>
  </si>
  <si>
    <t>Lípidos · mínimo diario</t>
  </si>
  <si>
    <t>Recuperación rápida · CHO por hora las primeras 4 horas</t>
  </si>
  <si>
    <t>g/kg/h</t>
  </si>
  <si>
    <t>Horas bajo las cuales se aplica recuperación rápida</t>
  </si>
  <si>
    <t>horas</t>
  </si>
  <si>
    <t>Sesiones con disponibilidad reducida · proporción mínima</t>
  </si>
  <si>
    <t>%</t>
  </si>
  <si>
    <t>Sesiones con disponibilidad reducida · proporción máxima</t>
  </si>
  <si>
    <t>Energía por gramo de proteína</t>
  </si>
  <si>
    <t>kcal/g</t>
  </si>
  <si>
    <t>Energía por gramo de carbohidrato</t>
  </si>
  <si>
    <t>Energía por gramo de lípidos</t>
  </si>
  <si>
    <t>Tolerancia de las pruebas</t>
  </si>
  <si>
    <t>±</t>
  </si>
  <si>
    <t>LISTAS DESPLEGABLES</t>
  </si>
  <si>
    <t>DIA</t>
  </si>
  <si>
    <t>FASE</t>
  </si>
  <si>
    <t>SI</t>
  </si>
  <si>
    <t>MOMENTO</t>
  </si>
  <si>
    <t>OBJETIVO</t>
  </si>
  <si>
    <t>Base o acumulación</t>
  </si>
  <si>
    <t>No</t>
  </si>
  <si>
    <t>Mediodía</t>
  </si>
  <si>
    <t>Composición corporal</t>
  </si>
  <si>
    <t>Específica o competitiva</t>
  </si>
  <si>
    <t>Recuperación</t>
  </si>
  <si>
    <t>Afinamiento</t>
  </si>
  <si>
    <t>Noche</t>
  </si>
  <si>
    <t>Mantención</t>
  </si>
  <si>
    <t>Transición</t>
  </si>
  <si>
    <t>Historial de versiones</t>
  </si>
  <si>
    <t>Cambio</t>
  </si>
  <si>
    <t>Versión inicial de NMX-11: planificador que integra el microciclo de entrenamiento con la periodización de carbohidratos, la distribución en torno a la sesión y un tablero visual.</t>
  </si>
  <si>
    <t>Fase 6 · Planificación.</t>
  </si>
  <si>
    <t>Motor de combustible por tipo de sesión: cada día recibe su rango de carbohidratos según la demanda de la sesión programada.</t>
  </si>
  <si>
    <t>Aplicar el principio de alimentar el trabajo requerido en lugar de una dieta fija.</t>
  </si>
  <si>
    <t>La proteína se mantiene constante todos los días y los lípidos se expresan como mínimo.</t>
  </si>
  <si>
    <t>Solo los carbohidratos se periodizan; la proteína no.</t>
  </si>
  <si>
    <t>Control de la proporción de sesiones con disponibilidad reducida, con lectura automática frente al rango de referencia.</t>
  </si>
  <si>
    <t>Evitar que una herramienta adaptativa se convierta en subalimentación crónica.</t>
  </si>
  <si>
    <t>Tablero PANEL con tarjetas de indicadores y dos gráficos: carbohidrato por día y carga frente a combustible.</t>
  </si>
  <si>
    <t>Hacer visible de un vistazo si la ingesta acompaña la forma de la carga.</t>
  </si>
  <si>
    <t>Hoja RESUMEN imprimible en horizontal, redactada para entregar al deportista.</t>
  </si>
  <si>
    <t>Separar el instrumento de trabajo del profesional de lo que recibe la persona.</t>
  </si>
  <si>
    <t>Referencias actualizadas mediante búsqueda en línea: Impey 2018, Jeukendrup 2017, Burke y Hawley 2018.</t>
  </si>
  <si>
    <t>Verificar que el marco y las cifras siguen vigentes.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</si>
</sst>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3">
    <font>
      <sz val="11"/>
      <color theme="1"/>
      <name val="Calibri"/>
      <family val="2"/>
      <scheme val="minor"/>
    </font>
    <font>
      <b/>
      <sz val="20"/>
      <color rgb="FFFFFFFF"/>
      <name val="Arial"/>
      <family val="2"/>
    </font>
    <font>
      <b/>
      <sz val="14"/>
      <color rgb="FFFFFFFF"/>
      <name val="Arial"/>
      <family val="2"/>
    </font>
    <font>
      <b/>
      <sz val="10"/>
      <color rgb="FFFFFFFF"/>
      <name val="Aptos"/>
    </font>
    <font>
      <b/>
      <sz val="11"/>
      <color rgb="FFFFFFFF"/>
      <name val="Arial"/>
      <family val="2"/>
    </font>
    <font>
      <b/>
      <sz val="10"/>
      <color rgb="FFFFFFFF"/>
      <name val="Arial"/>
      <family val="2"/>
    </font>
    <font>
      <sz val="10"/>
      <color rgb="FF1A1A1A"/>
      <name val="Arial"/>
      <family val="2"/>
    </font>
    <font>
      <b/>
      <sz val="10"/>
      <color rgb="FF0000CC"/>
      <name val="Arial"/>
      <family val="2"/>
    </font>
    <font>
      <b/>
      <sz val="10"/>
      <color rgb="FF1C6B72"/>
      <name val="Arial"/>
      <family val="2"/>
    </font>
    <font>
      <b/>
      <sz val="10"/>
      <color rgb="FF1A1A1A"/>
      <name val="Arial"/>
      <family val="2"/>
    </font>
    <font>
      <sz val="9"/>
      <color rgb="FF5A6B70"/>
      <name val="Arial"/>
      <family val="2"/>
    </font>
    <font>
      <b/>
      <sz val="11"/>
      <color rgb="FF1A1A1A"/>
      <name val="Arial"/>
      <family val="2"/>
    </font>
    <font>
      <b/>
      <sz val="11"/>
      <color rgb="FF0000CC"/>
      <name val="Arial"/>
      <family val="2"/>
    </font>
    <font>
      <b/>
      <sz val="10"/>
      <color rgb="FFB45309"/>
      <name val="Arial"/>
      <family val="2"/>
    </font>
    <font>
      <sz val="9"/>
      <color rgb="FF1A1A1A"/>
      <name val="Arial"/>
      <family val="2"/>
    </font>
    <font>
      <b/>
      <sz val="24"/>
      <color rgb="FF1C6B72"/>
      <name val="Arial"/>
      <family val="2"/>
    </font>
    <font>
      <b/>
      <sz val="24"/>
      <color rgb="FF17324D"/>
      <name val="Arial"/>
      <family val="2"/>
    </font>
    <font>
      <b/>
      <sz val="24"/>
      <color rgb="FF155E6C"/>
      <name val="Arial"/>
      <family val="2"/>
    </font>
    <font>
      <b/>
      <sz val="24"/>
      <color rgb="FFB45309"/>
      <name val="Arial"/>
      <family val="2"/>
    </font>
    <font>
      <b/>
      <sz val="12"/>
      <color rgb="FF1A1A1A"/>
      <name val="Arial"/>
      <family val="2"/>
    </font>
    <font>
      <b/>
      <sz val="9"/>
      <color rgb="FF1A1A1A"/>
      <name val="Arial"/>
      <family val="2"/>
    </font>
    <font>
      <sz val="11"/>
      <color rgb="FF155E6C"/>
      <name val="Aptos"/>
    </font>
    <font>
      <b/>
      <sz val="10"/>
      <color rgb="FF155E6C"/>
      <name val="Arial"/>
      <family val="2"/>
    </font>
    <font>
      <b/>
      <sz val="12"/>
      <color rgb="FFB45309"/>
      <name val="Arial"/>
      <family val="2"/>
    </font>
    <font>
      <sz val="12"/>
      <color theme="1"/>
      <name val="Calibri"/>
      <family val="2"/>
      <scheme val="minor"/>
    </font>
    <font>
      <b/>
      <sz val="16"/>
      <color rgb="FF1A1A1A"/>
      <name val="Arial"/>
      <family val="2"/>
    </font>
    <font>
      <sz val="16"/>
      <color theme="1"/>
      <name val="Calibri"/>
      <family val="2"/>
      <scheme val="minor"/>
    </font>
    <font>
      <b/>
      <sz val="12"/>
      <color rgb="FFFFFFFF"/>
      <name val="Arial"/>
      <family val="2"/>
    </font>
    <font>
      <sz val="13"/>
      <color rgb="FF5A6B70"/>
      <name val="Arial"/>
      <family val="2"/>
    </font>
    <font>
      <sz val="13"/>
      <color theme="1"/>
      <name val="Calibri"/>
      <family val="2"/>
      <scheme val="minor"/>
    </font>
    <font>
      <b/>
      <sz val="16"/>
      <color rgb="FFFFFFFF"/>
      <name val="Arial"/>
      <family val="2"/>
    </font>
    <font>
      <b/>
      <sz val="14"/>
      <color rgb="FFFFFFFF"/>
      <name val="Aptos"/>
    </font>
    <font>
      <b/>
      <sz val="11"/>
      <color rgb="FFB45309"/>
      <name val="Arial"/>
      <family val="2"/>
    </font>
    <font>
      <sz val="10"/>
      <color theme="1"/>
      <name val="Calibri"/>
      <family val="2"/>
      <scheme val="minor"/>
    </font>
    <font>
      <b/>
      <i/>
      <sz val="11"/>
      <color rgb="FF1A1A1A"/>
      <name val="Arial"/>
      <family val="2"/>
    </font>
    <font>
      <sz val="10"/>
      <color rgb="FF5A6B70"/>
      <name val="Arial"/>
      <family val="2"/>
    </font>
    <font>
      <sz val="11"/>
      <color rgb="FF1A1A1A"/>
      <name val="Arial"/>
      <family val="2"/>
    </font>
    <font>
      <b/>
      <i/>
      <sz val="12"/>
      <color rgb="FF1A1A1A"/>
      <name val="Arial"/>
      <family val="2"/>
    </font>
    <font>
      <b/>
      <sz val="14"/>
      <color rgb="FFB45309"/>
      <name val="Arial"/>
      <family val="2"/>
    </font>
    <font>
      <sz val="14"/>
      <color theme="1"/>
      <name val="Calibri"/>
      <family val="2"/>
      <scheme val="minor"/>
    </font>
    <font>
      <b/>
      <i/>
      <sz val="14"/>
      <color rgb="FF1A1A1A"/>
      <name val="Arial"/>
      <family val="2"/>
    </font>
    <font>
      <b/>
      <i/>
      <sz val="14"/>
      <color theme="1"/>
      <name val="Calibri"/>
      <family val="2"/>
      <scheme val="minor"/>
    </font>
    <font>
      <sz val="14"/>
      <color rgb="FF1A1A1A"/>
      <name val="Arial"/>
      <family val="2"/>
    </font>
  </fonts>
  <fills count="14">
    <fill>
      <patternFill patternType="none"/>
    </fill>
    <fill>
      <patternFill patternType="gray125"/>
    </fill>
    <fill>
      <patternFill patternType="solid">
        <fgColor rgb="FF0F3B44"/>
      </patternFill>
    </fill>
    <fill>
      <patternFill patternType="solid">
        <fgColor rgb="FF1C6B72"/>
      </patternFill>
    </fill>
    <fill>
      <patternFill patternType="solid">
        <fgColor rgb="FF17324D"/>
      </patternFill>
    </fill>
    <fill>
      <patternFill patternType="solid">
        <fgColor rgb="FFF4F6F7"/>
      </patternFill>
    </fill>
    <fill>
      <patternFill patternType="solid">
        <fgColor rgb="FFFCEFCE"/>
      </patternFill>
    </fill>
    <fill>
      <patternFill patternType="solid">
        <fgColor rgb="FFDCEFF1"/>
      </patternFill>
    </fill>
    <fill>
      <patternFill patternType="solid">
        <fgColor rgb="FFFBE4D5"/>
      </patternFill>
    </fill>
    <fill>
      <patternFill patternType="solid">
        <fgColor rgb="FFE7E0F5"/>
      </patternFill>
    </fill>
    <fill>
      <patternFill patternType="solid">
        <fgColor rgb="FFDFF0E3"/>
      </patternFill>
    </fill>
    <fill>
      <patternFill patternType="solid">
        <fgColor rgb="FFFFFFFF"/>
      </patternFill>
    </fill>
    <fill>
      <patternFill patternType="solid">
        <fgColor rgb="FF155E6C"/>
      </patternFill>
    </fill>
    <fill>
      <patternFill patternType="solid">
        <fgColor rgb="FFB45309"/>
      </patternFill>
    </fill>
  </fills>
  <borders count="13">
    <border>
      <left/>
      <right/>
      <top/>
      <bottom/>
      <diagonal/>
    </border>
    <border>
      <left style="thin">
        <color rgb="FFB7C7CB"/>
      </left>
      <right style="thin">
        <color rgb="FFB7C7CB"/>
      </right>
      <top style="thin">
        <color rgb="FFB7C7CB"/>
      </top>
      <bottom style="thin">
        <color rgb="FFB7C7CB"/>
      </bottom>
      <diagonal/>
    </border>
    <border>
      <left/>
      <right/>
      <top style="thin">
        <color rgb="FFB7C7CB"/>
      </top>
      <bottom/>
      <diagonal/>
    </border>
    <border>
      <left/>
      <right style="thin">
        <color rgb="FFB7C7CB"/>
      </right>
      <top style="thin">
        <color rgb="FFB7C7CB"/>
      </top>
      <bottom/>
      <diagonal/>
    </border>
    <border>
      <left/>
      <right style="thin">
        <color rgb="FFB7C7CB"/>
      </right>
      <top style="thin">
        <color rgb="FFB7C7CB"/>
      </top>
      <bottom style="thin">
        <color rgb="FFB7C7CB"/>
      </bottom>
      <diagonal/>
    </border>
    <border>
      <left/>
      <right/>
      <top style="thin">
        <color rgb="FFB7C7CB"/>
      </top>
      <bottom style="thin">
        <color rgb="FFB7C7CB"/>
      </bottom>
      <diagonal/>
    </border>
    <border>
      <left style="thin">
        <color rgb="FFB7C7CB"/>
      </left>
      <right/>
      <top/>
      <bottom/>
      <diagonal/>
    </border>
    <border>
      <left/>
      <right style="thin">
        <color rgb="FFB7C7CB"/>
      </right>
      <top/>
      <bottom/>
      <diagonal/>
    </border>
    <border>
      <left style="thin">
        <color rgb="FFB7C7CB"/>
      </left>
      <right/>
      <top/>
      <bottom style="thin">
        <color rgb="FFB7C7CB"/>
      </bottom>
      <diagonal/>
    </border>
    <border>
      <left/>
      <right/>
      <top/>
      <bottom style="thin">
        <color rgb="FFB7C7CB"/>
      </bottom>
      <diagonal/>
    </border>
    <border>
      <left/>
      <right style="thin">
        <color rgb="FFB7C7CB"/>
      </right>
      <top/>
      <bottom style="thin">
        <color rgb="FFB7C7CB"/>
      </bottom>
      <diagonal/>
    </border>
    <border>
      <left style="thin">
        <color rgb="FFB7C7CB"/>
      </left>
      <right/>
      <top style="thin">
        <color rgb="FFB7C7CB"/>
      </top>
      <bottom/>
      <diagonal/>
    </border>
    <border>
      <left style="thin">
        <color rgb="FFB7C7CB"/>
      </left>
      <right/>
      <top style="thin">
        <color rgb="FFB7C7CB"/>
      </top>
      <bottom style="thin">
        <color rgb="FFB7C7CB"/>
      </bottom>
      <diagonal/>
    </border>
  </borders>
  <cellStyleXfs count="1">
    <xf numFmtId="0" fontId="0" fillId="0" borderId="0"/>
  </cellStyleXfs>
  <cellXfs count="171">
    <xf numFmtId="0" fontId="0" fillId="0" borderId="0" xfId="0"/>
    <xf numFmtId="0" fontId="5" fillId="3" borderId="1" xfId="0" applyFont="1" applyFill="1" applyBorder="1" applyAlignment="1">
      <alignment horizontal="center" vertical="center" wrapText="1"/>
    </xf>
    <xf numFmtId="0" fontId="6" fillId="5" borderId="1" xfId="0" applyFont="1" applyFill="1" applyBorder="1" applyAlignment="1">
      <alignment horizontal="left" vertical="center"/>
    </xf>
    <xf numFmtId="0" fontId="7" fillId="6" borderId="1" xfId="0" applyFont="1" applyFill="1" applyBorder="1" applyAlignment="1">
      <alignment horizontal="center" vertical="center"/>
    </xf>
    <xf numFmtId="0" fontId="10" fillId="5" borderId="1" xfId="0" applyFont="1" applyFill="1" applyBorder="1" applyAlignment="1">
      <alignment horizontal="center" vertical="center"/>
    </xf>
    <xf numFmtId="9" fontId="7" fillId="6" borderId="1" xfId="0" applyNumberFormat="1" applyFont="1" applyFill="1" applyBorder="1" applyAlignment="1">
      <alignment horizontal="center" vertical="center"/>
    </xf>
    <xf numFmtId="0" fontId="7" fillId="6" borderId="1" xfId="0" applyFont="1" applyFill="1" applyBorder="1" applyAlignment="1">
      <alignment horizontal="left" vertical="center"/>
    </xf>
    <xf numFmtId="1" fontId="11" fillId="10" borderId="1" xfId="0" applyNumberFormat="1" applyFont="1" applyFill="1" applyBorder="1" applyAlignment="1">
      <alignment horizontal="center" vertical="center"/>
    </xf>
    <xf numFmtId="0" fontId="9" fillId="10" borderId="1" xfId="0" applyFont="1" applyFill="1" applyBorder="1" applyAlignment="1">
      <alignment horizontal="center" vertical="center"/>
    </xf>
    <xf numFmtId="0" fontId="6" fillId="9" borderId="1" xfId="0" applyFont="1" applyFill="1" applyBorder="1" applyAlignment="1">
      <alignment horizontal="left" vertical="center"/>
    </xf>
    <xf numFmtId="0" fontId="6" fillId="5" borderId="1" xfId="0" applyFont="1" applyFill="1" applyBorder="1" applyAlignment="1">
      <alignment horizontal="center" vertical="center"/>
    </xf>
    <xf numFmtId="0" fontId="11" fillId="10"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0" fillId="5" borderId="1" xfId="0" applyFont="1" applyFill="1" applyBorder="1" applyAlignment="1">
      <alignment horizontal="left" vertical="top" wrapText="1"/>
    </xf>
    <xf numFmtId="0" fontId="8" fillId="7" borderId="1" xfId="0" applyFont="1" applyFill="1" applyBorder="1" applyAlignment="1">
      <alignment horizontal="center" vertical="center"/>
    </xf>
    <xf numFmtId="0" fontId="5" fillId="3" borderId="1" xfId="0" applyFont="1" applyFill="1" applyBorder="1" applyAlignment="1">
      <alignment horizontal="center" vertical="center"/>
    </xf>
    <xf numFmtId="0" fontId="10" fillId="0" borderId="0" xfId="0" applyFont="1" applyAlignment="1">
      <alignment horizontal="left" vertical="center"/>
    </xf>
    <xf numFmtId="0" fontId="14" fillId="5" borderId="1" xfId="0" applyFont="1" applyFill="1" applyBorder="1" applyAlignment="1">
      <alignment horizontal="center" vertical="center"/>
    </xf>
    <xf numFmtId="0" fontId="14" fillId="5" borderId="1" xfId="0" applyFont="1" applyFill="1" applyBorder="1" applyAlignment="1">
      <alignment horizontal="left" vertical="center"/>
    </xf>
    <xf numFmtId="0" fontId="20" fillId="10"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1" xfId="0" applyFont="1" applyFill="1" applyBorder="1" applyAlignment="1">
      <alignment horizontal="left" vertical="center"/>
    </xf>
    <xf numFmtId="0" fontId="14" fillId="5" borderId="1" xfId="0" applyFont="1" applyFill="1" applyBorder="1" applyAlignment="1">
      <alignment horizontal="center" vertical="top"/>
    </xf>
    <xf numFmtId="1" fontId="23" fillId="8" borderId="1" xfId="0" applyNumberFormat="1" applyFont="1" applyFill="1" applyBorder="1" applyAlignment="1">
      <alignment horizontal="center" vertical="center"/>
    </xf>
    <xf numFmtId="0" fontId="27" fillId="3" borderId="1" xfId="0" applyFont="1" applyFill="1" applyBorder="1" applyAlignment="1">
      <alignment horizontal="center" vertical="center"/>
    </xf>
    <xf numFmtId="0" fontId="11" fillId="9" borderId="1" xfId="0" applyFont="1" applyFill="1" applyBorder="1" applyAlignment="1">
      <alignment horizontal="left" vertical="center"/>
    </xf>
    <xf numFmtId="0" fontId="6" fillId="5" borderId="7" xfId="0" applyFont="1" applyFill="1" applyBorder="1" applyAlignment="1">
      <alignment horizontal="left" vertical="center"/>
    </xf>
    <xf numFmtId="0" fontId="6" fillId="5" borderId="0" xfId="0" applyFont="1" applyFill="1" applyBorder="1" applyAlignment="1">
      <alignment vertical="center"/>
    </xf>
    <xf numFmtId="0" fontId="1" fillId="2" borderId="0" xfId="0" applyFont="1" applyFill="1" applyAlignment="1">
      <alignment horizontal="left" vertical="center"/>
    </xf>
    <xf numFmtId="0" fontId="0" fillId="2" borderId="0" xfId="0" applyFill="1"/>
    <xf numFmtId="0" fontId="21" fillId="7"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11" fillId="9" borderId="1" xfId="0" applyFont="1" applyFill="1" applyBorder="1" applyAlignment="1">
      <alignment horizontal="left" vertical="center"/>
    </xf>
    <xf numFmtId="0" fontId="19" fillId="7" borderId="1" xfId="0" applyFont="1" applyFill="1" applyBorder="1" applyAlignment="1">
      <alignment horizontal="center" vertical="center"/>
    </xf>
    <xf numFmtId="0" fontId="2" fillId="3" borderId="0" xfId="0" applyFont="1" applyFill="1" applyAlignment="1">
      <alignment horizontal="left" vertical="center" wrapText="1"/>
    </xf>
    <xf numFmtId="0" fontId="0" fillId="3" borderId="0" xfId="0" applyFill="1"/>
    <xf numFmtId="0" fontId="4" fillId="3" borderId="1" xfId="0" applyFont="1" applyFill="1" applyBorder="1" applyAlignment="1">
      <alignment horizontal="left" vertical="center"/>
    </xf>
    <xf numFmtId="0" fontId="0" fillId="3" borderId="1" xfId="0" applyFill="1" applyBorder="1"/>
    <xf numFmtId="0" fontId="9" fillId="8" borderId="1" xfId="0" applyFont="1" applyFill="1" applyBorder="1" applyAlignment="1">
      <alignment horizontal="left" vertical="center" wrapText="1"/>
    </xf>
    <xf numFmtId="0" fontId="0" fillId="8" borderId="1" xfId="0" applyFill="1" applyBorder="1"/>
    <xf numFmtId="0" fontId="22" fillId="7" borderId="1" xfId="0" applyFont="1" applyFill="1" applyBorder="1" applyAlignment="1">
      <alignment horizontal="left" vertical="center" wrapText="1"/>
    </xf>
    <xf numFmtId="0" fontId="0" fillId="7" borderId="1" xfId="0" applyFill="1" applyBorder="1"/>
    <xf numFmtId="0" fontId="2" fillId="3" borderId="1" xfId="0" applyFont="1" applyFill="1" applyBorder="1" applyAlignment="1">
      <alignment horizontal="left" vertical="center"/>
    </xf>
    <xf numFmtId="0" fontId="0" fillId="0" borderId="4" xfId="0" applyBorder="1"/>
    <xf numFmtId="0" fontId="7" fillId="6" borderId="1" xfId="0" applyFont="1" applyFill="1" applyBorder="1" applyAlignment="1">
      <alignment horizontal="left" vertical="center" wrapText="1"/>
    </xf>
    <xf numFmtId="0" fontId="0" fillId="0" borderId="5" xfId="0" applyBorder="1"/>
    <xf numFmtId="0" fontId="12" fillId="6" borderId="1" xfId="0" applyFont="1" applyFill="1" applyBorder="1" applyAlignment="1">
      <alignment horizontal="left" vertical="center"/>
    </xf>
    <xf numFmtId="0" fontId="0" fillId="0" borderId="0" xfId="0"/>
    <xf numFmtId="0" fontId="10" fillId="0" borderId="0" xfId="0" applyFont="1" applyAlignment="1">
      <alignment horizontal="left" vertical="center" wrapText="1"/>
    </xf>
    <xf numFmtId="0" fontId="9" fillId="5" borderId="1" xfId="0" applyFont="1" applyFill="1" applyBorder="1" applyAlignment="1">
      <alignment horizontal="left" vertical="center" wrapText="1"/>
    </xf>
    <xf numFmtId="0" fontId="9" fillId="8"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3" fillId="8" borderId="1" xfId="0" applyFont="1" applyFill="1" applyBorder="1" applyAlignment="1">
      <alignment horizontal="left" vertical="center" wrapText="1"/>
    </xf>
    <xf numFmtId="1" fontId="11" fillId="10" borderId="1" xfId="0" applyNumberFormat="1" applyFont="1" applyFill="1" applyBorder="1" applyAlignment="1">
      <alignment horizontal="left" vertical="center"/>
    </xf>
    <xf numFmtId="0" fontId="23" fillId="8" borderId="1" xfId="0" applyFont="1" applyFill="1" applyBorder="1" applyAlignment="1">
      <alignment horizontal="left" vertical="center" wrapText="1"/>
    </xf>
    <xf numFmtId="0" fontId="24" fillId="0" borderId="5" xfId="0" applyFont="1" applyBorder="1"/>
    <xf numFmtId="0" fontId="24" fillId="0" borderId="4" xfId="0" applyFont="1" applyBorder="1"/>
    <xf numFmtId="1" fontId="17" fillId="11" borderId="1" xfId="0" applyNumberFormat="1" applyFont="1" applyFill="1" applyBorder="1" applyAlignment="1">
      <alignment horizontal="center" vertical="center"/>
    </xf>
    <xf numFmtId="0" fontId="30" fillId="3" borderId="1" xfId="0" applyFont="1" applyFill="1" applyBorder="1" applyAlignment="1">
      <alignment horizontal="left" vertical="center"/>
    </xf>
    <xf numFmtId="0" fontId="26" fillId="0" borderId="5" xfId="0" applyFont="1" applyBorder="1"/>
    <xf numFmtId="0" fontId="26" fillId="0" borderId="4" xfId="0" applyFont="1" applyBorder="1"/>
    <xf numFmtId="0" fontId="28" fillId="7" borderId="1" xfId="0" applyFont="1" applyFill="1" applyBorder="1" applyAlignment="1">
      <alignment horizontal="center" vertical="center"/>
    </xf>
    <xf numFmtId="0" fontId="29" fillId="0" borderId="5" xfId="0" applyFont="1" applyBorder="1"/>
    <xf numFmtId="0" fontId="29" fillId="0" borderId="4" xfId="0" applyFont="1" applyBorder="1"/>
    <xf numFmtId="1" fontId="16" fillId="11" borderId="1" xfId="0" applyNumberFormat="1" applyFont="1" applyFill="1" applyBorder="1" applyAlignment="1">
      <alignment horizontal="center" vertical="center"/>
    </xf>
    <xf numFmtId="165" fontId="18" fillId="11" borderId="1" xfId="0" applyNumberFormat="1" applyFont="1" applyFill="1" applyBorder="1" applyAlignment="1">
      <alignment horizontal="center" vertical="center"/>
    </xf>
    <xf numFmtId="0" fontId="25" fillId="8" borderId="1" xfId="0" applyFont="1" applyFill="1" applyBorder="1" applyAlignment="1">
      <alignment horizontal="center" vertical="center" wrapText="1"/>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6" fillId="0" borderId="10" xfId="0" applyFont="1" applyBorder="1" applyAlignment="1">
      <alignment horizontal="center" vertical="center"/>
    </xf>
    <xf numFmtId="1" fontId="15" fillId="11" borderId="1" xfId="0" applyNumberFormat="1" applyFont="1" applyFill="1" applyBorder="1" applyAlignment="1">
      <alignment horizontal="center" vertical="center"/>
    </xf>
    <xf numFmtId="164" fontId="18" fillId="11" borderId="1" xfId="0" applyNumberFormat="1" applyFont="1" applyFill="1" applyBorder="1" applyAlignment="1">
      <alignment horizontal="center" vertical="center"/>
    </xf>
    <xf numFmtId="165" fontId="15" fillId="11" borderId="1" xfId="0" applyNumberFormat="1" applyFont="1" applyFill="1" applyBorder="1" applyAlignment="1">
      <alignment horizontal="center" vertical="center"/>
    </xf>
    <xf numFmtId="0" fontId="14" fillId="5" borderId="1" xfId="0" applyFont="1" applyFill="1" applyBorder="1" applyAlignment="1">
      <alignment horizontal="left" vertical="top" wrapText="1"/>
    </xf>
    <xf numFmtId="0" fontId="0" fillId="5" borderId="1" xfId="0" applyFill="1" applyBorder="1"/>
    <xf numFmtId="0" fontId="5" fillId="3" borderId="1" xfId="0" applyFont="1" applyFill="1" applyBorder="1" applyAlignment="1">
      <alignment horizontal="center" vertical="center"/>
    </xf>
    <xf numFmtId="0" fontId="6" fillId="5" borderId="1" xfId="0" applyFont="1" applyFill="1" applyBorder="1" applyAlignment="1">
      <alignment horizontal="left"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5" borderId="0" xfId="0" applyFont="1" applyFill="1" applyBorder="1" applyAlignment="1">
      <alignment horizontal="left" vertical="center"/>
    </xf>
    <xf numFmtId="0" fontId="6" fillId="5" borderId="7" xfId="0" applyFont="1" applyFill="1" applyBorder="1" applyAlignment="1">
      <alignment horizontal="left" vertical="center"/>
    </xf>
    <xf numFmtId="0" fontId="5" fillId="3" borderId="11" xfId="0" applyFont="1" applyFill="1" applyBorder="1" applyAlignment="1">
      <alignment vertical="center"/>
    </xf>
    <xf numFmtId="0" fontId="5" fillId="3" borderId="2" xfId="0" applyFont="1" applyFill="1" applyBorder="1" applyAlignment="1">
      <alignment vertical="center"/>
    </xf>
    <xf numFmtId="0" fontId="6" fillId="5" borderId="6" xfId="0" applyFont="1" applyFill="1" applyBorder="1" applyAlignment="1">
      <alignment vertical="center"/>
    </xf>
    <xf numFmtId="0" fontId="6" fillId="5" borderId="0" xfId="0" applyFont="1" applyFill="1" applyBorder="1" applyAlignment="1">
      <alignment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0" xfId="0" applyFont="1" applyFill="1" applyBorder="1" applyAlignment="1">
      <alignment horizontal="center" vertical="center"/>
    </xf>
    <xf numFmtId="0" fontId="19" fillId="8" borderId="1" xfId="0" applyFont="1" applyFill="1" applyBorder="1" applyAlignment="1">
      <alignment horizontal="left" vertical="top" wrapText="1"/>
    </xf>
    <xf numFmtId="0" fontId="24" fillId="0" borderId="2" xfId="0" applyFont="1" applyBorder="1"/>
    <xf numFmtId="0" fontId="24" fillId="0" borderId="3" xfId="0" applyFont="1" applyBorder="1"/>
    <xf numFmtId="0" fontId="24" fillId="0" borderId="6" xfId="0" applyFont="1" applyBorder="1"/>
    <xf numFmtId="0" fontId="24" fillId="0" borderId="0" xfId="0" applyFont="1"/>
    <xf numFmtId="0" fontId="24" fillId="0" borderId="7" xfId="0" applyFont="1" applyBorder="1"/>
    <xf numFmtId="0" fontId="24" fillId="0" borderId="8" xfId="0" applyFont="1" applyBorder="1"/>
    <xf numFmtId="0" fontId="24" fillId="0" borderId="9" xfId="0" applyFont="1" applyBorder="1"/>
    <xf numFmtId="0" fontId="24" fillId="0" borderId="10" xfId="0" applyFont="1" applyBorder="1"/>
    <xf numFmtId="0" fontId="11" fillId="9" borderId="1" xfId="0" applyFont="1" applyFill="1" applyBorder="1" applyAlignment="1">
      <alignment horizontal="left" vertical="center" wrapText="1"/>
    </xf>
    <xf numFmtId="0" fontId="0" fillId="0" borderId="4" xfId="0" applyBorder="1" applyAlignment="1">
      <alignment wrapText="1"/>
    </xf>
    <xf numFmtId="0" fontId="0" fillId="0" borderId="5" xfId="0" applyFont="1" applyBorder="1"/>
    <xf numFmtId="0" fontId="0" fillId="0" borderId="4" xfId="0" applyFont="1" applyBorder="1"/>
    <xf numFmtId="0" fontId="19" fillId="5" borderId="1" xfId="0" applyFont="1" applyFill="1" applyBorder="1" applyAlignment="1">
      <alignment horizontal="left" vertical="center" wrapText="1"/>
    </xf>
    <xf numFmtId="164" fontId="19" fillId="5" borderId="1" xfId="0" applyNumberFormat="1" applyFont="1" applyFill="1" applyBorder="1" applyAlignment="1">
      <alignment horizontal="left" vertical="center" wrapText="1"/>
    </xf>
    <xf numFmtId="0" fontId="9" fillId="10" borderId="1" xfId="0" applyFont="1" applyFill="1" applyBorder="1" applyAlignment="1">
      <alignment horizontal="left" vertical="center"/>
    </xf>
    <xf numFmtId="0" fontId="33" fillId="0" borderId="4" xfId="0" applyFont="1" applyBorder="1"/>
    <xf numFmtId="0" fontId="4" fillId="3" borderId="1" xfId="0" applyFont="1" applyFill="1" applyBorder="1" applyAlignment="1">
      <alignment horizontal="center" vertical="center" wrapText="1"/>
    </xf>
    <xf numFmtId="0" fontId="13" fillId="8" borderId="12" xfId="0" applyFont="1" applyFill="1" applyBorder="1" applyAlignment="1">
      <alignment horizontal="left" vertical="center" wrapText="1"/>
    </xf>
    <xf numFmtId="0" fontId="13" fillId="8" borderId="5" xfId="0" applyFont="1" applyFill="1" applyBorder="1" applyAlignment="1">
      <alignment horizontal="left" vertical="center" wrapText="1"/>
    </xf>
    <xf numFmtId="0" fontId="13" fillId="8" borderId="4" xfId="0" applyFont="1" applyFill="1" applyBorder="1" applyAlignment="1">
      <alignment horizontal="left" vertical="center" wrapText="1"/>
    </xf>
    <xf numFmtId="0" fontId="19" fillId="8" borderId="11" xfId="0" applyFont="1" applyFill="1" applyBorder="1" applyAlignment="1">
      <alignment horizontal="center" vertical="top" wrapText="1"/>
    </xf>
    <xf numFmtId="0" fontId="19" fillId="8" borderId="2" xfId="0" applyFont="1" applyFill="1" applyBorder="1" applyAlignment="1">
      <alignment horizontal="center" vertical="top" wrapText="1"/>
    </xf>
    <xf numFmtId="0" fontId="19" fillId="8" borderId="6" xfId="0" applyFont="1" applyFill="1" applyBorder="1" applyAlignment="1">
      <alignment horizontal="center" vertical="top" wrapText="1"/>
    </xf>
    <xf numFmtId="0" fontId="19" fillId="8" borderId="0" xfId="0" applyFont="1" applyFill="1" applyBorder="1" applyAlignment="1">
      <alignment horizontal="center" vertical="top" wrapText="1"/>
    </xf>
    <xf numFmtId="0" fontId="19" fillId="8" borderId="8" xfId="0" applyFont="1" applyFill="1" applyBorder="1" applyAlignment="1">
      <alignment horizontal="center" vertical="top" wrapText="1"/>
    </xf>
    <xf numFmtId="0" fontId="19" fillId="8" borderId="9" xfId="0" applyFont="1" applyFill="1" applyBorder="1" applyAlignment="1">
      <alignment horizontal="center" vertical="top" wrapText="1"/>
    </xf>
    <xf numFmtId="0" fontId="11" fillId="5" borderId="12" xfId="0" applyFont="1" applyFill="1" applyBorder="1" applyAlignment="1">
      <alignment horizontal="left" vertical="center" wrapText="1"/>
    </xf>
    <xf numFmtId="0" fontId="11" fillId="5" borderId="5" xfId="0" applyFont="1" applyFill="1" applyBorder="1" applyAlignment="1">
      <alignment horizontal="left" vertical="center" wrapText="1"/>
    </xf>
    <xf numFmtId="0" fontId="11" fillId="5" borderId="4" xfId="0" applyFont="1" applyFill="1" applyBorder="1" applyAlignment="1">
      <alignment horizontal="left" vertical="center" wrapText="1"/>
    </xf>
    <xf numFmtId="0" fontId="34" fillId="9" borderId="12" xfId="0" applyFont="1" applyFill="1" applyBorder="1" applyAlignment="1">
      <alignment horizontal="left" vertical="center"/>
    </xf>
    <xf numFmtId="0" fontId="34" fillId="9" borderId="5" xfId="0" applyFont="1" applyFill="1" applyBorder="1" applyAlignment="1">
      <alignment horizontal="left" vertical="center"/>
    </xf>
    <xf numFmtId="0" fontId="34" fillId="9" borderId="4" xfId="0" applyFont="1" applyFill="1" applyBorder="1" applyAlignment="1">
      <alignment horizontal="left" vertical="center"/>
    </xf>
    <xf numFmtId="0" fontId="5" fillId="3" borderId="1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9" borderId="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4" xfId="0" applyFont="1" applyFill="1" applyBorder="1" applyAlignment="1">
      <alignment horizontal="center" vertical="center"/>
    </xf>
    <xf numFmtId="0" fontId="7" fillId="6" borderId="12" xfId="0" applyFont="1" applyFill="1" applyBorder="1" applyAlignment="1">
      <alignment horizontal="left" vertical="center" wrapText="1"/>
    </xf>
    <xf numFmtId="0" fontId="7" fillId="6" borderId="4" xfId="0" applyFont="1" applyFill="1" applyBorder="1" applyAlignment="1">
      <alignment horizontal="left" vertical="center" wrapText="1"/>
    </xf>
    <xf numFmtId="0" fontId="35" fillId="9" borderId="12" xfId="0" applyFont="1" applyFill="1" applyBorder="1" applyAlignment="1">
      <alignment horizontal="center" vertical="center"/>
    </xf>
    <xf numFmtId="0" fontId="35" fillId="9" borderId="4" xfId="0" applyFont="1" applyFill="1" applyBorder="1" applyAlignment="1">
      <alignment horizontal="center" vertical="center"/>
    </xf>
    <xf numFmtId="0" fontId="9" fillId="9" borderId="1" xfId="0" applyFont="1" applyFill="1" applyBorder="1" applyAlignment="1">
      <alignment horizontal="left" vertical="center"/>
    </xf>
    <xf numFmtId="0" fontId="0" fillId="0" borderId="0" xfId="0" applyFont="1"/>
    <xf numFmtId="0" fontId="34" fillId="9" borderId="1" xfId="0" applyFont="1" applyFill="1" applyBorder="1" applyAlignment="1">
      <alignment horizontal="left" vertical="center"/>
    </xf>
    <xf numFmtId="0" fontId="36" fillId="9" borderId="1" xfId="0" applyFont="1" applyFill="1" applyBorder="1" applyAlignment="1">
      <alignment horizontal="center" vertical="center"/>
    </xf>
    <xf numFmtId="0" fontId="36" fillId="5" borderId="1" xfId="0" applyFont="1" applyFill="1" applyBorder="1" applyAlignment="1">
      <alignment horizontal="center" vertical="center"/>
    </xf>
    <xf numFmtId="1" fontId="36" fillId="5" borderId="1" xfId="0" applyNumberFormat="1" applyFont="1" applyFill="1" applyBorder="1" applyAlignment="1">
      <alignment horizontal="center" vertical="center"/>
    </xf>
    <xf numFmtId="0" fontId="32" fillId="8" borderId="1" xfId="0" applyFont="1" applyFill="1" applyBorder="1" applyAlignment="1">
      <alignment horizontal="center" vertical="center"/>
    </xf>
    <xf numFmtId="1" fontId="11" fillId="7" borderId="1" xfId="0" applyNumberFormat="1" applyFont="1" applyFill="1" applyBorder="1" applyAlignment="1">
      <alignment horizontal="left" vertical="center"/>
    </xf>
    <xf numFmtId="1" fontId="11" fillId="7" borderId="1" xfId="0" applyNumberFormat="1" applyFont="1" applyFill="1" applyBorder="1" applyAlignment="1">
      <alignment horizontal="center" vertical="center"/>
    </xf>
    <xf numFmtId="0" fontId="37" fillId="9" borderId="1" xfId="0" applyFont="1" applyFill="1" applyBorder="1" applyAlignment="1">
      <alignment horizontal="left" vertical="center"/>
    </xf>
    <xf numFmtId="0" fontId="38" fillId="8" borderId="12" xfId="0" applyFont="1" applyFill="1" applyBorder="1" applyAlignment="1">
      <alignment horizontal="left" vertical="center" wrapText="1"/>
    </xf>
    <xf numFmtId="0" fontId="38" fillId="8" borderId="5" xfId="0" applyFont="1" applyFill="1" applyBorder="1" applyAlignment="1">
      <alignment horizontal="left" vertical="center" wrapText="1"/>
    </xf>
    <xf numFmtId="0" fontId="39" fillId="0" borderId="4" xfId="0" applyFont="1" applyBorder="1"/>
    <xf numFmtId="0" fontId="2" fillId="3" borderId="1" xfId="0" applyFont="1" applyFill="1" applyBorder="1" applyAlignment="1">
      <alignment horizontal="center" vertical="center" wrapText="1"/>
    </xf>
    <xf numFmtId="0" fontId="39" fillId="0" borderId="5" xfId="0" applyFont="1" applyBorder="1"/>
    <xf numFmtId="0" fontId="2" fillId="4"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7" fillId="3" borderId="12" xfId="0" applyFont="1" applyFill="1" applyBorder="1" applyAlignment="1">
      <alignment horizontal="center" vertical="center"/>
    </xf>
    <xf numFmtId="0" fontId="27" fillId="3" borderId="4" xfId="0" applyFont="1" applyFill="1" applyBorder="1" applyAlignment="1">
      <alignment horizontal="center" vertical="center"/>
    </xf>
    <xf numFmtId="0" fontId="40" fillId="9" borderId="1" xfId="0" applyFont="1" applyFill="1" applyBorder="1" applyAlignment="1">
      <alignment horizontal="left" vertical="center"/>
    </xf>
    <xf numFmtId="0" fontId="41" fillId="0" borderId="4" xfId="0" applyFont="1" applyBorder="1"/>
    <xf numFmtId="1" fontId="42" fillId="5" borderId="1" xfId="0" applyNumberFormat="1" applyFont="1" applyFill="1" applyBorder="1" applyAlignment="1">
      <alignment horizontal="center" vertical="center"/>
    </xf>
    <xf numFmtId="1" fontId="42" fillId="5" borderId="12" xfId="0" applyNumberFormat="1" applyFont="1" applyFill="1" applyBorder="1" applyAlignment="1">
      <alignment horizontal="center" vertical="center"/>
    </xf>
    <xf numFmtId="1" fontId="42" fillId="5" borderId="4" xfId="0" applyNumberFormat="1" applyFont="1" applyFill="1" applyBorder="1" applyAlignment="1">
      <alignment horizontal="center" vertical="center"/>
    </xf>
    <xf numFmtId="1" fontId="40" fillId="9" borderId="1" xfId="0" applyNumberFormat="1" applyFont="1" applyFill="1" applyBorder="1" applyAlignment="1">
      <alignment horizontal="left" vertical="center"/>
    </xf>
    <xf numFmtId="0" fontId="31" fillId="4" borderId="6" xfId="0" applyFont="1" applyFill="1" applyBorder="1" applyAlignment="1">
      <alignment horizontal="center" vertical="center"/>
    </xf>
    <xf numFmtId="0" fontId="31" fillId="4" borderId="0"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600"/>
            </a:pPr>
            <a:r>
              <a:rPr lang="es-CL" sz="1600"/>
              <a:t>Carbohidrato por día del microciclo</a:t>
            </a:r>
          </a:p>
        </c:rich>
      </c:tx>
      <c:overlay val="1"/>
    </c:title>
    <c:autoTitleDeleted val="0"/>
    <c:plotArea>
      <c:layout/>
      <c:barChart>
        <c:barDir val="col"/>
        <c:grouping val="clustered"/>
        <c:varyColors val="1"/>
        <c:ser>
          <c:idx val="0"/>
          <c:order val="0"/>
          <c:tx>
            <c:strRef>
              <c:f>PANEL!$B$19</c:f>
              <c:strCache>
                <c:ptCount val="1"/>
                <c:pt idx="0">
                  <c:v>CHO mínimo (g)</c:v>
                </c:pt>
              </c:strCache>
            </c:strRef>
          </c:tx>
          <c:spPr>
            <a:ln>
              <a:prstDash val="solid"/>
            </a:ln>
          </c:spPr>
          <c:invertIfNegative val="1"/>
          <c:cat>
            <c:strRef>
              <c:f>PANEL!$A$20:$A$26</c:f>
              <c:strCache>
                <c:ptCount val="7"/>
                <c:pt idx="0">
                  <c:v>Lunes</c:v>
                </c:pt>
                <c:pt idx="1">
                  <c:v>Martes</c:v>
                </c:pt>
                <c:pt idx="2">
                  <c:v>Miércoles</c:v>
                </c:pt>
                <c:pt idx="3">
                  <c:v>Jueves</c:v>
                </c:pt>
                <c:pt idx="4">
                  <c:v>Viernes</c:v>
                </c:pt>
                <c:pt idx="5">
                  <c:v>Sábado</c:v>
                </c:pt>
                <c:pt idx="6">
                  <c:v>Domingo</c:v>
                </c:pt>
              </c:strCache>
            </c:strRef>
          </c:cat>
          <c:val>
            <c:numRef>
              <c:f>PANEL!$B$20:$B$26</c:f>
              <c:numCache>
                <c:formatCode>0</c:formatCode>
                <c:ptCount val="7"/>
                <c:pt idx="0">
                  <c:v>210</c:v>
                </c:pt>
                <c:pt idx="1">
                  <c:v>420</c:v>
                </c:pt>
                <c:pt idx="2">
                  <c:v>210</c:v>
                </c:pt>
                <c:pt idx="3">
                  <c:v>420</c:v>
                </c:pt>
                <c:pt idx="4">
                  <c:v>210</c:v>
                </c:pt>
                <c:pt idx="5">
                  <c:v>560</c:v>
                </c:pt>
                <c:pt idx="6">
                  <c:v>350</c:v>
                </c:pt>
              </c:numCache>
            </c:numRef>
          </c:val>
          <c:extLst>
            <c:ext xmlns:c16="http://schemas.microsoft.com/office/drawing/2014/chart" uri="{C3380CC4-5D6E-409C-BE32-E72D297353CC}">
              <c16:uniqueId val="{00000000-527B-4A08-B229-23F7390295B3}"/>
            </c:ext>
          </c:extLst>
        </c:ser>
        <c:ser>
          <c:idx val="1"/>
          <c:order val="1"/>
          <c:tx>
            <c:strRef>
              <c:f>PANEL!$C$19</c:f>
              <c:strCache>
                <c:ptCount val="1"/>
                <c:pt idx="0">
                  <c:v>CHO máximo (g)</c:v>
                </c:pt>
              </c:strCache>
            </c:strRef>
          </c:tx>
          <c:spPr>
            <a:ln>
              <a:prstDash val="solid"/>
            </a:ln>
          </c:spPr>
          <c:invertIfNegative val="1"/>
          <c:cat>
            <c:strRef>
              <c:f>PANEL!$A$20:$A$26</c:f>
              <c:strCache>
                <c:ptCount val="7"/>
                <c:pt idx="0">
                  <c:v>Lunes</c:v>
                </c:pt>
                <c:pt idx="1">
                  <c:v>Martes</c:v>
                </c:pt>
                <c:pt idx="2">
                  <c:v>Miércoles</c:v>
                </c:pt>
                <c:pt idx="3">
                  <c:v>Jueves</c:v>
                </c:pt>
                <c:pt idx="4">
                  <c:v>Viernes</c:v>
                </c:pt>
                <c:pt idx="5">
                  <c:v>Sábado</c:v>
                </c:pt>
                <c:pt idx="6">
                  <c:v>Domingo</c:v>
                </c:pt>
              </c:strCache>
            </c:strRef>
          </c:cat>
          <c:val>
            <c:numRef>
              <c:f>PANEL!$C$20:$C$26</c:f>
              <c:numCache>
                <c:formatCode>0</c:formatCode>
                <c:ptCount val="7"/>
                <c:pt idx="0">
                  <c:v>350</c:v>
                </c:pt>
                <c:pt idx="1">
                  <c:v>700</c:v>
                </c:pt>
                <c:pt idx="2">
                  <c:v>350</c:v>
                </c:pt>
                <c:pt idx="3">
                  <c:v>700</c:v>
                </c:pt>
                <c:pt idx="4">
                  <c:v>350</c:v>
                </c:pt>
                <c:pt idx="5">
                  <c:v>840</c:v>
                </c:pt>
                <c:pt idx="6">
                  <c:v>490</c:v>
                </c:pt>
              </c:numCache>
            </c:numRef>
          </c:val>
          <c:extLst>
            <c:ext xmlns:c16="http://schemas.microsoft.com/office/drawing/2014/chart" uri="{C3380CC4-5D6E-409C-BE32-E72D297353CC}">
              <c16:uniqueId val="{00000001-527B-4A08-B229-23F7390295B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s-CL"/>
                  <a:t>día</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CL"/>
                  <a:t>gramos al día</a:t>
                </a:r>
              </a:p>
            </c:rich>
          </c:tx>
          <c:overlay val="1"/>
        </c:title>
        <c:numFmt formatCode="0" sourceLinked="1"/>
        <c:majorTickMark val="none"/>
        <c:minorTickMark val="none"/>
        <c:tickLblPos val="nextTo"/>
        <c:crossAx val="10"/>
        <c:crosses val="autoZero"/>
        <c:crossBetween val="between"/>
      </c:valAx>
    </c:plotArea>
    <c:legend>
      <c:legendPos val="r"/>
      <c:layout>
        <c:manualLayout>
          <c:xMode val="edge"/>
          <c:yMode val="edge"/>
          <c:x val="0.82005039682539682"/>
          <c:y val="7.6341666666666669E-2"/>
          <c:w val="0.16819034391534388"/>
          <c:h val="0.14176111111111112"/>
        </c:manualLayout>
      </c:layout>
      <c:overlay val="1"/>
      <c:txPr>
        <a:bodyPr/>
        <a:lstStyle/>
        <a:p>
          <a:pPr>
            <a:defRPr sz="1100"/>
          </a:pPr>
          <a:endParaRPr lang="es-CL"/>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600"/>
            </a:pPr>
            <a:r>
              <a:rPr lang="es-CL" sz="1600"/>
              <a:t>Minutos de entrenamiento y carbohidrato del día</a:t>
            </a:r>
          </a:p>
        </c:rich>
      </c:tx>
      <c:overlay val="1"/>
    </c:title>
    <c:autoTitleDeleted val="0"/>
    <c:plotArea>
      <c:layout/>
      <c:lineChart>
        <c:grouping val="standard"/>
        <c:varyColors val="1"/>
        <c:ser>
          <c:idx val="0"/>
          <c:order val="0"/>
          <c:tx>
            <c:strRef>
              <c:f>PANEL!$B$29</c:f>
              <c:strCache>
                <c:ptCount val="1"/>
                <c:pt idx="0">
                  <c:v>Minutos de sesión</c:v>
                </c:pt>
              </c:strCache>
            </c:strRef>
          </c:tx>
          <c:spPr>
            <a:ln>
              <a:prstDash val="solid"/>
            </a:ln>
          </c:spPr>
          <c:marker>
            <c:symbol val="none"/>
          </c:marker>
          <c:cat>
            <c:strRef>
              <c:f>PANEL!$A$30:$A$36</c:f>
              <c:strCache>
                <c:ptCount val="7"/>
                <c:pt idx="0">
                  <c:v>Lunes</c:v>
                </c:pt>
                <c:pt idx="1">
                  <c:v>Martes</c:v>
                </c:pt>
                <c:pt idx="2">
                  <c:v>Miércoles</c:v>
                </c:pt>
                <c:pt idx="3">
                  <c:v>Jueves</c:v>
                </c:pt>
                <c:pt idx="4">
                  <c:v>Viernes</c:v>
                </c:pt>
                <c:pt idx="5">
                  <c:v>Sábado</c:v>
                </c:pt>
                <c:pt idx="6">
                  <c:v>Domingo</c:v>
                </c:pt>
              </c:strCache>
            </c:strRef>
          </c:cat>
          <c:val>
            <c:numRef>
              <c:f>PANEL!$B$30:$B$36</c:f>
              <c:numCache>
                <c:formatCode>0</c:formatCode>
                <c:ptCount val="7"/>
                <c:pt idx="0">
                  <c:v>0</c:v>
                </c:pt>
                <c:pt idx="1">
                  <c:v>75</c:v>
                </c:pt>
                <c:pt idx="2">
                  <c:v>60</c:v>
                </c:pt>
                <c:pt idx="3">
                  <c:v>90</c:v>
                </c:pt>
                <c:pt idx="4">
                  <c:v>45</c:v>
                </c:pt>
                <c:pt idx="5">
                  <c:v>180</c:v>
                </c:pt>
                <c:pt idx="6">
                  <c:v>90</c:v>
                </c:pt>
              </c:numCache>
            </c:numRef>
          </c:val>
          <c:smooth val="0"/>
          <c:extLst>
            <c:ext xmlns:c16="http://schemas.microsoft.com/office/drawing/2014/chart" uri="{C3380CC4-5D6E-409C-BE32-E72D297353CC}">
              <c16:uniqueId val="{00000000-F84A-4FCE-8186-B455BF1503DA}"/>
            </c:ext>
          </c:extLst>
        </c:ser>
        <c:ser>
          <c:idx val="1"/>
          <c:order val="1"/>
          <c:tx>
            <c:strRef>
              <c:f>PANEL!$C$29</c:f>
              <c:strCache>
                <c:ptCount val="1"/>
                <c:pt idx="0">
                  <c:v>CHO máximo (g)</c:v>
                </c:pt>
              </c:strCache>
            </c:strRef>
          </c:tx>
          <c:spPr>
            <a:ln>
              <a:prstDash val="solid"/>
            </a:ln>
          </c:spPr>
          <c:marker>
            <c:symbol val="none"/>
          </c:marker>
          <c:cat>
            <c:strRef>
              <c:f>PANEL!$A$30:$A$36</c:f>
              <c:strCache>
                <c:ptCount val="7"/>
                <c:pt idx="0">
                  <c:v>Lunes</c:v>
                </c:pt>
                <c:pt idx="1">
                  <c:v>Martes</c:v>
                </c:pt>
                <c:pt idx="2">
                  <c:v>Miércoles</c:v>
                </c:pt>
                <c:pt idx="3">
                  <c:v>Jueves</c:v>
                </c:pt>
                <c:pt idx="4">
                  <c:v>Viernes</c:v>
                </c:pt>
                <c:pt idx="5">
                  <c:v>Sábado</c:v>
                </c:pt>
                <c:pt idx="6">
                  <c:v>Domingo</c:v>
                </c:pt>
              </c:strCache>
            </c:strRef>
          </c:cat>
          <c:val>
            <c:numRef>
              <c:f>PANEL!$C$30:$C$36</c:f>
              <c:numCache>
                <c:formatCode>0</c:formatCode>
                <c:ptCount val="7"/>
                <c:pt idx="0">
                  <c:v>350</c:v>
                </c:pt>
                <c:pt idx="1">
                  <c:v>700</c:v>
                </c:pt>
                <c:pt idx="2">
                  <c:v>350</c:v>
                </c:pt>
                <c:pt idx="3">
                  <c:v>700</c:v>
                </c:pt>
                <c:pt idx="4">
                  <c:v>350</c:v>
                </c:pt>
                <c:pt idx="5">
                  <c:v>840</c:v>
                </c:pt>
                <c:pt idx="6">
                  <c:v>490</c:v>
                </c:pt>
              </c:numCache>
            </c:numRef>
          </c:val>
          <c:smooth val="0"/>
          <c:extLst>
            <c:ext xmlns:c16="http://schemas.microsoft.com/office/drawing/2014/chart" uri="{C3380CC4-5D6E-409C-BE32-E72D297353CC}">
              <c16:uniqueId val="{00000001-F84A-4FCE-8186-B455BF1503DA}"/>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CL"/>
                  <a:t>minutos / gramos</a:t>
                </a:r>
              </a:p>
            </c:rich>
          </c:tx>
          <c:overlay val="1"/>
        </c:title>
        <c:numFmt formatCode="0" sourceLinked="1"/>
        <c:majorTickMark val="none"/>
        <c:minorTickMark val="none"/>
        <c:tickLblPos val="nextTo"/>
        <c:crossAx val="10"/>
        <c:crosses val="autoZero"/>
        <c:crossBetween val="between"/>
      </c:valAx>
    </c:plotArea>
    <c:legend>
      <c:legendPos val="r"/>
      <c:layout>
        <c:manualLayout>
          <c:xMode val="edge"/>
          <c:yMode val="edge"/>
          <c:x val="1.5371296296296343E-2"/>
          <c:y val="7.4692901234567899E-2"/>
          <c:w val="0.20011812169312168"/>
          <c:h val="0.16073765432098766"/>
        </c:manualLayout>
      </c:layout>
      <c:overlay val="1"/>
      <c:txPr>
        <a:bodyPr/>
        <a:lstStyle/>
        <a:p>
          <a:pPr>
            <a:defRPr sz="1200"/>
          </a:pPr>
          <a:endParaRPr lang="es-CL"/>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204107</xdr:colOff>
      <xdr:row>18</xdr:row>
      <xdr:rowOff>476250</xdr:rowOff>
    </xdr:from>
    <xdr:ext cx="7560000" cy="32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54429</xdr:colOff>
      <xdr:row>28</xdr:row>
      <xdr:rowOff>176893</xdr:rowOff>
    </xdr:from>
    <xdr:ext cx="7560000" cy="324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Q38"/>
  <sheetViews>
    <sheetView showGridLines="0" workbookViewId="0">
      <selection activeCell="T21" sqref="T21"/>
    </sheetView>
  </sheetViews>
  <sheetFormatPr baseColWidth="10" defaultColWidth="9.140625" defaultRowHeight="15"/>
  <cols>
    <col min="1" max="1" width="18.5703125" customWidth="1"/>
    <col min="2" max="2" width="1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0"/>
      <c r="C1" s="30"/>
      <c r="D1" s="30"/>
      <c r="E1" s="30"/>
      <c r="F1" s="30"/>
      <c r="G1" s="30"/>
      <c r="H1" s="30"/>
      <c r="I1" s="30"/>
      <c r="J1" s="30"/>
      <c r="K1" s="30"/>
      <c r="L1" s="30"/>
      <c r="M1" s="30"/>
      <c r="N1" s="30"/>
      <c r="O1" s="30"/>
      <c r="P1" s="30"/>
      <c r="Q1" s="30"/>
    </row>
    <row r="2" spans="1:17" ht="15" customHeight="1">
      <c r="A2" s="36" t="s">
        <v>1</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7.75" customHeight="1">
      <c r="A4" s="44" t="s">
        <v>2</v>
      </c>
      <c r="B4" s="39"/>
      <c r="C4" s="39"/>
      <c r="D4" s="39"/>
      <c r="E4" s="39"/>
      <c r="F4" s="39"/>
      <c r="G4" s="39"/>
      <c r="H4" s="39"/>
      <c r="I4" s="39"/>
      <c r="J4" s="39"/>
      <c r="K4" s="39"/>
      <c r="L4" s="39"/>
      <c r="M4" s="39"/>
      <c r="N4" s="39"/>
      <c r="O4" s="39"/>
      <c r="P4" s="39"/>
      <c r="Q4" s="39"/>
    </row>
    <row r="5" spans="1:17" ht="27.75" customHeight="1">
      <c r="A5" s="33" t="str">
        <f>HYPERLINK("#DATOS!A1","▶  DATOS")</f>
        <v>▶  DATOS</v>
      </c>
      <c r="B5" s="33"/>
      <c r="C5" s="33" t="str">
        <f>HYPERLINK("#MICROCICLO!A1","▶  MICROCICLO")</f>
        <v>▶  MICROCICLO</v>
      </c>
      <c r="D5" s="33"/>
      <c r="E5" s="33" t="str">
        <f>HYPERLINK("#PERIODIZACION!A1","▶  PERIODIZACION")</f>
        <v>▶  PERIODIZACION</v>
      </c>
      <c r="F5" s="33"/>
      <c r="G5" s="33" t="str">
        <f>HYPERLINK("#TIMING!A1","▶  TIMING")</f>
        <v>▶  TIMING</v>
      </c>
      <c r="H5" s="33"/>
      <c r="I5" s="33" t="str">
        <f>HYPERLINK("#PANEL!A1","▶  PANEL")</f>
        <v>▶  PANEL</v>
      </c>
      <c r="J5" s="33"/>
      <c r="K5" s="33" t="str">
        <f>HYPERLINK("#RESUMEN!A1","▶  RESUMEN")</f>
        <v>▶  RESUMEN</v>
      </c>
      <c r="L5" s="33"/>
      <c r="M5" s="33" t="str">
        <f>HYPERLINK("#FUENTES!A1","▶  FUENTES")</f>
        <v>▶  FUENTES</v>
      </c>
      <c r="N5" s="33"/>
      <c r="O5" s="33" t="str">
        <f>HYPERLINK("#PRUEBAS!A1","▶  PRUEBAS")</f>
        <v>▶  PRUEBAS</v>
      </c>
      <c r="P5" s="33"/>
      <c r="Q5" s="33"/>
    </row>
    <row r="6" spans="1:17" ht="29.25" customHeight="1">
      <c r="A6" s="31" t="s">
        <v>3</v>
      </c>
      <c r="B6" s="31"/>
      <c r="C6" s="31" t="s">
        <v>4</v>
      </c>
      <c r="D6" s="31"/>
      <c r="E6" s="31" t="s">
        <v>5</v>
      </c>
      <c r="F6" s="31"/>
      <c r="G6" s="31" t="s">
        <v>6</v>
      </c>
      <c r="H6" s="31"/>
      <c r="I6" s="31" t="s">
        <v>7</v>
      </c>
      <c r="J6" s="31"/>
      <c r="K6" s="31" t="s">
        <v>8</v>
      </c>
      <c r="L6" s="31"/>
      <c r="M6" s="31" t="s">
        <v>9</v>
      </c>
      <c r="N6" s="31"/>
      <c r="O6" s="31" t="s">
        <v>10</v>
      </c>
      <c r="P6" s="31"/>
      <c r="Q6" s="31"/>
    </row>
    <row r="7" spans="1:17" ht="27.75" customHeight="1">
      <c r="A7" s="33" t="str">
        <f>HYPERLINK("#CONFIG!A1","▶  CONFIG")</f>
        <v>▶  CONFIG</v>
      </c>
      <c r="B7" s="33"/>
      <c r="C7" s="33" t="str">
        <f>HYPERLINK("#CHANGELOG!A1","▶  CHANGELOG")</f>
        <v>▶  CHANGELOG</v>
      </c>
      <c r="D7" s="33"/>
    </row>
    <row r="8" spans="1:17" ht="29.25" customHeight="1">
      <c r="A8" s="31" t="s">
        <v>11</v>
      </c>
      <c r="B8" s="31"/>
      <c r="C8" s="31" t="s">
        <v>12</v>
      </c>
      <c r="D8" s="31"/>
    </row>
    <row r="10" spans="1:17" ht="15" customHeight="1">
      <c r="A10" s="34" t="s">
        <v>13</v>
      </c>
      <c r="B10" s="34"/>
      <c r="C10" s="32" t="s">
        <v>14</v>
      </c>
      <c r="D10" s="32"/>
      <c r="E10" s="32"/>
      <c r="F10" s="32"/>
      <c r="G10" s="32"/>
      <c r="H10" s="32"/>
      <c r="I10" s="32"/>
      <c r="J10" s="32"/>
      <c r="K10" s="32"/>
    </row>
    <row r="11" spans="1:17" ht="15" customHeight="1">
      <c r="A11" s="34" t="s">
        <v>15</v>
      </c>
      <c r="B11" s="34"/>
      <c r="C11" s="32" t="s">
        <v>16</v>
      </c>
      <c r="D11" s="32"/>
      <c r="E11" s="32"/>
      <c r="F11" s="32"/>
      <c r="G11" s="32"/>
      <c r="H11" s="32"/>
      <c r="I11" s="32"/>
      <c r="J11" s="32"/>
      <c r="K11" s="32"/>
    </row>
    <row r="12" spans="1:17" ht="15" customHeight="1">
      <c r="A12" s="34" t="s">
        <v>17</v>
      </c>
      <c r="B12" s="34"/>
      <c r="C12" s="32" t="s">
        <v>18</v>
      </c>
      <c r="D12" s="32"/>
      <c r="E12" s="32"/>
      <c r="F12" s="32"/>
      <c r="G12" s="32"/>
      <c r="H12" s="32"/>
      <c r="I12" s="32"/>
      <c r="J12" s="32"/>
      <c r="K12" s="32"/>
    </row>
    <row r="13" spans="1:17" ht="15" customHeight="1">
      <c r="A13" s="34" t="s">
        <v>19</v>
      </c>
      <c r="B13" s="34"/>
      <c r="C13" s="32" t="s">
        <v>20</v>
      </c>
      <c r="D13" s="32"/>
      <c r="E13" s="32"/>
      <c r="F13" s="32"/>
      <c r="G13" s="32"/>
      <c r="H13" s="32"/>
      <c r="I13" s="32"/>
      <c r="J13" s="32"/>
      <c r="K13" s="32"/>
    </row>
    <row r="14" spans="1:17" ht="15" customHeight="1">
      <c r="A14" s="34" t="s">
        <v>21</v>
      </c>
      <c r="B14" s="34"/>
      <c r="C14" s="32" t="s">
        <v>22</v>
      </c>
      <c r="D14" s="32"/>
      <c r="E14" s="32"/>
      <c r="F14" s="32"/>
      <c r="G14" s="32"/>
      <c r="H14" s="32"/>
      <c r="I14" s="32"/>
      <c r="J14" s="32"/>
      <c r="K14" s="32"/>
    </row>
    <row r="15" spans="1:17" ht="15" customHeight="1">
      <c r="A15" s="34" t="s">
        <v>23</v>
      </c>
      <c r="B15" s="34"/>
      <c r="C15" s="32" t="s">
        <v>24</v>
      </c>
      <c r="D15" s="32"/>
      <c r="E15" s="32"/>
      <c r="F15" s="32"/>
      <c r="G15" s="32"/>
      <c r="H15" s="32"/>
      <c r="I15" s="32"/>
      <c r="J15" s="32"/>
      <c r="K15" s="32"/>
    </row>
    <row r="17" spans="1:17" ht="20.100000000000001" customHeight="1">
      <c r="A17" s="38" t="s">
        <v>25</v>
      </c>
      <c r="B17" s="39"/>
      <c r="C17" s="39"/>
      <c r="D17" s="39"/>
      <c r="E17" s="39"/>
      <c r="F17" s="39"/>
      <c r="G17" s="39"/>
      <c r="H17" s="39"/>
      <c r="I17" s="39"/>
      <c r="J17" s="39"/>
      <c r="K17" s="39"/>
      <c r="L17" s="39"/>
      <c r="M17" s="39"/>
      <c r="N17" s="39"/>
      <c r="O17" s="39"/>
      <c r="P17" s="39"/>
      <c r="Q17" s="39"/>
    </row>
    <row r="18" spans="1:17" ht="27.95" customHeight="1">
      <c r="A18" s="42" t="s">
        <v>26</v>
      </c>
      <c r="B18" s="43"/>
      <c r="C18" s="43"/>
      <c r="D18" s="43"/>
      <c r="E18" s="43"/>
      <c r="F18" s="43"/>
      <c r="G18" s="43"/>
      <c r="H18" s="43"/>
      <c r="I18" s="43"/>
      <c r="J18" s="43"/>
      <c r="K18" s="43"/>
      <c r="L18" s="43"/>
      <c r="M18" s="43"/>
      <c r="N18" s="43"/>
      <c r="O18" s="43"/>
      <c r="P18" s="43"/>
      <c r="Q18" s="43"/>
    </row>
    <row r="19" spans="1:17" ht="27.95" customHeight="1">
      <c r="A19" s="42" t="s">
        <v>27</v>
      </c>
      <c r="B19" s="43"/>
      <c r="C19" s="43"/>
      <c r="D19" s="43"/>
      <c r="E19" s="43"/>
      <c r="F19" s="43"/>
      <c r="G19" s="43"/>
      <c r="H19" s="43"/>
      <c r="I19" s="43"/>
      <c r="J19" s="43"/>
      <c r="K19" s="43"/>
      <c r="L19" s="43"/>
      <c r="M19" s="43"/>
      <c r="N19" s="43"/>
      <c r="O19" s="43"/>
      <c r="P19" s="43"/>
      <c r="Q19" s="43"/>
    </row>
    <row r="20" spans="1:17" ht="27.95" customHeight="1">
      <c r="A20" s="42" t="s">
        <v>28</v>
      </c>
      <c r="B20" s="43"/>
      <c r="C20" s="43"/>
      <c r="D20" s="43"/>
      <c r="E20" s="43"/>
      <c r="F20" s="43"/>
      <c r="G20" s="43"/>
      <c r="H20" s="43"/>
      <c r="I20" s="43"/>
      <c r="J20" s="43"/>
      <c r="K20" s="43"/>
      <c r="L20" s="43"/>
      <c r="M20" s="43"/>
      <c r="N20" s="43"/>
      <c r="O20" s="43"/>
      <c r="P20" s="43"/>
      <c r="Q20" s="43"/>
    </row>
    <row r="21" spans="1:17" ht="27.95" customHeight="1">
      <c r="A21" s="42" t="s">
        <v>29</v>
      </c>
      <c r="B21" s="43"/>
      <c r="C21" s="43"/>
      <c r="D21" s="43"/>
      <c r="E21" s="43"/>
      <c r="F21" s="43"/>
      <c r="G21" s="43"/>
      <c r="H21" s="43"/>
      <c r="I21" s="43"/>
      <c r="J21" s="43"/>
      <c r="K21" s="43"/>
      <c r="L21" s="43"/>
      <c r="M21" s="43"/>
      <c r="N21" s="43"/>
      <c r="O21" s="43"/>
      <c r="P21" s="43"/>
      <c r="Q21" s="43"/>
    </row>
    <row r="23" spans="1:17" ht="20.100000000000001" customHeight="1">
      <c r="A23" s="38" t="s">
        <v>30</v>
      </c>
      <c r="B23" s="39"/>
      <c r="C23" s="39"/>
      <c r="D23" s="39"/>
      <c r="E23" s="39"/>
      <c r="F23" s="39"/>
      <c r="G23" s="39"/>
      <c r="H23" s="39"/>
      <c r="I23" s="39"/>
      <c r="J23" s="39"/>
      <c r="K23" s="39"/>
      <c r="L23" s="39"/>
      <c r="M23" s="39"/>
      <c r="N23" s="39"/>
      <c r="O23" s="39"/>
      <c r="P23" s="39"/>
      <c r="Q23" s="39"/>
    </row>
    <row r="24" spans="1:17" ht="26.1" customHeight="1">
      <c r="A24" s="40" t="s">
        <v>31</v>
      </c>
      <c r="B24" s="41"/>
      <c r="C24" s="41"/>
      <c r="D24" s="41"/>
      <c r="E24" s="41"/>
      <c r="F24" s="41"/>
      <c r="G24" s="41"/>
      <c r="H24" s="41"/>
      <c r="I24" s="41"/>
      <c r="J24" s="41"/>
      <c r="K24" s="41"/>
      <c r="L24" s="41"/>
      <c r="M24" s="41"/>
      <c r="N24" s="41"/>
      <c r="O24" s="41"/>
      <c r="P24" s="41"/>
      <c r="Q24" s="41"/>
    </row>
    <row r="25" spans="1:17" ht="26.1" customHeight="1">
      <c r="A25" s="40" t="s">
        <v>32</v>
      </c>
      <c r="B25" s="41"/>
      <c r="C25" s="41"/>
      <c r="D25" s="41"/>
      <c r="E25" s="41"/>
      <c r="F25" s="41"/>
      <c r="G25" s="41"/>
      <c r="H25" s="41"/>
      <c r="I25" s="41"/>
      <c r="J25" s="41"/>
      <c r="K25" s="41"/>
      <c r="L25" s="41"/>
      <c r="M25" s="41"/>
      <c r="N25" s="41"/>
      <c r="O25" s="41"/>
      <c r="P25" s="41"/>
      <c r="Q25" s="41"/>
    </row>
    <row r="26" spans="1:17" ht="26.1" customHeight="1">
      <c r="A26" s="40" t="s">
        <v>33</v>
      </c>
      <c r="B26" s="41"/>
      <c r="C26" s="41"/>
      <c r="D26" s="41"/>
      <c r="E26" s="41"/>
      <c r="F26" s="41"/>
      <c r="G26" s="41"/>
      <c r="H26" s="41"/>
      <c r="I26" s="41"/>
      <c r="J26" s="41"/>
      <c r="K26" s="41"/>
      <c r="L26" s="41"/>
      <c r="M26" s="41"/>
      <c r="N26" s="41"/>
      <c r="O26" s="41"/>
      <c r="P26" s="41"/>
      <c r="Q26" s="41"/>
    </row>
    <row r="27" spans="1:17" ht="26.1" customHeight="1">
      <c r="A27" s="40" t="s">
        <v>34</v>
      </c>
      <c r="B27" s="41"/>
      <c r="C27" s="41"/>
      <c r="D27" s="41"/>
      <c r="E27" s="41"/>
      <c r="F27" s="41"/>
      <c r="G27" s="41"/>
      <c r="H27" s="41"/>
      <c r="I27" s="41"/>
      <c r="J27" s="41"/>
      <c r="K27" s="41"/>
      <c r="L27" s="41"/>
      <c r="M27" s="41"/>
      <c r="N27" s="41"/>
      <c r="O27" s="41"/>
      <c r="P27" s="41"/>
      <c r="Q27" s="41"/>
    </row>
    <row r="28" spans="1:17" ht="26.1" customHeight="1">
      <c r="A28" s="40" t="s">
        <v>35</v>
      </c>
      <c r="B28" s="41"/>
      <c r="C28" s="41"/>
      <c r="D28" s="41"/>
      <c r="E28" s="41"/>
      <c r="F28" s="41"/>
      <c r="G28" s="41"/>
      <c r="H28" s="41"/>
      <c r="I28" s="41"/>
      <c r="J28" s="41"/>
      <c r="K28" s="41"/>
      <c r="L28" s="41"/>
      <c r="M28" s="41"/>
      <c r="N28" s="41"/>
      <c r="O28" s="41"/>
      <c r="P28" s="41"/>
      <c r="Q28" s="41"/>
    </row>
    <row r="29" spans="1:17" ht="26.1" customHeight="1">
      <c r="A29" s="40" t="s">
        <v>36</v>
      </c>
      <c r="B29" s="41"/>
      <c r="C29" s="41"/>
      <c r="D29" s="41"/>
      <c r="E29" s="41"/>
      <c r="F29" s="41"/>
      <c r="G29" s="41"/>
      <c r="H29" s="41"/>
      <c r="I29" s="41"/>
      <c r="J29" s="41"/>
      <c r="K29" s="41"/>
      <c r="L29" s="41"/>
      <c r="M29" s="41"/>
      <c r="N29" s="41"/>
      <c r="O29" s="41"/>
      <c r="P29" s="41"/>
      <c r="Q29" s="41"/>
    </row>
    <row r="31" spans="1:17" ht="20.100000000000001" customHeight="1">
      <c r="A31" s="38" t="s">
        <v>37</v>
      </c>
      <c r="B31" s="39"/>
      <c r="C31" s="39"/>
      <c r="D31" s="39"/>
      <c r="E31" s="39"/>
      <c r="F31" s="39"/>
      <c r="G31" s="39"/>
      <c r="H31" s="39"/>
      <c r="I31" s="39"/>
      <c r="J31" s="39"/>
      <c r="K31" s="39"/>
      <c r="L31" s="39"/>
      <c r="M31" s="39"/>
      <c r="N31" s="39"/>
      <c r="O31" s="39"/>
      <c r="P31" s="39"/>
      <c r="Q31" s="39"/>
    </row>
    <row r="32" spans="1:17" ht="20.100000000000001" customHeight="1">
      <c r="A32" s="35">
        <v>1</v>
      </c>
      <c r="B32" s="35"/>
      <c r="C32" s="32" t="s">
        <v>38</v>
      </c>
      <c r="D32" s="32"/>
      <c r="E32" s="32"/>
      <c r="F32" s="32"/>
      <c r="G32" s="32"/>
      <c r="H32" s="32"/>
      <c r="I32" s="32"/>
      <c r="J32" s="32"/>
      <c r="K32" s="32"/>
      <c r="L32" s="32"/>
      <c r="M32" s="32"/>
      <c r="N32" s="32"/>
      <c r="O32" s="32"/>
      <c r="P32" s="32"/>
      <c r="Q32" s="32"/>
    </row>
    <row r="33" spans="1:17" ht="20.100000000000001" customHeight="1">
      <c r="A33" s="35">
        <v>2</v>
      </c>
      <c r="B33" s="35"/>
      <c r="C33" s="32" t="s">
        <v>39</v>
      </c>
      <c r="D33" s="32"/>
      <c r="E33" s="32"/>
      <c r="F33" s="32"/>
      <c r="G33" s="32"/>
      <c r="H33" s="32"/>
      <c r="I33" s="32"/>
      <c r="J33" s="32"/>
      <c r="K33" s="32"/>
      <c r="L33" s="32"/>
      <c r="M33" s="32"/>
      <c r="N33" s="32"/>
      <c r="O33" s="32"/>
      <c r="P33" s="32"/>
      <c r="Q33" s="32"/>
    </row>
    <row r="34" spans="1:17" ht="20.100000000000001" customHeight="1">
      <c r="A34" s="35">
        <v>3</v>
      </c>
      <c r="B34" s="35"/>
      <c r="C34" s="32" t="s">
        <v>40</v>
      </c>
      <c r="D34" s="32"/>
      <c r="E34" s="32"/>
      <c r="F34" s="32"/>
      <c r="G34" s="32"/>
      <c r="H34" s="32"/>
      <c r="I34" s="32"/>
      <c r="J34" s="32"/>
      <c r="K34" s="32"/>
      <c r="L34" s="32"/>
      <c r="M34" s="32"/>
      <c r="N34" s="32"/>
      <c r="O34" s="32"/>
      <c r="P34" s="32"/>
      <c r="Q34" s="32"/>
    </row>
    <row r="35" spans="1:17" ht="20.100000000000001" customHeight="1">
      <c r="A35" s="35">
        <v>4</v>
      </c>
      <c r="B35" s="35"/>
      <c r="C35" s="32" t="s">
        <v>41</v>
      </c>
      <c r="D35" s="32"/>
      <c r="E35" s="32"/>
      <c r="F35" s="32"/>
      <c r="G35" s="32"/>
      <c r="H35" s="32"/>
      <c r="I35" s="32"/>
      <c r="J35" s="32"/>
      <c r="K35" s="32"/>
      <c r="L35" s="32"/>
      <c r="M35" s="32"/>
      <c r="N35" s="32"/>
      <c r="O35" s="32"/>
      <c r="P35" s="32"/>
      <c r="Q35" s="32"/>
    </row>
    <row r="36" spans="1:17" ht="20.100000000000001" customHeight="1">
      <c r="A36" s="35">
        <v>5</v>
      </c>
      <c r="B36" s="35"/>
      <c r="C36" s="32" t="s">
        <v>42</v>
      </c>
      <c r="D36" s="32"/>
      <c r="E36" s="32"/>
      <c r="F36" s="32"/>
      <c r="G36" s="32"/>
      <c r="H36" s="32"/>
      <c r="I36" s="32"/>
      <c r="J36" s="32"/>
      <c r="K36" s="32"/>
      <c r="L36" s="32"/>
      <c r="M36" s="32"/>
      <c r="N36" s="32"/>
      <c r="O36" s="32"/>
      <c r="P36" s="32"/>
      <c r="Q36" s="32"/>
    </row>
    <row r="37" spans="1:17" ht="20.100000000000001" customHeight="1">
      <c r="A37" s="35">
        <v>6</v>
      </c>
      <c r="B37" s="35"/>
      <c r="C37" s="32" t="s">
        <v>43</v>
      </c>
      <c r="D37" s="32"/>
      <c r="E37" s="32"/>
      <c r="F37" s="32"/>
      <c r="G37" s="32"/>
      <c r="H37" s="32"/>
      <c r="I37" s="32"/>
      <c r="J37" s="32"/>
      <c r="K37" s="32"/>
      <c r="L37" s="32"/>
      <c r="M37" s="32"/>
      <c r="N37" s="32"/>
      <c r="O37" s="32"/>
      <c r="P37" s="32"/>
      <c r="Q37" s="32"/>
    </row>
    <row r="38" spans="1:17" ht="20.100000000000001" customHeight="1">
      <c r="A38" s="35">
        <v>7</v>
      </c>
      <c r="B38" s="35"/>
      <c r="C38" s="32" t="s">
        <v>44</v>
      </c>
      <c r="D38" s="32"/>
      <c r="E38" s="32"/>
      <c r="F38" s="32"/>
      <c r="G38" s="32"/>
      <c r="H38" s="32"/>
      <c r="I38" s="32"/>
      <c r="J38" s="32"/>
      <c r="K38" s="32"/>
      <c r="L38" s="32"/>
      <c r="M38" s="32"/>
      <c r="N38" s="32"/>
      <c r="O38" s="32"/>
      <c r="P38" s="32"/>
      <c r="Q38" s="32"/>
    </row>
  </sheetData>
  <sheetProtection algorithmName="SHA-512" hashValue="75fitPShWI/ZDrlnWTXE6nO6yJbemRMutfeyWuttor856p9lSoO2os9tFEd0KoZmSXGdL49P5xSpluiWFf/t1A==" saltValue="N/kHu4CcxI/sxguxkad2ug==" spinCount="100000" sheet="1" objects="1" scenarios="1"/>
  <mergeCells count="62">
    <mergeCell ref="A38:B38"/>
    <mergeCell ref="C14:K14"/>
    <mergeCell ref="A4:Q4"/>
    <mergeCell ref="A10:B10"/>
    <mergeCell ref="A20:Q20"/>
    <mergeCell ref="A29:Q29"/>
    <mergeCell ref="A13:B13"/>
    <mergeCell ref="A28:Q28"/>
    <mergeCell ref="K6:L6"/>
    <mergeCell ref="C35:Q35"/>
    <mergeCell ref="A34:B34"/>
    <mergeCell ref="C38:Q38"/>
    <mergeCell ref="A33:B33"/>
    <mergeCell ref="A5:B5"/>
    <mergeCell ref="G5:H5"/>
    <mergeCell ref="C13:K13"/>
    <mergeCell ref="C37:Q37"/>
    <mergeCell ref="A8:B8"/>
    <mergeCell ref="C34:Q34"/>
    <mergeCell ref="C8:D8"/>
    <mergeCell ref="A23:Q23"/>
    <mergeCell ref="A35:B35"/>
    <mergeCell ref="C15:K15"/>
    <mergeCell ref="A37:B37"/>
    <mergeCell ref="A19:Q19"/>
    <mergeCell ref="A25:Q25"/>
    <mergeCell ref="A12:B12"/>
    <mergeCell ref="A17:Q17"/>
    <mergeCell ref="A26:Q26"/>
    <mergeCell ref="I5:J5"/>
    <mergeCell ref="A14:B14"/>
    <mergeCell ref="A32:B32"/>
    <mergeCell ref="G6:H6"/>
    <mergeCell ref="C33:Q33"/>
    <mergeCell ref="C7:D7"/>
    <mergeCell ref="O6:Q6"/>
    <mergeCell ref="A36:B36"/>
    <mergeCell ref="A2:Q3"/>
    <mergeCell ref="M5:N5"/>
    <mergeCell ref="C36:Q36"/>
    <mergeCell ref="A31:Q31"/>
    <mergeCell ref="A15:B15"/>
    <mergeCell ref="A24:Q24"/>
    <mergeCell ref="E6:F6"/>
    <mergeCell ref="A18:Q18"/>
    <mergeCell ref="A27:Q27"/>
    <mergeCell ref="C32:Q32"/>
    <mergeCell ref="M6:N6"/>
    <mergeCell ref="A21:Q21"/>
    <mergeCell ref="A1:Q1"/>
    <mergeCell ref="A6:B6"/>
    <mergeCell ref="C12:K12"/>
    <mergeCell ref="C11:K11"/>
    <mergeCell ref="A7:B7"/>
    <mergeCell ref="O5:Q5"/>
    <mergeCell ref="C6:D6"/>
    <mergeCell ref="I6:J6"/>
    <mergeCell ref="C10:K10"/>
    <mergeCell ref="A11:B11"/>
    <mergeCell ref="C5:D5"/>
    <mergeCell ref="E5:F5"/>
    <mergeCell ref="K5:L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Q34"/>
  <sheetViews>
    <sheetView showGridLines="0" topLeftCell="A7" workbookViewId="0">
      <selection activeCell="A32" sqref="A32:Q34"/>
    </sheetView>
  </sheetViews>
  <sheetFormatPr baseColWidth="10" defaultColWidth="9.140625" defaultRowHeight="15"/>
  <cols>
    <col min="1" max="1" width="18.5703125" customWidth="1"/>
    <col min="2" max="2" width="1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49"/>
      <c r="C1" s="49"/>
      <c r="D1" s="49"/>
      <c r="E1" s="49"/>
      <c r="F1" s="49"/>
      <c r="G1" s="49"/>
      <c r="H1" s="49"/>
      <c r="I1" s="49"/>
      <c r="J1" s="49"/>
      <c r="K1" s="49"/>
      <c r="L1" s="49"/>
      <c r="M1" s="49"/>
      <c r="N1" s="49"/>
      <c r="O1" s="49"/>
      <c r="P1" s="49"/>
      <c r="Q1" s="49"/>
    </row>
    <row r="2" spans="1:17" ht="15" customHeight="1">
      <c r="A2" s="36" t="s">
        <v>45</v>
      </c>
      <c r="B2" s="49"/>
      <c r="C2" s="49"/>
      <c r="D2" s="49"/>
      <c r="E2" s="49"/>
      <c r="F2" s="49"/>
      <c r="G2" s="49"/>
      <c r="H2" s="49"/>
      <c r="I2" s="49"/>
      <c r="J2" s="49"/>
      <c r="K2" s="49"/>
      <c r="L2" s="49"/>
      <c r="M2" s="49"/>
      <c r="N2" s="49"/>
      <c r="O2" s="49"/>
      <c r="P2" s="49"/>
      <c r="Q2" s="49"/>
    </row>
    <row r="3" spans="1:17" ht="15" customHeight="1">
      <c r="A3" s="49"/>
      <c r="B3" s="49"/>
      <c r="C3" s="49"/>
      <c r="D3" s="49"/>
      <c r="E3" s="49"/>
      <c r="F3" s="49"/>
      <c r="G3" s="49"/>
      <c r="H3" s="49"/>
      <c r="I3" s="49"/>
      <c r="J3" s="49"/>
      <c r="K3" s="49"/>
      <c r="L3" s="49"/>
      <c r="M3" s="49"/>
      <c r="N3" s="49"/>
      <c r="O3" s="49"/>
      <c r="P3" s="49"/>
      <c r="Q3" s="49"/>
    </row>
    <row r="4" spans="1:17" ht="24" customHeight="1">
      <c r="A4" s="97" t="str">
        <f>HYPERLINK("#INICIO!A1","▶  VOLVER A INICIO")</f>
        <v>▶  VOLVER A INICIO</v>
      </c>
      <c r="B4" s="98"/>
      <c r="C4" s="98"/>
      <c r="D4" s="98"/>
      <c r="E4" s="98"/>
    </row>
    <row r="6" spans="1:17" ht="20.100000000000001" customHeight="1">
      <c r="A6" s="38" t="s">
        <v>46</v>
      </c>
      <c r="B6" s="47"/>
      <c r="C6" s="47"/>
      <c r="D6" s="47"/>
      <c r="E6" s="47"/>
      <c r="F6" s="47"/>
      <c r="G6" s="47"/>
      <c r="H6" s="47"/>
      <c r="I6" s="47"/>
      <c r="J6" s="47"/>
      <c r="K6" s="47"/>
      <c r="L6" s="47"/>
      <c r="M6" s="47"/>
      <c r="N6" s="47"/>
      <c r="O6" s="47"/>
      <c r="P6" s="47"/>
      <c r="Q6" s="45"/>
    </row>
    <row r="7" spans="1:17" ht="18" customHeight="1">
      <c r="A7" s="34" t="s">
        <v>47</v>
      </c>
      <c r="B7" s="45"/>
      <c r="C7" s="46" t="s">
        <v>48</v>
      </c>
      <c r="D7" s="47"/>
      <c r="E7" s="47"/>
      <c r="F7" s="47"/>
      <c r="G7" s="47"/>
      <c r="H7" s="47"/>
      <c r="I7" s="47"/>
      <c r="J7" s="47"/>
      <c r="K7" s="45"/>
    </row>
    <row r="8" spans="1:17" ht="18" customHeight="1">
      <c r="A8" s="34" t="s">
        <v>49</v>
      </c>
      <c r="B8" s="45"/>
      <c r="C8" s="46">
        <v>27</v>
      </c>
      <c r="D8" s="47"/>
      <c r="E8" s="47"/>
      <c r="F8" s="47"/>
      <c r="G8" s="47"/>
      <c r="H8" s="47"/>
      <c r="I8" s="47"/>
      <c r="J8" s="47"/>
      <c r="K8" s="45"/>
    </row>
    <row r="9" spans="1:17" ht="18" customHeight="1">
      <c r="A9" s="34" t="s">
        <v>50</v>
      </c>
      <c r="B9" s="45"/>
      <c r="C9" s="46" t="s">
        <v>51</v>
      </c>
      <c r="D9" s="47"/>
      <c r="E9" s="47"/>
      <c r="F9" s="47"/>
      <c r="G9" s="47"/>
      <c r="H9" s="47"/>
      <c r="I9" s="47"/>
      <c r="J9" s="47"/>
      <c r="K9" s="45"/>
    </row>
    <row r="10" spans="1:17" ht="18" customHeight="1">
      <c r="A10" s="34" t="s">
        <v>52</v>
      </c>
      <c r="B10" s="45"/>
      <c r="C10" s="46">
        <v>70</v>
      </c>
      <c r="D10" s="47"/>
      <c r="E10" s="47"/>
      <c r="F10" s="47"/>
      <c r="G10" s="47"/>
      <c r="H10" s="47"/>
      <c r="I10" s="47"/>
      <c r="J10" s="47"/>
      <c r="K10" s="45"/>
      <c r="L10" s="50" t="s">
        <v>53</v>
      </c>
      <c r="M10" s="49"/>
      <c r="N10" s="49"/>
      <c r="O10" s="49"/>
      <c r="P10" s="49"/>
      <c r="Q10" s="49"/>
    </row>
    <row r="11" spans="1:17" ht="18" customHeight="1">
      <c r="A11" s="34" t="s">
        <v>54</v>
      </c>
      <c r="B11" s="45"/>
      <c r="C11" s="46">
        <v>174</v>
      </c>
      <c r="D11" s="47"/>
      <c r="E11" s="47"/>
      <c r="F11" s="47"/>
      <c r="G11" s="47"/>
      <c r="H11" s="47"/>
      <c r="I11" s="47"/>
      <c r="J11" s="47"/>
      <c r="K11" s="45"/>
    </row>
    <row r="12" spans="1:17" ht="18" customHeight="1">
      <c r="A12" s="34" t="s">
        <v>55</v>
      </c>
      <c r="B12" s="45"/>
      <c r="C12" s="46" t="s">
        <v>56</v>
      </c>
      <c r="D12" s="47"/>
      <c r="E12" s="47"/>
      <c r="F12" s="47"/>
      <c r="G12" s="47"/>
      <c r="H12" s="47"/>
      <c r="I12" s="47"/>
      <c r="J12" s="47"/>
      <c r="K12" s="45"/>
      <c r="L12" s="50" t="s">
        <v>57</v>
      </c>
      <c r="M12" s="49"/>
      <c r="N12" s="49"/>
      <c r="O12" s="49"/>
      <c r="P12" s="49"/>
      <c r="Q12" s="49"/>
    </row>
    <row r="13" spans="1:17" ht="18" customHeight="1">
      <c r="A13" s="34" t="s">
        <v>58</v>
      </c>
      <c r="B13" s="45"/>
      <c r="C13" s="46" t="s">
        <v>59</v>
      </c>
      <c r="D13" s="47"/>
      <c r="E13" s="47"/>
      <c r="F13" s="47"/>
      <c r="G13" s="47"/>
      <c r="H13" s="47"/>
      <c r="I13" s="47"/>
      <c r="J13" s="47"/>
      <c r="K13" s="45"/>
    </row>
    <row r="14" spans="1:17" ht="18" customHeight="1">
      <c r="A14" s="34" t="s">
        <v>60</v>
      </c>
      <c r="B14" s="45"/>
      <c r="C14" s="46" t="s">
        <v>61</v>
      </c>
      <c r="D14" s="47"/>
      <c r="E14" s="47"/>
      <c r="F14" s="47"/>
      <c r="G14" s="47"/>
      <c r="H14" s="47"/>
      <c r="I14" s="47"/>
      <c r="J14" s="47"/>
      <c r="K14" s="45"/>
    </row>
    <row r="15" spans="1:17" ht="18" customHeight="1">
      <c r="A15" s="34" t="s">
        <v>62</v>
      </c>
      <c r="B15" s="45"/>
      <c r="C15" s="46" t="s">
        <v>63</v>
      </c>
      <c r="D15" s="47"/>
      <c r="E15" s="47"/>
      <c r="F15" s="47"/>
      <c r="G15" s="47"/>
      <c r="H15" s="47"/>
      <c r="I15" s="47"/>
      <c r="J15" s="47"/>
      <c r="K15" s="45"/>
    </row>
    <row r="17" spans="1:17" ht="20.100000000000001" customHeight="1">
      <c r="A17" s="38" t="s">
        <v>64</v>
      </c>
      <c r="B17" s="47"/>
      <c r="C17" s="47"/>
      <c r="D17" s="47"/>
      <c r="E17" s="47"/>
      <c r="F17" s="47"/>
      <c r="G17" s="47"/>
      <c r="H17" s="47"/>
      <c r="I17" s="47"/>
      <c r="J17" s="47"/>
      <c r="K17" s="47"/>
      <c r="L17" s="47"/>
      <c r="M17" s="47"/>
      <c r="N17" s="47"/>
      <c r="O17" s="47"/>
      <c r="P17" s="47"/>
      <c r="Q17" s="45"/>
    </row>
    <row r="18" spans="1:17" ht="18" customHeight="1">
      <c r="A18" s="34" t="s">
        <v>65</v>
      </c>
      <c r="B18" s="45"/>
      <c r="C18" s="46" t="s">
        <v>66</v>
      </c>
      <c r="D18" s="47"/>
      <c r="E18" s="47"/>
      <c r="F18" s="47"/>
      <c r="G18" s="47"/>
      <c r="H18" s="47"/>
      <c r="I18" s="47"/>
      <c r="J18" s="47"/>
      <c r="K18" s="45"/>
      <c r="L18" s="50" t="s">
        <v>67</v>
      </c>
      <c r="M18" s="49"/>
      <c r="N18" s="49"/>
      <c r="O18" s="49"/>
      <c r="P18" s="49"/>
      <c r="Q18" s="49"/>
    </row>
    <row r="19" spans="1:17" ht="18" customHeight="1">
      <c r="A19" s="34" t="s">
        <v>68</v>
      </c>
      <c r="B19" s="45"/>
      <c r="C19" s="46">
        <v>3</v>
      </c>
      <c r="D19" s="47"/>
      <c r="E19" s="47"/>
      <c r="F19" s="47"/>
      <c r="G19" s="47"/>
      <c r="H19" s="47"/>
      <c r="I19" s="47"/>
      <c r="J19" s="47"/>
      <c r="K19" s="45"/>
    </row>
    <row r="20" spans="1:17" ht="18" customHeight="1">
      <c r="A20" s="34" t="s">
        <v>69</v>
      </c>
      <c r="B20" s="45"/>
      <c r="C20" s="46" t="s">
        <v>70</v>
      </c>
      <c r="D20" s="47"/>
      <c r="E20" s="47"/>
      <c r="F20" s="47"/>
      <c r="G20" s="47"/>
      <c r="H20" s="47"/>
      <c r="I20" s="47"/>
      <c r="J20" s="47"/>
      <c r="K20" s="45"/>
    </row>
    <row r="21" spans="1:17" ht="18" customHeight="1">
      <c r="A21" s="34" t="s">
        <v>71</v>
      </c>
      <c r="B21" s="45"/>
      <c r="C21" s="46" t="s">
        <v>72</v>
      </c>
      <c r="D21" s="47"/>
      <c r="E21" s="47"/>
      <c r="F21" s="47"/>
      <c r="G21" s="47"/>
      <c r="H21" s="47"/>
      <c r="I21" s="47"/>
      <c r="J21" s="47"/>
      <c r="K21" s="45"/>
    </row>
    <row r="22" spans="1:17" ht="18" customHeight="1">
      <c r="A22" s="34" t="s">
        <v>73</v>
      </c>
      <c r="B22" s="45"/>
      <c r="C22" s="46">
        <v>7</v>
      </c>
      <c r="D22" s="47"/>
      <c r="E22" s="47"/>
      <c r="F22" s="47"/>
      <c r="G22" s="47"/>
      <c r="H22" s="47"/>
      <c r="I22" s="47"/>
      <c r="J22" s="47"/>
      <c r="K22" s="45"/>
    </row>
    <row r="23" spans="1:17" ht="18" customHeight="1">
      <c r="A23" s="34" t="s">
        <v>74</v>
      </c>
      <c r="B23" s="45"/>
      <c r="C23" s="46" t="s">
        <v>56</v>
      </c>
      <c r="D23" s="47"/>
      <c r="E23" s="47"/>
      <c r="F23" s="47"/>
      <c r="G23" s="47"/>
      <c r="H23" s="47"/>
      <c r="I23" s="47"/>
      <c r="J23" s="47"/>
      <c r="K23" s="45"/>
    </row>
    <row r="24" spans="1:17" ht="18" customHeight="1">
      <c r="A24" s="34" t="s">
        <v>75</v>
      </c>
      <c r="B24" s="45"/>
      <c r="C24" s="46" t="s">
        <v>18</v>
      </c>
      <c r="D24" s="47"/>
      <c r="E24" s="47"/>
      <c r="F24" s="47"/>
      <c r="G24" s="47"/>
      <c r="H24" s="47"/>
      <c r="I24" s="47"/>
      <c r="J24" s="47"/>
      <c r="K24" s="45"/>
    </row>
    <row r="26" spans="1:17" ht="20.100000000000001" customHeight="1">
      <c r="A26" s="38" t="s">
        <v>76</v>
      </c>
      <c r="B26" s="47"/>
      <c r="C26" s="47"/>
      <c r="D26" s="47"/>
      <c r="E26" s="47"/>
      <c r="F26" s="47"/>
      <c r="G26" s="47"/>
      <c r="H26" s="47"/>
      <c r="I26" s="47"/>
      <c r="J26" s="47"/>
      <c r="K26" s="47"/>
      <c r="L26" s="47"/>
      <c r="M26" s="47"/>
      <c r="N26" s="47"/>
      <c r="O26" s="47"/>
      <c r="P26" s="47"/>
      <c r="Q26" s="45"/>
    </row>
    <row r="27" spans="1:17" ht="18" customHeight="1">
      <c r="A27" s="34" t="s">
        <v>77</v>
      </c>
      <c r="B27" s="45"/>
      <c r="C27" s="51">
        <f>IF(NOT(ISNUMBER(C10)),"ND",k_protMin*C10)</f>
        <v>112</v>
      </c>
      <c r="D27" s="47"/>
      <c r="E27" s="47"/>
      <c r="F27" s="47"/>
      <c r="G27" s="47"/>
      <c r="H27" s="47"/>
      <c r="I27" s="47"/>
      <c r="J27" s="47"/>
      <c r="K27" s="45"/>
    </row>
    <row r="28" spans="1:17" ht="18" customHeight="1">
      <c r="A28" s="34" t="s">
        <v>78</v>
      </c>
      <c r="B28" s="45"/>
      <c r="C28" s="51">
        <f>IF(NOT(ISNUMBER(C10)),"ND",k_protMax*C10)</f>
        <v>154</v>
      </c>
      <c r="D28" s="47"/>
      <c r="E28" s="47"/>
      <c r="F28" s="47"/>
      <c r="G28" s="47"/>
      <c r="H28" s="47"/>
      <c r="I28" s="47"/>
      <c r="J28" s="47"/>
      <c r="K28" s="45"/>
    </row>
    <row r="29" spans="1:17" ht="18" customHeight="1">
      <c r="A29" s="34" t="s">
        <v>79</v>
      </c>
      <c r="B29" s="45"/>
      <c r="C29" s="51">
        <f>IF(NOT(ISNUMBER(C10)),"ND",k_lipMin*C10)</f>
        <v>56</v>
      </c>
      <c r="D29" s="47"/>
      <c r="E29" s="47"/>
      <c r="F29" s="47"/>
      <c r="G29" s="47"/>
      <c r="H29" s="47"/>
      <c r="I29" s="47"/>
      <c r="J29" s="47"/>
      <c r="K29" s="45"/>
    </row>
    <row r="30" spans="1:17" ht="18" customHeight="1">
      <c r="A30" s="34" t="s">
        <v>80</v>
      </c>
      <c r="B30" s="45"/>
      <c r="C30" s="48">
        <v>126</v>
      </c>
      <c r="D30" s="47"/>
      <c r="E30" s="47"/>
      <c r="F30" s="47"/>
      <c r="G30" s="47"/>
      <c r="H30" s="47"/>
      <c r="I30" s="47"/>
      <c r="J30" s="47"/>
      <c r="K30" s="45"/>
      <c r="L30" s="50" t="s">
        <v>81</v>
      </c>
      <c r="M30" s="49"/>
      <c r="N30" s="49"/>
      <c r="O30" s="49"/>
      <c r="P30" s="49"/>
      <c r="Q30" s="49"/>
    </row>
    <row r="32" spans="1:17">
      <c r="A32" s="99" t="s">
        <v>82</v>
      </c>
      <c r="B32" s="100"/>
      <c r="C32" s="100"/>
      <c r="D32" s="100"/>
      <c r="E32" s="100"/>
      <c r="F32" s="100"/>
      <c r="G32" s="100"/>
      <c r="H32" s="100"/>
      <c r="I32" s="100"/>
      <c r="J32" s="100"/>
      <c r="K32" s="100"/>
      <c r="L32" s="100"/>
      <c r="M32" s="100"/>
      <c r="N32" s="100"/>
      <c r="O32" s="100"/>
      <c r="P32" s="100"/>
      <c r="Q32" s="101"/>
    </row>
    <row r="33" spans="1:17">
      <c r="A33" s="102"/>
      <c r="B33" s="103"/>
      <c r="C33" s="103"/>
      <c r="D33" s="103"/>
      <c r="E33" s="103"/>
      <c r="F33" s="103"/>
      <c r="G33" s="103"/>
      <c r="H33" s="103"/>
      <c r="I33" s="103"/>
      <c r="J33" s="103"/>
      <c r="K33" s="103"/>
      <c r="L33" s="103"/>
      <c r="M33" s="103"/>
      <c r="N33" s="103"/>
      <c r="O33" s="103"/>
      <c r="P33" s="103"/>
      <c r="Q33" s="104"/>
    </row>
    <row r="34" spans="1:17">
      <c r="A34" s="105"/>
      <c r="B34" s="106"/>
      <c r="C34" s="106"/>
      <c r="D34" s="106"/>
      <c r="E34" s="106"/>
      <c r="F34" s="106"/>
      <c r="G34" s="106"/>
      <c r="H34" s="106"/>
      <c r="I34" s="106"/>
      <c r="J34" s="106"/>
      <c r="K34" s="106"/>
      <c r="L34" s="106"/>
      <c r="M34" s="106"/>
      <c r="N34" s="106"/>
      <c r="O34" s="106"/>
      <c r="P34" s="106"/>
      <c r="Q34" s="107"/>
    </row>
  </sheetData>
  <sheetProtection algorithmName="SHA-512" hashValue="oit80yG+Sp7BTS7huHIl2XNL77lkOS6CviB+YurnMEBaE0unAythJl+4/Pa2mBJCUZzjK4wwfwx6CqzSqthyPQ==" saltValue="FOZDpSsR0Re1qSNSBKGKPw==" spinCount="100000" sheet="1" objects="1" scenarios="1"/>
  <protectedRanges>
    <protectedRange sqref="C30" name="Rango3"/>
    <protectedRange sqref="C18:K24" name="Rango2"/>
    <protectedRange sqref="C7:K15" name="Rango1"/>
  </protectedRanges>
  <mergeCells count="51">
    <mergeCell ref="A1:Q1"/>
    <mergeCell ref="C21:K21"/>
    <mergeCell ref="A6:Q6"/>
    <mergeCell ref="C11:K11"/>
    <mergeCell ref="A7:B7"/>
    <mergeCell ref="L10:Q10"/>
    <mergeCell ref="C8:K8"/>
    <mergeCell ref="A18:B18"/>
    <mergeCell ref="A12:B12"/>
    <mergeCell ref="C7:K7"/>
    <mergeCell ref="A21:B21"/>
    <mergeCell ref="C19:K19"/>
    <mergeCell ref="A4:E4"/>
    <mergeCell ref="A14:B14"/>
    <mergeCell ref="A8:B8"/>
    <mergeCell ref="L18:Q18"/>
    <mergeCell ref="A32:Q34"/>
    <mergeCell ref="A9:B9"/>
    <mergeCell ref="L12:Q12"/>
    <mergeCell ref="C29:K29"/>
    <mergeCell ref="C9:K9"/>
    <mergeCell ref="A2:Q3"/>
    <mergeCell ref="L30:Q30"/>
    <mergeCell ref="C12:K12"/>
    <mergeCell ref="C27:K27"/>
    <mergeCell ref="C23:K23"/>
    <mergeCell ref="A27:B27"/>
    <mergeCell ref="C28:K28"/>
    <mergeCell ref="A26:Q26"/>
    <mergeCell ref="A23:B23"/>
    <mergeCell ref="A22:B22"/>
    <mergeCell ref="C24:K24"/>
    <mergeCell ref="A20:B20"/>
    <mergeCell ref="A24:B24"/>
    <mergeCell ref="C13:K13"/>
    <mergeCell ref="A30:B30"/>
    <mergeCell ref="A15:B15"/>
    <mergeCell ref="C10:K10"/>
    <mergeCell ref="A11:B11"/>
    <mergeCell ref="C15:K15"/>
    <mergeCell ref="A17:Q17"/>
    <mergeCell ref="C30:K30"/>
    <mergeCell ref="A29:B29"/>
    <mergeCell ref="A19:B19"/>
    <mergeCell ref="C14:K14"/>
    <mergeCell ref="A10:B10"/>
    <mergeCell ref="A28:B28"/>
    <mergeCell ref="C20:K20"/>
    <mergeCell ref="A13:B13"/>
    <mergeCell ref="C22:K22"/>
    <mergeCell ref="C18:K18"/>
  </mergeCells>
  <dataValidations count="3">
    <dataValidation type="list" allowBlank="1" sqref="C15" xr:uid="{00000000-0002-0000-0100-000000000000}">
      <formula1>lst_si</formula1>
    </dataValidation>
    <dataValidation type="list" allowBlank="1" sqref="C18" xr:uid="{00000000-0002-0000-0100-000001000000}">
      <formula1>lst_fase</formula1>
    </dataValidation>
    <dataValidation type="list" allowBlank="1" sqref="C20" xr:uid="{00000000-0002-0000-0100-000002000000}">
      <formula1>lst_objetivo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6B72"/>
  </sheetPr>
  <dimension ref="A1:Q26"/>
  <sheetViews>
    <sheetView showGridLines="0" topLeftCell="A13" workbookViewId="0">
      <selection activeCell="C19" sqref="C19:K19"/>
    </sheetView>
  </sheetViews>
  <sheetFormatPr baseColWidth="10" defaultColWidth="9.140625" defaultRowHeight="15"/>
  <cols>
    <col min="1" max="1" width="20.5703125" customWidth="1"/>
    <col min="2" max="2" width="30" customWidth="1"/>
    <col min="3" max="3" width="13" customWidth="1"/>
    <col min="4" max="4" width="15" customWidth="1"/>
    <col min="5" max="5" width="34" customWidth="1"/>
    <col min="6" max="6" width="20.28515625" customWidth="1"/>
    <col min="7" max="7" width="2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49"/>
      <c r="C1" s="49"/>
      <c r="D1" s="49"/>
      <c r="E1" s="49"/>
      <c r="F1" s="49"/>
      <c r="G1" s="49"/>
      <c r="H1" s="49"/>
      <c r="I1" s="49"/>
      <c r="J1" s="49"/>
      <c r="K1" s="49"/>
      <c r="L1" s="49"/>
      <c r="M1" s="49"/>
      <c r="N1" s="49"/>
      <c r="O1" s="49"/>
      <c r="P1" s="49"/>
      <c r="Q1" s="49"/>
    </row>
    <row r="2" spans="1:17" ht="15" customHeight="1">
      <c r="A2" s="36" t="s">
        <v>83</v>
      </c>
      <c r="B2" s="49"/>
      <c r="C2" s="49"/>
      <c r="D2" s="49"/>
      <c r="E2" s="49"/>
      <c r="F2" s="49"/>
      <c r="G2" s="49"/>
      <c r="H2" s="49"/>
      <c r="I2" s="49"/>
      <c r="J2" s="49"/>
      <c r="K2" s="49"/>
      <c r="L2" s="49"/>
      <c r="M2" s="49"/>
      <c r="N2" s="49"/>
      <c r="O2" s="49"/>
      <c r="P2" s="49"/>
      <c r="Q2" s="49"/>
    </row>
    <row r="3" spans="1:17" ht="15" customHeight="1">
      <c r="A3" s="49"/>
      <c r="B3" s="49"/>
      <c r="C3" s="49"/>
      <c r="D3" s="49"/>
      <c r="E3" s="49"/>
      <c r="F3" s="49"/>
      <c r="G3" s="49"/>
      <c r="H3" s="49"/>
      <c r="I3" s="49"/>
      <c r="J3" s="49"/>
      <c r="K3" s="49"/>
      <c r="L3" s="49"/>
      <c r="M3" s="49"/>
      <c r="N3" s="49"/>
      <c r="O3" s="49"/>
      <c r="P3" s="49"/>
      <c r="Q3" s="49"/>
    </row>
    <row r="4" spans="1:17" ht="24" customHeight="1">
      <c r="A4" s="33" t="str">
        <f>HYPERLINK("#INICIO!A1","▶  VOLVER A INICIO")</f>
        <v>▶  VOLVER A INICIO</v>
      </c>
      <c r="B4" s="45"/>
    </row>
    <row r="6" spans="1:17" ht="20.100000000000001" customHeight="1">
      <c r="A6" s="38" t="s">
        <v>84</v>
      </c>
      <c r="B6" s="47"/>
      <c r="C6" s="47"/>
      <c r="D6" s="47"/>
      <c r="E6" s="47"/>
      <c r="F6" s="47"/>
      <c r="G6" s="47"/>
      <c r="H6" s="47"/>
      <c r="I6" s="47"/>
      <c r="J6" s="47"/>
      <c r="K6" s="47"/>
      <c r="L6" s="47"/>
      <c r="M6" s="47"/>
      <c r="N6" s="47"/>
      <c r="O6" s="47"/>
      <c r="P6" s="47"/>
      <c r="Q6" s="45"/>
    </row>
    <row r="7" spans="1:17" ht="39.950000000000003" customHeight="1">
      <c r="A7" s="116" t="s">
        <v>85</v>
      </c>
      <c r="B7" s="116" t="s">
        <v>86</v>
      </c>
      <c r="C7" s="116" t="s">
        <v>87</v>
      </c>
      <c r="D7" s="116" t="s">
        <v>88</v>
      </c>
      <c r="E7" s="116" t="s">
        <v>89</v>
      </c>
      <c r="F7" s="116" t="s">
        <v>90</v>
      </c>
      <c r="G7" s="116" t="s">
        <v>91</v>
      </c>
    </row>
    <row r="8" spans="1:17" ht="20.100000000000001" customHeight="1">
      <c r="A8" s="3" t="s">
        <v>92</v>
      </c>
      <c r="B8" s="6" t="s">
        <v>93</v>
      </c>
      <c r="C8" s="3">
        <v>0</v>
      </c>
      <c r="D8" s="3" t="s">
        <v>101</v>
      </c>
      <c r="E8" s="6" t="s">
        <v>94</v>
      </c>
      <c r="F8" s="3">
        <v>24</v>
      </c>
      <c r="G8" s="21" t="str">
        <f t="shared" ref="G8:G14" si="0">IF($B8="","",IF(COUNTIF(lst_sesion,$B8)=0,"ND: tipo no definido",INDEX(rng_sesion,MATCH($B8,lst_sesion,0),7)))</f>
        <v>Reducida</v>
      </c>
    </row>
    <row r="9" spans="1:17" ht="20.100000000000001" customHeight="1">
      <c r="A9" s="3" t="s">
        <v>95</v>
      </c>
      <c r="B9" s="6" t="s">
        <v>96</v>
      </c>
      <c r="C9" s="3">
        <v>75</v>
      </c>
      <c r="D9" s="3" t="s">
        <v>97</v>
      </c>
      <c r="E9" s="6" t="s">
        <v>98</v>
      </c>
      <c r="F9" s="3">
        <v>20</v>
      </c>
      <c r="G9" s="21" t="str">
        <f t="shared" si="0"/>
        <v>Alta</v>
      </c>
    </row>
    <row r="10" spans="1:17" ht="20.100000000000001" customHeight="1">
      <c r="A10" s="3" t="s">
        <v>99</v>
      </c>
      <c r="B10" s="6" t="s">
        <v>100</v>
      </c>
      <c r="C10" s="3">
        <v>60</v>
      </c>
      <c r="D10" s="3" t="s">
        <v>101</v>
      </c>
      <c r="E10" s="6" t="s">
        <v>102</v>
      </c>
      <c r="F10" s="3">
        <v>26</v>
      </c>
      <c r="G10" s="21" t="str">
        <f t="shared" si="0"/>
        <v>Reducida</v>
      </c>
    </row>
    <row r="11" spans="1:17" ht="20.100000000000001" customHeight="1">
      <c r="A11" s="3" t="s">
        <v>103</v>
      </c>
      <c r="B11" s="6" t="s">
        <v>96</v>
      </c>
      <c r="C11" s="3">
        <v>90</v>
      </c>
      <c r="D11" s="3" t="s">
        <v>101</v>
      </c>
      <c r="E11" s="6" t="s">
        <v>104</v>
      </c>
      <c r="F11" s="3">
        <v>22</v>
      </c>
      <c r="G11" s="21" t="str">
        <f t="shared" si="0"/>
        <v>Alta</v>
      </c>
    </row>
    <row r="12" spans="1:17" ht="20.100000000000001" customHeight="1">
      <c r="A12" s="3" t="s">
        <v>105</v>
      </c>
      <c r="B12" s="6" t="s">
        <v>100</v>
      </c>
      <c r="C12" s="3">
        <v>45</v>
      </c>
      <c r="D12" s="3" t="s">
        <v>101</v>
      </c>
      <c r="E12" s="6" t="s">
        <v>106</v>
      </c>
      <c r="F12" s="3">
        <v>20</v>
      </c>
      <c r="G12" s="21" t="str">
        <f t="shared" si="0"/>
        <v>Reducida</v>
      </c>
    </row>
    <row r="13" spans="1:17" ht="20.100000000000001" customHeight="1">
      <c r="A13" s="3" t="s">
        <v>107</v>
      </c>
      <c r="B13" s="6" t="s">
        <v>108</v>
      </c>
      <c r="C13" s="3">
        <v>180</v>
      </c>
      <c r="D13" s="3" t="s">
        <v>101</v>
      </c>
      <c r="E13" s="6" t="s">
        <v>109</v>
      </c>
      <c r="F13" s="3">
        <v>22</v>
      </c>
      <c r="G13" s="21" t="str">
        <f t="shared" si="0"/>
        <v>Alta</v>
      </c>
    </row>
    <row r="14" spans="1:17" ht="20.100000000000001" customHeight="1">
      <c r="A14" s="3" t="s">
        <v>110</v>
      </c>
      <c r="B14" s="6" t="s">
        <v>111</v>
      </c>
      <c r="C14" s="3">
        <v>90</v>
      </c>
      <c r="D14" s="3" t="s">
        <v>101</v>
      </c>
      <c r="E14" s="6" t="s">
        <v>112</v>
      </c>
      <c r="F14" s="3">
        <v>24</v>
      </c>
      <c r="G14" s="21" t="str">
        <f t="shared" si="0"/>
        <v>Media</v>
      </c>
    </row>
    <row r="15" spans="1:17">
      <c r="A15" s="114" t="s">
        <v>113</v>
      </c>
      <c r="B15" s="115"/>
      <c r="C15" s="8">
        <f>SUM(C8:C14)</f>
        <v>540</v>
      </c>
      <c r="D15" s="8"/>
      <c r="E15" s="8"/>
      <c r="F15" s="8"/>
      <c r="G15" s="8"/>
    </row>
    <row r="17" spans="1:17" ht="20.100000000000001" customHeight="1">
      <c r="A17" s="38" t="s">
        <v>114</v>
      </c>
      <c r="B17" s="47"/>
      <c r="C17" s="47"/>
      <c r="D17" s="47"/>
      <c r="E17" s="47"/>
      <c r="F17" s="47"/>
      <c r="G17" s="47"/>
      <c r="H17" s="47"/>
      <c r="I17" s="47"/>
      <c r="J17" s="47"/>
      <c r="K17" s="47"/>
      <c r="L17" s="47"/>
      <c r="M17" s="47"/>
      <c r="N17" s="47"/>
      <c r="O17" s="47"/>
      <c r="P17" s="47"/>
      <c r="Q17" s="45"/>
    </row>
    <row r="18" spans="1:17" ht="39.75" customHeight="1">
      <c r="A18" s="108" t="s">
        <v>115</v>
      </c>
      <c r="B18" s="109"/>
      <c r="C18" s="112">
        <f>IF(NOT(ISNUMBER(C15)),"ND",C15/60)</f>
        <v>9</v>
      </c>
      <c r="D18" s="63"/>
      <c r="E18" s="63"/>
      <c r="F18" s="63"/>
      <c r="G18" s="63"/>
      <c r="H18" s="63"/>
      <c r="I18" s="63"/>
      <c r="J18" s="63"/>
      <c r="K18" s="64"/>
    </row>
    <row r="19" spans="1:17" ht="39.75" customHeight="1">
      <c r="A19" s="108" t="s">
        <v>116</v>
      </c>
      <c r="B19" s="109"/>
      <c r="C19" s="112">
        <f>COUNTIFS(C8:C14,"&gt;0")</f>
        <v>6</v>
      </c>
      <c r="D19" s="63"/>
      <c r="E19" s="63"/>
      <c r="F19" s="63"/>
      <c r="G19" s="63"/>
      <c r="H19" s="63"/>
      <c r="I19" s="63"/>
      <c r="J19" s="63"/>
      <c r="K19" s="64"/>
    </row>
    <row r="20" spans="1:17" ht="39.75" customHeight="1">
      <c r="A20" s="108" t="s">
        <v>117</v>
      </c>
      <c r="B20" s="109"/>
      <c r="C20" s="112">
        <f>COUNTIFS(C8:C14,"&gt;0",G8:G14,"Reducida")</f>
        <v>2</v>
      </c>
      <c r="D20" s="63"/>
      <c r="E20" s="63"/>
      <c r="F20" s="63"/>
      <c r="G20" s="63"/>
      <c r="H20" s="63"/>
      <c r="I20" s="63"/>
      <c r="J20" s="63"/>
      <c r="K20" s="64"/>
    </row>
    <row r="21" spans="1:17" ht="39.75" customHeight="1">
      <c r="A21" s="108" t="s">
        <v>118</v>
      </c>
      <c r="B21" s="109"/>
      <c r="C21" s="113">
        <f>IF(OR(NOT(ISNUMBER(C19)),C19=0),"ND",C20/C19)</f>
        <v>0.33333333333333331</v>
      </c>
      <c r="D21" s="63"/>
      <c r="E21" s="63"/>
      <c r="F21" s="63"/>
      <c r="G21" s="63"/>
      <c r="H21" s="63"/>
      <c r="I21" s="63"/>
      <c r="J21" s="63"/>
      <c r="K21" s="64"/>
    </row>
    <row r="22" spans="1:17" ht="39.75" customHeight="1">
      <c r="A22" s="108" t="s">
        <v>119</v>
      </c>
      <c r="B22" s="109"/>
      <c r="C22" s="62" t="str">
        <f>IF(NOT(ISNUMBER(C21)),"ND",IF(C21&lt;u_lowMin,"Pocas sesiones con disponibilidad reducida: hay margen para incorporar alguna si el objetivo es adaptativo.",IF(C21&lt;=u_lowMax,"La proporción de sesiones con disponibilidad reducida está dentro del rango habitual.","Demasiadas sesiones con disponibilidad reducida: riesgo de comprometer la calidad del entrenamiento y la recuperación.")))</f>
        <v>La proporción de sesiones con disponibilidad reducida está dentro del rango habitual.</v>
      </c>
      <c r="D22" s="63"/>
      <c r="E22" s="63"/>
      <c r="F22" s="63"/>
      <c r="G22" s="63"/>
      <c r="H22" s="63"/>
      <c r="I22" s="63"/>
      <c r="J22" s="63"/>
      <c r="K22" s="64"/>
    </row>
    <row r="24" spans="1:17">
      <c r="A24" s="99" t="s">
        <v>120</v>
      </c>
      <c r="B24" s="100"/>
      <c r="C24" s="100"/>
      <c r="D24" s="100"/>
      <c r="E24" s="100"/>
      <c r="F24" s="100"/>
      <c r="G24" s="100"/>
      <c r="H24" s="100"/>
      <c r="I24" s="100"/>
      <c r="J24" s="100"/>
      <c r="K24" s="100"/>
      <c r="L24" s="100"/>
      <c r="M24" s="100"/>
      <c r="N24" s="100"/>
      <c r="O24" s="100"/>
      <c r="P24" s="100"/>
      <c r="Q24" s="101"/>
    </row>
    <row r="25" spans="1:17">
      <c r="A25" s="102"/>
      <c r="B25" s="103"/>
      <c r="C25" s="103"/>
      <c r="D25" s="103"/>
      <c r="E25" s="103"/>
      <c r="F25" s="103"/>
      <c r="G25" s="103"/>
      <c r="H25" s="103"/>
      <c r="I25" s="103"/>
      <c r="J25" s="103"/>
      <c r="K25" s="103"/>
      <c r="L25" s="103"/>
      <c r="M25" s="103"/>
      <c r="N25" s="103"/>
      <c r="O25" s="103"/>
      <c r="P25" s="103"/>
      <c r="Q25" s="104"/>
    </row>
    <row r="26" spans="1:17">
      <c r="A26" s="105"/>
      <c r="B26" s="106"/>
      <c r="C26" s="106"/>
      <c r="D26" s="106"/>
      <c r="E26" s="106"/>
      <c r="F26" s="106"/>
      <c r="G26" s="106"/>
      <c r="H26" s="106"/>
      <c r="I26" s="106"/>
      <c r="J26" s="106"/>
      <c r="K26" s="106"/>
      <c r="L26" s="106"/>
      <c r="M26" s="106"/>
      <c r="N26" s="106"/>
      <c r="O26" s="106"/>
      <c r="P26" s="106"/>
      <c r="Q26" s="107"/>
    </row>
  </sheetData>
  <sheetProtection algorithmName="SHA-512" hashValue="t3JMqL/e8HHFlHA1bHPHR96n8hW8NoVRyDACcFOZF6KkmgzBFJ5Dno/M7j9fNtOT0LvpmdYRL/tNKwfgcm7cHw==" saltValue="2irH4hmmA2lBLXqVoJm7nw==" spinCount="100000" sheet="1" objects="1" scenarios="1"/>
  <protectedRanges>
    <protectedRange sqref="A8:F14" name="Rango1"/>
  </protectedRanges>
  <mergeCells count="17">
    <mergeCell ref="A1:Q1"/>
    <mergeCell ref="A22:B22"/>
    <mergeCell ref="C22:K22"/>
    <mergeCell ref="C18:K18"/>
    <mergeCell ref="A2:Q3"/>
    <mergeCell ref="A24:Q26"/>
    <mergeCell ref="A18:B18"/>
    <mergeCell ref="C20:K20"/>
    <mergeCell ref="A4:B4"/>
    <mergeCell ref="C21:K21"/>
    <mergeCell ref="A6:Q6"/>
    <mergeCell ref="A20:B20"/>
    <mergeCell ref="A17:Q17"/>
    <mergeCell ref="A21:B21"/>
    <mergeCell ref="A15:B15"/>
    <mergeCell ref="C19:K19"/>
    <mergeCell ref="A19:B19"/>
  </mergeCells>
  <dataValidations count="2">
    <dataValidation type="list" allowBlank="1" sqref="A8:A14" xr:uid="{00000000-0002-0000-0200-000000000000}">
      <formula1>lst_dia</formula1>
    </dataValidation>
    <dataValidation type="list" allowBlank="1" sqref="B8:B14" xr:uid="{00000000-0002-0000-0200-000001000000}">
      <formula1>lst_sesion</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2000000}">
          <x14:formula1>
            <xm:f>CONFIG!$I$33:$I$36</xm:f>
          </x14:formula1>
          <xm:sqref>D8:D14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FF0E3"/>
  </sheetPr>
  <dimension ref="A1:Q30"/>
  <sheetViews>
    <sheetView showGridLines="0" topLeftCell="A16" workbookViewId="0">
      <selection activeCell="A28" sqref="A28:Q30"/>
    </sheetView>
  </sheetViews>
  <sheetFormatPr baseColWidth="10" defaultColWidth="9.140625" defaultRowHeight="15"/>
  <cols>
    <col min="1" max="1" width="13" customWidth="1"/>
    <col min="2" max="2" width="30.42578125" customWidth="1"/>
    <col min="3" max="3" width="7" customWidth="1"/>
    <col min="4" max="11" width="16.5703125" customWidth="1"/>
    <col min="12" max="12" width="19.85546875" customWidth="1"/>
    <col min="13" max="16" width="11" customWidth="1"/>
    <col min="17" max="17" width="12" customWidth="1"/>
  </cols>
  <sheetData>
    <row r="1" spans="1:17" ht="25.5" customHeight="1">
      <c r="A1" s="29" t="s">
        <v>0</v>
      </c>
      <c r="B1" s="49"/>
      <c r="C1" s="49"/>
      <c r="D1" s="49"/>
      <c r="E1" s="49"/>
      <c r="F1" s="49"/>
      <c r="G1" s="49"/>
      <c r="H1" s="49"/>
      <c r="I1" s="49"/>
      <c r="J1" s="49"/>
      <c r="K1" s="49"/>
      <c r="L1" s="49"/>
      <c r="M1" s="49"/>
      <c r="N1" s="49"/>
      <c r="O1" s="49"/>
      <c r="P1" s="49"/>
      <c r="Q1" s="49"/>
    </row>
    <row r="2" spans="1:17" ht="15" customHeight="1">
      <c r="A2" s="36" t="s">
        <v>121</v>
      </c>
      <c r="B2" s="49"/>
      <c r="C2" s="49"/>
      <c r="D2" s="49"/>
      <c r="E2" s="49"/>
      <c r="F2" s="49"/>
      <c r="G2" s="49"/>
      <c r="H2" s="49"/>
      <c r="I2" s="49"/>
      <c r="J2" s="49"/>
      <c r="K2" s="49"/>
      <c r="L2" s="49"/>
      <c r="M2" s="49"/>
      <c r="N2" s="49"/>
      <c r="O2" s="49"/>
      <c r="P2" s="49"/>
      <c r="Q2" s="49"/>
    </row>
    <row r="3" spans="1:17" ht="15" customHeight="1">
      <c r="A3" s="49"/>
      <c r="B3" s="49"/>
      <c r="C3" s="49"/>
      <c r="D3" s="49"/>
      <c r="E3" s="49"/>
      <c r="F3" s="49"/>
      <c r="G3" s="49"/>
      <c r="H3" s="49"/>
      <c r="I3" s="49"/>
      <c r="J3" s="49"/>
      <c r="K3" s="49"/>
      <c r="L3" s="49"/>
      <c r="M3" s="49"/>
      <c r="N3" s="49"/>
      <c r="O3" s="49"/>
      <c r="P3" s="49"/>
      <c r="Q3" s="49"/>
    </row>
    <row r="4" spans="1:17" ht="24" customHeight="1">
      <c r="A4" s="33" t="str">
        <f>HYPERLINK("#INICIO!A1","▶  VOLVER A INICIO")</f>
        <v>▶  VOLVER A INICIO</v>
      </c>
      <c r="B4" s="45"/>
    </row>
    <row r="6" spans="1:17" ht="20.100000000000001" customHeight="1">
      <c r="A6" s="38" t="s">
        <v>122</v>
      </c>
      <c r="B6" s="47"/>
      <c r="C6" s="47"/>
      <c r="D6" s="47"/>
      <c r="E6" s="47"/>
      <c r="F6" s="47"/>
      <c r="G6" s="47"/>
      <c r="H6" s="47"/>
      <c r="I6" s="47"/>
      <c r="J6" s="47"/>
      <c r="K6" s="47"/>
      <c r="L6" s="47"/>
      <c r="M6" s="47"/>
      <c r="N6" s="47"/>
      <c r="O6" s="47"/>
      <c r="P6" s="47"/>
      <c r="Q6" s="45"/>
    </row>
    <row r="7" spans="1:17" ht="44.1" customHeight="1">
      <c r="A7" s="1" t="s">
        <v>85</v>
      </c>
      <c r="B7" s="1" t="s">
        <v>86</v>
      </c>
      <c r="C7" s="1" t="s">
        <v>123</v>
      </c>
      <c r="D7" s="1" t="s">
        <v>124</v>
      </c>
      <c r="E7" s="1" t="s">
        <v>125</v>
      </c>
      <c r="F7" s="1" t="s">
        <v>126</v>
      </c>
      <c r="G7" s="1" t="s">
        <v>127</v>
      </c>
      <c r="H7" s="1" t="s">
        <v>128</v>
      </c>
      <c r="I7" s="1" t="s">
        <v>129</v>
      </c>
      <c r="J7" s="1" t="s">
        <v>130</v>
      </c>
      <c r="K7" s="1" t="s">
        <v>131</v>
      </c>
      <c r="L7" s="1" t="s">
        <v>132</v>
      </c>
    </row>
    <row r="8" spans="1:17" ht="26.25" customHeight="1">
      <c r="A8" s="152" t="str">
        <f>IF(MICROCICLO!A8="","",MICROCICLO!A8)</f>
        <v>Lunes</v>
      </c>
      <c r="B8" s="26" t="str">
        <f>IF(MICROCICLO!B8="","",MICROCICLO!B8)</f>
        <v>Descanso</v>
      </c>
      <c r="C8" s="146">
        <f>IF(MICROCICLO!C8="","",MICROCICLO!C8)</f>
        <v>0</v>
      </c>
      <c r="D8" s="147">
        <f t="shared" ref="D8:D14" si="0">IF($B8="","",IF(COUNTIF(lst_sesion,$B8)=0,"ND",INDEX(rng_sesion,MATCH($B8,lst_sesion,0),2)))</f>
        <v>3</v>
      </c>
      <c r="E8" s="147">
        <f t="shared" ref="E8:E14" si="1">IF($B8="","",IF(COUNTIF(lst_sesion,$B8)=0,"ND",INDEX(rng_sesion,MATCH($B8,lst_sesion,0),3)))</f>
        <v>5</v>
      </c>
      <c r="F8" s="7">
        <f t="shared" ref="F8:F14" si="2">IF(OR(NOT(ISNUMBER($D8)),NOT(ISNUMBER(v_peso))),"ND",$D8*v_peso)</f>
        <v>210</v>
      </c>
      <c r="G8" s="7">
        <f t="shared" ref="G8:G14" si="3">IF(OR(NOT(ISNUMBER($E8)),NOT(ISNUMBER(v_peso))),"ND",$E8*v_peso)</f>
        <v>350</v>
      </c>
      <c r="H8" s="148">
        <f t="shared" ref="H8:H14" si="4">IF($B8="","",IF(NOT(ISNUMBER(v_protObj)),"ND",v_protObj))</f>
        <v>126</v>
      </c>
      <c r="I8" s="148">
        <f t="shared" ref="I8:I14" si="5">IF(OR($B8="",NOT(ISNUMBER(v_peso))),"",k_lipMin*v_peso)</f>
        <v>56</v>
      </c>
      <c r="J8" s="148">
        <f t="shared" ref="J8:J14" si="6">IF(OR(NOT(ISNUMBER($F8)),NOT(ISNUMBER($H8)),NOT(ISNUMBER($I8))),"ND",$F8*k_cho+$H8*k_prot+$I8*k_lip)</f>
        <v>1848</v>
      </c>
      <c r="K8" s="148">
        <f t="shared" ref="K8:K14" si="7">IF(OR(NOT(ISNUMBER($G8)),NOT(ISNUMBER($H8)),NOT(ISNUMBER($I8))),"ND",$G8*k_cho+$H8*k_prot+$I8*k_lip)</f>
        <v>2408</v>
      </c>
      <c r="L8" s="149" t="str">
        <f t="shared" ref="L8:L14" si="8">IF($B8="","",IF(NOT(ISNUMBER($E8)),"ND",IF($D8&gt;=8,"ALTO",IF($D8&gt;=6,"MEDIO-ALTO",IF($D8&gt;=5,"MEDIO","BAJO")))))</f>
        <v>BAJO</v>
      </c>
    </row>
    <row r="9" spans="1:17" ht="26.25" customHeight="1">
      <c r="A9" s="152" t="str">
        <f>IF(MICROCICLO!A9="","",MICROCICLO!A9)</f>
        <v>Martes</v>
      </c>
      <c r="B9" s="26" t="str">
        <f>IF(MICROCICLO!B9="","",MICROCICLO!B9)</f>
        <v>Alta intensidad o intervalos</v>
      </c>
      <c r="C9" s="146">
        <f>IF(MICROCICLO!C9="","",MICROCICLO!C9)</f>
        <v>75</v>
      </c>
      <c r="D9" s="147">
        <f t="shared" si="0"/>
        <v>6</v>
      </c>
      <c r="E9" s="147">
        <f t="shared" si="1"/>
        <v>10</v>
      </c>
      <c r="F9" s="7">
        <f t="shared" si="2"/>
        <v>420</v>
      </c>
      <c r="G9" s="7">
        <f t="shared" si="3"/>
        <v>700</v>
      </c>
      <c r="H9" s="148">
        <f t="shared" si="4"/>
        <v>126</v>
      </c>
      <c r="I9" s="148">
        <f t="shared" si="5"/>
        <v>56</v>
      </c>
      <c r="J9" s="148">
        <f t="shared" si="6"/>
        <v>2688</v>
      </c>
      <c r="K9" s="148">
        <f t="shared" si="7"/>
        <v>3808</v>
      </c>
      <c r="L9" s="149" t="str">
        <f t="shared" si="8"/>
        <v>MEDIO-ALTO</v>
      </c>
    </row>
    <row r="10" spans="1:17" ht="26.25" customHeight="1">
      <c r="A10" s="152" t="str">
        <f>IF(MICROCICLO!A10="","",MICROCICLO!A10)</f>
        <v>Miércoles</v>
      </c>
      <c r="B10" s="26" t="str">
        <f>IF(MICROCICLO!B10="","",MICROCICLO!B10)</f>
        <v>Suave o regenerativa</v>
      </c>
      <c r="C10" s="146">
        <f>IF(MICROCICLO!C10="","",MICROCICLO!C10)</f>
        <v>60</v>
      </c>
      <c r="D10" s="147">
        <f t="shared" si="0"/>
        <v>3</v>
      </c>
      <c r="E10" s="147">
        <f t="shared" si="1"/>
        <v>5</v>
      </c>
      <c r="F10" s="7">
        <f t="shared" si="2"/>
        <v>210</v>
      </c>
      <c r="G10" s="7">
        <f t="shared" si="3"/>
        <v>350</v>
      </c>
      <c r="H10" s="148">
        <f t="shared" si="4"/>
        <v>126</v>
      </c>
      <c r="I10" s="148">
        <f t="shared" si="5"/>
        <v>56</v>
      </c>
      <c r="J10" s="148">
        <f t="shared" si="6"/>
        <v>1848</v>
      </c>
      <c r="K10" s="148">
        <f t="shared" si="7"/>
        <v>2408</v>
      </c>
      <c r="L10" s="149" t="str">
        <f t="shared" si="8"/>
        <v>BAJO</v>
      </c>
    </row>
    <row r="11" spans="1:17" ht="26.25" customHeight="1">
      <c r="A11" s="152" t="str">
        <f>IF(MICROCICLO!A11="","",MICROCICLO!A11)</f>
        <v>Jueves</v>
      </c>
      <c r="B11" s="26" t="str">
        <f>IF(MICROCICLO!B11="","",MICROCICLO!B11)</f>
        <v>Alta intensidad o intervalos</v>
      </c>
      <c r="C11" s="146">
        <f>IF(MICROCICLO!C11="","",MICROCICLO!C11)</f>
        <v>90</v>
      </c>
      <c r="D11" s="147">
        <f t="shared" si="0"/>
        <v>6</v>
      </c>
      <c r="E11" s="147">
        <f t="shared" si="1"/>
        <v>10</v>
      </c>
      <c r="F11" s="7">
        <f t="shared" si="2"/>
        <v>420</v>
      </c>
      <c r="G11" s="7">
        <f t="shared" si="3"/>
        <v>700</v>
      </c>
      <c r="H11" s="148">
        <f t="shared" si="4"/>
        <v>126</v>
      </c>
      <c r="I11" s="148">
        <f t="shared" si="5"/>
        <v>56</v>
      </c>
      <c r="J11" s="148">
        <f t="shared" si="6"/>
        <v>2688</v>
      </c>
      <c r="K11" s="148">
        <f t="shared" si="7"/>
        <v>3808</v>
      </c>
      <c r="L11" s="149" t="str">
        <f t="shared" si="8"/>
        <v>MEDIO-ALTO</v>
      </c>
    </row>
    <row r="12" spans="1:17" ht="26.25" customHeight="1">
      <c r="A12" s="152" t="str">
        <f>IF(MICROCICLO!A12="","",MICROCICLO!A12)</f>
        <v>Viernes</v>
      </c>
      <c r="B12" s="26" t="str">
        <f>IF(MICROCICLO!B12="","",MICROCICLO!B12)</f>
        <v>Suave o regenerativa</v>
      </c>
      <c r="C12" s="146">
        <f>IF(MICROCICLO!C12="","",MICROCICLO!C12)</f>
        <v>45</v>
      </c>
      <c r="D12" s="147">
        <f t="shared" si="0"/>
        <v>3</v>
      </c>
      <c r="E12" s="147">
        <f t="shared" si="1"/>
        <v>5</v>
      </c>
      <c r="F12" s="7">
        <f t="shared" si="2"/>
        <v>210</v>
      </c>
      <c r="G12" s="7">
        <f t="shared" si="3"/>
        <v>350</v>
      </c>
      <c r="H12" s="148">
        <f t="shared" si="4"/>
        <v>126</v>
      </c>
      <c r="I12" s="148">
        <f t="shared" si="5"/>
        <v>56</v>
      </c>
      <c r="J12" s="148">
        <f t="shared" si="6"/>
        <v>1848</v>
      </c>
      <c r="K12" s="148">
        <f t="shared" si="7"/>
        <v>2408</v>
      </c>
      <c r="L12" s="149" t="str">
        <f t="shared" si="8"/>
        <v>BAJO</v>
      </c>
    </row>
    <row r="13" spans="1:17" ht="26.25" customHeight="1">
      <c r="A13" s="152" t="str">
        <f>IF(MICROCICLO!A13="","",MICROCICLO!A13)</f>
        <v>Sábado</v>
      </c>
      <c r="B13" s="26" t="str">
        <f>IF(MICROCICLO!B13="","",MICROCICLO!B13)</f>
        <v>Larga o fondo</v>
      </c>
      <c r="C13" s="146">
        <f>IF(MICROCICLO!C13="","",MICROCICLO!C13)</f>
        <v>180</v>
      </c>
      <c r="D13" s="147">
        <f t="shared" si="0"/>
        <v>8</v>
      </c>
      <c r="E13" s="147">
        <f t="shared" si="1"/>
        <v>12</v>
      </c>
      <c r="F13" s="7">
        <f t="shared" si="2"/>
        <v>560</v>
      </c>
      <c r="G13" s="7">
        <f t="shared" si="3"/>
        <v>840</v>
      </c>
      <c r="H13" s="148">
        <f t="shared" si="4"/>
        <v>126</v>
      </c>
      <c r="I13" s="148">
        <f t="shared" si="5"/>
        <v>56</v>
      </c>
      <c r="J13" s="148">
        <f t="shared" si="6"/>
        <v>3248</v>
      </c>
      <c r="K13" s="148">
        <f t="shared" si="7"/>
        <v>4368</v>
      </c>
      <c r="L13" s="149" t="str">
        <f t="shared" si="8"/>
        <v>ALTO</v>
      </c>
    </row>
    <row r="14" spans="1:17" ht="26.25" customHeight="1">
      <c r="A14" s="152" t="str">
        <f>IF(MICROCICLO!A14="","",MICROCICLO!A14)</f>
        <v>Domingo</v>
      </c>
      <c r="B14" s="26" t="str">
        <f>IF(MICROCICLO!B14="","",MICROCICLO!B14)</f>
        <v>Moderada</v>
      </c>
      <c r="C14" s="146">
        <f>IF(MICROCICLO!C14="","",MICROCICLO!C14)</f>
        <v>90</v>
      </c>
      <c r="D14" s="147">
        <f t="shared" si="0"/>
        <v>5</v>
      </c>
      <c r="E14" s="147">
        <f t="shared" si="1"/>
        <v>7</v>
      </c>
      <c r="F14" s="7">
        <f t="shared" si="2"/>
        <v>350</v>
      </c>
      <c r="G14" s="7">
        <f t="shared" si="3"/>
        <v>490</v>
      </c>
      <c r="H14" s="148">
        <f t="shared" si="4"/>
        <v>126</v>
      </c>
      <c r="I14" s="148">
        <f t="shared" si="5"/>
        <v>56</v>
      </c>
      <c r="J14" s="148">
        <f t="shared" si="6"/>
        <v>2408</v>
      </c>
      <c r="K14" s="148">
        <f t="shared" si="7"/>
        <v>2968</v>
      </c>
      <c r="L14" s="149" t="str">
        <f t="shared" si="8"/>
        <v>MEDIO</v>
      </c>
    </row>
    <row r="15" spans="1:17" ht="18" customHeight="1">
      <c r="A15" s="61" t="s">
        <v>133</v>
      </c>
      <c r="B15" s="110"/>
      <c r="C15" s="111"/>
      <c r="D15" s="7"/>
      <c r="E15" s="7"/>
      <c r="F15" s="7">
        <f t="shared" ref="F15:K15" si="9">SUM(F8:F14)</f>
        <v>2380</v>
      </c>
      <c r="G15" s="7">
        <f t="shared" si="9"/>
        <v>3780</v>
      </c>
      <c r="H15" s="7">
        <f t="shared" si="9"/>
        <v>882</v>
      </c>
      <c r="I15" s="7">
        <f t="shared" si="9"/>
        <v>392</v>
      </c>
      <c r="J15" s="7">
        <f t="shared" si="9"/>
        <v>16576</v>
      </c>
      <c r="K15" s="7">
        <f t="shared" si="9"/>
        <v>22176</v>
      </c>
      <c r="L15" s="7"/>
    </row>
    <row r="16" spans="1:17" ht="18" customHeight="1">
      <c r="A16" s="150" t="s">
        <v>134</v>
      </c>
      <c r="B16" s="110"/>
      <c r="C16" s="111"/>
      <c r="D16" s="151"/>
      <c r="E16" s="151"/>
      <c r="F16" s="151">
        <f>IF(COUNT(F8:F14)=0,"ND",AVERAGE(F8:F14))</f>
        <v>340</v>
      </c>
      <c r="G16" s="151">
        <f>IF(COUNT(G8:G14)=0,"ND",AVERAGE(G8:G14))</f>
        <v>540</v>
      </c>
      <c r="H16" s="151"/>
      <c r="I16" s="151"/>
      <c r="J16" s="151">
        <f>IF(COUNT(J8:J14)=0,"ND",AVERAGE(J8:J14))</f>
        <v>2368</v>
      </c>
      <c r="K16" s="151">
        <f>IF(COUNT(K8:K14)=0,"ND",AVERAGE(K8:K14))</f>
        <v>3168</v>
      </c>
      <c r="L16" s="151"/>
    </row>
    <row r="18" spans="1:17" ht="20.100000000000001" customHeight="1">
      <c r="A18" s="38" t="s">
        <v>135</v>
      </c>
      <c r="B18" s="47"/>
      <c r="C18" s="47"/>
      <c r="D18" s="47"/>
      <c r="E18" s="47"/>
      <c r="F18" s="47"/>
      <c r="G18" s="47"/>
      <c r="H18" s="47"/>
      <c r="I18" s="47"/>
      <c r="J18" s="47"/>
      <c r="K18" s="47"/>
      <c r="L18" s="47"/>
      <c r="M18" s="47"/>
      <c r="N18" s="47"/>
      <c r="O18" s="47"/>
      <c r="P18" s="47"/>
      <c r="Q18" s="45"/>
    </row>
    <row r="19" spans="1:17" ht="33" customHeight="1">
      <c r="A19" s="34" t="s">
        <v>136</v>
      </c>
      <c r="B19" s="45"/>
      <c r="C19" s="51">
        <f>MAX(G8:G14)</f>
        <v>840</v>
      </c>
      <c r="D19" s="47"/>
      <c r="E19" s="47"/>
      <c r="F19" s="47"/>
      <c r="G19" s="47"/>
      <c r="H19" s="47"/>
      <c r="I19" s="47"/>
      <c r="J19" s="47"/>
      <c r="K19" s="45"/>
    </row>
    <row r="20" spans="1:17" ht="33" customHeight="1">
      <c r="A20" s="34" t="s">
        <v>137</v>
      </c>
      <c r="B20" s="45"/>
      <c r="C20" s="51">
        <f>MIN(F8:F14)</f>
        <v>210</v>
      </c>
      <c r="D20" s="47"/>
      <c r="E20" s="47"/>
      <c r="F20" s="47"/>
      <c r="G20" s="47"/>
      <c r="H20" s="47"/>
      <c r="I20" s="47"/>
      <c r="J20" s="47"/>
      <c r="K20" s="45"/>
    </row>
    <row r="21" spans="1:17" ht="33" customHeight="1">
      <c r="A21" s="34" t="s">
        <v>138</v>
      </c>
      <c r="B21" s="45"/>
      <c r="C21" s="51">
        <f>IF(OR(NOT(ISNUMBER(C20)),C20=0),"ND",C19/C20)</f>
        <v>4</v>
      </c>
      <c r="D21" s="47"/>
      <c r="E21" s="47"/>
      <c r="F21" s="47"/>
      <c r="G21" s="47"/>
      <c r="H21" s="47"/>
      <c r="I21" s="47"/>
      <c r="J21" s="47"/>
      <c r="K21" s="45"/>
    </row>
    <row r="22" spans="1:17" ht="33" customHeight="1">
      <c r="A22" s="34" t="s">
        <v>139</v>
      </c>
      <c r="B22" s="45"/>
      <c r="C22" s="60" t="str">
        <f>IF(NOT(ISNUMBER(C21)),"ND",IF(C21&lt;1.5,"La ingesta es prácticamente plana: no hay periodización real, solo una dieta fija.",IF(C21&lt;=5,"La ingesta varía de forma coherente con la demanda de cada sesión.","La diferencia entre días es muy amplia: verifique que los días bajos no comprometan la recuperación.")))</f>
        <v>La ingesta varía de forma coherente con la demanda de cada sesión.</v>
      </c>
      <c r="D22" s="47"/>
      <c r="E22" s="47"/>
      <c r="F22" s="47"/>
      <c r="G22" s="47"/>
      <c r="H22" s="47"/>
      <c r="I22" s="47"/>
      <c r="J22" s="47"/>
      <c r="K22" s="45"/>
    </row>
    <row r="24" spans="1:17">
      <c r="A24" s="99" t="s">
        <v>140</v>
      </c>
      <c r="B24" s="100"/>
      <c r="C24" s="100"/>
      <c r="D24" s="100"/>
      <c r="E24" s="100"/>
      <c r="F24" s="100"/>
      <c r="G24" s="100"/>
      <c r="H24" s="100"/>
      <c r="I24" s="100"/>
      <c r="J24" s="100"/>
      <c r="K24" s="100"/>
      <c r="L24" s="100"/>
      <c r="M24" s="100"/>
      <c r="N24" s="100"/>
      <c r="O24" s="100"/>
      <c r="P24" s="100"/>
      <c r="Q24" s="101"/>
    </row>
    <row r="25" spans="1:17">
      <c r="A25" s="102"/>
      <c r="B25" s="103"/>
      <c r="C25" s="103"/>
      <c r="D25" s="103"/>
      <c r="E25" s="103"/>
      <c r="F25" s="103"/>
      <c r="G25" s="103"/>
      <c r="H25" s="103"/>
      <c r="I25" s="103"/>
      <c r="J25" s="103"/>
      <c r="K25" s="103"/>
      <c r="L25" s="103"/>
      <c r="M25" s="103"/>
      <c r="N25" s="103"/>
      <c r="O25" s="103"/>
      <c r="P25" s="103"/>
      <c r="Q25" s="104"/>
    </row>
    <row r="26" spans="1:17">
      <c r="A26" s="105"/>
      <c r="B26" s="106"/>
      <c r="C26" s="106"/>
      <c r="D26" s="106"/>
      <c r="E26" s="106"/>
      <c r="F26" s="106"/>
      <c r="G26" s="106"/>
      <c r="H26" s="106"/>
      <c r="I26" s="106"/>
      <c r="J26" s="106"/>
      <c r="K26" s="106"/>
      <c r="L26" s="106"/>
      <c r="M26" s="106"/>
      <c r="N26" s="106"/>
      <c r="O26" s="106"/>
      <c r="P26" s="106"/>
      <c r="Q26" s="107"/>
    </row>
    <row r="28" spans="1:17">
      <c r="A28" s="99" t="s">
        <v>141</v>
      </c>
      <c r="B28" s="100"/>
      <c r="C28" s="100"/>
      <c r="D28" s="100"/>
      <c r="E28" s="100"/>
      <c r="F28" s="100"/>
      <c r="G28" s="100"/>
      <c r="H28" s="100"/>
      <c r="I28" s="100"/>
      <c r="J28" s="100"/>
      <c r="K28" s="100"/>
      <c r="L28" s="100"/>
      <c r="M28" s="100"/>
      <c r="N28" s="100"/>
      <c r="O28" s="100"/>
      <c r="P28" s="100"/>
      <c r="Q28" s="101"/>
    </row>
    <row r="29" spans="1:17">
      <c r="A29" s="102"/>
      <c r="B29" s="103"/>
      <c r="C29" s="103"/>
      <c r="D29" s="103"/>
      <c r="E29" s="103"/>
      <c r="F29" s="103"/>
      <c r="G29" s="103"/>
      <c r="H29" s="103"/>
      <c r="I29" s="103"/>
      <c r="J29" s="103"/>
      <c r="K29" s="103"/>
      <c r="L29" s="103"/>
      <c r="M29" s="103"/>
      <c r="N29" s="103"/>
      <c r="O29" s="103"/>
      <c r="P29" s="103"/>
      <c r="Q29" s="104"/>
    </row>
    <row r="30" spans="1:17">
      <c r="A30" s="105"/>
      <c r="B30" s="106"/>
      <c r="C30" s="106"/>
      <c r="D30" s="106"/>
      <c r="E30" s="106"/>
      <c r="F30" s="106"/>
      <c r="G30" s="106"/>
      <c r="H30" s="106"/>
      <c r="I30" s="106"/>
      <c r="J30" s="106"/>
      <c r="K30" s="106"/>
      <c r="L30" s="106"/>
      <c r="M30" s="106"/>
      <c r="N30" s="106"/>
      <c r="O30" s="106"/>
      <c r="P30" s="106"/>
      <c r="Q30" s="107"/>
    </row>
  </sheetData>
  <sheetProtection algorithmName="SHA-512" hashValue="1FZLpyUDwugxMdqrFIZ2VBLguxNQNOc1F6xZ0OOXNJDQWe1DFSjhZB+0rear2Tr688uMVclasDaHNvGIviZfqw==" saltValue="uRG+ZtbXKBxeHrLQpk1vdA==" spinCount="100000" sheet="1" objects="1" scenarios="1"/>
  <mergeCells count="17">
    <mergeCell ref="A2:Q3"/>
    <mergeCell ref="A24:Q26"/>
    <mergeCell ref="A15:C15"/>
    <mergeCell ref="C20:K20"/>
    <mergeCell ref="A1:Q1"/>
    <mergeCell ref="A16:C16"/>
    <mergeCell ref="A22:B22"/>
    <mergeCell ref="C19:K19"/>
    <mergeCell ref="A19:B19"/>
    <mergeCell ref="C22:K22"/>
    <mergeCell ref="A28:Q30"/>
    <mergeCell ref="A4:B4"/>
    <mergeCell ref="C21:K21"/>
    <mergeCell ref="A6:Q6"/>
    <mergeCell ref="A21:B21"/>
    <mergeCell ref="A20:B20"/>
    <mergeCell ref="A18:Q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EFF1"/>
  </sheetPr>
  <dimension ref="A1:Q28"/>
  <sheetViews>
    <sheetView showGridLines="0" topLeftCell="A16" zoomScaleNormal="100" workbookViewId="0">
      <selection activeCell="A17" sqref="A17:D17"/>
    </sheetView>
  </sheetViews>
  <sheetFormatPr baseColWidth="10" defaultColWidth="9.140625" defaultRowHeight="15"/>
  <cols>
    <col min="1" max="1" width="13" customWidth="1"/>
    <col min="2" max="2" width="28" customWidth="1"/>
    <col min="3" max="3" width="7" customWidth="1"/>
    <col min="4" max="4" width="25.140625" customWidth="1"/>
    <col min="5" max="5" width="18.85546875" customWidth="1"/>
    <col min="6" max="6" width="20" customWidth="1"/>
    <col min="7" max="7" width="26" customWidth="1"/>
    <col min="8" max="8" width="20" customWidth="1"/>
    <col min="9" max="9" width="23.140625" customWidth="1"/>
    <col min="10" max="10" width="44" customWidth="1"/>
    <col min="11" max="11" width="15.42578125" customWidth="1"/>
    <col min="12" max="12" width="9" customWidth="1"/>
    <col min="13" max="16" width="11" customWidth="1"/>
    <col min="17" max="17" width="12" customWidth="1"/>
  </cols>
  <sheetData>
    <row r="1" spans="1:17" ht="25.5" customHeight="1">
      <c r="A1" s="29" t="s">
        <v>0</v>
      </c>
      <c r="B1" s="49"/>
      <c r="C1" s="49"/>
      <c r="D1" s="49"/>
      <c r="E1" s="49"/>
      <c r="F1" s="49"/>
      <c r="G1" s="49"/>
      <c r="H1" s="49"/>
      <c r="I1" s="49"/>
      <c r="J1" s="49"/>
      <c r="K1" s="49"/>
      <c r="L1" s="49"/>
      <c r="M1" s="49"/>
      <c r="N1" s="49"/>
      <c r="O1" s="49"/>
      <c r="P1" s="49"/>
      <c r="Q1" s="49"/>
    </row>
    <row r="2" spans="1:17" ht="15" customHeight="1">
      <c r="A2" s="36" t="s">
        <v>142</v>
      </c>
      <c r="B2" s="49"/>
      <c r="C2" s="49"/>
      <c r="D2" s="49"/>
      <c r="E2" s="49"/>
      <c r="F2" s="49"/>
      <c r="G2" s="49"/>
      <c r="H2" s="49"/>
      <c r="I2" s="49"/>
      <c r="J2" s="49"/>
      <c r="K2" s="49"/>
      <c r="L2" s="49"/>
      <c r="M2" s="49"/>
      <c r="N2" s="49"/>
      <c r="O2" s="49"/>
      <c r="P2" s="49"/>
      <c r="Q2" s="49"/>
    </row>
    <row r="3" spans="1:17" ht="15" customHeight="1">
      <c r="A3" s="49"/>
      <c r="B3" s="49"/>
      <c r="C3" s="49"/>
      <c r="D3" s="49"/>
      <c r="E3" s="49"/>
      <c r="F3" s="49"/>
      <c r="G3" s="49"/>
      <c r="H3" s="49"/>
      <c r="I3" s="49"/>
      <c r="J3" s="49"/>
      <c r="K3" s="49"/>
      <c r="L3" s="49"/>
      <c r="M3" s="49"/>
      <c r="N3" s="49"/>
      <c r="O3" s="49"/>
      <c r="P3" s="49"/>
      <c r="Q3" s="49"/>
    </row>
    <row r="4" spans="1:17" ht="24" customHeight="1">
      <c r="A4" s="97" t="str">
        <f>HYPERLINK("#INICIO!A1","▶  VOLVER A INICIO")</f>
        <v>▶  VOLVER A INICIO</v>
      </c>
      <c r="B4" s="98"/>
      <c r="C4" s="98"/>
      <c r="D4" s="98"/>
    </row>
    <row r="6" spans="1:17" ht="20.100000000000001" customHeight="1">
      <c r="A6" s="38" t="s">
        <v>143</v>
      </c>
      <c r="B6" s="47"/>
      <c r="C6" s="47"/>
      <c r="D6" s="47"/>
      <c r="E6" s="47"/>
      <c r="F6" s="47"/>
      <c r="G6" s="47"/>
      <c r="H6" s="47"/>
      <c r="I6" s="47"/>
      <c r="J6" s="47"/>
      <c r="K6" s="47"/>
      <c r="L6" s="47"/>
      <c r="M6" s="47"/>
      <c r="N6" s="47"/>
      <c r="O6" s="47"/>
      <c r="P6" s="47"/>
      <c r="Q6" s="45"/>
    </row>
    <row r="7" spans="1:17" ht="45.95" customHeight="1">
      <c r="A7" s="1" t="s">
        <v>85</v>
      </c>
      <c r="B7" s="1" t="s">
        <v>86</v>
      </c>
      <c r="C7" s="1" t="s">
        <v>123</v>
      </c>
      <c r="D7" s="1" t="s">
        <v>144</v>
      </c>
      <c r="E7" s="1" t="s">
        <v>145</v>
      </c>
      <c r="F7" s="1" t="s">
        <v>146</v>
      </c>
      <c r="G7" s="132" t="s">
        <v>147</v>
      </c>
      <c r="H7" s="133"/>
      <c r="I7" s="1" t="s">
        <v>148</v>
      </c>
      <c r="J7" s="132" t="s">
        <v>149</v>
      </c>
      <c r="K7" s="133"/>
      <c r="L7" s="134" t="s">
        <v>150</v>
      </c>
      <c r="M7" s="135"/>
    </row>
    <row r="8" spans="1:17" ht="30.75" customHeight="1">
      <c r="A8" s="145" t="str">
        <f>IF(MICROCICLO!A8="","",MICROCICLO!A8)</f>
        <v>Lunes</v>
      </c>
      <c r="B8" s="143" t="str">
        <f>IF(MICROCICLO!B8="","",MICROCICLO!B8)</f>
        <v>Descanso</v>
      </c>
      <c r="C8" s="136">
        <f>IF(MICROCICLO!C8="","",MICROCICLO!C8)</f>
        <v>0</v>
      </c>
      <c r="D8" s="8" t="str">
        <f t="shared" ref="D8:D14" si="0">IF($B8="","",IF(COUNTIF(lst_sesion,$B8)=0,"ND",IF(INDEX(rng_sesion,MATCH($B8,lst_sesion,0),6)=0,"No requiere",INDEX(rng_sesion,MATCH($B8,lst_sesion,0),6)*v_peso)))</f>
        <v>No requiere</v>
      </c>
      <c r="E8" s="8" t="str">
        <f t="shared" ref="E8:E14" si="1">IF($B8="","",IF(COUNTIF(lst_sesion,$B8)=0,"ND",IF(INDEX(rng_sesion,MATCH($B8,lst_sesion,0),5)=0,"No requiere",INDEX(rng_sesion,MATCH($B8,lst_sesion,0),4)&amp;" a "&amp;INDEX(rng_sesion,MATCH($B8,lst_sesion,0),5))))</f>
        <v>No requiere</v>
      </c>
      <c r="F8" s="8">
        <f t="shared" ref="F8:F14" si="2">IF(OR($B8="",NOT(ISNUMBER($C8))),"",IF(COUNTIF(lst_sesion,$B8)=0,"ND",IF(INDEX(rng_sesion,MATCH($B8,lst_sesion,0),5)=0,0,INDEX(rng_sesion,MATCH($B8,lst_sesion,0),5)*$C8/60)))</f>
        <v>0</v>
      </c>
      <c r="G8" s="137" t="str">
        <f>IF($B8="","",IF(NOT(ISNUMBER(MICROCICLO!F8)),"Sin dato de intervalo",IF(MICROCICLO!F8&lt;k_recHoras,TEXT(k_recCHO*v_peso,"0")&amp;" g por hora las primeras 4 horas","Recuperación con las comidas habituales")))</f>
        <v>Recuperación con las comidas habituales</v>
      </c>
      <c r="H8" s="138"/>
      <c r="I8" s="10" t="str">
        <f t="shared" ref="I8:I14" si="3">IF($B8="","",IF(NOT(ISNUMBER($C8)),"",IF($C8=0,"—",0.3*v_peso)))</f>
        <v>—</v>
      </c>
      <c r="J8" s="139" t="s">
        <v>151</v>
      </c>
      <c r="K8" s="140"/>
      <c r="L8" s="141">
        <f t="shared" ref="L8:L14" si="4">IF($B8="","",IF(COUNTIF(lst_sesion,$B8)=0,"",INDEX(rng_sesion,MATCH($B8,lst_sesion,0),5)))</f>
        <v>0</v>
      </c>
      <c r="M8" s="142"/>
    </row>
    <row r="9" spans="1:17" ht="30.75" customHeight="1">
      <c r="A9" s="145" t="str">
        <f>IF(MICROCICLO!A9="","",MICROCICLO!A9)</f>
        <v>Martes</v>
      </c>
      <c r="B9" s="143" t="str">
        <f>IF(MICROCICLO!B9="","",MICROCICLO!B9)</f>
        <v>Alta intensidad o intervalos</v>
      </c>
      <c r="C9" s="136">
        <f>IF(MICROCICLO!C9="","",MICROCICLO!C9)</f>
        <v>75</v>
      </c>
      <c r="D9" s="8">
        <f t="shared" si="0"/>
        <v>210</v>
      </c>
      <c r="E9" s="8" t="str">
        <f t="shared" si="1"/>
        <v>30 a 60</v>
      </c>
      <c r="F9" s="8">
        <f t="shared" si="2"/>
        <v>75</v>
      </c>
      <c r="G9" s="137" t="str">
        <f>IF($B9="","",IF(NOT(ISNUMBER(MICROCICLO!F9)),"Sin dato de intervalo",IF(MICROCICLO!F9&lt;k_recHoras,TEXT(k_recCHO*v_peso,"0")&amp;" g por hora las primeras 4 horas","Recuperación con las comidas habituales")))</f>
        <v>Recuperación con las comidas habituales</v>
      </c>
      <c r="H9" s="138"/>
      <c r="I9" s="10">
        <f t="shared" si="3"/>
        <v>21</v>
      </c>
      <c r="J9" s="139" t="s">
        <v>152</v>
      </c>
      <c r="K9" s="140"/>
      <c r="L9" s="141">
        <f t="shared" si="4"/>
        <v>60</v>
      </c>
      <c r="M9" s="142"/>
    </row>
    <row r="10" spans="1:17" ht="30.75" customHeight="1">
      <c r="A10" s="145" t="str">
        <f>IF(MICROCICLO!A10="","",MICROCICLO!A10)</f>
        <v>Miércoles</v>
      </c>
      <c r="B10" s="143" t="str">
        <f>IF(MICROCICLO!B10="","",MICROCICLO!B10)</f>
        <v>Suave o regenerativa</v>
      </c>
      <c r="C10" s="136">
        <f>IF(MICROCICLO!C10="","",MICROCICLO!C10)</f>
        <v>60</v>
      </c>
      <c r="D10" s="8">
        <f t="shared" si="0"/>
        <v>70</v>
      </c>
      <c r="E10" s="8" t="str">
        <f t="shared" si="1"/>
        <v>No requiere</v>
      </c>
      <c r="F10" s="8">
        <f t="shared" si="2"/>
        <v>0</v>
      </c>
      <c r="G10" s="137" t="str">
        <f>IF($B10="","",IF(NOT(ISNUMBER(MICROCICLO!F10)),"Sin dato de intervalo",IF(MICROCICLO!F10&lt;k_recHoras,TEXT(k_recCHO*v_peso,"0")&amp;" g por hora las primeras 4 horas","Recuperación con las comidas habituales")))</f>
        <v>Recuperación con las comidas habituales</v>
      </c>
      <c r="H10" s="138"/>
      <c r="I10" s="10">
        <f t="shared" si="3"/>
        <v>21</v>
      </c>
      <c r="J10" s="139" t="s">
        <v>153</v>
      </c>
      <c r="K10" s="140"/>
      <c r="L10" s="141">
        <f t="shared" si="4"/>
        <v>0</v>
      </c>
      <c r="M10" s="142"/>
    </row>
    <row r="11" spans="1:17" ht="30.75" customHeight="1">
      <c r="A11" s="145" t="str">
        <f>IF(MICROCICLO!A11="","",MICROCICLO!A11)</f>
        <v>Jueves</v>
      </c>
      <c r="B11" s="143" t="str">
        <f>IF(MICROCICLO!B11="","",MICROCICLO!B11)</f>
        <v>Alta intensidad o intervalos</v>
      </c>
      <c r="C11" s="136">
        <f>IF(MICROCICLO!C11="","",MICROCICLO!C11)</f>
        <v>90</v>
      </c>
      <c r="D11" s="8">
        <f t="shared" si="0"/>
        <v>210</v>
      </c>
      <c r="E11" s="8" t="str">
        <f t="shared" si="1"/>
        <v>30 a 60</v>
      </c>
      <c r="F11" s="8">
        <f t="shared" si="2"/>
        <v>90</v>
      </c>
      <c r="G11" s="137" t="str">
        <f>IF($B11="","",IF(NOT(ISNUMBER(MICROCICLO!F11)),"Sin dato de intervalo",IF(MICROCICLO!F11&lt;k_recHoras,TEXT(k_recCHO*v_peso,"0")&amp;" g por hora las primeras 4 horas","Recuperación con las comidas habituales")))</f>
        <v>Recuperación con las comidas habituales</v>
      </c>
      <c r="H11" s="138"/>
      <c r="I11" s="10">
        <f t="shared" si="3"/>
        <v>21</v>
      </c>
      <c r="J11" s="139" t="s">
        <v>154</v>
      </c>
      <c r="K11" s="140"/>
      <c r="L11" s="141">
        <f t="shared" si="4"/>
        <v>60</v>
      </c>
      <c r="M11" s="142"/>
    </row>
    <row r="12" spans="1:17" ht="30.75" customHeight="1">
      <c r="A12" s="145" t="str">
        <f>IF(MICROCICLO!A12="","",MICROCICLO!A12)</f>
        <v>Viernes</v>
      </c>
      <c r="B12" s="143" t="str">
        <f>IF(MICROCICLO!B12="","",MICROCICLO!B12)</f>
        <v>Suave o regenerativa</v>
      </c>
      <c r="C12" s="136">
        <f>IF(MICROCICLO!C12="","",MICROCICLO!C12)</f>
        <v>45</v>
      </c>
      <c r="D12" s="8">
        <f t="shared" si="0"/>
        <v>70</v>
      </c>
      <c r="E12" s="8" t="str">
        <f t="shared" si="1"/>
        <v>No requiere</v>
      </c>
      <c r="F12" s="8">
        <f t="shared" si="2"/>
        <v>0</v>
      </c>
      <c r="G12" s="137" t="str">
        <f>IF($B12="","",IF(NOT(ISNUMBER(MICROCICLO!F12)),"Sin dato de intervalo",IF(MICROCICLO!F12&lt;k_recHoras,TEXT(k_recCHO*v_peso,"0")&amp;" g por hora las primeras 4 horas","Recuperación con las comidas habituales")))</f>
        <v>Recuperación con las comidas habituales</v>
      </c>
      <c r="H12" s="138"/>
      <c r="I12" s="10">
        <f t="shared" si="3"/>
        <v>21</v>
      </c>
      <c r="J12" s="139" t="s">
        <v>155</v>
      </c>
      <c r="K12" s="140"/>
      <c r="L12" s="141">
        <f t="shared" si="4"/>
        <v>0</v>
      </c>
      <c r="M12" s="142"/>
    </row>
    <row r="13" spans="1:17" ht="30.75" customHeight="1">
      <c r="A13" s="145" t="str">
        <f>IF(MICROCICLO!A13="","",MICROCICLO!A13)</f>
        <v>Sábado</v>
      </c>
      <c r="B13" s="143" t="str">
        <f>IF(MICROCICLO!B13="","",MICROCICLO!B13)</f>
        <v>Larga o fondo</v>
      </c>
      <c r="C13" s="136">
        <f>IF(MICROCICLO!C13="","",MICROCICLO!C13)</f>
        <v>180</v>
      </c>
      <c r="D13" s="8">
        <f t="shared" si="0"/>
        <v>210</v>
      </c>
      <c r="E13" s="8" t="str">
        <f t="shared" si="1"/>
        <v>60 a 90</v>
      </c>
      <c r="F13" s="8">
        <f t="shared" si="2"/>
        <v>270</v>
      </c>
      <c r="G13" s="137" t="str">
        <f>IF($B13="","",IF(NOT(ISNUMBER(MICROCICLO!F13)),"Sin dato de intervalo",IF(MICROCICLO!F13&lt;k_recHoras,TEXT(k_recCHO*v_peso,"0")&amp;" g por hora las primeras 4 horas","Recuperación con las comidas habituales")))</f>
        <v>Recuperación con las comidas habituales</v>
      </c>
      <c r="H13" s="138"/>
      <c r="I13" s="10">
        <f t="shared" si="3"/>
        <v>21</v>
      </c>
      <c r="J13" s="139" t="s">
        <v>156</v>
      </c>
      <c r="K13" s="140"/>
      <c r="L13" s="141">
        <f t="shared" si="4"/>
        <v>90</v>
      </c>
      <c r="M13" s="142"/>
    </row>
    <row r="14" spans="1:17" ht="30.75" customHeight="1">
      <c r="A14" s="145" t="str">
        <f>IF(MICROCICLO!A14="","",MICROCICLO!A14)</f>
        <v>Domingo</v>
      </c>
      <c r="B14" s="143" t="str">
        <f>IF(MICROCICLO!B14="","",MICROCICLO!B14)</f>
        <v>Moderada</v>
      </c>
      <c r="C14" s="136">
        <f>IF(MICROCICLO!C14="","",MICROCICLO!C14)</f>
        <v>90</v>
      </c>
      <c r="D14" s="8">
        <f t="shared" si="0"/>
        <v>140</v>
      </c>
      <c r="E14" s="8" t="str">
        <f t="shared" si="1"/>
        <v>30 a 60</v>
      </c>
      <c r="F14" s="8">
        <f t="shared" si="2"/>
        <v>90</v>
      </c>
      <c r="G14" s="137" t="str">
        <f>IF($B14="","",IF(NOT(ISNUMBER(MICROCICLO!F14)),"Sin dato de intervalo",IF(MICROCICLO!F14&lt;k_recHoras,TEXT(k_recCHO*v_peso,"0")&amp;" g por hora las primeras 4 horas","Recuperación con las comidas habituales")))</f>
        <v>Recuperación con las comidas habituales</v>
      </c>
      <c r="H14" s="138"/>
      <c r="I14" s="10">
        <f t="shared" si="3"/>
        <v>21</v>
      </c>
      <c r="J14" s="139" t="s">
        <v>157</v>
      </c>
      <c r="K14" s="140"/>
      <c r="L14" s="141">
        <f t="shared" si="4"/>
        <v>60</v>
      </c>
      <c r="M14" s="142"/>
    </row>
    <row r="15" spans="1:17">
      <c r="A15" s="144"/>
      <c r="B15" s="144"/>
    </row>
    <row r="16" spans="1:17" ht="20.100000000000001" customHeight="1">
      <c r="A16" s="38" t="s">
        <v>158</v>
      </c>
      <c r="B16" s="47"/>
      <c r="C16" s="47"/>
      <c r="D16" s="47"/>
      <c r="E16" s="47"/>
      <c r="F16" s="47"/>
      <c r="G16" s="47"/>
      <c r="H16" s="47"/>
      <c r="I16" s="47"/>
      <c r="J16" s="47"/>
      <c r="K16" s="47"/>
      <c r="L16" s="47"/>
      <c r="M16" s="47"/>
      <c r="N16" s="47"/>
      <c r="O16" s="47"/>
      <c r="P16" s="47"/>
      <c r="Q16" s="45"/>
    </row>
    <row r="17" spans="1:11" ht="18" customHeight="1">
      <c r="A17" s="129" t="s">
        <v>159</v>
      </c>
      <c r="B17" s="130"/>
      <c r="C17" s="130"/>
      <c r="D17" s="131"/>
      <c r="E17" s="126">
        <f>SUMIF(F8:F14,"&lt;&gt;ND")</f>
        <v>525</v>
      </c>
      <c r="F17" s="127"/>
      <c r="G17" s="127"/>
      <c r="H17" s="127"/>
      <c r="I17" s="127"/>
      <c r="J17" s="127"/>
      <c r="K17" s="128"/>
    </row>
    <row r="18" spans="1:11" ht="18" customHeight="1">
      <c r="A18" s="129" t="s">
        <v>160</v>
      </c>
      <c r="B18" s="130"/>
      <c r="C18" s="130"/>
      <c r="D18" s="131"/>
      <c r="E18" s="126">
        <f>MAX(F8:F14)</f>
        <v>270</v>
      </c>
      <c r="F18" s="127"/>
      <c r="G18" s="127"/>
      <c r="H18" s="127"/>
      <c r="I18" s="127"/>
      <c r="J18" s="127"/>
      <c r="K18" s="128"/>
    </row>
    <row r="19" spans="1:11" ht="18" customHeight="1">
      <c r="A19" s="129" t="s">
        <v>161</v>
      </c>
      <c r="B19" s="130"/>
      <c r="C19" s="130"/>
      <c r="D19" s="131"/>
      <c r="E19" s="126">
        <f>MAX(L8:L14)</f>
        <v>90</v>
      </c>
      <c r="F19" s="127"/>
      <c r="G19" s="127"/>
      <c r="H19" s="127"/>
      <c r="I19" s="127"/>
      <c r="J19" s="127"/>
      <c r="K19" s="128"/>
    </row>
    <row r="20" spans="1:11" ht="30" customHeight="1">
      <c r="A20" s="129" t="s">
        <v>162</v>
      </c>
      <c r="B20" s="130"/>
      <c r="C20" s="130"/>
      <c r="D20" s="131"/>
      <c r="E20" s="117" t="str">
        <f>IF(NOT(ISNUMBER(E19)),"ND",IF(E19&gt;=90,"El aporte por hora de la sesión más larga es alto: requiere entrenamiento previo del intestino y una prueba en entrenamiento antes de usarlo en competencia.","El aporte por hora se mantiene en un rango de tolerancia habitual."))</f>
        <v>El aporte por hora de la sesión más larga es alto: requiere entrenamiento previo del intestino y una prueba en entrenamiento antes de usarlo en competencia.</v>
      </c>
      <c r="F20" s="118"/>
      <c r="G20" s="118"/>
      <c r="H20" s="118"/>
      <c r="I20" s="118"/>
      <c r="J20" s="118"/>
      <c r="K20" s="119"/>
    </row>
    <row r="22" spans="1:11" ht="15" customHeight="1">
      <c r="A22" s="120" t="s">
        <v>163</v>
      </c>
      <c r="B22" s="121"/>
      <c r="C22" s="121"/>
      <c r="D22" s="121"/>
      <c r="E22" s="121"/>
      <c r="F22" s="121"/>
      <c r="G22" s="121"/>
      <c r="H22" s="121"/>
      <c r="I22" s="121"/>
      <c r="J22" s="121"/>
      <c r="K22" s="121"/>
    </row>
    <row r="23" spans="1:11">
      <c r="A23" s="122"/>
      <c r="B23" s="123"/>
      <c r="C23" s="123"/>
      <c r="D23" s="123"/>
      <c r="E23" s="123"/>
      <c r="F23" s="123"/>
      <c r="G23" s="123"/>
      <c r="H23" s="123"/>
      <c r="I23" s="123"/>
      <c r="J23" s="123"/>
      <c r="K23" s="123"/>
    </row>
    <row r="24" spans="1:11">
      <c r="A24" s="124"/>
      <c r="B24" s="125"/>
      <c r="C24" s="125"/>
      <c r="D24" s="125"/>
      <c r="E24" s="125"/>
      <c r="F24" s="125"/>
      <c r="G24" s="125"/>
      <c r="H24" s="125"/>
      <c r="I24" s="125"/>
      <c r="J24" s="125"/>
      <c r="K24" s="125"/>
    </row>
    <row r="26" spans="1:11" ht="15" customHeight="1">
      <c r="A26" s="120" t="s">
        <v>164</v>
      </c>
      <c r="B26" s="121"/>
      <c r="C26" s="121"/>
      <c r="D26" s="121"/>
      <c r="E26" s="121"/>
      <c r="F26" s="121"/>
      <c r="G26" s="121"/>
      <c r="H26" s="121"/>
      <c r="I26" s="121"/>
      <c r="J26" s="121"/>
      <c r="K26" s="121"/>
    </row>
    <row r="27" spans="1:11">
      <c r="A27" s="122"/>
      <c r="B27" s="123"/>
      <c r="C27" s="123"/>
      <c r="D27" s="123"/>
      <c r="E27" s="123"/>
      <c r="F27" s="123"/>
      <c r="G27" s="123"/>
      <c r="H27" s="123"/>
      <c r="I27" s="123"/>
      <c r="J27" s="123"/>
      <c r="K27" s="123"/>
    </row>
    <row r="28" spans="1:11">
      <c r="A28" s="124"/>
      <c r="B28" s="125"/>
      <c r="C28" s="125"/>
      <c r="D28" s="125"/>
      <c r="E28" s="125"/>
      <c r="F28" s="125"/>
      <c r="G28" s="125"/>
      <c r="H28" s="125"/>
      <c r="I28" s="125"/>
      <c r="J28" s="125"/>
      <c r="K28" s="125"/>
    </row>
  </sheetData>
  <sheetProtection algorithmName="SHA-512" hashValue="S4DFPVxf312+5Sql70QmuLE3geKm/663xYVAv5nuoDmWXQjqbroyB1ZVMurcaGSdKnB0MYA61m32W6ofPNFycA==" saltValue="zwgKVA04pQp+TRNBiJiZug==" spinCount="100000" sheet="1" objects="1" scenarios="1"/>
  <protectedRanges>
    <protectedRange sqref="J8:K14" name="Rango1"/>
  </protectedRanges>
  <mergeCells count="39">
    <mergeCell ref="L12:M12"/>
    <mergeCell ref="L13:M13"/>
    <mergeCell ref="L14:M14"/>
    <mergeCell ref="L7:M7"/>
    <mergeCell ref="L8:M8"/>
    <mergeCell ref="L9:M9"/>
    <mergeCell ref="L10:M10"/>
    <mergeCell ref="L11:M11"/>
    <mergeCell ref="J7:K7"/>
    <mergeCell ref="J8:K8"/>
    <mergeCell ref="J9:K9"/>
    <mergeCell ref="J10:K10"/>
    <mergeCell ref="J11:K11"/>
    <mergeCell ref="G12:H12"/>
    <mergeCell ref="G13:H13"/>
    <mergeCell ref="G14:H14"/>
    <mergeCell ref="A22:K24"/>
    <mergeCell ref="A26:K28"/>
    <mergeCell ref="J12:K12"/>
    <mergeCell ref="J13:K13"/>
    <mergeCell ref="J14:K14"/>
    <mergeCell ref="G7:H7"/>
    <mergeCell ref="G8:H8"/>
    <mergeCell ref="G9:H9"/>
    <mergeCell ref="G10:H10"/>
    <mergeCell ref="G11:H11"/>
    <mergeCell ref="A6:Q6"/>
    <mergeCell ref="A1:Q1"/>
    <mergeCell ref="A2:Q3"/>
    <mergeCell ref="A4:D4"/>
    <mergeCell ref="A17:D17"/>
    <mergeCell ref="A18:D18"/>
    <mergeCell ref="A19:D19"/>
    <mergeCell ref="A20:D20"/>
    <mergeCell ref="E17:K17"/>
    <mergeCell ref="E18:K18"/>
    <mergeCell ref="E19:K19"/>
    <mergeCell ref="A16:Q16"/>
    <mergeCell ref="E20:K2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24D"/>
  </sheetPr>
  <dimension ref="A1:Q43"/>
  <sheetViews>
    <sheetView showGridLines="0" zoomScale="70" zoomScaleNormal="70" workbookViewId="0">
      <selection activeCell="A4" sqref="A4:E4"/>
    </sheetView>
  </sheetViews>
  <sheetFormatPr baseColWidth="10" defaultColWidth="9.140625" defaultRowHeight="15"/>
  <cols>
    <col min="1" max="1" width="18.85546875" customWidth="1"/>
    <col min="2" max="2" width="36.7109375" customWidth="1"/>
    <col min="3" max="3" width="18.85546875" customWidth="1"/>
    <col min="4" max="4" width="14.7109375" customWidth="1"/>
    <col min="5" max="5" width="19.85546875" customWidth="1"/>
    <col min="6" max="7" width="10" customWidth="1"/>
    <col min="8" max="8" width="14.28515625" customWidth="1"/>
    <col min="9" max="9" width="17"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49"/>
      <c r="C1" s="49"/>
      <c r="D1" s="49"/>
      <c r="E1" s="49"/>
      <c r="F1" s="49"/>
      <c r="G1" s="49"/>
      <c r="H1" s="49"/>
      <c r="I1" s="49"/>
      <c r="J1" s="49"/>
      <c r="K1" s="49"/>
      <c r="L1" s="49"/>
      <c r="M1" s="49"/>
      <c r="N1" s="49"/>
      <c r="O1" s="49"/>
      <c r="P1" s="49"/>
      <c r="Q1" s="49"/>
    </row>
    <row r="2" spans="1:17" ht="15" customHeight="1">
      <c r="A2" s="36" t="s">
        <v>165</v>
      </c>
      <c r="B2" s="49"/>
      <c r="C2" s="49"/>
      <c r="D2" s="49"/>
      <c r="E2" s="49"/>
      <c r="F2" s="49"/>
      <c r="G2" s="49"/>
      <c r="H2" s="49"/>
      <c r="I2" s="49"/>
      <c r="J2" s="49"/>
      <c r="K2" s="49"/>
      <c r="L2" s="49"/>
      <c r="M2" s="49"/>
      <c r="N2" s="49"/>
      <c r="O2" s="49"/>
      <c r="P2" s="49"/>
      <c r="Q2" s="49"/>
    </row>
    <row r="3" spans="1:17" ht="15" customHeight="1">
      <c r="A3" s="49"/>
      <c r="B3" s="49"/>
      <c r="C3" s="49"/>
      <c r="D3" s="49"/>
      <c r="E3" s="49"/>
      <c r="F3" s="49"/>
      <c r="G3" s="49"/>
      <c r="H3" s="49"/>
      <c r="I3" s="49"/>
      <c r="J3" s="49"/>
      <c r="K3" s="49"/>
      <c r="L3" s="49"/>
      <c r="M3" s="49"/>
      <c r="N3" s="49"/>
      <c r="O3" s="49"/>
      <c r="P3" s="49"/>
      <c r="Q3" s="49"/>
    </row>
    <row r="4" spans="1:17" ht="31.5" customHeight="1">
      <c r="A4" s="169" t="str">
        <f>HYPERLINK("#INICIO!A1","▶  VOLVER A INICIO")</f>
        <v>▶  VOLVER A INICIO</v>
      </c>
      <c r="B4" s="170"/>
      <c r="C4" s="170"/>
      <c r="D4" s="170"/>
      <c r="E4" s="170"/>
    </row>
    <row r="6" spans="1:17" ht="20.100000000000001" customHeight="1">
      <c r="A6" s="66" t="s">
        <v>166</v>
      </c>
      <c r="B6" s="67"/>
      <c r="C6" s="67"/>
      <c r="D6" s="67"/>
      <c r="E6" s="67"/>
      <c r="F6" s="67"/>
      <c r="G6" s="67"/>
      <c r="H6" s="67"/>
      <c r="I6" s="67"/>
      <c r="J6" s="67"/>
      <c r="K6" s="67"/>
      <c r="L6" s="67"/>
      <c r="M6" s="67"/>
      <c r="N6" s="67"/>
      <c r="O6" s="67"/>
      <c r="P6" s="67"/>
      <c r="Q6" s="68"/>
    </row>
    <row r="7" spans="1:17" ht="30" customHeight="1">
      <c r="A7" s="156" t="s">
        <v>167</v>
      </c>
      <c r="B7" s="157"/>
      <c r="C7" s="155"/>
      <c r="D7" s="158" t="s">
        <v>168</v>
      </c>
      <c r="E7" s="157"/>
      <c r="F7" s="155"/>
      <c r="G7" s="156" t="s">
        <v>169</v>
      </c>
      <c r="H7" s="157"/>
      <c r="I7" s="155"/>
      <c r="J7" s="159" t="s">
        <v>134</v>
      </c>
      <c r="K7" s="157"/>
      <c r="L7" s="155"/>
      <c r="M7" s="160" t="s">
        <v>170</v>
      </c>
      <c r="N7" s="157"/>
      <c r="O7" s="155"/>
    </row>
    <row r="8" spans="1:17" ht="18" customHeight="1">
      <c r="A8" s="82">
        <f>MICROCICLO!C18</f>
        <v>9</v>
      </c>
      <c r="B8" s="53"/>
      <c r="C8" s="54"/>
      <c r="D8" s="72">
        <f>MICROCICLO!C19</f>
        <v>6</v>
      </c>
      <c r="E8" s="53"/>
      <c r="F8" s="54"/>
      <c r="G8" s="80">
        <f>PERIODIZACION!G15</f>
        <v>3780</v>
      </c>
      <c r="H8" s="53"/>
      <c r="I8" s="54"/>
      <c r="J8" s="65">
        <f>PERIODIZACION!G16</f>
        <v>540</v>
      </c>
      <c r="K8" s="53"/>
      <c r="L8" s="54"/>
      <c r="M8" s="73">
        <f>PERIODIZACION!C21</f>
        <v>4</v>
      </c>
      <c r="N8" s="53"/>
      <c r="O8" s="54"/>
    </row>
    <row r="9" spans="1:17" ht="18" customHeight="1">
      <c r="A9" s="57"/>
      <c r="B9" s="58"/>
      <c r="C9" s="59"/>
      <c r="D9" s="57"/>
      <c r="E9" s="58"/>
      <c r="F9" s="59"/>
      <c r="G9" s="57"/>
      <c r="H9" s="58"/>
      <c r="I9" s="59"/>
      <c r="J9" s="57"/>
      <c r="K9" s="58"/>
      <c r="L9" s="59"/>
      <c r="M9" s="57"/>
      <c r="N9" s="58"/>
      <c r="O9" s="59"/>
    </row>
    <row r="10" spans="1:17" ht="15.95" customHeight="1">
      <c r="A10" s="69" t="s">
        <v>171</v>
      </c>
      <c r="B10" s="70"/>
      <c r="C10" s="71"/>
      <c r="D10" s="69" t="s">
        <v>172</v>
      </c>
      <c r="E10" s="70"/>
      <c r="F10" s="71"/>
      <c r="G10" s="69" t="s">
        <v>173</v>
      </c>
      <c r="H10" s="70"/>
      <c r="I10" s="71"/>
      <c r="J10" s="69" t="s">
        <v>174</v>
      </c>
      <c r="K10" s="70"/>
      <c r="L10" s="71"/>
      <c r="M10" s="69" t="s">
        <v>175</v>
      </c>
      <c r="N10" s="70"/>
      <c r="O10" s="71"/>
    </row>
    <row r="12" spans="1:17" ht="32.25" customHeight="1">
      <c r="A12" s="158" t="s">
        <v>176</v>
      </c>
      <c r="B12" s="157"/>
      <c r="C12" s="155"/>
      <c r="D12" s="156" t="s">
        <v>177</v>
      </c>
      <c r="E12" s="157"/>
      <c r="F12" s="155"/>
      <c r="G12" s="160" t="s">
        <v>178</v>
      </c>
      <c r="H12" s="157"/>
      <c r="I12" s="155"/>
      <c r="J12" s="159" t="s">
        <v>179</v>
      </c>
      <c r="K12" s="157"/>
      <c r="L12" s="155"/>
      <c r="M12" s="156" t="s">
        <v>180</v>
      </c>
      <c r="N12" s="157"/>
      <c r="O12" s="155"/>
    </row>
    <row r="13" spans="1:17" ht="18" customHeight="1">
      <c r="A13" s="72">
        <f>v_protObj</f>
        <v>126</v>
      </c>
      <c r="B13" s="53"/>
      <c r="C13" s="54"/>
      <c r="D13" s="80">
        <f>PERIODIZACION!K15</f>
        <v>22176</v>
      </c>
      <c r="E13" s="53"/>
      <c r="F13" s="54"/>
      <c r="G13" s="81">
        <f>MICROCICLO!C21</f>
        <v>0.33333333333333331</v>
      </c>
      <c r="H13" s="53"/>
      <c r="I13" s="54"/>
      <c r="J13" s="65">
        <f>TIMING!E17</f>
        <v>525</v>
      </c>
      <c r="K13" s="53"/>
      <c r="L13" s="54"/>
      <c r="M13" s="80">
        <f>DATOS!C16</f>
        <v>0</v>
      </c>
      <c r="N13" s="53"/>
      <c r="O13" s="54"/>
    </row>
    <row r="14" spans="1:17" ht="18" customHeight="1">
      <c r="A14" s="57"/>
      <c r="B14" s="58"/>
      <c r="C14" s="59"/>
      <c r="D14" s="57"/>
      <c r="E14" s="58"/>
      <c r="F14" s="59"/>
      <c r="G14" s="57"/>
      <c r="H14" s="58"/>
      <c r="I14" s="59"/>
      <c r="J14" s="57"/>
      <c r="K14" s="58"/>
      <c r="L14" s="59"/>
      <c r="M14" s="57"/>
      <c r="N14" s="58"/>
      <c r="O14" s="59"/>
    </row>
    <row r="15" spans="1:17" ht="15.95" customHeight="1">
      <c r="A15" s="69" t="s">
        <v>181</v>
      </c>
      <c r="B15" s="70"/>
      <c r="C15" s="71"/>
      <c r="D15" s="69" t="s">
        <v>182</v>
      </c>
      <c r="E15" s="70"/>
      <c r="F15" s="71"/>
      <c r="G15" s="69" t="s">
        <v>183</v>
      </c>
      <c r="H15" s="70"/>
      <c r="I15" s="71"/>
      <c r="J15" s="69" t="s">
        <v>184</v>
      </c>
      <c r="K15" s="70"/>
      <c r="L15" s="71"/>
      <c r="M15" s="69" t="s">
        <v>185</v>
      </c>
      <c r="N15" s="70"/>
      <c r="O15" s="71"/>
    </row>
    <row r="18" spans="1:17" ht="39" customHeight="1">
      <c r="A18" s="66" t="s">
        <v>186</v>
      </c>
      <c r="B18" s="67"/>
      <c r="C18" s="67"/>
      <c r="D18" s="67"/>
      <c r="E18" s="67"/>
      <c r="F18" s="67"/>
      <c r="G18" s="67"/>
      <c r="H18" s="67"/>
      <c r="I18" s="67"/>
      <c r="J18" s="67"/>
      <c r="K18" s="67"/>
      <c r="L18" s="67"/>
      <c r="M18" s="67"/>
      <c r="N18" s="67"/>
      <c r="O18" s="67"/>
      <c r="P18" s="67"/>
      <c r="Q18" s="68"/>
    </row>
    <row r="19" spans="1:17" ht="39" customHeight="1">
      <c r="A19" s="25" t="s">
        <v>85</v>
      </c>
      <c r="B19" s="25" t="s">
        <v>187</v>
      </c>
      <c r="C19" s="25" t="s">
        <v>188</v>
      </c>
      <c r="D19" s="25" t="s">
        <v>189</v>
      </c>
      <c r="E19" s="25" t="s">
        <v>190</v>
      </c>
    </row>
    <row r="20" spans="1:17" ht="39" customHeight="1">
      <c r="A20" s="168" t="str">
        <f>PERIODIZACION!A8</f>
        <v>Lunes</v>
      </c>
      <c r="B20" s="165">
        <f>PERIODIZACION!F8</f>
        <v>210</v>
      </c>
      <c r="C20" s="165">
        <f>PERIODIZACION!G8</f>
        <v>350</v>
      </c>
      <c r="D20" s="165">
        <f>PERIODIZACION!C8</f>
        <v>0</v>
      </c>
      <c r="E20" s="24" t="str">
        <f>PERIODIZACION!L8</f>
        <v>BAJO</v>
      </c>
    </row>
    <row r="21" spans="1:17" ht="39" customHeight="1">
      <c r="A21" s="168" t="str">
        <f>PERIODIZACION!A9</f>
        <v>Martes</v>
      </c>
      <c r="B21" s="165">
        <f>PERIODIZACION!F9</f>
        <v>420</v>
      </c>
      <c r="C21" s="165">
        <f>PERIODIZACION!G9</f>
        <v>700</v>
      </c>
      <c r="D21" s="165">
        <f>PERIODIZACION!C9</f>
        <v>75</v>
      </c>
      <c r="E21" s="24" t="str">
        <f>PERIODIZACION!L9</f>
        <v>MEDIO-ALTO</v>
      </c>
    </row>
    <row r="22" spans="1:17" ht="39" customHeight="1">
      <c r="A22" s="168" t="str">
        <f>PERIODIZACION!A10</f>
        <v>Miércoles</v>
      </c>
      <c r="B22" s="165">
        <f>PERIODIZACION!F10</f>
        <v>210</v>
      </c>
      <c r="C22" s="165">
        <f>PERIODIZACION!G10</f>
        <v>350</v>
      </c>
      <c r="D22" s="165">
        <f>PERIODIZACION!C10</f>
        <v>60</v>
      </c>
      <c r="E22" s="24" t="str">
        <f>PERIODIZACION!L10</f>
        <v>BAJO</v>
      </c>
    </row>
    <row r="23" spans="1:17" ht="39" customHeight="1">
      <c r="A23" s="168" t="str">
        <f>PERIODIZACION!A11</f>
        <v>Jueves</v>
      </c>
      <c r="B23" s="165">
        <f>PERIODIZACION!F11</f>
        <v>420</v>
      </c>
      <c r="C23" s="165">
        <f>PERIODIZACION!G11</f>
        <v>700</v>
      </c>
      <c r="D23" s="165">
        <f>PERIODIZACION!C11</f>
        <v>90</v>
      </c>
      <c r="E23" s="24" t="str">
        <f>PERIODIZACION!L11</f>
        <v>MEDIO-ALTO</v>
      </c>
    </row>
    <row r="24" spans="1:17" ht="39" customHeight="1">
      <c r="A24" s="168" t="str">
        <f>PERIODIZACION!A12</f>
        <v>Viernes</v>
      </c>
      <c r="B24" s="165">
        <f>PERIODIZACION!F12</f>
        <v>210</v>
      </c>
      <c r="C24" s="165">
        <f>PERIODIZACION!G12</f>
        <v>350</v>
      </c>
      <c r="D24" s="165">
        <f>PERIODIZACION!C12</f>
        <v>45</v>
      </c>
      <c r="E24" s="24" t="str">
        <f>PERIODIZACION!L12</f>
        <v>BAJO</v>
      </c>
    </row>
    <row r="25" spans="1:17" ht="39" customHeight="1">
      <c r="A25" s="168" t="str">
        <f>PERIODIZACION!A13</f>
        <v>Sábado</v>
      </c>
      <c r="B25" s="165">
        <f>PERIODIZACION!F13</f>
        <v>560</v>
      </c>
      <c r="C25" s="165">
        <f>PERIODIZACION!G13</f>
        <v>840</v>
      </c>
      <c r="D25" s="165">
        <f>PERIODIZACION!C13</f>
        <v>180</v>
      </c>
      <c r="E25" s="24" t="str">
        <f>PERIODIZACION!L13</f>
        <v>ALTO</v>
      </c>
    </row>
    <row r="26" spans="1:17" ht="39" customHeight="1">
      <c r="A26" s="168" t="str">
        <f>PERIODIZACION!A14</f>
        <v>Domingo</v>
      </c>
      <c r="B26" s="165">
        <f>PERIODIZACION!F14</f>
        <v>350</v>
      </c>
      <c r="C26" s="165">
        <f>PERIODIZACION!G14</f>
        <v>490</v>
      </c>
      <c r="D26" s="165">
        <f>PERIODIZACION!C14</f>
        <v>90</v>
      </c>
      <c r="E26" s="24" t="str">
        <f>PERIODIZACION!L14</f>
        <v>MEDIO</v>
      </c>
    </row>
    <row r="27" spans="1:17" ht="39" customHeight="1"/>
    <row r="28" spans="1:17" ht="39" customHeight="1">
      <c r="A28" s="66" t="s">
        <v>191</v>
      </c>
      <c r="B28" s="67"/>
      <c r="C28" s="67"/>
      <c r="D28" s="67"/>
      <c r="E28" s="67"/>
      <c r="F28" s="67"/>
      <c r="G28" s="67"/>
      <c r="H28" s="67"/>
      <c r="I28" s="67"/>
      <c r="J28" s="67"/>
      <c r="K28" s="67"/>
      <c r="L28" s="67"/>
      <c r="M28" s="67"/>
      <c r="N28" s="67"/>
      <c r="O28" s="67"/>
      <c r="P28" s="67"/>
      <c r="Q28" s="68"/>
    </row>
    <row r="29" spans="1:17" ht="39" customHeight="1">
      <c r="A29" s="25" t="s">
        <v>85</v>
      </c>
      <c r="B29" s="25" t="s">
        <v>192</v>
      </c>
      <c r="C29" s="161" t="s">
        <v>188</v>
      </c>
      <c r="D29" s="162"/>
    </row>
    <row r="30" spans="1:17" ht="39" customHeight="1">
      <c r="A30" s="168" t="str">
        <f>PERIODIZACION!A8</f>
        <v>Lunes</v>
      </c>
      <c r="B30" s="165">
        <f>PERIODIZACION!C8</f>
        <v>0</v>
      </c>
      <c r="C30" s="166">
        <f>PERIODIZACION!G8</f>
        <v>350</v>
      </c>
      <c r="D30" s="167"/>
    </row>
    <row r="31" spans="1:17" ht="39" customHeight="1">
      <c r="A31" s="168" t="str">
        <f>PERIODIZACION!A9</f>
        <v>Martes</v>
      </c>
      <c r="B31" s="165">
        <f>PERIODIZACION!C9</f>
        <v>75</v>
      </c>
      <c r="C31" s="166">
        <f>PERIODIZACION!G9</f>
        <v>700</v>
      </c>
      <c r="D31" s="167"/>
    </row>
    <row r="32" spans="1:17" ht="39" customHeight="1">
      <c r="A32" s="168" t="str">
        <f>PERIODIZACION!A10</f>
        <v>Miércoles</v>
      </c>
      <c r="B32" s="165">
        <f>PERIODIZACION!C10</f>
        <v>60</v>
      </c>
      <c r="C32" s="166">
        <f>PERIODIZACION!G10</f>
        <v>350</v>
      </c>
      <c r="D32" s="167"/>
    </row>
    <row r="33" spans="1:17" ht="39" customHeight="1">
      <c r="A33" s="168" t="str">
        <f>PERIODIZACION!A11</f>
        <v>Jueves</v>
      </c>
      <c r="B33" s="165">
        <f>PERIODIZACION!C11</f>
        <v>90</v>
      </c>
      <c r="C33" s="166">
        <f>PERIODIZACION!G11</f>
        <v>700</v>
      </c>
      <c r="D33" s="167"/>
    </row>
    <row r="34" spans="1:17" ht="39" customHeight="1">
      <c r="A34" s="168" t="str">
        <f>PERIODIZACION!A12</f>
        <v>Viernes</v>
      </c>
      <c r="B34" s="165">
        <f>PERIODIZACION!C12</f>
        <v>45</v>
      </c>
      <c r="C34" s="166">
        <f>PERIODIZACION!G12</f>
        <v>350</v>
      </c>
      <c r="D34" s="167"/>
    </row>
    <row r="35" spans="1:17" ht="39" customHeight="1">
      <c r="A35" s="168" t="str">
        <f>PERIODIZACION!A13</f>
        <v>Sábado</v>
      </c>
      <c r="B35" s="165">
        <f>PERIODIZACION!C13</f>
        <v>180</v>
      </c>
      <c r="C35" s="166">
        <f>PERIODIZACION!G13</f>
        <v>840</v>
      </c>
      <c r="D35" s="167"/>
    </row>
    <row r="36" spans="1:17" ht="39" customHeight="1">
      <c r="A36" s="168" t="str">
        <f>PERIODIZACION!A14</f>
        <v>Domingo</v>
      </c>
      <c r="B36" s="165">
        <f>PERIODIZACION!C14</f>
        <v>90</v>
      </c>
      <c r="C36" s="166">
        <f>PERIODIZACION!G14</f>
        <v>490</v>
      </c>
      <c r="D36" s="167"/>
    </row>
    <row r="37" spans="1:17" ht="39" customHeight="1"/>
    <row r="38" spans="1:17" ht="39" customHeight="1">
      <c r="A38" s="66" t="s">
        <v>193</v>
      </c>
      <c r="B38" s="67"/>
      <c r="C38" s="67"/>
      <c r="D38" s="67"/>
      <c r="E38" s="67"/>
      <c r="F38" s="67"/>
      <c r="G38" s="67"/>
      <c r="H38" s="67"/>
      <c r="I38" s="67"/>
      <c r="J38" s="67"/>
      <c r="K38" s="67"/>
      <c r="L38" s="67"/>
      <c r="M38" s="67"/>
      <c r="N38" s="67"/>
      <c r="O38" s="67"/>
      <c r="P38" s="67"/>
      <c r="Q38" s="68"/>
    </row>
    <row r="39" spans="1:17" ht="39" customHeight="1">
      <c r="A39" s="163" t="s">
        <v>194</v>
      </c>
      <c r="B39" s="164"/>
      <c r="C39" s="153" t="str">
        <f>IF(NOT(ISNUMBER(PERIODIZACION!C21)),"ND",IF(PERIODIZACION!C21&lt;1.5,"El perfil de carbohidrato es plano: la ingesta no acompaña la carga.","El perfil de carbohidrato sigue la forma de la carga: los días exigentes reciben más combustible."))</f>
        <v>El perfil de carbohidrato sigue la forma de la carga: los días exigentes reciben más combustible.</v>
      </c>
      <c r="D39" s="154"/>
      <c r="E39" s="154"/>
      <c r="F39" s="154"/>
      <c r="G39" s="154"/>
      <c r="H39" s="154"/>
      <c r="I39" s="154"/>
      <c r="J39" s="154"/>
      <c r="K39" s="154"/>
      <c r="L39" s="154"/>
      <c r="M39" s="154"/>
      <c r="N39" s="154"/>
      <c r="O39" s="154"/>
      <c r="P39" s="154"/>
      <c r="Q39" s="154"/>
    </row>
    <row r="40" spans="1:17" ht="39" customHeight="1">
      <c r="A40" s="163" t="s">
        <v>195</v>
      </c>
      <c r="B40" s="164"/>
      <c r="C40" s="153" t="str">
        <f>MICROCICLO!C22</f>
        <v>La proporción de sesiones con disponibilidad reducida está dentro del rango habitual.</v>
      </c>
      <c r="D40" s="154"/>
      <c r="E40" s="154"/>
      <c r="F40" s="154"/>
      <c r="G40" s="154"/>
      <c r="H40" s="154"/>
      <c r="I40" s="154"/>
      <c r="J40" s="154"/>
      <c r="K40" s="154"/>
      <c r="L40" s="154"/>
      <c r="M40" s="154"/>
      <c r="N40" s="154"/>
      <c r="O40" s="154"/>
      <c r="P40" s="154"/>
      <c r="Q40" s="154"/>
    </row>
    <row r="41" spans="1:17" ht="39" customHeight="1"/>
    <row r="42" spans="1:17" ht="39" customHeight="1">
      <c r="A42" s="74" t="s">
        <v>196</v>
      </c>
      <c r="B42" s="75"/>
      <c r="C42" s="75"/>
      <c r="D42" s="75"/>
      <c r="E42" s="75"/>
      <c r="F42" s="75"/>
      <c r="G42" s="75"/>
      <c r="H42" s="75"/>
      <c r="I42" s="75"/>
      <c r="J42" s="75"/>
      <c r="K42" s="75"/>
      <c r="L42" s="75"/>
      <c r="M42" s="75"/>
      <c r="N42" s="75"/>
      <c r="O42" s="75"/>
      <c r="P42" s="75"/>
      <c r="Q42" s="76"/>
    </row>
    <row r="43" spans="1:17" ht="24.75" customHeight="1">
      <c r="A43" s="77"/>
      <c r="B43" s="78"/>
      <c r="C43" s="78"/>
      <c r="D43" s="78"/>
      <c r="E43" s="78"/>
      <c r="F43" s="78"/>
      <c r="G43" s="78"/>
      <c r="H43" s="78"/>
      <c r="I43" s="78"/>
      <c r="J43" s="78"/>
      <c r="K43" s="78"/>
      <c r="L43" s="78"/>
      <c r="M43" s="78"/>
      <c r="N43" s="78"/>
      <c r="O43" s="78"/>
      <c r="P43" s="78"/>
      <c r="Q43" s="79"/>
    </row>
  </sheetData>
  <sheetProtection algorithmName="SHA-512" hashValue="sjKwmXeVva1kngwgzlk3p3O/WAJbAE+xWJI0pQBefwjsyJHFcDaz5OLhpmH75McfQBwmAgG7fR7+ql8hU1xuKw==" saltValue="uf527DtXKV8N7Zr1rluUPQ==" spinCount="100000" sheet="1" objects="1" scenarios="1"/>
  <mergeCells count="50">
    <mergeCell ref="C33:D33"/>
    <mergeCell ref="C34:D34"/>
    <mergeCell ref="C35:D35"/>
    <mergeCell ref="C36:D36"/>
    <mergeCell ref="A4:E4"/>
    <mergeCell ref="A42:Q43"/>
    <mergeCell ref="G8:I9"/>
    <mergeCell ref="J12:L12"/>
    <mergeCell ref="G13:I14"/>
    <mergeCell ref="D15:F15"/>
    <mergeCell ref="A10:C10"/>
    <mergeCell ref="A18:Q18"/>
    <mergeCell ref="M13:O14"/>
    <mergeCell ref="G12:I12"/>
    <mergeCell ref="A15:C15"/>
    <mergeCell ref="D13:F14"/>
    <mergeCell ref="D10:F10"/>
    <mergeCell ref="J10:L10"/>
    <mergeCell ref="A8:C9"/>
    <mergeCell ref="A38:Q38"/>
    <mergeCell ref="A1:Q1"/>
    <mergeCell ref="G15:I15"/>
    <mergeCell ref="M15:O15"/>
    <mergeCell ref="J7:L7"/>
    <mergeCell ref="A6:Q6"/>
    <mergeCell ref="J13:L14"/>
    <mergeCell ref="D12:F12"/>
    <mergeCell ref="A13:C14"/>
    <mergeCell ref="M8:O9"/>
    <mergeCell ref="A7:C7"/>
    <mergeCell ref="G7:I7"/>
    <mergeCell ref="D8:F9"/>
    <mergeCell ref="J15:L15"/>
    <mergeCell ref="G10:I10"/>
    <mergeCell ref="M10:O10"/>
    <mergeCell ref="A2:Q3"/>
    <mergeCell ref="M7:O7"/>
    <mergeCell ref="J8:L9"/>
    <mergeCell ref="D7:F7"/>
    <mergeCell ref="A12:C12"/>
    <mergeCell ref="M12:O12"/>
    <mergeCell ref="A28:Q28"/>
    <mergeCell ref="A40:B40"/>
    <mergeCell ref="A39:B39"/>
    <mergeCell ref="C39:Q39"/>
    <mergeCell ref="C40:Q40"/>
    <mergeCell ref="C29:D29"/>
    <mergeCell ref="C30:D30"/>
    <mergeCell ref="C31:D31"/>
    <mergeCell ref="C32:D32"/>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FF0E3"/>
    <pageSetUpPr fitToPage="1"/>
  </sheetPr>
  <dimension ref="A1:Q40"/>
  <sheetViews>
    <sheetView showGridLines="0" topLeftCell="A19" workbookViewId="0">
      <selection activeCell="C34" sqref="C34:K36"/>
    </sheetView>
  </sheetViews>
  <sheetFormatPr baseColWidth="10" defaultColWidth="9.140625" defaultRowHeight="15"/>
  <cols>
    <col min="1" max="1" width="13" customWidth="1"/>
    <col min="2" max="2" width="26" customWidth="1"/>
    <col min="3" max="3" width="11" customWidth="1"/>
    <col min="4" max="4" width="18" customWidth="1"/>
    <col min="5" max="5" width="11" customWidth="1"/>
    <col min="6" max="6" width="20" customWidth="1"/>
    <col min="7" max="7" width="18" customWidth="1"/>
    <col min="8" max="8" width="28"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49"/>
      <c r="C1" s="49"/>
      <c r="D1" s="49"/>
      <c r="E1" s="49"/>
      <c r="F1" s="49"/>
      <c r="G1" s="49"/>
      <c r="H1" s="49"/>
      <c r="I1" s="49"/>
      <c r="J1" s="49"/>
      <c r="K1" s="49"/>
      <c r="L1" s="49"/>
      <c r="M1" s="49"/>
      <c r="N1" s="49"/>
      <c r="O1" s="49"/>
      <c r="P1" s="49"/>
      <c r="Q1" s="49"/>
    </row>
    <row r="2" spans="1:17" ht="15" customHeight="1">
      <c r="A2" s="36" t="s">
        <v>197</v>
      </c>
      <c r="B2" s="49"/>
      <c r="C2" s="49"/>
      <c r="D2" s="49"/>
      <c r="E2" s="49"/>
      <c r="F2" s="49"/>
      <c r="G2" s="49"/>
      <c r="H2" s="49"/>
      <c r="I2" s="49"/>
      <c r="J2" s="49"/>
      <c r="K2" s="49"/>
      <c r="L2" s="49"/>
      <c r="M2" s="49"/>
      <c r="N2" s="49"/>
      <c r="O2" s="49"/>
      <c r="P2" s="49"/>
      <c r="Q2" s="49"/>
    </row>
    <row r="3" spans="1:17" ht="15" customHeight="1">
      <c r="A3" s="49"/>
      <c r="B3" s="49"/>
      <c r="C3" s="49"/>
      <c r="D3" s="49"/>
      <c r="E3" s="49"/>
      <c r="F3" s="49"/>
      <c r="G3" s="49"/>
      <c r="H3" s="49"/>
      <c r="I3" s="49"/>
      <c r="J3" s="49"/>
      <c r="K3" s="49"/>
      <c r="L3" s="49"/>
      <c r="M3" s="49"/>
      <c r="N3" s="49"/>
      <c r="O3" s="49"/>
      <c r="P3" s="49"/>
      <c r="Q3" s="49"/>
    </row>
    <row r="4" spans="1:17" ht="24" customHeight="1">
      <c r="A4" s="33" t="str">
        <f>HYPERLINK("#INICIO!A1","▶  VOLVER A INICIO")</f>
        <v>▶  VOLVER A INICIO</v>
      </c>
      <c r="B4" s="45"/>
    </row>
    <row r="6" spans="1:17" ht="20.100000000000001" customHeight="1">
      <c r="A6" s="38" t="s">
        <v>198</v>
      </c>
      <c r="B6" s="47"/>
      <c r="C6" s="47"/>
      <c r="D6" s="47"/>
      <c r="E6" s="47"/>
      <c r="F6" s="47"/>
      <c r="G6" s="47"/>
      <c r="H6" s="47"/>
      <c r="I6" s="47"/>
      <c r="J6" s="47"/>
      <c r="K6" s="47"/>
      <c r="L6" s="47"/>
      <c r="M6" s="47"/>
      <c r="N6" s="47"/>
      <c r="O6" s="47"/>
      <c r="P6" s="47"/>
      <c r="Q6" s="45"/>
    </row>
    <row r="7" spans="1:17" ht="18" customHeight="1">
      <c r="A7" s="34" t="s">
        <v>199</v>
      </c>
      <c r="B7" s="45"/>
      <c r="C7" s="51">
        <f>DATOS!C6</f>
        <v>0</v>
      </c>
      <c r="D7" s="47"/>
      <c r="E7" s="47"/>
      <c r="F7" s="47"/>
      <c r="G7" s="47"/>
      <c r="H7" s="47"/>
      <c r="I7" s="47"/>
      <c r="J7" s="47"/>
      <c r="K7" s="45"/>
    </row>
    <row r="8" spans="1:17" ht="18" customHeight="1">
      <c r="A8" s="34" t="s">
        <v>65</v>
      </c>
      <c r="B8" s="45"/>
      <c r="C8" s="51" t="str">
        <f>v_fase</f>
        <v>Construcción</v>
      </c>
      <c r="D8" s="47"/>
      <c r="E8" s="47"/>
      <c r="F8" s="47"/>
      <c r="G8" s="47"/>
      <c r="H8" s="47"/>
      <c r="I8" s="47"/>
      <c r="J8" s="47"/>
      <c r="K8" s="45"/>
    </row>
    <row r="9" spans="1:17" ht="18" customHeight="1">
      <c r="A9" s="34" t="s">
        <v>68</v>
      </c>
      <c r="B9" s="45"/>
      <c r="C9" s="51" t="str">
        <f>DATOS!C13</f>
        <v>Ciclismo de ruta</v>
      </c>
      <c r="D9" s="47"/>
      <c r="E9" s="47"/>
      <c r="F9" s="47"/>
      <c r="G9" s="47"/>
      <c r="H9" s="47"/>
      <c r="I9" s="47"/>
      <c r="J9" s="47"/>
      <c r="K9" s="45"/>
    </row>
    <row r="10" spans="1:17" ht="18" customHeight="1">
      <c r="A10" s="34" t="s">
        <v>69</v>
      </c>
      <c r="B10" s="45"/>
      <c r="C10" s="51" t="str">
        <f>DATOS!C14</f>
        <v>Federado</v>
      </c>
      <c r="D10" s="47"/>
      <c r="E10" s="47"/>
      <c r="F10" s="47"/>
      <c r="G10" s="47"/>
      <c r="H10" s="47"/>
      <c r="I10" s="47"/>
      <c r="J10" s="47"/>
      <c r="K10" s="45"/>
    </row>
    <row r="11" spans="1:17" ht="18" customHeight="1">
      <c r="A11" s="34" t="s">
        <v>200</v>
      </c>
      <c r="B11" s="45"/>
      <c r="C11" s="51">
        <f>v_peso</f>
        <v>70</v>
      </c>
      <c r="D11" s="47"/>
      <c r="E11" s="47"/>
      <c r="F11" s="47"/>
      <c r="G11" s="47"/>
      <c r="H11" s="47"/>
      <c r="I11" s="47"/>
      <c r="J11" s="47"/>
      <c r="K11" s="45"/>
    </row>
    <row r="12" spans="1:17" ht="18" customHeight="1">
      <c r="A12" s="34" t="s">
        <v>75</v>
      </c>
      <c r="B12" s="45"/>
      <c r="C12" s="51" t="str">
        <f>DATOS!C18</f>
        <v>Construcción</v>
      </c>
      <c r="D12" s="47"/>
      <c r="E12" s="47"/>
      <c r="F12" s="47"/>
      <c r="G12" s="47"/>
      <c r="H12" s="47"/>
      <c r="I12" s="47"/>
      <c r="J12" s="47"/>
      <c r="K12" s="45"/>
    </row>
    <row r="13" spans="1:17" ht="18" customHeight="1">
      <c r="A13" s="34" t="s">
        <v>74</v>
      </c>
      <c r="B13" s="45"/>
      <c r="C13" s="51">
        <f>DATOS!C17</f>
        <v>0</v>
      </c>
      <c r="D13" s="47"/>
      <c r="E13" s="47"/>
      <c r="F13" s="47"/>
      <c r="G13" s="47"/>
      <c r="H13" s="47"/>
      <c r="I13" s="47"/>
      <c r="J13" s="47"/>
      <c r="K13" s="45"/>
    </row>
    <row r="15" spans="1:17" ht="20.100000000000001" customHeight="1">
      <c r="A15" s="38" t="s">
        <v>201</v>
      </c>
      <c r="B15" s="47"/>
      <c r="C15" s="47"/>
      <c r="D15" s="47"/>
      <c r="E15" s="47"/>
      <c r="F15" s="47"/>
      <c r="G15" s="47"/>
      <c r="H15" s="47"/>
      <c r="I15" s="47"/>
      <c r="J15" s="47"/>
      <c r="K15" s="47"/>
      <c r="L15" s="47"/>
      <c r="M15" s="47"/>
      <c r="N15" s="47"/>
      <c r="O15" s="47"/>
      <c r="P15" s="47"/>
      <c r="Q15" s="45"/>
    </row>
    <row r="16" spans="1:17" ht="32.1" customHeight="1">
      <c r="A16" s="1" t="s">
        <v>85</v>
      </c>
      <c r="B16" s="1" t="s">
        <v>202</v>
      </c>
      <c r="C16" s="1" t="s">
        <v>203</v>
      </c>
      <c r="D16" s="1" t="s">
        <v>204</v>
      </c>
      <c r="E16" s="1" t="s">
        <v>205</v>
      </c>
      <c r="F16" s="1" t="s">
        <v>206</v>
      </c>
      <c r="G16" s="1" t="s">
        <v>207</v>
      </c>
      <c r="H16" s="1" t="s">
        <v>208</v>
      </c>
    </row>
    <row r="17" spans="1:17" ht="21.95" customHeight="1">
      <c r="A17" s="9" t="str">
        <f>PERIODIZACION!A8</f>
        <v>Lunes</v>
      </c>
      <c r="B17" s="9" t="str">
        <f>PERIODIZACION!B8</f>
        <v>Descanso</v>
      </c>
      <c r="C17" s="10" t="str">
        <f>IF(NOT(ISNUMBER(PERIODIZACION!C8)),"",IF(PERIODIZACION!C8=0,"—",TEXT(PERIODIZACION!C8,"0")&amp;" min"))</f>
        <v>—</v>
      </c>
      <c r="D17" s="11" t="str">
        <f>IF(OR(NOT(ISNUMBER(PERIODIZACION!F8)),NOT(ISNUMBER(PERIODIZACION!G8))),"ND",TEXT(PERIODIZACION!F8,"0")&amp;" a "&amp;TEXT(PERIODIZACION!G8,"0")&amp;" g")</f>
        <v>210 a 350 g</v>
      </c>
      <c r="E17" s="11" t="str">
        <f>IF(NOT(ISNUMBER(PERIODIZACION!H8)),"",TEXT(PERIODIZACION!H8,"0")&amp;" g")</f>
        <v>126 g</v>
      </c>
      <c r="F17" s="12" t="str">
        <f>IF(TIMING!D8="","",IF(ISNUMBER(TIMING!D8),TEXT(TIMING!D8,"0")&amp;" g de CHO",TIMING!D8))</f>
        <v>No requiere</v>
      </c>
      <c r="G17" s="12" t="str">
        <f>IF(TIMING!E8="","",IF(TIMING!E8="No requiere","No requiere",TIMING!E8&amp;" g por hora"))</f>
        <v>No requiere</v>
      </c>
      <c r="H17" s="12" t="str">
        <f>TIMING!G8</f>
        <v>Recuperación con las comidas habituales</v>
      </c>
    </row>
    <row r="18" spans="1:17" ht="21.95" customHeight="1">
      <c r="A18" s="9" t="str">
        <f>PERIODIZACION!A9</f>
        <v>Martes</v>
      </c>
      <c r="B18" s="9" t="str">
        <f>PERIODIZACION!B9</f>
        <v>Alta intensidad o intervalos</v>
      </c>
      <c r="C18" s="10" t="str">
        <f>IF(NOT(ISNUMBER(PERIODIZACION!C9)),"",IF(PERIODIZACION!C9=0,"—",TEXT(PERIODIZACION!C9,"0")&amp;" min"))</f>
        <v>75 min</v>
      </c>
      <c r="D18" s="11" t="str">
        <f>IF(OR(NOT(ISNUMBER(PERIODIZACION!F9)),NOT(ISNUMBER(PERIODIZACION!G9))),"ND",TEXT(PERIODIZACION!F9,"0")&amp;" a "&amp;TEXT(PERIODIZACION!G9,"0")&amp;" g")</f>
        <v>420 a 700 g</v>
      </c>
      <c r="E18" s="11" t="str">
        <f>IF(NOT(ISNUMBER(PERIODIZACION!H9)),"",TEXT(PERIODIZACION!H9,"0")&amp;" g")</f>
        <v>126 g</v>
      </c>
      <c r="F18" s="12" t="str">
        <f>IF(TIMING!D9="","",IF(ISNUMBER(TIMING!D9),TEXT(TIMING!D9,"0")&amp;" g de CHO",TIMING!D9))</f>
        <v>210 g de CHO</v>
      </c>
      <c r="G18" s="12" t="str">
        <f>IF(TIMING!E9="","",IF(TIMING!E9="No requiere","No requiere",TIMING!E9&amp;" g por hora"))</f>
        <v>30 a 60 g por hora</v>
      </c>
      <c r="H18" s="12" t="str">
        <f>TIMING!G9</f>
        <v>Recuperación con las comidas habituales</v>
      </c>
    </row>
    <row r="19" spans="1:17" ht="21.95" customHeight="1">
      <c r="A19" s="9" t="str">
        <f>PERIODIZACION!A10</f>
        <v>Miércoles</v>
      </c>
      <c r="B19" s="9" t="str">
        <f>PERIODIZACION!B10</f>
        <v>Suave o regenerativa</v>
      </c>
      <c r="C19" s="10" t="str">
        <f>IF(NOT(ISNUMBER(PERIODIZACION!C10)),"",IF(PERIODIZACION!C10=0,"—",TEXT(PERIODIZACION!C10,"0")&amp;" min"))</f>
        <v>60 min</v>
      </c>
      <c r="D19" s="11" t="str">
        <f>IF(OR(NOT(ISNUMBER(PERIODIZACION!F10)),NOT(ISNUMBER(PERIODIZACION!G10))),"ND",TEXT(PERIODIZACION!F10,"0")&amp;" a "&amp;TEXT(PERIODIZACION!G10,"0")&amp;" g")</f>
        <v>210 a 350 g</v>
      </c>
      <c r="E19" s="11" t="str">
        <f>IF(NOT(ISNUMBER(PERIODIZACION!H10)),"",TEXT(PERIODIZACION!H10,"0")&amp;" g")</f>
        <v>126 g</v>
      </c>
      <c r="F19" s="12" t="str">
        <f>IF(TIMING!D10="","",IF(ISNUMBER(TIMING!D10),TEXT(TIMING!D10,"0")&amp;" g de CHO",TIMING!D10))</f>
        <v>70 g de CHO</v>
      </c>
      <c r="G19" s="12" t="str">
        <f>IF(TIMING!E10="","",IF(TIMING!E10="No requiere","No requiere",TIMING!E10&amp;" g por hora"))</f>
        <v>No requiere</v>
      </c>
      <c r="H19" s="12" t="str">
        <f>TIMING!G10</f>
        <v>Recuperación con las comidas habituales</v>
      </c>
    </row>
    <row r="20" spans="1:17" ht="21.95" customHeight="1">
      <c r="A20" s="9" t="str">
        <f>PERIODIZACION!A11</f>
        <v>Jueves</v>
      </c>
      <c r="B20" s="9" t="str">
        <f>PERIODIZACION!B11</f>
        <v>Alta intensidad o intervalos</v>
      </c>
      <c r="C20" s="10" t="str">
        <f>IF(NOT(ISNUMBER(PERIODIZACION!C11)),"",IF(PERIODIZACION!C11=0,"—",TEXT(PERIODIZACION!C11,"0")&amp;" min"))</f>
        <v>90 min</v>
      </c>
      <c r="D20" s="11" t="str">
        <f>IF(OR(NOT(ISNUMBER(PERIODIZACION!F11)),NOT(ISNUMBER(PERIODIZACION!G11))),"ND",TEXT(PERIODIZACION!F11,"0")&amp;" a "&amp;TEXT(PERIODIZACION!G11,"0")&amp;" g")</f>
        <v>420 a 700 g</v>
      </c>
      <c r="E20" s="11" t="str">
        <f>IF(NOT(ISNUMBER(PERIODIZACION!H11)),"",TEXT(PERIODIZACION!H11,"0")&amp;" g")</f>
        <v>126 g</v>
      </c>
      <c r="F20" s="12" t="str">
        <f>IF(TIMING!D11="","",IF(ISNUMBER(TIMING!D11),TEXT(TIMING!D11,"0")&amp;" g de CHO",TIMING!D11))</f>
        <v>210 g de CHO</v>
      </c>
      <c r="G20" s="12" t="str">
        <f>IF(TIMING!E11="","",IF(TIMING!E11="No requiere","No requiere",TIMING!E11&amp;" g por hora"))</f>
        <v>30 a 60 g por hora</v>
      </c>
      <c r="H20" s="12" t="str">
        <f>TIMING!G11</f>
        <v>Recuperación con las comidas habituales</v>
      </c>
    </row>
    <row r="21" spans="1:17" ht="21.95" customHeight="1">
      <c r="A21" s="9" t="str">
        <f>PERIODIZACION!A12</f>
        <v>Viernes</v>
      </c>
      <c r="B21" s="9" t="str">
        <f>PERIODIZACION!B12</f>
        <v>Suave o regenerativa</v>
      </c>
      <c r="C21" s="10" t="str">
        <f>IF(NOT(ISNUMBER(PERIODIZACION!C12)),"",IF(PERIODIZACION!C12=0,"—",TEXT(PERIODIZACION!C12,"0")&amp;" min"))</f>
        <v>45 min</v>
      </c>
      <c r="D21" s="11" t="str">
        <f>IF(OR(NOT(ISNUMBER(PERIODIZACION!F12)),NOT(ISNUMBER(PERIODIZACION!G12))),"ND",TEXT(PERIODIZACION!F12,"0")&amp;" a "&amp;TEXT(PERIODIZACION!G12,"0")&amp;" g")</f>
        <v>210 a 350 g</v>
      </c>
      <c r="E21" s="11" t="str">
        <f>IF(NOT(ISNUMBER(PERIODIZACION!H12)),"",TEXT(PERIODIZACION!H12,"0")&amp;" g")</f>
        <v>126 g</v>
      </c>
      <c r="F21" s="12" t="str">
        <f>IF(TIMING!D12="","",IF(ISNUMBER(TIMING!D12),TEXT(TIMING!D12,"0")&amp;" g de CHO",TIMING!D12))</f>
        <v>70 g de CHO</v>
      </c>
      <c r="G21" s="12" t="str">
        <f>IF(TIMING!E12="","",IF(TIMING!E12="No requiere","No requiere",TIMING!E12&amp;" g por hora"))</f>
        <v>No requiere</v>
      </c>
      <c r="H21" s="12" t="str">
        <f>TIMING!G12</f>
        <v>Recuperación con las comidas habituales</v>
      </c>
    </row>
    <row r="22" spans="1:17" ht="21.95" customHeight="1">
      <c r="A22" s="9" t="str">
        <f>PERIODIZACION!A13</f>
        <v>Sábado</v>
      </c>
      <c r="B22" s="9" t="str">
        <f>PERIODIZACION!B13</f>
        <v>Larga o fondo</v>
      </c>
      <c r="C22" s="10" t="str">
        <f>IF(NOT(ISNUMBER(PERIODIZACION!C13)),"",IF(PERIODIZACION!C13=0,"—",TEXT(PERIODIZACION!C13,"0")&amp;" min"))</f>
        <v>180 min</v>
      </c>
      <c r="D22" s="11" t="str">
        <f>IF(OR(NOT(ISNUMBER(PERIODIZACION!F13)),NOT(ISNUMBER(PERIODIZACION!G13))),"ND",TEXT(PERIODIZACION!F13,"0")&amp;" a "&amp;TEXT(PERIODIZACION!G13,"0")&amp;" g")</f>
        <v>560 a 840 g</v>
      </c>
      <c r="E22" s="11" t="str">
        <f>IF(NOT(ISNUMBER(PERIODIZACION!H13)),"",TEXT(PERIODIZACION!H13,"0")&amp;" g")</f>
        <v>126 g</v>
      </c>
      <c r="F22" s="12" t="str">
        <f>IF(TIMING!D13="","",IF(ISNUMBER(TIMING!D13),TEXT(TIMING!D13,"0")&amp;" g de CHO",TIMING!D13))</f>
        <v>210 g de CHO</v>
      </c>
      <c r="G22" s="12" t="str">
        <f>IF(TIMING!E13="","",IF(TIMING!E13="No requiere","No requiere",TIMING!E13&amp;" g por hora"))</f>
        <v>60 a 90 g por hora</v>
      </c>
      <c r="H22" s="12" t="str">
        <f>TIMING!G13</f>
        <v>Recuperación con las comidas habituales</v>
      </c>
    </row>
    <row r="23" spans="1:17" ht="21.95" customHeight="1">
      <c r="A23" s="9" t="str">
        <f>PERIODIZACION!A14</f>
        <v>Domingo</v>
      </c>
      <c r="B23" s="9" t="str">
        <f>PERIODIZACION!B14</f>
        <v>Moderada</v>
      </c>
      <c r="C23" s="10" t="str">
        <f>IF(NOT(ISNUMBER(PERIODIZACION!C14)),"",IF(PERIODIZACION!C14=0,"—",TEXT(PERIODIZACION!C14,"0")&amp;" min"))</f>
        <v>90 min</v>
      </c>
      <c r="D23" s="11" t="str">
        <f>IF(OR(NOT(ISNUMBER(PERIODIZACION!F14)),NOT(ISNUMBER(PERIODIZACION!G14))),"ND",TEXT(PERIODIZACION!F14,"0")&amp;" a "&amp;TEXT(PERIODIZACION!G14,"0")&amp;" g")</f>
        <v>350 a 490 g</v>
      </c>
      <c r="E23" s="11" t="str">
        <f>IF(NOT(ISNUMBER(PERIODIZACION!H14)),"",TEXT(PERIODIZACION!H14,"0")&amp;" g")</f>
        <v>126 g</v>
      </c>
      <c r="F23" s="12" t="str">
        <f>IF(TIMING!D14="","",IF(ISNUMBER(TIMING!D14),TEXT(TIMING!D14,"0")&amp;" g de CHO",TIMING!D14))</f>
        <v>140 g de CHO</v>
      </c>
      <c r="G23" s="12" t="str">
        <f>IF(TIMING!E14="","",IF(TIMING!E14="No requiere","No requiere",TIMING!E14&amp;" g por hora"))</f>
        <v>30 a 60 g por hora</v>
      </c>
      <c r="H23" s="12" t="str">
        <f>TIMING!G14</f>
        <v>Recuperación con las comidas habituales</v>
      </c>
    </row>
    <row r="25" spans="1:17" ht="20.100000000000001" customHeight="1">
      <c r="A25" s="38" t="s">
        <v>209</v>
      </c>
      <c r="B25" s="47"/>
      <c r="C25" s="47"/>
      <c r="D25" s="47"/>
      <c r="E25" s="47"/>
      <c r="F25" s="47"/>
      <c r="G25" s="47"/>
      <c r="H25" s="47"/>
      <c r="I25" s="47"/>
      <c r="J25" s="47"/>
      <c r="K25" s="47"/>
      <c r="L25" s="47"/>
      <c r="M25" s="47"/>
      <c r="N25" s="47"/>
      <c r="O25" s="47"/>
      <c r="P25" s="47"/>
      <c r="Q25" s="45"/>
    </row>
    <row r="26" spans="1:17" ht="20.100000000000001" customHeight="1">
      <c r="A26" s="35">
        <v>1</v>
      </c>
      <c r="B26" s="45"/>
      <c r="C26" s="32" t="s">
        <v>210</v>
      </c>
      <c r="D26" s="47"/>
      <c r="E26" s="47"/>
      <c r="F26" s="47"/>
      <c r="G26" s="47"/>
      <c r="H26" s="47"/>
      <c r="I26" s="47"/>
      <c r="J26" s="47"/>
      <c r="K26" s="47"/>
      <c r="L26" s="47"/>
      <c r="M26" s="47"/>
      <c r="N26" s="47"/>
      <c r="O26" s="47"/>
      <c r="P26" s="47"/>
      <c r="Q26" s="45"/>
    </row>
    <row r="27" spans="1:17" ht="20.100000000000001" customHeight="1">
      <c r="A27" s="35">
        <v>2</v>
      </c>
      <c r="B27" s="45"/>
      <c r="C27" s="32" t="s">
        <v>211</v>
      </c>
      <c r="D27" s="47"/>
      <c r="E27" s="47"/>
      <c r="F27" s="47"/>
      <c r="G27" s="47"/>
      <c r="H27" s="47"/>
      <c r="I27" s="47"/>
      <c r="J27" s="47"/>
      <c r="K27" s="47"/>
      <c r="L27" s="47"/>
      <c r="M27" s="47"/>
      <c r="N27" s="47"/>
      <c r="O27" s="47"/>
      <c r="P27" s="47"/>
      <c r="Q27" s="45"/>
    </row>
    <row r="28" spans="1:17" ht="20.100000000000001" customHeight="1">
      <c r="A28" s="35">
        <v>3</v>
      </c>
      <c r="B28" s="45"/>
      <c r="C28" s="32" t="s">
        <v>212</v>
      </c>
      <c r="D28" s="47"/>
      <c r="E28" s="47"/>
      <c r="F28" s="47"/>
      <c r="G28" s="47"/>
      <c r="H28" s="47"/>
      <c r="I28" s="47"/>
      <c r="J28" s="47"/>
      <c r="K28" s="47"/>
      <c r="L28" s="47"/>
      <c r="M28" s="47"/>
      <c r="N28" s="47"/>
      <c r="O28" s="47"/>
      <c r="P28" s="47"/>
      <c r="Q28" s="45"/>
    </row>
    <row r="29" spans="1:17" ht="20.100000000000001" customHeight="1">
      <c r="A29" s="35">
        <v>4</v>
      </c>
      <c r="B29" s="45"/>
      <c r="C29" s="32" t="s">
        <v>213</v>
      </c>
      <c r="D29" s="47"/>
      <c r="E29" s="47"/>
      <c r="F29" s="47"/>
      <c r="G29" s="47"/>
      <c r="H29" s="47"/>
      <c r="I29" s="47"/>
      <c r="J29" s="47"/>
      <c r="K29" s="47"/>
      <c r="L29" s="47"/>
      <c r="M29" s="47"/>
      <c r="N29" s="47"/>
      <c r="O29" s="47"/>
      <c r="P29" s="47"/>
      <c r="Q29" s="45"/>
    </row>
    <row r="30" spans="1:17" ht="20.100000000000001" customHeight="1">
      <c r="A30" s="35">
        <v>5</v>
      </c>
      <c r="B30" s="45"/>
      <c r="C30" s="32" t="s">
        <v>214</v>
      </c>
      <c r="D30" s="47"/>
      <c r="E30" s="47"/>
      <c r="F30" s="47"/>
      <c r="G30" s="47"/>
      <c r="H30" s="47"/>
      <c r="I30" s="47"/>
      <c r="J30" s="47"/>
      <c r="K30" s="47"/>
      <c r="L30" s="47"/>
      <c r="M30" s="47"/>
      <c r="N30" s="47"/>
      <c r="O30" s="47"/>
      <c r="P30" s="47"/>
      <c r="Q30" s="45"/>
    </row>
    <row r="31" spans="1:17" ht="20.100000000000001" customHeight="1">
      <c r="A31" s="35">
        <v>6</v>
      </c>
      <c r="B31" s="45"/>
      <c r="C31" s="32" t="s">
        <v>215</v>
      </c>
      <c r="D31" s="47"/>
      <c r="E31" s="47"/>
      <c r="F31" s="47"/>
      <c r="G31" s="47"/>
      <c r="H31" s="47"/>
      <c r="I31" s="47"/>
      <c r="J31" s="47"/>
      <c r="K31" s="47"/>
      <c r="L31" s="47"/>
      <c r="M31" s="47"/>
      <c r="N31" s="47"/>
      <c r="O31" s="47"/>
      <c r="P31" s="47"/>
      <c r="Q31" s="45"/>
    </row>
    <row r="33" spans="1:17" ht="20.100000000000001" customHeight="1">
      <c r="A33" s="38" t="s">
        <v>216</v>
      </c>
      <c r="B33" s="47"/>
      <c r="C33" s="47"/>
      <c r="D33" s="47"/>
      <c r="E33" s="47"/>
      <c r="F33" s="47"/>
      <c r="G33" s="47"/>
      <c r="H33" s="47"/>
      <c r="I33" s="47"/>
      <c r="J33" s="47"/>
      <c r="K33" s="47"/>
      <c r="L33" s="47"/>
      <c r="M33" s="47"/>
      <c r="N33" s="47"/>
      <c r="O33" s="47"/>
      <c r="P33" s="47"/>
      <c r="Q33" s="45"/>
    </row>
    <row r="34" spans="1:17" ht="26.1" customHeight="1">
      <c r="A34" s="34" t="s">
        <v>217</v>
      </c>
      <c r="B34" s="45"/>
      <c r="C34" s="46" t="s">
        <v>56</v>
      </c>
      <c r="D34" s="47"/>
      <c r="E34" s="47"/>
      <c r="F34" s="47"/>
      <c r="G34" s="47"/>
      <c r="H34" s="47"/>
      <c r="I34" s="47"/>
      <c r="J34" s="47"/>
      <c r="K34" s="45"/>
    </row>
    <row r="35" spans="1:17" ht="26.1" customHeight="1">
      <c r="A35" s="34" t="s">
        <v>218</v>
      </c>
      <c r="B35" s="45"/>
      <c r="C35" s="46" t="s">
        <v>56</v>
      </c>
      <c r="D35" s="47"/>
      <c r="E35" s="47"/>
      <c r="F35" s="47"/>
      <c r="G35" s="47"/>
      <c r="H35" s="47"/>
      <c r="I35" s="47"/>
      <c r="J35" s="47"/>
      <c r="K35" s="45"/>
    </row>
    <row r="36" spans="1:17" ht="26.1" customHeight="1">
      <c r="A36" s="34" t="s">
        <v>219</v>
      </c>
      <c r="B36" s="45"/>
      <c r="C36" s="46" t="s">
        <v>56</v>
      </c>
      <c r="D36" s="47"/>
      <c r="E36" s="47"/>
      <c r="F36" s="47"/>
      <c r="G36" s="47"/>
      <c r="H36" s="47"/>
      <c r="I36" s="47"/>
      <c r="J36" s="47"/>
      <c r="K36" s="45"/>
    </row>
    <row r="38" spans="1:17">
      <c r="A38" s="52" t="s">
        <v>220</v>
      </c>
      <c r="B38" s="53"/>
      <c r="C38" s="53"/>
      <c r="D38" s="53"/>
      <c r="E38" s="53"/>
      <c r="F38" s="53"/>
      <c r="G38" s="53"/>
      <c r="H38" s="53"/>
      <c r="I38" s="53"/>
      <c r="J38" s="53"/>
      <c r="K38" s="53"/>
      <c r="L38" s="53"/>
      <c r="M38" s="53"/>
      <c r="N38" s="53"/>
      <c r="O38" s="53"/>
      <c r="P38" s="53"/>
      <c r="Q38" s="54"/>
    </row>
    <row r="39" spans="1:17">
      <c r="A39" s="55"/>
      <c r="B39" s="49"/>
      <c r="C39" s="49"/>
      <c r="D39" s="49"/>
      <c r="E39" s="49"/>
      <c r="F39" s="49"/>
      <c r="G39" s="49"/>
      <c r="H39" s="49"/>
      <c r="I39" s="49"/>
      <c r="J39" s="49"/>
      <c r="K39" s="49"/>
      <c r="L39" s="49"/>
      <c r="M39" s="49"/>
      <c r="N39" s="49"/>
      <c r="O39" s="49"/>
      <c r="P39" s="49"/>
      <c r="Q39" s="56"/>
    </row>
    <row r="40" spans="1:17">
      <c r="A40" s="57"/>
      <c r="B40" s="58"/>
      <c r="C40" s="58"/>
      <c r="D40" s="58"/>
      <c r="E40" s="58"/>
      <c r="F40" s="58"/>
      <c r="G40" s="58"/>
      <c r="H40" s="58"/>
      <c r="I40" s="58"/>
      <c r="J40" s="58"/>
      <c r="K40" s="58"/>
      <c r="L40" s="58"/>
      <c r="M40" s="58"/>
      <c r="N40" s="58"/>
      <c r="O40" s="58"/>
      <c r="P40" s="58"/>
      <c r="Q40" s="59"/>
    </row>
  </sheetData>
  <sheetProtection algorithmName="SHA-512" hashValue="9I8CwD4zYejEi2SoYT4jK4rou7cz/4LjSFZXRsG3jyXuRqtP044iky5hSixK5fEkLIqxFihvxY7TFZ7P7ffDOg==" saltValue="Ss3chT8XPeMnkXHKNhR7JA==" spinCount="100000" sheet="1" objects="1" scenarios="1"/>
  <protectedRanges>
    <protectedRange sqref="C34:K36" name="Rango1"/>
  </protectedRanges>
  <mergeCells count="40">
    <mergeCell ref="A38:Q40"/>
    <mergeCell ref="A9:B9"/>
    <mergeCell ref="A31:B31"/>
    <mergeCell ref="C26:Q26"/>
    <mergeCell ref="A34:B34"/>
    <mergeCell ref="A36:B36"/>
    <mergeCell ref="A15:Q15"/>
    <mergeCell ref="C9:K9"/>
    <mergeCell ref="A1:Q1"/>
    <mergeCell ref="A6:Q6"/>
    <mergeCell ref="C11:K11"/>
    <mergeCell ref="A7:B7"/>
    <mergeCell ref="C36:K36"/>
    <mergeCell ref="C27:Q27"/>
    <mergeCell ref="A25:Q25"/>
    <mergeCell ref="C8:K8"/>
    <mergeCell ref="A27:B27"/>
    <mergeCell ref="A12:B12"/>
    <mergeCell ref="C7:K7"/>
    <mergeCell ref="A26:B26"/>
    <mergeCell ref="C28:Q28"/>
    <mergeCell ref="C13:K13"/>
    <mergeCell ref="A33:Q33"/>
    <mergeCell ref="A8:B8"/>
    <mergeCell ref="A2:Q3"/>
    <mergeCell ref="C31:Q31"/>
    <mergeCell ref="C12:K12"/>
    <mergeCell ref="C34:K34"/>
    <mergeCell ref="A35:B35"/>
    <mergeCell ref="A4:B4"/>
    <mergeCell ref="C30:Q30"/>
    <mergeCell ref="C35:K35"/>
    <mergeCell ref="A29:B29"/>
    <mergeCell ref="A10:B10"/>
    <mergeCell ref="A28:B28"/>
    <mergeCell ref="A13:B13"/>
    <mergeCell ref="C29:Q29"/>
    <mergeCell ref="A30:B30"/>
    <mergeCell ref="C10:K10"/>
    <mergeCell ref="A11:B11"/>
  </mergeCell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8E7E2"/>
  </sheetPr>
  <dimension ref="A1:Q21"/>
  <sheetViews>
    <sheetView showGridLines="0" workbookViewId="0">
      <selection sqref="A1:Q1"/>
    </sheetView>
  </sheetViews>
  <sheetFormatPr baseColWidth="10" defaultColWidth="9.140625" defaultRowHeight="15"/>
  <cols>
    <col min="1" max="1" width="34" customWidth="1"/>
    <col min="2" max="2" width="15"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0"/>
      <c r="C1" s="30"/>
      <c r="D1" s="30"/>
      <c r="E1" s="30"/>
      <c r="F1" s="30"/>
      <c r="G1" s="30"/>
      <c r="H1" s="30"/>
      <c r="I1" s="30"/>
      <c r="J1" s="30"/>
      <c r="K1" s="30"/>
      <c r="L1" s="30"/>
      <c r="M1" s="30"/>
      <c r="N1" s="30"/>
      <c r="O1" s="30"/>
      <c r="P1" s="30"/>
      <c r="Q1" s="30"/>
    </row>
    <row r="2" spans="1:17" ht="15" customHeight="1">
      <c r="A2" s="36" t="s">
        <v>221</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4" customHeight="1">
      <c r="A4" s="33" t="str">
        <f>HYPERLINK("#INICIO!A1","▶  VOLVER A INICIO")</f>
        <v>▶  VOLVER A INICIO</v>
      </c>
      <c r="B4" s="33"/>
    </row>
    <row r="6" spans="1:17" ht="20.100000000000001" customHeight="1">
      <c r="A6" s="38" t="s">
        <v>222</v>
      </c>
      <c r="B6" s="39"/>
      <c r="C6" s="39"/>
      <c r="D6" s="39"/>
      <c r="E6" s="39"/>
      <c r="F6" s="39"/>
      <c r="G6" s="39"/>
      <c r="H6" s="39"/>
      <c r="I6" s="39"/>
      <c r="J6" s="39"/>
      <c r="K6" s="39"/>
      <c r="L6" s="39"/>
      <c r="M6" s="39"/>
      <c r="N6" s="39"/>
      <c r="O6" s="39"/>
      <c r="P6" s="39"/>
      <c r="Q6" s="39"/>
    </row>
    <row r="7" spans="1:17">
      <c r="A7" s="16" t="s">
        <v>223</v>
      </c>
      <c r="B7" s="85" t="s">
        <v>224</v>
      </c>
      <c r="C7" s="39"/>
      <c r="D7" s="39"/>
      <c r="E7" s="39"/>
      <c r="F7" s="39"/>
      <c r="G7" s="39"/>
      <c r="H7" s="39"/>
      <c r="I7" s="39"/>
      <c r="J7" s="39"/>
      <c r="K7" s="39"/>
      <c r="L7" s="39"/>
      <c r="M7" s="39"/>
      <c r="N7" s="39"/>
      <c r="O7" s="39"/>
      <c r="P7" s="39"/>
      <c r="Q7" s="39"/>
    </row>
    <row r="8" spans="1:17" ht="54" customHeight="1">
      <c r="A8" s="14" t="s">
        <v>225</v>
      </c>
      <c r="B8" s="83" t="s">
        <v>226</v>
      </c>
      <c r="C8" s="84"/>
      <c r="D8" s="84"/>
      <c r="E8" s="84"/>
      <c r="F8" s="84"/>
      <c r="G8" s="84"/>
      <c r="H8" s="84"/>
      <c r="I8" s="84"/>
      <c r="J8" s="84"/>
      <c r="K8" s="84"/>
      <c r="L8" s="84"/>
      <c r="M8" s="84"/>
      <c r="N8" s="84"/>
      <c r="O8" s="84"/>
      <c r="P8" s="84"/>
      <c r="Q8" s="84"/>
    </row>
    <row r="9" spans="1:17" ht="54" customHeight="1">
      <c r="A9" s="14" t="s">
        <v>227</v>
      </c>
      <c r="B9" s="83" t="s">
        <v>228</v>
      </c>
      <c r="C9" s="84"/>
      <c r="D9" s="84"/>
      <c r="E9" s="84"/>
      <c r="F9" s="84"/>
      <c r="G9" s="84"/>
      <c r="H9" s="84"/>
      <c r="I9" s="84"/>
      <c r="J9" s="84"/>
      <c r="K9" s="84"/>
      <c r="L9" s="84"/>
      <c r="M9" s="84"/>
      <c r="N9" s="84"/>
      <c r="O9" s="84"/>
      <c r="P9" s="84"/>
      <c r="Q9" s="84"/>
    </row>
    <row r="10" spans="1:17" ht="54" customHeight="1">
      <c r="A10" s="14" t="s">
        <v>229</v>
      </c>
      <c r="B10" s="83" t="s">
        <v>230</v>
      </c>
      <c r="C10" s="84"/>
      <c r="D10" s="84"/>
      <c r="E10" s="84"/>
      <c r="F10" s="84"/>
      <c r="G10" s="84"/>
      <c r="H10" s="84"/>
      <c r="I10" s="84"/>
      <c r="J10" s="84"/>
      <c r="K10" s="84"/>
      <c r="L10" s="84"/>
      <c r="M10" s="84"/>
      <c r="N10" s="84"/>
      <c r="O10" s="84"/>
      <c r="P10" s="84"/>
      <c r="Q10" s="84"/>
    </row>
    <row r="11" spans="1:17" ht="54" customHeight="1">
      <c r="A11" s="14" t="s">
        <v>118</v>
      </c>
      <c r="B11" s="83" t="s">
        <v>231</v>
      </c>
      <c r="C11" s="84"/>
      <c r="D11" s="84"/>
      <c r="E11" s="84"/>
      <c r="F11" s="84"/>
      <c r="G11" s="84"/>
      <c r="H11" s="84"/>
      <c r="I11" s="84"/>
      <c r="J11" s="84"/>
      <c r="K11" s="84"/>
      <c r="L11" s="84"/>
      <c r="M11" s="84"/>
      <c r="N11" s="84"/>
      <c r="O11" s="84"/>
      <c r="P11" s="84"/>
      <c r="Q11" s="84"/>
    </row>
    <row r="12" spans="1:17" ht="54" customHeight="1">
      <c r="A12" s="14" t="s">
        <v>232</v>
      </c>
      <c r="B12" s="83" t="s">
        <v>233</v>
      </c>
      <c r="C12" s="84"/>
      <c r="D12" s="84"/>
      <c r="E12" s="84"/>
      <c r="F12" s="84"/>
      <c r="G12" s="84"/>
      <c r="H12" s="84"/>
      <c r="I12" s="84"/>
      <c r="J12" s="84"/>
      <c r="K12" s="84"/>
      <c r="L12" s="84"/>
      <c r="M12" s="84"/>
      <c r="N12" s="84"/>
      <c r="O12" s="84"/>
      <c r="P12" s="84"/>
      <c r="Q12" s="84"/>
    </row>
    <row r="13" spans="1:17" ht="54" customHeight="1">
      <c r="A13" s="14" t="s">
        <v>234</v>
      </c>
      <c r="B13" s="83" t="s">
        <v>235</v>
      </c>
      <c r="C13" s="84"/>
      <c r="D13" s="84"/>
      <c r="E13" s="84"/>
      <c r="F13" s="84"/>
      <c r="G13" s="84"/>
      <c r="H13" s="84"/>
      <c r="I13" s="84"/>
      <c r="J13" s="84"/>
      <c r="K13" s="84"/>
      <c r="L13" s="84"/>
      <c r="M13" s="84"/>
      <c r="N13" s="84"/>
      <c r="O13" s="84"/>
      <c r="P13" s="84"/>
      <c r="Q13" s="84"/>
    </row>
    <row r="14" spans="1:17" ht="54" customHeight="1">
      <c r="A14" s="14" t="s">
        <v>205</v>
      </c>
      <c r="B14" s="83" t="s">
        <v>236</v>
      </c>
      <c r="C14" s="84"/>
      <c r="D14" s="84"/>
      <c r="E14" s="84"/>
      <c r="F14" s="84"/>
      <c r="G14" s="84"/>
      <c r="H14" s="84"/>
      <c r="I14" s="84"/>
      <c r="J14" s="84"/>
      <c r="K14" s="84"/>
      <c r="L14" s="84"/>
      <c r="M14" s="84"/>
      <c r="N14" s="84"/>
      <c r="O14" s="84"/>
      <c r="P14" s="84"/>
      <c r="Q14" s="84"/>
    </row>
    <row r="15" spans="1:17" ht="54" customHeight="1">
      <c r="A15" s="14" t="s">
        <v>237</v>
      </c>
      <c r="B15" s="83" t="s">
        <v>238</v>
      </c>
      <c r="C15" s="84"/>
      <c r="D15" s="84"/>
      <c r="E15" s="84"/>
      <c r="F15" s="84"/>
      <c r="G15" s="84"/>
      <c r="H15" s="84"/>
      <c r="I15" s="84"/>
      <c r="J15" s="84"/>
      <c r="K15" s="84"/>
      <c r="L15" s="84"/>
      <c r="M15" s="84"/>
      <c r="N15" s="84"/>
      <c r="O15" s="84"/>
      <c r="P15" s="84"/>
      <c r="Q15" s="84"/>
    </row>
    <row r="16" spans="1:17" ht="54" customHeight="1">
      <c r="A16" s="14" t="s">
        <v>239</v>
      </c>
      <c r="B16" s="83" t="s">
        <v>240</v>
      </c>
      <c r="C16" s="84"/>
      <c r="D16" s="84"/>
      <c r="E16" s="84"/>
      <c r="F16" s="84"/>
      <c r="G16" s="84"/>
      <c r="H16" s="84"/>
      <c r="I16" s="84"/>
      <c r="J16" s="84"/>
      <c r="K16" s="84"/>
      <c r="L16" s="84"/>
      <c r="M16" s="84"/>
      <c r="N16" s="84"/>
      <c r="O16" s="84"/>
      <c r="P16" s="84"/>
      <c r="Q16" s="84"/>
    </row>
    <row r="17" spans="1:17" ht="54" customHeight="1">
      <c r="A17" s="14" t="s">
        <v>241</v>
      </c>
      <c r="B17" s="83" t="s">
        <v>242</v>
      </c>
      <c r="C17" s="84"/>
      <c r="D17" s="84"/>
      <c r="E17" s="84"/>
      <c r="F17" s="84"/>
      <c r="G17" s="84"/>
      <c r="H17" s="84"/>
      <c r="I17" s="84"/>
      <c r="J17" s="84"/>
      <c r="K17" s="84"/>
      <c r="L17" s="84"/>
      <c r="M17" s="84"/>
      <c r="N17" s="84"/>
      <c r="O17" s="84"/>
      <c r="P17" s="84"/>
      <c r="Q17" s="84"/>
    </row>
    <row r="19" spans="1:17">
      <c r="A19" s="52" t="s">
        <v>243</v>
      </c>
      <c r="B19" s="41"/>
      <c r="C19" s="41"/>
      <c r="D19" s="41"/>
      <c r="E19" s="41"/>
      <c r="F19" s="41"/>
      <c r="G19" s="41"/>
      <c r="H19" s="41"/>
      <c r="I19" s="41"/>
      <c r="J19" s="41"/>
      <c r="K19" s="41"/>
      <c r="L19" s="41"/>
      <c r="M19" s="41"/>
      <c r="N19" s="41"/>
      <c r="O19" s="41"/>
      <c r="P19" s="41"/>
      <c r="Q19" s="41"/>
    </row>
    <row r="20" spans="1:17">
      <c r="A20" s="41"/>
      <c r="B20" s="41"/>
      <c r="C20" s="41"/>
      <c r="D20" s="41"/>
      <c r="E20" s="41"/>
      <c r="F20" s="41"/>
      <c r="G20" s="41"/>
      <c r="H20" s="41"/>
      <c r="I20" s="41"/>
      <c r="J20" s="41"/>
      <c r="K20" s="41"/>
      <c r="L20" s="41"/>
      <c r="M20" s="41"/>
      <c r="N20" s="41"/>
      <c r="O20" s="41"/>
      <c r="P20" s="41"/>
      <c r="Q20" s="41"/>
    </row>
    <row r="21" spans="1:17">
      <c r="A21" s="41"/>
      <c r="B21" s="41"/>
      <c r="C21" s="41"/>
      <c r="D21" s="41"/>
      <c r="E21" s="41"/>
      <c r="F21" s="41"/>
      <c r="G21" s="41"/>
      <c r="H21" s="41"/>
      <c r="I21" s="41"/>
      <c r="J21" s="41"/>
      <c r="K21" s="41"/>
      <c r="L21" s="41"/>
      <c r="M21" s="41"/>
      <c r="N21" s="41"/>
      <c r="O21" s="41"/>
      <c r="P21" s="41"/>
      <c r="Q21" s="41"/>
    </row>
  </sheetData>
  <sheetProtection algorithmName="SHA-512" hashValue="VH6PLjxQvGm/1TPLGHpN76J/nRKG4q9QpqJZCm/eyjhsorBGN06mYh/bAc8WBmeNyWw7ErdTF1aqoPVs6vlKxQ==" saltValue="PT39b/zzKfISomH3KL/vjQ==" spinCount="100000" sheet="1" objects="1" scenarios="1"/>
  <mergeCells count="16">
    <mergeCell ref="A1:Q1"/>
    <mergeCell ref="A19:Q21"/>
    <mergeCell ref="B12:Q12"/>
    <mergeCell ref="A2:Q3"/>
    <mergeCell ref="B13:Q13"/>
    <mergeCell ref="B16:Q16"/>
    <mergeCell ref="B15:Q15"/>
    <mergeCell ref="B7:Q7"/>
    <mergeCell ref="A4:B4"/>
    <mergeCell ref="A6:Q6"/>
    <mergeCell ref="B10:Q10"/>
    <mergeCell ref="B14:Q14"/>
    <mergeCell ref="B17:Q17"/>
    <mergeCell ref="B9:Q9"/>
    <mergeCell ref="B8:Q8"/>
    <mergeCell ref="B11:Q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BE4D5"/>
  </sheetPr>
  <dimension ref="A1:Q38"/>
  <sheetViews>
    <sheetView showGridLines="0" topLeftCell="A10" workbookViewId="0">
      <selection activeCell="E48" sqref="E48"/>
    </sheetView>
  </sheetViews>
  <sheetFormatPr baseColWidth="10" defaultColWidth="9.140625" defaultRowHeight="15"/>
  <cols>
    <col min="1" max="1" width="18.5703125" customWidth="1"/>
    <col min="2" max="2" width="54" customWidth="1"/>
    <col min="3" max="5" width="20"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0"/>
      <c r="C1" s="30"/>
      <c r="D1" s="30"/>
      <c r="E1" s="30"/>
      <c r="F1" s="30"/>
      <c r="G1" s="30"/>
      <c r="H1" s="30"/>
      <c r="I1" s="30"/>
      <c r="J1" s="30"/>
      <c r="K1" s="30"/>
      <c r="L1" s="30"/>
      <c r="M1" s="30"/>
      <c r="N1" s="30"/>
      <c r="O1" s="30"/>
      <c r="P1" s="30"/>
      <c r="Q1" s="30"/>
    </row>
    <row r="2" spans="1:17" ht="15" customHeight="1">
      <c r="A2" s="36" t="s">
        <v>244</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4" customHeight="1">
      <c r="A4" s="33" t="str">
        <f>HYPERLINK("#INICIO!A1","▶  VOLVER A INICIO")</f>
        <v>▶  VOLVER A INICIO</v>
      </c>
      <c r="B4" s="33"/>
    </row>
    <row r="6" spans="1:17">
      <c r="A6" s="17" t="s">
        <v>245</v>
      </c>
    </row>
    <row r="8" spans="1:17">
      <c r="A8" s="16" t="s">
        <v>246</v>
      </c>
      <c r="B8" s="16" t="s">
        <v>247</v>
      </c>
      <c r="C8" s="16" t="s">
        <v>248</v>
      </c>
      <c r="D8" s="16" t="s">
        <v>249</v>
      </c>
      <c r="E8" s="16" t="s">
        <v>250</v>
      </c>
    </row>
    <row r="9" spans="1:17">
      <c r="A9" s="18" t="s">
        <v>251</v>
      </c>
      <c r="B9" s="19" t="s">
        <v>252</v>
      </c>
      <c r="C9" s="18">
        <f>MICROCICLO!C18</f>
        <v>9</v>
      </c>
      <c r="D9" s="18">
        <v>9</v>
      </c>
      <c r="E9" s="20" t="str">
        <f t="shared" ref="E9:E36" si="0">IF(AND(ISNUMBER(C9),ISNUMBER(D9)),IF(ABS(C9-D9)&lt;=0.001,"APROBADO","REVISAR"),IF(EXACT(C9&amp;"",D9&amp;""),"APROBADO","REVISAR"))</f>
        <v>APROBADO</v>
      </c>
    </row>
    <row r="10" spans="1:17">
      <c r="A10" s="18" t="s">
        <v>251</v>
      </c>
      <c r="B10" s="19" t="s">
        <v>253</v>
      </c>
      <c r="C10" s="18">
        <f>MICROCICLO!C19</f>
        <v>6</v>
      </c>
      <c r="D10" s="18">
        <v>6</v>
      </c>
      <c r="E10" s="20" t="str">
        <f t="shared" si="0"/>
        <v>APROBADO</v>
      </c>
    </row>
    <row r="11" spans="1:17">
      <c r="A11" s="18" t="s">
        <v>251</v>
      </c>
      <c r="B11" s="19" t="s">
        <v>117</v>
      </c>
      <c r="C11" s="18">
        <f>MICROCICLO!C20</f>
        <v>2</v>
      </c>
      <c r="D11" s="18">
        <v>2</v>
      </c>
      <c r="E11" s="20" t="str">
        <f t="shared" si="0"/>
        <v>APROBADO</v>
      </c>
    </row>
    <row r="12" spans="1:17">
      <c r="A12" s="18" t="s">
        <v>251</v>
      </c>
      <c r="B12" s="19" t="s">
        <v>118</v>
      </c>
      <c r="C12" s="18">
        <f>MICROCICLO!C21</f>
        <v>0.33333333333333331</v>
      </c>
      <c r="D12" s="18">
        <v>0.33333333300000001</v>
      </c>
      <c r="E12" s="20" t="str">
        <f t="shared" si="0"/>
        <v>APROBADO</v>
      </c>
    </row>
    <row r="13" spans="1:17">
      <c r="A13" s="18" t="s">
        <v>251</v>
      </c>
      <c r="B13" s="19" t="s">
        <v>254</v>
      </c>
      <c r="C13" s="18" t="str">
        <f>IF(LEFT(MICROCICLO!C22,13)="La proporción","DENTRO","FUERA")</f>
        <v>DENTRO</v>
      </c>
      <c r="D13" s="18" t="s">
        <v>255</v>
      </c>
      <c r="E13" s="20" t="str">
        <f t="shared" si="0"/>
        <v>APROBADO</v>
      </c>
    </row>
    <row r="14" spans="1:17">
      <c r="A14" s="18" t="s">
        <v>256</v>
      </c>
      <c r="B14" s="19" t="s">
        <v>257</v>
      </c>
      <c r="C14" s="18">
        <f>PERIODIZACION!F8</f>
        <v>210</v>
      </c>
      <c r="D14" s="18">
        <v>210</v>
      </c>
      <c r="E14" s="20" t="str">
        <f t="shared" si="0"/>
        <v>APROBADO</v>
      </c>
    </row>
    <row r="15" spans="1:17">
      <c r="A15" s="18" t="s">
        <v>256</v>
      </c>
      <c r="B15" s="19" t="s">
        <v>258</v>
      </c>
      <c r="C15" s="18">
        <f>PERIODIZACION!G8</f>
        <v>350</v>
      </c>
      <c r="D15" s="18">
        <v>350</v>
      </c>
      <c r="E15" s="20" t="str">
        <f t="shared" si="0"/>
        <v>APROBADO</v>
      </c>
    </row>
    <row r="16" spans="1:17">
      <c r="A16" s="18" t="s">
        <v>256</v>
      </c>
      <c r="B16" s="19" t="s">
        <v>259</v>
      </c>
      <c r="C16" s="18">
        <f>PERIODIZACION!G9</f>
        <v>700</v>
      </c>
      <c r="D16" s="18">
        <v>700</v>
      </c>
      <c r="E16" s="20" t="str">
        <f t="shared" si="0"/>
        <v>APROBADO</v>
      </c>
    </row>
    <row r="17" spans="1:5">
      <c r="A17" s="18" t="s">
        <v>256</v>
      </c>
      <c r="B17" s="19" t="s">
        <v>260</v>
      </c>
      <c r="C17" s="18">
        <f>PERIODIZACION!G13</f>
        <v>840</v>
      </c>
      <c r="D17" s="18">
        <v>840</v>
      </c>
      <c r="E17" s="20" t="str">
        <f t="shared" si="0"/>
        <v>APROBADO</v>
      </c>
    </row>
    <row r="18" spans="1:5">
      <c r="A18" s="18" t="s">
        <v>256</v>
      </c>
      <c r="B18" s="19" t="s">
        <v>261</v>
      </c>
      <c r="C18" s="18">
        <f>PERIODIZACION!F14</f>
        <v>350</v>
      </c>
      <c r="D18" s="18">
        <v>350</v>
      </c>
      <c r="E18" s="20" t="str">
        <f t="shared" si="0"/>
        <v>APROBADO</v>
      </c>
    </row>
    <row r="19" spans="1:5">
      <c r="A19" s="18" t="s">
        <v>262</v>
      </c>
      <c r="B19" s="19" t="s">
        <v>263</v>
      </c>
      <c r="C19" s="18">
        <f>PERIODIZACION!F15</f>
        <v>2380</v>
      </c>
      <c r="D19" s="18">
        <v>2380</v>
      </c>
      <c r="E19" s="20" t="str">
        <f t="shared" si="0"/>
        <v>APROBADO</v>
      </c>
    </row>
    <row r="20" spans="1:5">
      <c r="A20" s="18" t="s">
        <v>262</v>
      </c>
      <c r="B20" s="19" t="s">
        <v>264</v>
      </c>
      <c r="C20" s="18">
        <f>PERIODIZACION!G15</f>
        <v>3780</v>
      </c>
      <c r="D20" s="18">
        <v>3780</v>
      </c>
      <c r="E20" s="20" t="str">
        <f t="shared" si="0"/>
        <v>APROBADO</v>
      </c>
    </row>
    <row r="21" spans="1:5">
      <c r="A21" s="18" t="s">
        <v>262</v>
      </c>
      <c r="B21" s="19" t="s">
        <v>265</v>
      </c>
      <c r="C21" s="18">
        <f>PERIODIZACION!G16</f>
        <v>540</v>
      </c>
      <c r="D21" s="18">
        <v>540</v>
      </c>
      <c r="E21" s="20" t="str">
        <f t="shared" si="0"/>
        <v>APROBADO</v>
      </c>
    </row>
    <row r="22" spans="1:5">
      <c r="A22" s="18" t="s">
        <v>262</v>
      </c>
      <c r="B22" s="19" t="s">
        <v>266</v>
      </c>
      <c r="C22" s="18">
        <f>PERIODIZACION!H15</f>
        <v>882</v>
      </c>
      <c r="D22" s="18">
        <v>882</v>
      </c>
      <c r="E22" s="20" t="str">
        <f t="shared" si="0"/>
        <v>APROBADO</v>
      </c>
    </row>
    <row r="23" spans="1:5">
      <c r="A23" s="18" t="s">
        <v>267</v>
      </c>
      <c r="B23" s="19" t="s">
        <v>268</v>
      </c>
      <c r="C23" s="18">
        <f>PERIODIZACION!H8-PERIODIZACION!H13</f>
        <v>0</v>
      </c>
      <c r="D23" s="18">
        <v>0</v>
      </c>
      <c r="E23" s="20" t="str">
        <f t="shared" si="0"/>
        <v>APROBADO</v>
      </c>
    </row>
    <row r="24" spans="1:5">
      <c r="A24" s="18" t="s">
        <v>267</v>
      </c>
      <c r="B24" s="19" t="s">
        <v>269</v>
      </c>
      <c r="C24" s="18">
        <f>PERIODIZACION!C21</f>
        <v>4</v>
      </c>
      <c r="D24" s="18">
        <v>4</v>
      </c>
      <c r="E24" s="20" t="str">
        <f t="shared" si="0"/>
        <v>APROBADO</v>
      </c>
    </row>
    <row r="25" spans="1:5">
      <c r="A25" s="18" t="s">
        <v>267</v>
      </c>
      <c r="B25" s="19" t="s">
        <v>270</v>
      </c>
      <c r="C25" s="18" t="str">
        <f>IF(LEFT(PERIODIZACION!C22,13)="La ingesta va","COHERENTE","OTRO")</f>
        <v>COHERENTE</v>
      </c>
      <c r="D25" s="18" t="s">
        <v>271</v>
      </c>
      <c r="E25" s="20" t="str">
        <f t="shared" si="0"/>
        <v>APROBADO</v>
      </c>
    </row>
    <row r="26" spans="1:5">
      <c r="A26" s="18" t="s">
        <v>272</v>
      </c>
      <c r="B26" s="19" t="s">
        <v>273</v>
      </c>
      <c r="C26" s="18">
        <f>TIMING!F13</f>
        <v>270</v>
      </c>
      <c r="D26" s="18">
        <v>270</v>
      </c>
      <c r="E26" s="20" t="str">
        <f t="shared" si="0"/>
        <v>APROBADO</v>
      </c>
    </row>
    <row r="27" spans="1:5">
      <c r="A27" s="18" t="s">
        <v>272</v>
      </c>
      <c r="B27" s="19" t="s">
        <v>274</v>
      </c>
      <c r="C27" s="18">
        <f>TIMING!F9</f>
        <v>75</v>
      </c>
      <c r="D27" s="18">
        <v>75</v>
      </c>
      <c r="E27" s="20" t="str">
        <f t="shared" si="0"/>
        <v>APROBADO</v>
      </c>
    </row>
    <row r="28" spans="1:5">
      <c r="A28" s="18" t="s">
        <v>272</v>
      </c>
      <c r="B28" s="19" t="s">
        <v>275</v>
      </c>
      <c r="C28" s="18">
        <f>TIMING!F8</f>
        <v>0</v>
      </c>
      <c r="D28" s="18">
        <v>0</v>
      </c>
      <c r="E28" s="20" t="str">
        <f t="shared" si="0"/>
        <v>APROBADO</v>
      </c>
    </row>
    <row r="29" spans="1:5">
      <c r="A29" s="18" t="s">
        <v>272</v>
      </c>
      <c r="B29" s="19" t="s">
        <v>276</v>
      </c>
      <c r="C29" s="18">
        <f>TIMING!E17</f>
        <v>525</v>
      </c>
      <c r="D29" s="18">
        <v>525</v>
      </c>
      <c r="E29" s="20" t="str">
        <f t="shared" si="0"/>
        <v>APROBADO</v>
      </c>
    </row>
    <row r="30" spans="1:5">
      <c r="A30" s="18" t="s">
        <v>272</v>
      </c>
      <c r="B30" s="19" t="s">
        <v>277</v>
      </c>
      <c r="C30" s="18">
        <f>TIMING!E19</f>
        <v>90</v>
      </c>
      <c r="D30" s="18">
        <v>90</v>
      </c>
      <c r="E30" s="20" t="str">
        <f t="shared" si="0"/>
        <v>APROBADO</v>
      </c>
    </row>
    <row r="31" spans="1:5">
      <c r="A31" s="18" t="s">
        <v>278</v>
      </c>
      <c r="B31" s="19" t="s">
        <v>279</v>
      </c>
      <c r="C31" s="18">
        <f>TIMING!D9</f>
        <v>210</v>
      </c>
      <c r="D31" s="18">
        <v>210</v>
      </c>
      <c r="E31" s="20" t="str">
        <f t="shared" si="0"/>
        <v>APROBADO</v>
      </c>
    </row>
    <row r="32" spans="1:5">
      <c r="A32" s="18" t="s">
        <v>278</v>
      </c>
      <c r="B32" s="19" t="s">
        <v>280</v>
      </c>
      <c r="C32" s="18">
        <f>TIMING!I13</f>
        <v>21</v>
      </c>
      <c r="D32" s="18">
        <v>21</v>
      </c>
      <c r="E32" s="20" t="str">
        <f t="shared" si="0"/>
        <v>APROBADO</v>
      </c>
    </row>
    <row r="33" spans="1:5">
      <c r="A33" s="18" t="s">
        <v>281</v>
      </c>
      <c r="B33" s="19" t="s">
        <v>282</v>
      </c>
      <c r="C33" s="18" t="str">
        <f>PERIODIZACION!L13</f>
        <v>ALTO</v>
      </c>
      <c r="D33" s="18" t="s">
        <v>283</v>
      </c>
      <c r="E33" s="20" t="str">
        <f t="shared" si="0"/>
        <v>APROBADO</v>
      </c>
    </row>
    <row r="34" spans="1:5">
      <c r="A34" s="18" t="s">
        <v>281</v>
      </c>
      <c r="B34" s="19" t="s">
        <v>284</v>
      </c>
      <c r="C34" s="18" t="str">
        <f>PERIODIZACION!L8</f>
        <v>BAJO</v>
      </c>
      <c r="D34" s="18" t="s">
        <v>285</v>
      </c>
      <c r="E34" s="20" t="str">
        <f t="shared" si="0"/>
        <v>APROBADO</v>
      </c>
    </row>
    <row r="35" spans="1:5">
      <c r="A35" s="18" t="s">
        <v>281</v>
      </c>
      <c r="B35" s="19" t="s">
        <v>286</v>
      </c>
      <c r="C35" s="18" t="str">
        <f>PERIODIZACION!L14</f>
        <v>MEDIO</v>
      </c>
      <c r="D35" s="18" t="s">
        <v>287</v>
      </c>
      <c r="E35" s="20" t="str">
        <f t="shared" si="0"/>
        <v>APROBADO</v>
      </c>
    </row>
    <row r="36" spans="1:5">
      <c r="A36" s="18" t="s">
        <v>288</v>
      </c>
      <c r="B36" s="19" t="s">
        <v>289</v>
      </c>
      <c r="C36" s="18" t="str">
        <f>IF(ISNUMBER(""),"NUMERO","ND")</f>
        <v>ND</v>
      </c>
      <c r="D36" s="18" t="s">
        <v>290</v>
      </c>
      <c r="E36" s="20" t="str">
        <f t="shared" si="0"/>
        <v>APROBADO</v>
      </c>
    </row>
    <row r="38" spans="1:5">
      <c r="A38" s="21" t="s">
        <v>291</v>
      </c>
      <c r="B38" s="22" t="s">
        <v>292</v>
      </c>
      <c r="C38" s="21">
        <f>COUNTIF(E9:E36,"APROBADO")</f>
        <v>28</v>
      </c>
      <c r="D38" s="21">
        <f>COUNTA(E9:E36)</f>
        <v>28</v>
      </c>
      <c r="E38" s="21" t="str">
        <f>IF(C38=D38,"TODAS APROBADAS","HAY PRUEBAS POR REVISAR")</f>
        <v>TODAS APROBADAS</v>
      </c>
    </row>
  </sheetData>
  <sheetProtection algorithmName="SHA-512" hashValue="0QNiR7pNtee4+06/lJxH3BlG/FqFjEQTFhsNeWZDD7dlO9dGT1koD1D2YkLvhlW2tcDvtvO4d/jOPuNC2Fil1w==" saltValue="3pB3rlZFTQCzm2TgQ9jEWg==" spinCount="100000" sheet="1" objects="1" scenarios="1"/>
  <mergeCells count="3">
    <mergeCell ref="A4:B4"/>
    <mergeCell ref="A1:Q1"/>
    <mergeCell ref="A2:Q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A6B70"/>
  </sheetPr>
  <dimension ref="A1:Q43"/>
  <sheetViews>
    <sheetView showGridLines="0" tabSelected="1" workbookViewId="0">
      <selection activeCell="J25" sqref="J25"/>
    </sheetView>
  </sheetViews>
  <sheetFormatPr baseColWidth="10" defaultColWidth="9.140625" defaultRowHeight="15"/>
  <cols>
    <col min="1" max="1" width="34" customWidth="1"/>
    <col min="2" max="7" width="14.7109375"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49"/>
      <c r="C1" s="49"/>
      <c r="D1" s="49"/>
      <c r="E1" s="49"/>
      <c r="F1" s="49"/>
      <c r="G1" s="49"/>
      <c r="H1" s="49"/>
      <c r="I1" s="49"/>
      <c r="J1" s="49"/>
      <c r="K1" s="49"/>
      <c r="L1" s="49"/>
      <c r="M1" s="49"/>
      <c r="N1" s="49"/>
      <c r="O1" s="49"/>
      <c r="P1" s="49"/>
      <c r="Q1" s="49"/>
    </row>
    <row r="2" spans="1:17" ht="15" customHeight="1">
      <c r="A2" s="36" t="s">
        <v>293</v>
      </c>
      <c r="B2" s="49"/>
      <c r="C2" s="49"/>
      <c r="D2" s="49"/>
      <c r="E2" s="49"/>
      <c r="F2" s="49"/>
      <c r="G2" s="49"/>
      <c r="H2" s="49"/>
      <c r="I2" s="49"/>
      <c r="J2" s="49"/>
      <c r="K2" s="49"/>
      <c r="L2" s="49"/>
      <c r="M2" s="49"/>
      <c r="N2" s="49"/>
      <c r="O2" s="49"/>
      <c r="P2" s="49"/>
      <c r="Q2" s="49"/>
    </row>
    <row r="3" spans="1:17" ht="15" customHeight="1">
      <c r="A3" s="49"/>
      <c r="B3" s="49"/>
      <c r="C3" s="49"/>
      <c r="D3" s="49"/>
      <c r="E3" s="49"/>
      <c r="F3" s="49"/>
      <c r="G3" s="49"/>
      <c r="H3" s="49"/>
      <c r="I3" s="49"/>
      <c r="J3" s="49"/>
      <c r="K3" s="49"/>
      <c r="L3" s="49"/>
      <c r="M3" s="49"/>
      <c r="N3" s="49"/>
      <c r="O3" s="49"/>
      <c r="P3" s="49"/>
      <c r="Q3" s="49"/>
    </row>
    <row r="4" spans="1:17" ht="24" customHeight="1">
      <c r="A4" s="33" t="str">
        <f>HYPERLINK("#INICIO!A1","▶  VOLVER A INICIO")</f>
        <v>▶  VOLVER A INICIO</v>
      </c>
      <c r="B4" s="45"/>
    </row>
    <row r="6" spans="1:17" ht="20.100000000000001" customHeight="1">
      <c r="A6" s="38" t="s">
        <v>294</v>
      </c>
      <c r="B6" s="47"/>
      <c r="C6" s="47"/>
      <c r="D6" s="47"/>
      <c r="E6" s="47"/>
      <c r="F6" s="47"/>
      <c r="G6" s="47"/>
      <c r="H6" s="47"/>
      <c r="I6" s="47"/>
      <c r="J6" s="47"/>
      <c r="K6" s="47"/>
      <c r="L6" s="47"/>
      <c r="M6" s="47"/>
      <c r="N6" s="47"/>
      <c r="O6" s="47"/>
      <c r="P6" s="47"/>
      <c r="Q6" s="45"/>
    </row>
    <row r="7" spans="1:17" ht="39.950000000000003" customHeight="1">
      <c r="A7" s="1" t="s">
        <v>86</v>
      </c>
      <c r="B7" s="1" t="s">
        <v>295</v>
      </c>
      <c r="C7" s="1" t="s">
        <v>296</v>
      </c>
      <c r="D7" s="1" t="s">
        <v>297</v>
      </c>
      <c r="E7" s="1" t="s">
        <v>298</v>
      </c>
      <c r="F7" s="1" t="s">
        <v>299</v>
      </c>
      <c r="G7" s="1" t="s">
        <v>300</v>
      </c>
    </row>
    <row r="8" spans="1:17">
      <c r="A8" s="2" t="s">
        <v>93</v>
      </c>
      <c r="B8" s="3">
        <v>3</v>
      </c>
      <c r="C8" s="3">
        <v>5</v>
      </c>
      <c r="D8" s="3">
        <v>0</v>
      </c>
      <c r="E8" s="3">
        <v>0</v>
      </c>
      <c r="F8" s="3">
        <v>0</v>
      </c>
      <c r="G8" s="15" t="s">
        <v>301</v>
      </c>
    </row>
    <row r="9" spans="1:17">
      <c r="A9" s="2" t="s">
        <v>100</v>
      </c>
      <c r="B9" s="3">
        <v>3</v>
      </c>
      <c r="C9" s="3">
        <v>5</v>
      </c>
      <c r="D9" s="3">
        <v>0</v>
      </c>
      <c r="E9" s="3">
        <v>0</v>
      </c>
      <c r="F9" s="3">
        <v>1</v>
      </c>
      <c r="G9" s="15" t="s">
        <v>301</v>
      </c>
    </row>
    <row r="10" spans="1:17">
      <c r="A10" s="2" t="s">
        <v>111</v>
      </c>
      <c r="B10" s="3">
        <v>5</v>
      </c>
      <c r="C10" s="3">
        <v>7</v>
      </c>
      <c r="D10" s="3">
        <v>30</v>
      </c>
      <c r="E10" s="3">
        <v>60</v>
      </c>
      <c r="F10" s="3">
        <v>2</v>
      </c>
      <c r="G10" s="15" t="s">
        <v>302</v>
      </c>
    </row>
    <row r="11" spans="1:17">
      <c r="A11" s="2" t="s">
        <v>96</v>
      </c>
      <c r="B11" s="3">
        <v>6</v>
      </c>
      <c r="C11" s="3">
        <v>10</v>
      </c>
      <c r="D11" s="3">
        <v>30</v>
      </c>
      <c r="E11" s="3">
        <v>60</v>
      </c>
      <c r="F11" s="3">
        <v>3</v>
      </c>
      <c r="G11" s="15" t="s">
        <v>303</v>
      </c>
    </row>
    <row r="12" spans="1:17">
      <c r="A12" s="2" t="s">
        <v>108</v>
      </c>
      <c r="B12" s="3">
        <v>8</v>
      </c>
      <c r="C12" s="3">
        <v>12</v>
      </c>
      <c r="D12" s="3">
        <v>60</v>
      </c>
      <c r="E12" s="3">
        <v>90</v>
      </c>
      <c r="F12" s="3">
        <v>3</v>
      </c>
      <c r="G12" s="15" t="s">
        <v>303</v>
      </c>
    </row>
    <row r="13" spans="1:17">
      <c r="A13" s="2" t="s">
        <v>304</v>
      </c>
      <c r="B13" s="3">
        <v>8</v>
      </c>
      <c r="C13" s="3">
        <v>12</v>
      </c>
      <c r="D13" s="3">
        <v>60</v>
      </c>
      <c r="E13" s="3">
        <v>90</v>
      </c>
      <c r="F13" s="3">
        <v>4</v>
      </c>
      <c r="G13" s="15" t="s">
        <v>303</v>
      </c>
    </row>
    <row r="14" spans="1:17">
      <c r="A14" s="52" t="s">
        <v>305</v>
      </c>
      <c r="B14" s="53"/>
      <c r="C14" s="53"/>
      <c r="D14" s="53"/>
      <c r="E14" s="53"/>
      <c r="F14" s="53"/>
      <c r="G14" s="53"/>
      <c r="H14" s="53"/>
      <c r="I14" s="53"/>
      <c r="J14" s="53"/>
      <c r="K14" s="53"/>
      <c r="L14" s="53"/>
      <c r="M14" s="53"/>
      <c r="N14" s="53"/>
      <c r="O14" s="53"/>
      <c r="P14" s="53"/>
      <c r="Q14" s="54"/>
    </row>
    <row r="15" spans="1:17">
      <c r="A15" s="55"/>
      <c r="B15" s="49"/>
      <c r="C15" s="49"/>
      <c r="D15" s="49"/>
      <c r="E15" s="49"/>
      <c r="F15" s="49"/>
      <c r="G15" s="49"/>
      <c r="H15" s="49"/>
      <c r="I15" s="49"/>
      <c r="J15" s="49"/>
      <c r="K15" s="49"/>
      <c r="L15" s="49"/>
      <c r="M15" s="49"/>
      <c r="N15" s="49"/>
      <c r="O15" s="49"/>
      <c r="P15" s="49"/>
      <c r="Q15" s="56"/>
    </row>
    <row r="16" spans="1:17">
      <c r="A16" s="57"/>
      <c r="B16" s="58"/>
      <c r="C16" s="58"/>
      <c r="D16" s="58"/>
      <c r="E16" s="58"/>
      <c r="F16" s="58"/>
      <c r="G16" s="58"/>
      <c r="H16" s="58"/>
      <c r="I16" s="58"/>
      <c r="J16" s="58"/>
      <c r="K16" s="58"/>
      <c r="L16" s="58"/>
      <c r="M16" s="58"/>
      <c r="N16" s="58"/>
      <c r="O16" s="58"/>
      <c r="P16" s="58"/>
      <c r="Q16" s="59"/>
    </row>
    <row r="18" spans="1:17" ht="20.100000000000001" customHeight="1">
      <c r="A18" s="38" t="s">
        <v>306</v>
      </c>
      <c r="B18" s="47"/>
      <c r="C18" s="47"/>
      <c r="D18" s="47"/>
      <c r="E18" s="47"/>
      <c r="F18" s="47"/>
      <c r="G18" s="47"/>
      <c r="H18" s="47"/>
      <c r="I18" s="47"/>
      <c r="J18" s="47"/>
      <c r="K18" s="47"/>
      <c r="L18" s="47"/>
      <c r="M18" s="47"/>
      <c r="N18" s="47"/>
      <c r="O18" s="47"/>
      <c r="P18" s="47"/>
      <c r="Q18" s="45"/>
    </row>
    <row r="19" spans="1:17">
      <c r="A19" s="86" t="s">
        <v>307</v>
      </c>
      <c r="B19" s="47"/>
      <c r="C19" s="45"/>
      <c r="D19" s="4" t="s">
        <v>308</v>
      </c>
      <c r="E19" s="3">
        <v>1.6</v>
      </c>
    </row>
    <row r="20" spans="1:17">
      <c r="A20" s="86" t="s">
        <v>309</v>
      </c>
      <c r="B20" s="47"/>
      <c r="C20" s="45"/>
      <c r="D20" s="4" t="s">
        <v>308</v>
      </c>
      <c r="E20" s="3">
        <v>2.2000000000000002</v>
      </c>
    </row>
    <row r="21" spans="1:17">
      <c r="A21" s="86" t="s">
        <v>310</v>
      </c>
      <c r="B21" s="47"/>
      <c r="C21" s="45"/>
      <c r="D21" s="4" t="s">
        <v>308</v>
      </c>
      <c r="E21" s="3">
        <v>0.8</v>
      </c>
    </row>
    <row r="22" spans="1:17">
      <c r="A22" s="86" t="s">
        <v>311</v>
      </c>
      <c r="B22" s="47"/>
      <c r="C22" s="45"/>
      <c r="D22" s="4" t="s">
        <v>312</v>
      </c>
      <c r="E22" s="3">
        <v>1</v>
      </c>
    </row>
    <row r="23" spans="1:17">
      <c r="A23" s="86" t="s">
        <v>313</v>
      </c>
      <c r="B23" s="47"/>
      <c r="C23" s="45"/>
      <c r="D23" s="4" t="s">
        <v>314</v>
      </c>
      <c r="E23" s="3">
        <v>8</v>
      </c>
    </row>
    <row r="24" spans="1:17">
      <c r="A24" s="86" t="s">
        <v>315</v>
      </c>
      <c r="B24" s="47"/>
      <c r="C24" s="45"/>
      <c r="D24" s="4" t="s">
        <v>316</v>
      </c>
      <c r="E24" s="5">
        <v>0.3</v>
      </c>
    </row>
    <row r="25" spans="1:17">
      <c r="A25" s="86" t="s">
        <v>317</v>
      </c>
      <c r="B25" s="47"/>
      <c r="C25" s="45"/>
      <c r="D25" s="4" t="s">
        <v>316</v>
      </c>
      <c r="E25" s="5">
        <v>0.5</v>
      </c>
    </row>
    <row r="26" spans="1:17">
      <c r="A26" s="86" t="s">
        <v>318</v>
      </c>
      <c r="B26" s="47"/>
      <c r="C26" s="45"/>
      <c r="D26" s="4" t="s">
        <v>319</v>
      </c>
      <c r="E26" s="3">
        <v>4</v>
      </c>
    </row>
    <row r="27" spans="1:17">
      <c r="A27" s="86" t="s">
        <v>320</v>
      </c>
      <c r="B27" s="47"/>
      <c r="C27" s="45"/>
      <c r="D27" s="4" t="s">
        <v>319</v>
      </c>
      <c r="E27" s="3">
        <v>4</v>
      </c>
    </row>
    <row r="28" spans="1:17">
      <c r="A28" s="86" t="s">
        <v>321</v>
      </c>
      <c r="B28" s="47"/>
      <c r="C28" s="45"/>
      <c r="D28" s="4" t="s">
        <v>319</v>
      </c>
      <c r="E28" s="3">
        <v>9</v>
      </c>
    </row>
    <row r="29" spans="1:17">
      <c r="A29" s="86" t="s">
        <v>322</v>
      </c>
      <c r="B29" s="47"/>
      <c r="C29" s="45"/>
      <c r="D29" s="4" t="s">
        <v>323</v>
      </c>
      <c r="E29" s="3">
        <v>1E-4</v>
      </c>
    </row>
    <row r="31" spans="1:17" ht="20.100000000000001" customHeight="1">
      <c r="A31" s="38" t="s">
        <v>324</v>
      </c>
      <c r="B31" s="47"/>
      <c r="C31" s="47"/>
      <c r="D31" s="47"/>
      <c r="E31" s="47"/>
      <c r="F31" s="47"/>
      <c r="G31" s="47"/>
      <c r="H31" s="47"/>
      <c r="I31" s="47"/>
      <c r="J31" s="47"/>
      <c r="K31" s="47"/>
      <c r="L31" s="47"/>
      <c r="M31" s="47"/>
      <c r="N31" s="47"/>
      <c r="O31" s="47"/>
      <c r="P31" s="47"/>
      <c r="Q31" s="45"/>
    </row>
    <row r="32" spans="1:17">
      <c r="A32" s="13" t="s">
        <v>325</v>
      </c>
      <c r="C32" s="91" t="s">
        <v>326</v>
      </c>
      <c r="D32" s="92"/>
      <c r="F32" s="87" t="s">
        <v>327</v>
      </c>
      <c r="G32" s="88"/>
      <c r="I32" s="87" t="s">
        <v>328</v>
      </c>
      <c r="J32" s="88"/>
      <c r="L32" s="87" t="s">
        <v>329</v>
      </c>
      <c r="M32" s="88"/>
    </row>
    <row r="33" spans="1:13">
      <c r="A33" s="2" t="s">
        <v>92</v>
      </c>
      <c r="C33" s="93" t="s">
        <v>330</v>
      </c>
      <c r="D33" s="94"/>
      <c r="F33" s="89" t="s">
        <v>63</v>
      </c>
      <c r="G33" s="90"/>
      <c r="I33" s="28" t="s">
        <v>101</v>
      </c>
      <c r="J33" s="28"/>
      <c r="L33" s="89" t="s">
        <v>70</v>
      </c>
      <c r="M33" s="90"/>
    </row>
    <row r="34" spans="1:13">
      <c r="A34" s="2" t="s">
        <v>95</v>
      </c>
      <c r="C34" s="93" t="s">
        <v>66</v>
      </c>
      <c r="D34" s="94"/>
      <c r="F34" s="89" t="s">
        <v>331</v>
      </c>
      <c r="G34" s="90"/>
      <c r="I34" s="28" t="s">
        <v>332</v>
      </c>
      <c r="J34" s="28"/>
      <c r="L34" s="89" t="s">
        <v>333</v>
      </c>
      <c r="M34" s="90"/>
    </row>
    <row r="35" spans="1:13">
      <c r="A35" s="2" t="s">
        <v>99</v>
      </c>
      <c r="C35" s="93" t="s">
        <v>334</v>
      </c>
      <c r="D35" s="94"/>
      <c r="I35" s="28" t="s">
        <v>97</v>
      </c>
      <c r="J35" s="28"/>
      <c r="L35" s="89" t="s">
        <v>335</v>
      </c>
      <c r="M35" s="90"/>
    </row>
    <row r="36" spans="1:13">
      <c r="A36" s="2" t="s">
        <v>103</v>
      </c>
      <c r="C36" s="93" t="s">
        <v>336</v>
      </c>
      <c r="D36" s="94"/>
      <c r="I36" s="28" t="s">
        <v>337</v>
      </c>
      <c r="J36" s="28"/>
      <c r="L36" s="89" t="s">
        <v>338</v>
      </c>
      <c r="M36" s="90"/>
    </row>
    <row r="37" spans="1:13">
      <c r="A37" s="2" t="s">
        <v>105</v>
      </c>
      <c r="C37" s="93" t="s">
        <v>339</v>
      </c>
      <c r="D37" s="94"/>
    </row>
    <row r="38" spans="1:13">
      <c r="A38" s="2" t="s">
        <v>107</v>
      </c>
      <c r="B38" s="55"/>
      <c r="C38" s="49"/>
      <c r="D38" s="49"/>
    </row>
    <row r="39" spans="1:13">
      <c r="A39" s="2" t="s">
        <v>110</v>
      </c>
      <c r="B39" s="55"/>
      <c r="C39" s="49"/>
      <c r="D39" s="49"/>
    </row>
    <row r="40" spans="1:13">
      <c r="K40" s="27"/>
    </row>
    <row r="41" spans="1:13">
      <c r="K41" s="27"/>
    </row>
    <row r="42" spans="1:13">
      <c r="K42" s="27"/>
    </row>
    <row r="43" spans="1:13">
      <c r="K43" s="27"/>
    </row>
  </sheetData>
  <sheetProtection algorithmName="SHA-512" hashValue="a7yOSSQpWYqB/KTvgjuEmFh4c5NPiA+3wBbiZO2wiGzmGTK/Xvjqu/1y0v2efRnjt4Bez74DC3RfqvUckBKxSw==" saltValue="dyd3EEWA1RUMFT+yLjqeuA==" spinCount="100000" sheet="1" objects="1" scenarios="1"/>
  <protectedRanges>
    <protectedRange sqref="E19:E29" name="Rango2"/>
    <protectedRange sqref="B8:F13" name="Rango1"/>
  </protectedRanges>
  <mergeCells count="35">
    <mergeCell ref="L32:M32"/>
    <mergeCell ref="L33:M33"/>
    <mergeCell ref="L34:M34"/>
    <mergeCell ref="L35:M35"/>
    <mergeCell ref="L36:M36"/>
    <mergeCell ref="B38:D38"/>
    <mergeCell ref="B39:D39"/>
    <mergeCell ref="C35:D35"/>
    <mergeCell ref="C36:D36"/>
    <mergeCell ref="C37:D37"/>
    <mergeCell ref="A1:Q1"/>
    <mergeCell ref="A26:C26"/>
    <mergeCell ref="F32:G32"/>
    <mergeCell ref="F33:G33"/>
    <mergeCell ref="F34:G34"/>
    <mergeCell ref="I32:J32"/>
    <mergeCell ref="C32:D32"/>
    <mergeCell ref="C33:D33"/>
    <mergeCell ref="C34:D34"/>
    <mergeCell ref="A2:Q3"/>
    <mergeCell ref="A21:C21"/>
    <mergeCell ref="A14:Q16"/>
    <mergeCell ref="A29:C29"/>
    <mergeCell ref="A20:C20"/>
    <mergeCell ref="A31:Q31"/>
    <mergeCell ref="A23:C23"/>
    <mergeCell ref="A22:C22"/>
    <mergeCell ref="A27:C27"/>
    <mergeCell ref="A24:C24"/>
    <mergeCell ref="A4:B4"/>
    <mergeCell ref="A25:C25"/>
    <mergeCell ref="A6:Q6"/>
    <mergeCell ref="A28:C28"/>
    <mergeCell ref="A19:C19"/>
    <mergeCell ref="A18:Q1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7C7CB"/>
  </sheetPr>
  <dimension ref="A1:Q13"/>
  <sheetViews>
    <sheetView showGridLines="0" workbookViewId="0">
      <selection activeCell="A4" sqref="A4:E4"/>
    </sheetView>
  </sheetViews>
  <sheetFormatPr baseColWidth="10" defaultColWidth="9.140625" defaultRowHeight="15"/>
  <cols>
    <col min="1" max="1" width="12" customWidth="1"/>
    <col min="2" max="2" width="14" customWidth="1"/>
    <col min="3" max="3" width="12" customWidth="1"/>
    <col min="4" max="5" width="11" customWidth="1"/>
    <col min="6" max="7" width="10" customWidth="1"/>
    <col min="8" max="8" width="9.85546875" customWidth="1"/>
    <col min="9" max="9" width="10" customWidth="1"/>
    <col min="10" max="10" width="11.28515625" customWidth="1"/>
    <col min="11" max="11" width="15.42578125" customWidth="1"/>
    <col min="12" max="12" width="9" customWidth="1"/>
    <col min="13" max="16" width="11" customWidth="1"/>
    <col min="17" max="17" width="12" customWidth="1"/>
  </cols>
  <sheetData>
    <row r="1" spans="1:17" ht="25.5" customHeight="1">
      <c r="A1" s="29" t="s">
        <v>0</v>
      </c>
      <c r="B1" s="30"/>
      <c r="C1" s="30"/>
      <c r="D1" s="30"/>
      <c r="E1" s="30"/>
      <c r="F1" s="30"/>
      <c r="G1" s="30"/>
      <c r="H1" s="30"/>
      <c r="I1" s="30"/>
      <c r="J1" s="30"/>
      <c r="K1" s="30"/>
      <c r="L1" s="30"/>
      <c r="M1" s="30"/>
      <c r="N1" s="30"/>
      <c r="O1" s="30"/>
      <c r="P1" s="30"/>
      <c r="Q1" s="30"/>
    </row>
    <row r="2" spans="1:17" ht="15" customHeight="1">
      <c r="A2" s="36" t="s">
        <v>340</v>
      </c>
      <c r="B2" s="37"/>
      <c r="C2" s="37"/>
      <c r="D2" s="37"/>
      <c r="E2" s="37"/>
      <c r="F2" s="37"/>
      <c r="G2" s="37"/>
      <c r="H2" s="37"/>
      <c r="I2" s="37"/>
      <c r="J2" s="37"/>
      <c r="K2" s="37"/>
      <c r="L2" s="37"/>
      <c r="M2" s="37"/>
      <c r="N2" s="37"/>
      <c r="O2" s="37"/>
      <c r="P2" s="37"/>
      <c r="Q2" s="37"/>
    </row>
    <row r="3" spans="1:17" ht="15" customHeight="1">
      <c r="A3" s="37"/>
      <c r="B3" s="37"/>
      <c r="C3" s="37"/>
      <c r="D3" s="37"/>
      <c r="E3" s="37"/>
      <c r="F3" s="37"/>
      <c r="G3" s="37"/>
      <c r="H3" s="37"/>
      <c r="I3" s="37"/>
      <c r="J3" s="37"/>
      <c r="K3" s="37"/>
      <c r="L3" s="37"/>
      <c r="M3" s="37"/>
      <c r="N3" s="37"/>
      <c r="O3" s="37"/>
      <c r="P3" s="37"/>
      <c r="Q3" s="37"/>
    </row>
    <row r="4" spans="1:17" ht="24" customHeight="1">
      <c r="A4" s="97" t="str">
        <f>HYPERLINK("#INICIO!A1","▶  VOLVER A INICIO")</f>
        <v>▶  VOLVER A INICIO</v>
      </c>
      <c r="B4" s="98"/>
      <c r="C4" s="98"/>
      <c r="D4" s="98"/>
      <c r="E4" s="98"/>
    </row>
    <row r="6" spans="1:17">
      <c r="A6" s="16" t="s">
        <v>15</v>
      </c>
      <c r="B6" s="16" t="s">
        <v>17</v>
      </c>
      <c r="C6" s="95" t="s">
        <v>341</v>
      </c>
      <c r="D6" s="96"/>
      <c r="E6" s="96"/>
      <c r="F6" s="96"/>
      <c r="G6" s="96"/>
      <c r="H6" s="96"/>
      <c r="I6" s="96"/>
      <c r="J6" s="96"/>
      <c r="K6" s="96"/>
      <c r="L6" s="96"/>
      <c r="M6" s="96"/>
      <c r="N6" s="96"/>
      <c r="O6" s="96"/>
      <c r="P6" s="96"/>
      <c r="Q6" s="96"/>
    </row>
    <row r="7" spans="1:17" ht="42" customHeight="1">
      <c r="A7" s="23" t="s">
        <v>16</v>
      </c>
      <c r="B7" s="23" t="s">
        <v>18</v>
      </c>
      <c r="C7" s="83" t="s">
        <v>342</v>
      </c>
      <c r="D7" s="84"/>
      <c r="E7" s="84"/>
      <c r="F7" s="84"/>
      <c r="G7" s="84"/>
      <c r="H7" s="84"/>
      <c r="I7" s="84"/>
      <c r="J7" s="83" t="s">
        <v>343</v>
      </c>
      <c r="K7" s="84"/>
      <c r="L7" s="84"/>
      <c r="M7" s="84"/>
      <c r="N7" s="84"/>
      <c r="O7" s="84"/>
      <c r="P7" s="84"/>
      <c r="Q7" s="84"/>
    </row>
    <row r="8" spans="1:17" ht="42" customHeight="1">
      <c r="A8" s="23" t="s">
        <v>16</v>
      </c>
      <c r="B8" s="23" t="s">
        <v>18</v>
      </c>
      <c r="C8" s="83" t="s">
        <v>344</v>
      </c>
      <c r="D8" s="84"/>
      <c r="E8" s="84"/>
      <c r="F8" s="84"/>
      <c r="G8" s="84"/>
      <c r="H8" s="84"/>
      <c r="I8" s="84"/>
      <c r="J8" s="83" t="s">
        <v>345</v>
      </c>
      <c r="K8" s="84"/>
      <c r="L8" s="84"/>
      <c r="M8" s="84"/>
      <c r="N8" s="84"/>
      <c r="O8" s="84"/>
      <c r="P8" s="84"/>
      <c r="Q8" s="84"/>
    </row>
    <row r="9" spans="1:17" ht="42" customHeight="1">
      <c r="A9" s="23" t="s">
        <v>16</v>
      </c>
      <c r="B9" s="23" t="s">
        <v>18</v>
      </c>
      <c r="C9" s="83" t="s">
        <v>346</v>
      </c>
      <c r="D9" s="84"/>
      <c r="E9" s="84"/>
      <c r="F9" s="84"/>
      <c r="G9" s="84"/>
      <c r="H9" s="84"/>
      <c r="I9" s="84"/>
      <c r="J9" s="83" t="s">
        <v>347</v>
      </c>
      <c r="K9" s="84"/>
      <c r="L9" s="84"/>
      <c r="M9" s="84"/>
      <c r="N9" s="84"/>
      <c r="O9" s="84"/>
      <c r="P9" s="84"/>
      <c r="Q9" s="84"/>
    </row>
    <row r="10" spans="1:17" ht="42" customHeight="1">
      <c r="A10" s="23" t="s">
        <v>16</v>
      </c>
      <c r="B10" s="23" t="s">
        <v>18</v>
      </c>
      <c r="C10" s="83" t="s">
        <v>348</v>
      </c>
      <c r="D10" s="84"/>
      <c r="E10" s="84"/>
      <c r="F10" s="84"/>
      <c r="G10" s="84"/>
      <c r="H10" s="84"/>
      <c r="I10" s="84"/>
      <c r="J10" s="83" t="s">
        <v>349</v>
      </c>
      <c r="K10" s="84"/>
      <c r="L10" s="84"/>
      <c r="M10" s="84"/>
      <c r="N10" s="84"/>
      <c r="O10" s="84"/>
      <c r="P10" s="84"/>
      <c r="Q10" s="84"/>
    </row>
    <row r="11" spans="1:17" ht="42" customHeight="1">
      <c r="A11" s="23" t="s">
        <v>16</v>
      </c>
      <c r="B11" s="23" t="s">
        <v>18</v>
      </c>
      <c r="C11" s="83" t="s">
        <v>350</v>
      </c>
      <c r="D11" s="84"/>
      <c r="E11" s="84"/>
      <c r="F11" s="84"/>
      <c r="G11" s="84"/>
      <c r="H11" s="84"/>
      <c r="I11" s="84"/>
      <c r="J11" s="83" t="s">
        <v>351</v>
      </c>
      <c r="K11" s="84"/>
      <c r="L11" s="84"/>
      <c r="M11" s="84"/>
      <c r="N11" s="84"/>
      <c r="O11" s="84"/>
      <c r="P11" s="84"/>
      <c r="Q11" s="84"/>
    </row>
    <row r="12" spans="1:17" ht="42" customHeight="1">
      <c r="A12" s="23" t="s">
        <v>16</v>
      </c>
      <c r="B12" s="23" t="s">
        <v>18</v>
      </c>
      <c r="C12" s="83" t="s">
        <v>352</v>
      </c>
      <c r="D12" s="84"/>
      <c r="E12" s="84"/>
      <c r="F12" s="84"/>
      <c r="G12" s="84"/>
      <c r="H12" s="84"/>
      <c r="I12" s="84"/>
      <c r="J12" s="83" t="s">
        <v>353</v>
      </c>
      <c r="K12" s="84"/>
      <c r="L12" s="84"/>
      <c r="M12" s="84"/>
      <c r="N12" s="84"/>
      <c r="O12" s="84"/>
      <c r="P12" s="84"/>
      <c r="Q12" s="84"/>
    </row>
    <row r="13" spans="1:17" ht="42" customHeight="1">
      <c r="A13" s="23" t="s">
        <v>16</v>
      </c>
      <c r="B13" s="23" t="s">
        <v>18</v>
      </c>
      <c r="C13" s="83" t="s">
        <v>354</v>
      </c>
      <c r="D13" s="84"/>
      <c r="E13" s="84"/>
      <c r="F13" s="84"/>
      <c r="G13" s="84"/>
      <c r="H13" s="84"/>
      <c r="I13" s="84"/>
      <c r="J13" s="83" t="s">
        <v>355</v>
      </c>
      <c r="K13" s="84"/>
      <c r="L13" s="84"/>
      <c r="M13" s="84"/>
      <c r="N13" s="84"/>
      <c r="O13" s="84"/>
      <c r="P13" s="84"/>
      <c r="Q13" s="84"/>
    </row>
  </sheetData>
  <sheetProtection algorithmName="SHA-512" hashValue="HyL0Q6k/dcEZLv8Tzq/J3alY/2wkZy4kx0KytloPbwWLJFfuGy4uaJ1V3KAkG6NsrN4MRJAQ5MEPWhh3w1PZbg==" saltValue="rQ8mta1lWhTp4fQZZoUYaQ==" spinCount="100000" sheet="1" objects="1" scenarios="1"/>
  <mergeCells count="18">
    <mergeCell ref="C8:I8"/>
    <mergeCell ref="A2:Q3"/>
    <mergeCell ref="A4:E4"/>
    <mergeCell ref="C7:I7"/>
    <mergeCell ref="J10:Q10"/>
    <mergeCell ref="J13:Q13"/>
    <mergeCell ref="A1:Q1"/>
    <mergeCell ref="J9:Q9"/>
    <mergeCell ref="C13:I13"/>
    <mergeCell ref="J11:Q11"/>
    <mergeCell ref="J7:Q7"/>
    <mergeCell ref="C10:I10"/>
    <mergeCell ref="C9:I9"/>
    <mergeCell ref="J12:Q12"/>
    <mergeCell ref="C12:I12"/>
    <mergeCell ref="C11:I11"/>
    <mergeCell ref="C6:Q6"/>
    <mergeCell ref="J8:Q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26</vt:i4>
      </vt:variant>
    </vt:vector>
  </HeadingPairs>
  <TitlesOfParts>
    <vt:vector size="37" baseType="lpstr">
      <vt:lpstr>INICIO</vt:lpstr>
      <vt:lpstr>DATOS</vt:lpstr>
      <vt:lpstr>MICROCICLO</vt:lpstr>
      <vt:lpstr>PERIODIZACION</vt:lpstr>
      <vt:lpstr>TIMING</vt:lpstr>
      <vt:lpstr>PANEL</vt:lpstr>
      <vt:lpstr>RESUMEN</vt:lpstr>
      <vt:lpstr>FUENTES</vt:lpstr>
      <vt:lpstr>PRUEBAS</vt:lpstr>
      <vt:lpstr>CONFIG</vt:lpstr>
      <vt:lpstr>CHANGELOG</vt:lpstr>
      <vt:lpstr>RESUMEN!Área_de_impresión</vt:lpstr>
      <vt:lpstr>k_cho</vt:lpstr>
      <vt:lpstr>k_lip</vt:lpstr>
      <vt:lpstr>k_lipMin</vt:lpstr>
      <vt:lpstr>k_prot</vt:lpstr>
      <vt:lpstr>k_protMax</vt:lpstr>
      <vt:lpstr>k_protMin</vt:lpstr>
      <vt:lpstr>k_recCHO</vt:lpstr>
      <vt:lpstr>k_recHoras</vt:lpstr>
      <vt:lpstr>k_tol</vt:lpstr>
      <vt:lpstr>lst_dia</vt:lpstr>
      <vt:lpstr>lst_fase</vt:lpstr>
      <vt:lpstr>lst_objetivo</vt:lpstr>
      <vt:lpstr>lst_sesion</vt:lpstr>
      <vt:lpstr>lst_si</vt:lpstr>
      <vt:lpstr>rng_sesion</vt:lpstr>
      <vt:lpstr>u_lowMax</vt:lpstr>
      <vt:lpstr>u_lowMin</vt:lpstr>
      <vt:lpstr>v_choSemMax</vt:lpstr>
      <vt:lpstr>v_choSemMin</vt:lpstr>
      <vt:lpstr>v_fase</vt:lpstr>
      <vt:lpstr>v_kcalSemMax</vt:lpstr>
      <vt:lpstr>v_kcalSemMin</vt:lpstr>
      <vt:lpstr>v_peso</vt:lpstr>
      <vt:lpstr>v_protObj</vt:lpstr>
      <vt:lpstr>v_razon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cp:lastModifiedBy>
  <dcterms:created xsi:type="dcterms:W3CDTF">2026-07-23T23:30:32Z</dcterms:created>
  <dcterms:modified xsi:type="dcterms:W3CDTF">2026-08-14T18:33:06Z</dcterms:modified>
</cp:coreProperties>
</file>
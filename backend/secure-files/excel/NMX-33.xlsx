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13788.17234\"/>
    </mc:Choice>
  </mc:AlternateContent>
  <xr:revisionPtr revIDLastSave="0" documentId="13_ncr:1_{8DA948EE-213D-419D-A65E-37C0F07038D1}" xr6:coauthVersionLast="47" xr6:coauthVersionMax="47" xr10:uidLastSave="{00000000-0000-0000-0000-000000000000}"/>
  <bookViews>
    <workbookView xWindow="-120" yWindow="-120" windowWidth="29040" windowHeight="15840" activeTab="9" xr2:uid="{00000000-000D-0000-FFFF-FFFF00000000}"/>
  </bookViews>
  <sheets>
    <sheet name="INICIO" sheetId="1" r:id="rId1"/>
    <sheet name="DATOS" sheetId="2" r:id="rId2"/>
    <sheet name="SEMANA" sheetId="3" r:id="rId3"/>
    <sheet name="CARGA" sheetId="4" r:id="rId4"/>
    <sheet name="DISTRIBUCION" sheetId="5" r:id="rId5"/>
    <sheet name="PANEL" sheetId="7" r:id="rId6"/>
    <sheet name="PROGRESION" sheetId="6" r:id="rId7"/>
    <sheet name="FUENTES" sheetId="8" r:id="rId8"/>
    <sheet name="PRUEBAS" sheetId="9" r:id="rId9"/>
    <sheet name="CONFIG" sheetId="10" r:id="rId10"/>
    <sheet name="CHANGELOG" sheetId="11" r:id="rId11"/>
  </sheets>
  <definedNames>
    <definedName name="k_de">CONFIG!$E$24</definedName>
    <definedName name="k_descanso">CONFIG!$E$23</definedName>
    <definedName name="k_semCron">CONFIG!$E$22</definedName>
    <definedName name="k_tol">CONFIG!$E$25</definedName>
    <definedName name="lst_dia">CONFIG!$A$33:$A$39</definedName>
    <definedName name="lst_fase">CONFIG!$G$33:$G$38</definedName>
    <definedName name="lst_modelo">CONFIG!$M$33:$M$36</definedName>
    <definedName name="lst_si">CONFIG!$J$33:$J$34</definedName>
    <definedName name="lst_tipo">CONFIG!$D$33:$D$41</definedName>
    <definedName name="rng_zonas">CONFIG!$A$8:$E$10</definedName>
    <definedName name="u_acwrMax">CONFIG!$E$21</definedName>
    <definedName name="u_acwrMin">CONFIG!$E$20</definedName>
    <definedName name="u_descarga">CONFIG!$E$19</definedName>
    <definedName name="u_mono">CONFIG!$E$17</definedName>
    <definedName name="u_progMax">CONFIG!$E$18</definedName>
    <definedName name="v_carga">CARGA!$C$17</definedName>
    <definedName name="v_modelo">DATOS!$C$18</definedName>
    <definedName name="v_mono">CARGA!$C$20</definedName>
    <definedName name="v_semana">DATOS!$C$17</definedName>
    <definedName name="v_strain">CARGA!$C$21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1" l="1"/>
  <c r="A4" i="10"/>
  <c r="E38" i="9"/>
  <c r="C38" i="9"/>
  <c r="C13" i="9"/>
  <c r="E13" i="9" s="1"/>
  <c r="A4" i="9"/>
  <c r="A4" i="8"/>
  <c r="A39" i="7"/>
  <c r="B38" i="7"/>
  <c r="A38" i="7"/>
  <c r="B37" i="7"/>
  <c r="A37" i="7"/>
  <c r="B36" i="7"/>
  <c r="A36" i="7"/>
  <c r="A32" i="7"/>
  <c r="A30" i="7"/>
  <c r="A25" i="7"/>
  <c r="A23" i="7"/>
  <c r="A21" i="7"/>
  <c r="A4" i="7"/>
  <c r="C10" i="6"/>
  <c r="D10" i="6" s="1"/>
  <c r="D9" i="6"/>
  <c r="C9" i="6"/>
  <c r="D8" i="6"/>
  <c r="A4" i="6"/>
  <c r="C14" i="5"/>
  <c r="E11" i="5"/>
  <c r="E10" i="5"/>
  <c r="B10" i="5"/>
  <c r="A10" i="5"/>
  <c r="E9" i="5"/>
  <c r="B9" i="5"/>
  <c r="A9" i="5"/>
  <c r="A31" i="7" s="1"/>
  <c r="E8" i="5"/>
  <c r="B8" i="5"/>
  <c r="A8" i="5"/>
  <c r="A4" i="5"/>
  <c r="E14" i="4"/>
  <c r="C14" i="4"/>
  <c r="B14" i="4"/>
  <c r="A14" i="4"/>
  <c r="A26" i="7" s="1"/>
  <c r="C13" i="4"/>
  <c r="B13" i="4"/>
  <c r="A13" i="4"/>
  <c r="E12" i="4"/>
  <c r="C12" i="4"/>
  <c r="B12" i="4"/>
  <c r="A12" i="4"/>
  <c r="A24" i="7" s="1"/>
  <c r="C11" i="4"/>
  <c r="B11" i="4"/>
  <c r="A11" i="4"/>
  <c r="E10" i="4"/>
  <c r="C10" i="4"/>
  <c r="B10" i="4"/>
  <c r="A10" i="4"/>
  <c r="A22" i="7" s="1"/>
  <c r="C9" i="4"/>
  <c r="B9" i="4"/>
  <c r="A9" i="4"/>
  <c r="E8" i="4"/>
  <c r="C8" i="4"/>
  <c r="B8" i="4"/>
  <c r="A8" i="4"/>
  <c r="A20" i="7" s="1"/>
  <c r="A4" i="4"/>
  <c r="C25" i="3"/>
  <c r="C36" i="9" s="1"/>
  <c r="E36" i="9" s="1"/>
  <c r="C24" i="3"/>
  <c r="M8" i="7" s="1"/>
  <c r="C19" i="3"/>
  <c r="C22" i="3" s="1"/>
  <c r="F18" i="3"/>
  <c r="E18" i="3"/>
  <c r="D14" i="4" s="1"/>
  <c r="B26" i="7" s="1"/>
  <c r="F17" i="3"/>
  <c r="E13" i="4" s="1"/>
  <c r="E17" i="3"/>
  <c r="C10" i="9" s="1"/>
  <c r="E10" i="9" s="1"/>
  <c r="F16" i="3"/>
  <c r="E16" i="3"/>
  <c r="D12" i="4" s="1"/>
  <c r="B24" i="7" s="1"/>
  <c r="F15" i="3"/>
  <c r="E11" i="4" s="1"/>
  <c r="E15" i="3"/>
  <c r="D11" i="4" s="1"/>
  <c r="B23" i="7" s="1"/>
  <c r="F14" i="3"/>
  <c r="E14" i="3"/>
  <c r="D10" i="4" s="1"/>
  <c r="B22" i="7" s="1"/>
  <c r="F13" i="3"/>
  <c r="C10" i="5" s="1"/>
  <c r="E13" i="3"/>
  <c r="C9" i="9" s="1"/>
  <c r="E9" i="9" s="1"/>
  <c r="F12" i="3"/>
  <c r="E12" i="3"/>
  <c r="D8" i="4" s="1"/>
  <c r="A4" i="3"/>
  <c r="C25" i="2"/>
  <c r="A4" i="2"/>
  <c r="C7" i="1"/>
  <c r="A7" i="1"/>
  <c r="O5" i="1"/>
  <c r="M5" i="1"/>
  <c r="K5" i="1"/>
  <c r="I5" i="1"/>
  <c r="G5" i="1"/>
  <c r="E5" i="1"/>
  <c r="C5" i="1"/>
  <c r="A5" i="1"/>
  <c r="B20" i="7" l="1"/>
  <c r="C11" i="9"/>
  <c r="E11" i="9" s="1"/>
  <c r="C23" i="3"/>
  <c r="J8" i="7" s="1"/>
  <c r="C15" i="9"/>
  <c r="E15" i="9" s="1"/>
  <c r="B32" i="7"/>
  <c r="C25" i="9"/>
  <c r="E25" i="9" s="1"/>
  <c r="E19" i="3"/>
  <c r="D9" i="4"/>
  <c r="B21" i="7" s="1"/>
  <c r="D13" i="4"/>
  <c r="B25" i="7" s="1"/>
  <c r="C8" i="5"/>
  <c r="G8" i="5"/>
  <c r="C9" i="5"/>
  <c r="G9" i="5"/>
  <c r="G10" i="5"/>
  <c r="C29" i="9" s="1"/>
  <c r="E29" i="9" s="1"/>
  <c r="C27" i="3"/>
  <c r="E9" i="4"/>
  <c r="C12" i="9"/>
  <c r="E12" i="9" s="1"/>
  <c r="C26" i="3"/>
  <c r="B31" i="7" l="1"/>
  <c r="C24" i="9"/>
  <c r="E24" i="9" s="1"/>
  <c r="C18" i="4"/>
  <c r="C16" i="9" s="1"/>
  <c r="E16" i="9" s="1"/>
  <c r="C23" i="4"/>
  <c r="C22" i="9" s="1"/>
  <c r="E22" i="9" s="1"/>
  <c r="G11" i="5"/>
  <c r="C22" i="4"/>
  <c r="C21" i="9" s="1"/>
  <c r="E21" i="9" s="1"/>
  <c r="C17" i="4"/>
  <c r="C19" i="4"/>
  <c r="C28" i="3"/>
  <c r="M13" i="7"/>
  <c r="C37" i="9"/>
  <c r="E37" i="9" s="1"/>
  <c r="C11" i="5"/>
  <c r="B30" i="7"/>
  <c r="C23" i="9"/>
  <c r="E23" i="9" s="1"/>
  <c r="C14" i="9" l="1"/>
  <c r="E14" i="9" s="1"/>
  <c r="B11" i="6"/>
  <c r="C24" i="4"/>
  <c r="C14" i="6"/>
  <c r="A8" i="7"/>
  <c r="C26" i="9"/>
  <c r="E26" i="9" s="1"/>
  <c r="D10" i="5"/>
  <c r="D9" i="5"/>
  <c r="F9" i="5" s="1"/>
  <c r="D8" i="5"/>
  <c r="C20" i="4"/>
  <c r="C17" i="9"/>
  <c r="E17" i="9" s="1"/>
  <c r="H10" i="5"/>
  <c r="H9" i="5"/>
  <c r="H8" i="5"/>
  <c r="H11" i="5" s="1"/>
  <c r="C30" i="9" l="1"/>
  <c r="E30" i="9" s="1"/>
  <c r="F8" i="5"/>
  <c r="A13" i="7"/>
  <c r="C27" i="9"/>
  <c r="E27" i="9" s="1"/>
  <c r="C15" i="5"/>
  <c r="C17" i="5" s="1"/>
  <c r="C31" i="9" s="1"/>
  <c r="E31" i="9" s="1"/>
  <c r="D11" i="5"/>
  <c r="C11" i="6"/>
  <c r="C15" i="6"/>
  <c r="B39" i="7"/>
  <c r="C18" i="5"/>
  <c r="F10" i="5"/>
  <c r="C28" i="9"/>
  <c r="E28" i="9" s="1"/>
  <c r="D13" i="7"/>
  <c r="C16" i="5"/>
  <c r="C27" i="4"/>
  <c r="C21" i="4"/>
  <c r="C20" i="9"/>
  <c r="E20" i="9" s="1"/>
  <c r="C18" i="9"/>
  <c r="E18" i="9" s="1"/>
  <c r="D8" i="7"/>
  <c r="G8" i="7" l="1"/>
  <c r="C19" i="9"/>
  <c r="E19" i="9" s="1"/>
  <c r="C28" i="4"/>
  <c r="C16" i="6"/>
  <c r="C32" i="9"/>
  <c r="E32" i="9" s="1"/>
  <c r="C17" i="6"/>
  <c r="D11" i="6"/>
  <c r="G13" i="7" l="1"/>
  <c r="C34" i="9"/>
  <c r="E34" i="9" s="1"/>
  <c r="C20" i="6"/>
  <c r="C35" i="9"/>
  <c r="E35" i="9" s="1"/>
  <c r="D40" i="9" s="1"/>
  <c r="C21" i="6"/>
  <c r="C33" i="9"/>
  <c r="E33" i="9" s="1"/>
  <c r="C40" i="9" s="1"/>
  <c r="E40" i="9" s="1"/>
  <c r="J13" i="7"/>
</calcChain>
</file>

<file path=xl/sharedStrings.xml><?xml version="1.0" encoding="utf-8"?>
<sst xmlns="http://schemas.openxmlformats.org/spreadsheetml/2006/main" count="434" uniqueCount="335">
  <si>
    <t>NUTRIMETRÍA  ·  NMX-33</t>
  </si>
  <si>
    <t>Planificador de entrenamiento semanal · versión 1.0 · Fase 6 · planificación</t>
  </si>
  <si>
    <t>Navegación — use las pestañas inferiores del libro</t>
  </si>
  <si>
    <t>Deportista y ciclo</t>
  </si>
  <si>
    <t>Sesiones de la semana</t>
  </si>
  <si>
    <t>Carga, monotonía y strain</t>
  </si>
  <si>
    <t>Zonas de intensidad</t>
  </si>
  <si>
    <t>Semana a semana</t>
  </si>
  <si>
    <t>Tablero visual</t>
  </si>
  <si>
    <t>Evidencia y trazabilidad</t>
  </si>
  <si>
    <t>Control de calidad</t>
  </si>
  <si>
    <t>Constantes</t>
  </si>
  <si>
    <t>Historial</t>
  </si>
  <si>
    <t>Código del producto</t>
  </si>
  <si>
    <t>NMX-33</t>
  </si>
  <si>
    <t>Versión</t>
  </si>
  <si>
    <t>1.0</t>
  </si>
  <si>
    <t>Fecha</t>
  </si>
  <si>
    <t>2026-07-23</t>
  </si>
  <si>
    <t>Base metodológica</t>
  </si>
  <si>
    <t>Carga por esfuerzo percibido · Foster 2001 · monotonía y strain · Foster 1998</t>
  </si>
  <si>
    <t>Complemento</t>
  </si>
  <si>
    <t>NMX-11 planifica el combustible para esta misma semana de entrenamiento</t>
  </si>
  <si>
    <t>Formato</t>
  </si>
  <si>
    <t>.xlsx sin macros · Microsoft 365 (Windows) y Excel 2021 · sin funciones matriciales</t>
  </si>
  <si>
    <t>Responsable</t>
  </si>
  <si>
    <t>Equipo Nutrimetría (completar por el titular)</t>
  </si>
  <si>
    <t>QUÉ MIRA ESTE PLANIFICADOR</t>
  </si>
  <si>
    <t>CUÁNTO se entrena: la carga semanal, obtenida multiplicando la duración de cada sesión por su esfuerzo percibido.</t>
  </si>
  <si>
    <t>CÓMO se reparte dentro de la semana: la monotonía mide si los días se parecen demasiado entre sí. Un mismo volumen sin contraste produce más desgaste que el mismo volumen con días suaves reales.</t>
  </si>
  <si>
    <t>DÓNDE se ubica la intensidad: el reparto del tiempo entre zona suave, moderada y alta, contrastado con el modelo que usted declare.</t>
  </si>
  <si>
    <t>CÓMO cambia de una semana a otra: la progresión y su relación con el promedio de las semanas recientes.</t>
  </si>
  <si>
    <t>AVISO DE ALCANCE — LÉALO ANTES DE USAR</t>
  </si>
  <si>
    <t>EXACTITUD MATEMÁTICA ≠ VALIDACIÓN CLÍNICA. Este archivo no está validado y no constituye prescripción de entrenamiento.</t>
  </si>
  <si>
    <t>NINGÚN indicador de este libro predice lesión ni sobreentrenamiento. La razón entre carga aguda y crónica se incluye solo como descriptor de progresión y fue objetada como predictor: lea FUENTES antes de interpretarla.</t>
  </si>
  <si>
    <t>Las unidades arbitrarias permiten comparar semanas de UNA MISMA persona. No comparan personas ni deportes.</t>
  </si>
  <si>
    <t>Las zonas se definen por esfuerzo percibido y no equivalen a zonas fisiológicas medidas por umbrales ventilatorios o de lactato.</t>
  </si>
  <si>
    <t>Los umbrales de monotonía y de progresión son convenciones orientadoras y editables, no límites validados.</t>
  </si>
  <si>
    <t>El plan describe lo programado: no reemplaza la evaluación del deportista, su descanso, su alimentación ni el criterio del entrenador.</t>
  </si>
  <si>
    <t>FLUJO DE USO</t>
  </si>
  <si>
    <t>En DATOS registre al deportista, la fase del ciclo y el modelo de distribución que va a aplicar.</t>
  </si>
  <si>
    <t>En SEMANA cargue las sesiones: día, tipo, duración y esfuerzo percibido de 0 a 10 registrado DESPUÉS de entrenar.</t>
  </si>
  <si>
    <t>CARGA calcula sola la carga semanal, la monotonía y el strain, e indica si la semana quedó plana.</t>
  </si>
  <si>
    <t>DISTRIBUCIÓN contrasta el reparto real de la intensidad con el modelo declarado.</t>
  </si>
  <si>
    <t>En PROGRESIÓN escriba la carga de las semanas previas para ver la evolución y el cambio porcentual.</t>
  </si>
  <si>
    <t>PANEL resume todo antes de la conversación con el deportista.</t>
  </si>
  <si>
    <t>Para planificar la alimentación de esta misma semana, use NMX-11.</t>
  </si>
  <si>
    <t>Deportista, ciclo y modelo de entrenamiento</t>
  </si>
  <si>
    <t>DEPORTISTA</t>
  </si>
  <si>
    <t>Nombre o identificador</t>
  </si>
  <si>
    <t>Caso de ejemplo</t>
  </si>
  <si>
    <t>Edad (años)</t>
  </si>
  <si>
    <t>Sexo</t>
  </si>
  <si>
    <t>Masculino</t>
  </si>
  <si>
    <t>Deporte o disciplina</t>
  </si>
  <si>
    <t>Trail running</t>
  </si>
  <si>
    <t>Nivel</t>
  </si>
  <si>
    <t>Federado</t>
  </si>
  <si>
    <t>Años de práctica</t>
  </si>
  <si>
    <t>Antecedente de lesión en los últimos 12 meses</t>
  </si>
  <si>
    <t>No</t>
  </si>
  <si>
    <t>Condiciona la progresión aceptable</t>
  </si>
  <si>
    <t>CICLO Y MODELO</t>
  </si>
  <si>
    <t>Fase del ciclo</t>
  </si>
  <si>
    <t>Construcción</t>
  </si>
  <si>
    <t>Semana del mesociclo</t>
  </si>
  <si>
    <t>La cuarta suele ser de descarga</t>
  </si>
  <si>
    <t>Modelo de distribución de intensidad</t>
  </si>
  <si>
    <t>Polarizado</t>
  </si>
  <si>
    <t>Debe coincidir con la referencia de CONFIG</t>
  </si>
  <si>
    <t>Objetivo de la semana</t>
  </si>
  <si>
    <t>Sostener volumen e incorporar una segunda sesión de calidad.</t>
  </si>
  <si>
    <t>Próxima competencia</t>
  </si>
  <si>
    <t>2026-10-04</t>
  </si>
  <si>
    <t>Semanas hasta la competencia</t>
  </si>
  <si>
    <t>Entrenador responsable</t>
  </si>
  <si>
    <t>—</t>
  </si>
  <si>
    <t>Fecha del plan</t>
  </si>
  <si>
    <t>Aviso de descarga</t>
  </si>
  <si>
    <t>La planificación de la carga no reemplaza la evaluación del deportista. Un plan bien construido en el papel puede ser inadecuado si la persona llega con fatiga acumulada, sueño insuficiente o una ingesta que no sostiene el trabajo. Revise esos elementos antes de aumentar la carga.</t>
  </si>
  <si>
    <t>Sesiones de la semana · duración y esfuerzo percibido</t>
  </si>
  <si>
    <t>El esfuerzo percibido se registra DESPUÉS de la sesión, en escala de 0 a 10, preguntando cuán exigente fue en conjunto. Es una medida de carga interna: refleja cómo respondió la persona, no solo lo que se programó. Una misma sesión puede tener esfuerzos distintos en semanas distintas.</t>
  </si>
  <si>
    <t>PROGRAMA DE LA SEMANA</t>
  </si>
  <si>
    <t>Día</t>
  </si>
  <si>
    <t>Tipo de sesión</t>
  </si>
  <si>
    <t>Duración (min)</t>
  </si>
  <si>
    <t>Esfuerzo percibido (0-10)</t>
  </si>
  <si>
    <t>Carga de la sesión (UA)</t>
  </si>
  <si>
    <t>Zona</t>
  </si>
  <si>
    <t>Descripción del trabajo</t>
  </si>
  <si>
    <t>Observaciones</t>
  </si>
  <si>
    <t>Lunes</t>
  </si>
  <si>
    <t>Descanso</t>
  </si>
  <si>
    <t>Descanso completo</t>
  </si>
  <si>
    <t>Martes</t>
  </si>
  <si>
    <t>Intervalos</t>
  </si>
  <si>
    <t>6 × 4 min en cuesta</t>
  </si>
  <si>
    <t>Sesión de calidad</t>
  </si>
  <si>
    <t>Miércoles</t>
  </si>
  <si>
    <t>Resistencia suave</t>
  </si>
  <si>
    <t>Rodaje en llano</t>
  </si>
  <si>
    <t>Jueves</t>
  </si>
  <si>
    <t>Umbral</t>
  </si>
  <si>
    <t>3 × 15 min en umbral</t>
  </si>
  <si>
    <t>Viernes</t>
  </si>
  <si>
    <t>Movilidad o regenerativo</t>
  </si>
  <si>
    <t>Trote suave y movilidad</t>
  </si>
  <si>
    <t>Sábado</t>
  </si>
  <si>
    <t>Resistencia moderada</t>
  </si>
  <si>
    <t>Fondo con desnivel</t>
  </si>
  <si>
    <t>Sesión larga</t>
  </si>
  <si>
    <t>Domingo</t>
  </si>
  <si>
    <t>Rodaje sostenido</t>
  </si>
  <si>
    <t>TOTAL DE LA SEMANA</t>
  </si>
  <si>
    <t>CONTROL DEL PROGRAMA</t>
  </si>
  <si>
    <t>Minutos totales de la semana</t>
  </si>
  <si>
    <t>Horas totales</t>
  </si>
  <si>
    <t>Sesiones programadas</t>
  </si>
  <si>
    <t>Días de descanso completo</t>
  </si>
  <si>
    <t>Sesiones de alta intensidad</t>
  </si>
  <si>
    <t>Control del descanso</t>
  </si>
  <si>
    <t>Control de sesiones de calidad</t>
  </si>
  <si>
    <t>La carga de cada sesión se obtiene multiplicando la duración por el esfuerzo percibido. El resultado se expresa en unidades arbitrarias: sirve para comparar semanas de una MISMA persona, no para comparar personas entre sí ni deportes distintos.</t>
  </si>
  <si>
    <t>Carga semanal, monotonía y strain</t>
  </si>
  <si>
    <t>CARGA DIARIA DE LA SEMANA</t>
  </si>
  <si>
    <t>Esfuerzo percibido</t>
  </si>
  <si>
    <t>Carga (UA)</t>
  </si>
  <si>
    <t>INDICADORES DE LA CARGA</t>
  </si>
  <si>
    <t>Carga semanal total (UA)</t>
  </si>
  <si>
    <t>Suma de duración por esfuerzo percibido de cada día</t>
  </si>
  <si>
    <t>Media diaria (UA)</t>
  </si>
  <si>
    <t>Incluye los días de descanso como cero</t>
  </si>
  <si>
    <t>Desviación estándar diaria (UA)</t>
  </si>
  <si>
    <t>Desviación muestral, con n menos uno</t>
  </si>
  <si>
    <t>MONOTONÍA</t>
  </si>
  <si>
    <t>Media diaria dividida por su desviación estándar</t>
  </si>
  <si>
    <t>STRAIN</t>
  </si>
  <si>
    <t>Carga semanal multiplicada por la monotonía</t>
  </si>
  <si>
    <t>Día de mayor carga</t>
  </si>
  <si>
    <t>Carga del día más exigente (UA)</t>
  </si>
  <si>
    <t>Proporción que aporta el día más exigente</t>
  </si>
  <si>
    <t>LECTURA DE LOS INDICADORES</t>
  </si>
  <si>
    <t>Monotonía</t>
  </si>
  <si>
    <t>Qué significa el strain</t>
  </si>
  <si>
    <t>La monotonía y el strain son descriptores propuestos por Foster para caracterizar cómo se distribuye la carga dentro de la semana. Sirven para comparar semanas de una misma persona y detectar semanas planas. No son predictores individuales de lesión ni de enfermedad, y sus umbrales son orientadores.</t>
  </si>
  <si>
    <t>Distribución de la intensidad por zonas</t>
  </si>
  <si>
    <t>REPARTO DEL TIEMPO POR ZONA</t>
  </si>
  <si>
    <t>Rango de esfuerzo</t>
  </si>
  <si>
    <t>Minutos</t>
  </si>
  <si>
    <t>% del tiempo</t>
  </si>
  <si>
    <t>% de referencia</t>
  </si>
  <si>
    <t>Diferencia</t>
  </si>
  <si>
    <t>Carga aportada (UA)</t>
  </si>
  <si>
    <t>% de la carga</t>
  </si>
  <si>
    <t>TOTAL</t>
  </si>
  <si>
    <t>LECTURA DE LA DISTRIBUCIÓN</t>
  </si>
  <si>
    <t>Modelo declarado en DATOS</t>
  </si>
  <si>
    <t>Proporción en zona suave</t>
  </si>
  <si>
    <t>Proporción en zona alta</t>
  </si>
  <si>
    <t>Contraste con la referencia</t>
  </si>
  <si>
    <t>Diferencia entre tiempo y carga</t>
  </si>
  <si>
    <t>Los modelos polarizado, piramidal y de umbral son formas distintas de repartir la intensidad y ninguno es universalmente superior: dependen del deporte, la fase y la persona. Lo que sí es consistente en la literatura es que el volumen a baja intensidad sostiene el trabajo de calidad, y que la deriva hacia la zona intermedia deja al deportista sin estímulo suave real ni estímulo intenso suficiente.</t>
  </si>
  <si>
    <t>Progresión entre semanas</t>
  </si>
  <si>
    <t>CARGA DE LAS ÚLTIMAS SEMANAS</t>
  </si>
  <si>
    <t>Semana</t>
  </si>
  <si>
    <t>Cambio respecto de la anterior</t>
  </si>
  <si>
    <t>Lectura</t>
  </si>
  <si>
    <t>Semana 1</t>
  </si>
  <si>
    <t>Semana 2</t>
  </si>
  <si>
    <t>Semana 3</t>
  </si>
  <si>
    <t>Semana actual</t>
  </si>
  <si>
    <t>INDICADORES DE PROGRESIÓN</t>
  </si>
  <si>
    <t>Carga de la semana actual (UA)</t>
  </si>
  <si>
    <t>Carga crónica · media de las últimas 4 semanas (UA)</t>
  </si>
  <si>
    <t>Razón carga aguda sobre crónica</t>
  </si>
  <si>
    <t>Descriptor de progresión · NO es un predictor de lesión</t>
  </si>
  <si>
    <t>Cambio respecto de la semana anterior</t>
  </si>
  <si>
    <t>LECTURA DE LA PROGRESIÓN</t>
  </si>
  <si>
    <t>Cambio semanal</t>
  </si>
  <si>
    <t>Razón aguda sobre crónica</t>
  </si>
  <si>
    <t>ADVERTENCIA SOBRE ESTA RAZÓN: la relación entre carga aguda y crónica se difundió como predictor de lesión, pero revisiones posteriores mostraron que sufre acoplamiento matemático, que cargas crónicas generadas al azar se asocian con la lesión tanto como las reales, y que no existe evidencia causal que respalde manipularla para reducir lesiones. En este libro se usa ÚNICAMENTE como descriptor de cuánto se aleja la semana actual del promedio reciente. No la presente al deportista como un indicador de riesgo.</t>
  </si>
  <si>
    <t>La referencia de aumento semanal es una convención práctica de uso extendido, no un límite validado. Lo que la literatura sí sugiere es que la variabilidad brusca entre semanas importa más que la magnitud absoluta de una semana aislada.</t>
  </si>
  <si>
    <t>Tablero de la semana · lectura de un vistazo</t>
  </si>
  <si>
    <t>INDICADORES DE LA SEMANA</t>
  </si>
  <si>
    <t>CARGA SEMANAL</t>
  </si>
  <si>
    <t>HORAS</t>
  </si>
  <si>
    <t>SESIONES</t>
  </si>
  <si>
    <t>unidades arbitrarias</t>
  </si>
  <si>
    <t>media sobre desviación</t>
  </si>
  <si>
    <t>carga por monotonía</t>
  </si>
  <si>
    <t>horas de entrenamiento</t>
  </si>
  <si>
    <t>sesiones programadas</t>
  </si>
  <si>
    <t>ZONA SUAVE</t>
  </si>
  <si>
    <t>ZONA ALTA</t>
  </si>
  <si>
    <t>CAMBIO SEMANAL</t>
  </si>
  <si>
    <t>AGUDA / CRÓNICA</t>
  </si>
  <si>
    <t>SESIONES DE CALIDAD</t>
  </si>
  <si>
    <t>del tiempo total</t>
  </si>
  <si>
    <t>respecto de la anterior</t>
  </si>
  <si>
    <t>solo descriptivo</t>
  </si>
  <si>
    <t>de alta intensidad</t>
  </si>
  <si>
    <t>CARGA DIARIA · el contraste entre días es lo que importa</t>
  </si>
  <si>
    <t>DISTRIBUCIÓN DE LA INTENSIDAD</t>
  </si>
  <si>
    <t>EVOLUCIÓN DE LA CARGA SEMANAL</t>
  </si>
  <si>
    <t>Este tablero describe el PLAN y lo registrado, no el estado del deportista. Ningún indicador de esta hoja predice lesión ni sobreentrenamiento: son descriptores para conversar sobre la semana y decidir con criterio profesional.</t>
  </si>
  <si>
    <t>Evidencia, métodos y advertencias</t>
  </si>
  <si>
    <t>MÉTODOS Y REFERENCIAS</t>
  </si>
  <si>
    <t>Elemento</t>
  </si>
  <si>
    <t>Referencia y alcance</t>
  </si>
  <si>
    <t>Carga por esfuerzo percibido</t>
  </si>
  <si>
    <t>Método de Foster: la carga de una sesión se estima multiplicando su duración en minutos por el esfuerzo percibido en una escala de 0 a 10, obteniendo unidades arbitrarias. Foster C y cols., «A new approach to monitoring exercise training», Journal of Strength and Conditioning Research, 2001. Es una medida de carga INTERNA: refleja la respuesta de la persona, no solo lo programado.</t>
  </si>
  <si>
    <t>Monotonía y strain</t>
  </si>
  <si>
    <t>Propuestos por Foster (Medicine &amp; Science in Sports &amp; Exercise, 1998) para describir cómo se distribuye la carga dentro de la semana. La monotonía es la media diaria dividida por su desviación estándar; el strain es la carga semanal multiplicada por la monotonía. Describen semanas planas frente a semanas con contraste. Sus umbrales son orientadores y no constituyen predictores individuales.</t>
  </si>
  <si>
    <t>Desviación estándar utilizada</t>
  </si>
  <si>
    <t>Este libro emplea la desviación MUESTRAL, con n menos uno, que es la función estándar de la planilla. Existen implementaciones que usan la poblacional: con siete días la diferencia es apreciable, de modo que no compare valores de monotonía calculados con criterios distintos. El criterio queda declarado en CONFIG.</t>
  </si>
  <si>
    <t>Razón entre carga aguda y crónica · ADVERTENCIA</t>
  </si>
  <si>
    <t>Difundida por Gabbett (British Journal of Sports Medicine, 2016) como herramienta de prevención de lesiones, fue posteriormente objetada de forma sustantiva. Impellizzeri y cols. documentaron acoplamiento matemático entre numerador y denominador, ausencia de fundamento para las ventanas temporales elegidas y falta de estimación causal («Acute:Chronic Workload Ratio: Conceptual Issues and Fundamental Pitfalls», International Journal of Sports Physiology and Performance, 2020). En un trabajo posterior mostraron que cargas crónicas generadas AL AZAR se asocian con la lesión tanto como las reales, y concluyeron que corresponde descartar la razón y su teoría subyacente (Sports Medicine, 2020; 51: 581-592). Revisiones sistemáticas posteriores describen la relación como inconcluyente.</t>
  </si>
  <si>
    <t>Cómo se usa aquí esa razón</t>
  </si>
  <si>
    <t>Exclusivamente como DESCRIPTOR de cuánto se aleja la carga de la semana actual del promedio de las últimas semanas. No se presenta como indicador de riesgo, no se usa para autorizar ni restringir entrenamiento, y sus límites están rotulados como descriptivos. Si usted prefiere no utilizarla, ignore esa fila: el resto del libro funciona igual.</t>
  </si>
  <si>
    <t>Variabilidad entre semanas</t>
  </si>
  <si>
    <t>Trabajos posteriores sugieren que la variabilidad brusca de una semana a otra se asocia con la lesión más que la magnitud absoluta de una semana aislada. Por eso este libro muestra el cambio porcentual respecto de la semana anterior junto a la serie de las últimas semanas.</t>
  </si>
  <si>
    <t>Regla de progresión</t>
  </si>
  <si>
    <t>El aumento de referencia del diez por ciento semanal es una convención práctica de uso extendido en la planificación, no un límite validado experimentalmente. Es editable en CONFIG.</t>
  </si>
  <si>
    <t>Distribución de la intensidad</t>
  </si>
  <si>
    <t>Los modelos polarizado, piramidal y de umbral describen distintas formas de repartir el tiempo entre zonas. Ninguno es universalmente superior: la elección depende del deporte, la fase del ciclo y la persona. La referencia precargada corresponde a un modelo polarizado y es editable.</t>
  </si>
  <si>
    <t>Zonas por esfuerzo percibido</t>
  </si>
  <si>
    <t>Las zonas de este libro se definen por esfuerzo percibido y NO equivalen a zonas fisiológicas determinadas por umbrales ventilatorios o de lactato. Son una aproximación práctica cuando no se dispone de esa medición.</t>
  </si>
  <si>
    <t>Qué NO hace este libro</t>
  </si>
  <si>
    <t>No predice lesión ni sobreentrenamiento; no mide condición física ni fatiga; no reemplaza la evaluación del deportista ni el criterio del entrenador; no está validado clínicamente. Las unidades arbitrarias solo permiten comparar semanas de una misma persona.</t>
  </si>
  <si>
    <t>Control de calidad del motor de cálculo</t>
  </si>
  <si>
    <t>Los valores esperados se calcularon de forma independiente del motor del libro (verificación externa).</t>
  </si>
  <si>
    <t>Bloque</t>
  </si>
  <si>
    <t>Descripción de la prueba</t>
  </si>
  <si>
    <t>Obtenido</t>
  </si>
  <si>
    <t>Esperado</t>
  </si>
  <si>
    <t>Estado</t>
  </si>
  <si>
    <t>A</t>
  </si>
  <si>
    <t>Carga del martes (75 min × RPE 8)</t>
  </si>
  <si>
    <t>Carga del sábado (180 min × RPE 6)</t>
  </si>
  <si>
    <t>Carga del lunes en descanso</t>
  </si>
  <si>
    <t>Zona asignada al martes</t>
  </si>
  <si>
    <t>Zona 3 · alta</t>
  </si>
  <si>
    <t>Zona asignada al miércoles</t>
  </si>
  <si>
    <t>Zona 1 · suave</t>
  </si>
  <si>
    <t>B</t>
  </si>
  <si>
    <t>CARGA SEMANAL TOTAL</t>
  </si>
  <si>
    <t>Media diaria de carga</t>
  </si>
  <si>
    <t>Desviación estándar diaria (muestral)</t>
  </si>
  <si>
    <t>C</t>
  </si>
  <si>
    <t>La monotonía queda bajo el umbral de alerta</t>
  </si>
  <si>
    <t>BAJO</t>
  </si>
  <si>
    <t>Carga del día más exigente</t>
  </si>
  <si>
    <t>D</t>
  </si>
  <si>
    <t>Minutos en zona suave</t>
  </si>
  <si>
    <t>Minutos en zona moderada</t>
  </si>
  <si>
    <t>Minutos en zona alta</t>
  </si>
  <si>
    <t>Los minutos por zona suman el total de la semana</t>
  </si>
  <si>
    <t>Carga aportada por la zona alta</t>
  </si>
  <si>
    <t>La zona alta aporta más carga que tiempo</t>
  </si>
  <si>
    <t>MÁS</t>
  </si>
  <si>
    <t>E</t>
  </si>
  <si>
    <t>El libro advierte poco trabajo suave</t>
  </si>
  <si>
    <t>ADVIERTE</t>
  </si>
  <si>
    <t>F</t>
  </si>
  <si>
    <t>Carga crónica de las últimas 4 semanas</t>
  </si>
  <si>
    <t>El aumento supera la referencia del 10%</t>
  </si>
  <si>
    <t>SUPERA</t>
  </si>
  <si>
    <t>G</t>
  </si>
  <si>
    <t>Días de descanso completo programados</t>
  </si>
  <si>
    <t>H</t>
  </si>
  <si>
    <t>Un valor ausente NO se interpreta como cero</t>
  </si>
  <si>
    <t>ND</t>
  </si>
  <si>
    <t>RESUMEN</t>
  </si>
  <si>
    <t>Pruebas aprobadas</t>
  </si>
  <si>
    <t>Configuración · zonas, umbrales y constantes de la carga</t>
  </si>
  <si>
    <t>ZONAS DE INTENSIDAD SEGÚN ESFUERZO PERCIBIDO</t>
  </si>
  <si>
    <t>RPE mínimo</t>
  </si>
  <si>
    <t>RPE máximo</t>
  </si>
  <si>
    <t>Descripción</t>
  </si>
  <si>
    <t>Referencia de distribución</t>
  </si>
  <si>
    <t>Conversación cómoda, se sostiene mucho tiempo</t>
  </si>
  <si>
    <t>Zona 2 · moderada</t>
  </si>
  <si>
    <t>Respiración exigida, conversación entrecortada</t>
  </si>
  <si>
    <t>Esfuerzo intenso, no se sostiene la conversación</t>
  </si>
  <si>
    <t>La referencia de distribución precargada corresponde a un modelo de tipo polarizado, con la mayor parte del tiempo en trabajo suave y una fracción menor en alta intensidad. NO es la única distribución válida: los modelos piramidal y de umbral son alternativas legítimas según deporte, fase y persona. Edite estos valores según el modelo que usted aplique.</t>
  </si>
  <si>
    <t>UMBRALES DE LECTURA</t>
  </si>
  <si>
    <t>Monotonía · valor sobre el cual se considera elevada</t>
  </si>
  <si>
    <t>razón</t>
  </si>
  <si>
    <t>Progresión semanal · aumento de referencia máximo</t>
  </si>
  <si>
    <t>%</t>
  </si>
  <si>
    <t>Progresión semanal · reducción que sugiere semana de descarga</t>
  </si>
  <si>
    <t>Razón carga aguda sobre crónica · límite inferior descriptivo</t>
  </si>
  <si>
    <t>Razón carga aguda sobre crónica · límite superior descriptivo</t>
  </si>
  <si>
    <t>Semanas que componen la carga crónica</t>
  </si>
  <si>
    <t>semanas</t>
  </si>
  <si>
    <t>Días de descanso completo recomendados por semana</t>
  </si>
  <si>
    <t>días</t>
  </si>
  <si>
    <t>muestral (n-1)</t>
  </si>
  <si>
    <t>STDEV</t>
  </si>
  <si>
    <t>Tolerancia de las pruebas</t>
  </si>
  <si>
    <t>±</t>
  </si>
  <si>
    <t>La razón entre carga aguda y crónica se incluye SOLO como descriptor de progresión. La literatura más reciente ha desestimado su uso como predictor de lesión por problemas de acoplamiento matemático y ausencia de evidencia causal: no la utilice para decidir si alguien se va a lesionar. Vea la hoja FUENTES antes de interpretarla.</t>
  </si>
  <si>
    <t>LISTAS DESPLEGABLES</t>
  </si>
  <si>
    <t>DIA</t>
  </si>
  <si>
    <t>TIPO</t>
  </si>
  <si>
    <t>FASE</t>
  </si>
  <si>
    <t>SI</t>
  </si>
  <si>
    <t>MODELO</t>
  </si>
  <si>
    <t>Base o acumulación</t>
  </si>
  <si>
    <t>Sí</t>
  </si>
  <si>
    <t>Piramidal</t>
  </si>
  <si>
    <t>Específica</t>
  </si>
  <si>
    <t>Afinamiento</t>
  </si>
  <si>
    <t>Sin definir</t>
  </si>
  <si>
    <t>Descarga</t>
  </si>
  <si>
    <t>Fuerza</t>
  </si>
  <si>
    <t>Transición</t>
  </si>
  <si>
    <t>Técnica</t>
  </si>
  <si>
    <t>Competencia</t>
  </si>
  <si>
    <t>Historial de versiones</t>
  </si>
  <si>
    <t>Cambio</t>
  </si>
  <si>
    <t>Versión inicial de NMX-33: planificador semanal de entrenamiento con carga por esfuerzo percibido, monotonía, strain, distribución de intensidad y progresión entre semanas.</t>
  </si>
  <si>
    <t>Fase 6 · Planificación.</t>
  </si>
  <si>
    <t>La razón entre carga aguda y crónica se incluye como DESCRIPTOR y se rotula explícitamente como no predictor de lesión, con la crítica documentada en FUENTES.</t>
  </si>
  <si>
    <t>Revisiones posteriores mostraron acoplamiento matemático y ausencia de evidencia causal: presentarla como predictor sería incorrecto.</t>
  </si>
  <si>
    <t>Se declara en CONFIG qué desviación estándar se usa para la monotonía.</t>
  </si>
  <si>
    <t>Con siete días, usar la muestral o la poblacional cambia el resultado de forma apreciable.</t>
  </si>
  <si>
    <t>La distribución de intensidad compara contra un modelo declarado y editable, no contra un único modelo correcto.</t>
  </si>
  <si>
    <t>Polarizado, piramidal y de umbral son alternativas legítimas según deporte y fase.</t>
  </si>
  <si>
    <t>Se muestra lado a lado el porcentaje de TIEMPO y el porcentaje de CARGA por zona.</t>
  </si>
  <si>
    <t>Hace visible que un minuto intenso pesa mucho más que un minuto suave.</t>
  </si>
  <si>
    <t>Referencias verificadas mediante búsqueda en línea: Foster 1998 y 2001, Gabbett 2016 y las objeciones de Impellizzeri y cols. 2020.</t>
  </si>
  <si>
    <t>Confirmar el estado actual de la evidencia antes de programar.</t>
  </si>
  <si>
    <t>Diseño visual, barra de navegación y enlaces de retorno replicados de NMX-10 aprobado.</t>
  </si>
  <si>
    <t>Unificar la identidad de la colección.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</si>
</sst>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font>
      <sz val="11"/>
      <color theme="1"/>
      <name val="Calibri"/>
      <family val="2"/>
      <scheme val="minor"/>
    </font>
    <font>
      <b/>
      <sz val="20"/>
      <color rgb="FFFFFFFF"/>
      <name val="Arial"/>
      <family val="2"/>
    </font>
    <font>
      <b/>
      <sz val="14"/>
      <color rgb="FFFFFFFF"/>
      <name val="Arial"/>
      <family val="2"/>
    </font>
    <font>
      <b/>
      <sz val="10"/>
      <color rgb="FFFFFFFF"/>
      <name val="Aptos"/>
    </font>
    <font>
      <b/>
      <sz val="11"/>
      <color rgb="FFFFFFFF"/>
      <name val="Arial"/>
      <family val="2"/>
    </font>
    <font>
      <b/>
      <sz val="10"/>
      <color rgb="FFFFFFFF"/>
      <name val="Arial"/>
      <family val="2"/>
    </font>
    <font>
      <sz val="10"/>
      <color rgb="FF1A1A1A"/>
      <name val="Arial"/>
      <family val="2"/>
    </font>
    <font>
      <b/>
      <sz val="10"/>
      <color rgb="FF0000CC"/>
      <name val="Arial"/>
      <family val="2"/>
    </font>
    <font>
      <b/>
      <sz val="10"/>
      <color rgb="FF1A1A1A"/>
      <name val="Arial"/>
      <family val="2"/>
    </font>
    <font>
      <sz val="9"/>
      <color rgb="FF5A6B70"/>
      <name val="Arial"/>
      <family val="2"/>
    </font>
    <font>
      <b/>
      <sz val="11"/>
      <color rgb="FF1A1A1A"/>
      <name val="Arial"/>
      <family val="2"/>
    </font>
    <font>
      <b/>
      <sz val="10"/>
      <color rgb="FFB45309"/>
      <name val="Arial"/>
      <family val="2"/>
    </font>
    <font>
      <b/>
      <sz val="10"/>
      <color rgb="FF1C6B72"/>
      <name val="Arial"/>
      <family val="2"/>
    </font>
    <font>
      <b/>
      <sz val="12"/>
      <color rgb="FF1A1A1A"/>
      <name val="Arial"/>
      <family val="2"/>
    </font>
    <font>
      <b/>
      <sz val="9"/>
      <color rgb="FFFFFFFF"/>
      <name val="Arial"/>
      <family val="2"/>
    </font>
    <font>
      <b/>
      <sz val="24"/>
      <color rgb="FF1C6B72"/>
      <name val="Arial"/>
      <family val="2"/>
    </font>
    <font>
      <b/>
      <sz val="24"/>
      <color rgb="FF17324D"/>
      <name val="Arial"/>
      <family val="2"/>
    </font>
    <font>
      <b/>
      <sz val="24"/>
      <color rgb="FF155E6C"/>
      <name val="Arial"/>
      <family val="2"/>
    </font>
    <font>
      <b/>
      <sz val="24"/>
      <color rgb="FFB45309"/>
      <name val="Arial"/>
      <family val="2"/>
    </font>
    <font>
      <b/>
      <sz val="9"/>
      <color rgb="FF1A1A1A"/>
      <name val="Arial"/>
      <family val="2"/>
    </font>
    <font>
      <sz val="9"/>
      <color rgb="FF1A1A1A"/>
      <name val="Arial"/>
      <family val="2"/>
    </font>
    <font>
      <sz val="11"/>
      <color rgb="FF155E6C"/>
      <name val="Aptos"/>
    </font>
    <font>
      <b/>
      <sz val="10"/>
      <color rgb="FF155E6C"/>
      <name val="Arial"/>
      <family val="2"/>
    </font>
    <font>
      <sz val="12"/>
      <color rgb="FF1A1A1A"/>
      <name val="Arial"/>
      <family val="2"/>
    </font>
    <font>
      <sz val="12"/>
      <color theme="1"/>
      <name val="Calibri"/>
      <family val="2"/>
      <scheme val="minor"/>
    </font>
    <font>
      <b/>
      <i/>
      <sz val="11"/>
      <color rgb="FF1A1A1A"/>
      <name val="Arial"/>
      <family val="2"/>
    </font>
    <font>
      <sz val="11"/>
      <color rgb="FF1A1A1A"/>
      <name val="Arial"/>
      <family val="2"/>
    </font>
    <font>
      <b/>
      <sz val="11"/>
      <color rgb="FF0000CC"/>
      <name val="Arial"/>
      <family val="2"/>
    </font>
    <font>
      <b/>
      <sz val="11"/>
      <color rgb="FFB45309"/>
      <name val="Arial"/>
      <family val="2"/>
    </font>
  </fonts>
  <fills count="14">
    <fill>
      <patternFill patternType="none"/>
    </fill>
    <fill>
      <patternFill patternType="gray125"/>
    </fill>
    <fill>
      <patternFill patternType="solid">
        <fgColor rgb="FF0F3B44"/>
      </patternFill>
    </fill>
    <fill>
      <patternFill patternType="solid">
        <fgColor rgb="FF1C6B72"/>
      </patternFill>
    </fill>
    <fill>
      <patternFill patternType="solid">
        <fgColor rgb="FF17324D"/>
      </patternFill>
    </fill>
    <fill>
      <patternFill patternType="solid">
        <fgColor rgb="FFF4F6F7"/>
      </patternFill>
    </fill>
    <fill>
      <patternFill patternType="solid">
        <fgColor rgb="FFFCEFCE"/>
      </patternFill>
    </fill>
    <fill>
      <patternFill patternType="solid">
        <fgColor rgb="FFFBE4D5"/>
      </patternFill>
    </fill>
    <fill>
      <patternFill patternType="solid">
        <fgColor rgb="FFE7E0F5"/>
      </patternFill>
    </fill>
    <fill>
      <patternFill patternType="solid">
        <fgColor rgb="FFDFF0E3"/>
      </patternFill>
    </fill>
    <fill>
      <patternFill patternType="solid">
        <fgColor rgb="FFDCEFF1"/>
      </patternFill>
    </fill>
    <fill>
      <patternFill patternType="solid">
        <fgColor rgb="FFFFFFFF"/>
      </patternFill>
    </fill>
    <fill>
      <patternFill patternType="solid">
        <fgColor rgb="FF155E6C"/>
      </patternFill>
    </fill>
    <fill>
      <patternFill patternType="solid">
        <fgColor rgb="FFB45309"/>
      </patternFill>
    </fill>
  </fills>
  <borders count="13">
    <border>
      <left/>
      <right/>
      <top/>
      <bottom/>
      <diagonal/>
    </border>
    <border>
      <left style="thin">
        <color rgb="FFB7C7CB"/>
      </left>
      <right style="thin">
        <color rgb="FFB7C7CB"/>
      </right>
      <top style="thin">
        <color rgb="FFB7C7CB"/>
      </top>
      <bottom style="thin">
        <color rgb="FFB7C7CB"/>
      </bottom>
      <diagonal/>
    </border>
    <border>
      <left/>
      <right/>
      <top style="thin">
        <color rgb="FFB7C7CB"/>
      </top>
      <bottom/>
      <diagonal/>
    </border>
    <border>
      <left/>
      <right style="thin">
        <color rgb="FFB7C7CB"/>
      </right>
      <top style="thin">
        <color rgb="FFB7C7CB"/>
      </top>
      <bottom/>
      <diagonal/>
    </border>
    <border>
      <left/>
      <right style="thin">
        <color rgb="FFB7C7CB"/>
      </right>
      <top style="thin">
        <color rgb="FFB7C7CB"/>
      </top>
      <bottom style="thin">
        <color rgb="FFB7C7CB"/>
      </bottom>
      <diagonal/>
    </border>
    <border>
      <left/>
      <right/>
      <top style="thin">
        <color rgb="FFB7C7CB"/>
      </top>
      <bottom style="thin">
        <color rgb="FFB7C7CB"/>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top style="thin">
        <color rgb="FFB7C7CB"/>
      </top>
      <bottom/>
      <diagonal/>
    </border>
    <border>
      <left style="thin">
        <color rgb="FFB7C7CB"/>
      </left>
      <right/>
      <top style="thin">
        <color rgb="FFB7C7CB"/>
      </top>
      <bottom style="thin">
        <color rgb="FFB7C7CB"/>
      </bottom>
      <diagonal/>
    </border>
  </borders>
  <cellStyleXfs count="1">
    <xf numFmtId="0" fontId="0" fillId="0" borderId="0"/>
  </cellStyleXfs>
  <cellXfs count="118">
    <xf numFmtId="0" fontId="0" fillId="0" borderId="0" xfId="0"/>
    <xf numFmtId="0" fontId="5" fillId="3" borderId="1" xfId="0" applyFont="1" applyFill="1" applyBorder="1" applyAlignment="1">
      <alignment horizontal="center" vertical="center" wrapText="1"/>
    </xf>
    <xf numFmtId="0" fontId="7" fillId="6" borderId="1" xfId="0" applyFont="1" applyFill="1" applyBorder="1" applyAlignment="1">
      <alignment horizontal="center" vertical="center"/>
    </xf>
    <xf numFmtId="9" fontId="7" fillId="6"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7" fillId="6" borderId="1" xfId="0" applyFont="1" applyFill="1" applyBorder="1" applyAlignment="1">
      <alignment horizontal="left" vertical="center"/>
    </xf>
    <xf numFmtId="0" fontId="12" fillId="10"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8" borderId="1" xfId="0" applyFont="1" applyFill="1" applyBorder="1" applyAlignment="1">
      <alignment horizontal="left" vertical="center"/>
    </xf>
    <xf numFmtId="0" fontId="6" fillId="5" borderId="1" xfId="0" applyFont="1" applyFill="1" applyBorder="1" applyAlignment="1">
      <alignment horizontal="center" vertical="center"/>
    </xf>
    <xf numFmtId="1" fontId="10" fillId="9" borderId="1" xfId="0" applyNumberFormat="1" applyFont="1" applyFill="1" applyBorder="1" applyAlignment="1">
      <alignment horizontal="center" vertical="center"/>
    </xf>
    <xf numFmtId="0" fontId="6" fillId="5" borderId="1" xfId="0" applyFont="1" applyFill="1" applyBorder="1" applyAlignment="1">
      <alignment horizontal="left" vertical="center"/>
    </xf>
    <xf numFmtId="164" fontId="10" fillId="9" borderId="1" xfId="0" applyNumberFormat="1" applyFont="1" applyFill="1" applyBorder="1" applyAlignment="1">
      <alignment horizontal="center" vertical="center"/>
    </xf>
    <xf numFmtId="164" fontId="6" fillId="5" borderId="1" xfId="0" applyNumberFormat="1" applyFont="1" applyFill="1" applyBorder="1" applyAlignment="1">
      <alignment horizontal="center" vertical="center"/>
    </xf>
    <xf numFmtId="1" fontId="10" fillId="10" borderId="1" xfId="0" applyNumberFormat="1" applyFont="1" applyFill="1" applyBorder="1" applyAlignment="1">
      <alignment horizontal="left" vertical="center"/>
    </xf>
    <xf numFmtId="1" fontId="10" fillId="10" borderId="1" xfId="0" applyNumberFormat="1" applyFont="1" applyFill="1" applyBorder="1" applyAlignment="1">
      <alignment horizontal="center" vertical="center"/>
    </xf>
    <xf numFmtId="164" fontId="10" fillId="10"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1" fontId="6" fillId="5"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19" fillId="5" borderId="1" xfId="0" applyFont="1" applyFill="1" applyBorder="1" applyAlignment="1">
      <alignment horizontal="left" vertical="top" wrapText="1"/>
    </xf>
    <xf numFmtId="0" fontId="9" fillId="0" borderId="0" xfId="0" applyFont="1" applyAlignment="1">
      <alignment horizontal="left" vertical="center"/>
    </xf>
    <xf numFmtId="0" fontId="20" fillId="5" borderId="1" xfId="0" applyFont="1" applyFill="1" applyBorder="1" applyAlignment="1">
      <alignment horizontal="center" vertical="center"/>
    </xf>
    <xf numFmtId="0" fontId="20" fillId="5" borderId="1" xfId="0" applyFont="1" applyFill="1" applyBorder="1" applyAlignment="1">
      <alignment horizontal="left" vertical="center"/>
    </xf>
    <xf numFmtId="0" fontId="19"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0" borderId="1" xfId="0" applyFont="1" applyFill="1" applyBorder="1" applyAlignment="1">
      <alignment horizontal="left" vertical="center"/>
    </xf>
    <xf numFmtId="0" fontId="20" fillId="5" borderId="1" xfId="0" applyFont="1" applyFill="1" applyBorder="1" applyAlignment="1">
      <alignment horizontal="center" vertical="top"/>
    </xf>
    <xf numFmtId="0" fontId="23" fillId="5" borderId="1" xfId="0" applyFont="1" applyFill="1" applyBorder="1" applyAlignment="1">
      <alignment horizontal="left" vertical="center"/>
    </xf>
    <xf numFmtId="0" fontId="10" fillId="8" borderId="1" xfId="0" applyFont="1" applyFill="1" applyBorder="1" applyAlignment="1">
      <alignment horizontal="left" vertical="center"/>
    </xf>
    <xf numFmtId="0" fontId="3" fillId="4" borderId="1" xfId="0" applyFont="1" applyFill="1" applyBorder="1" applyAlignment="1">
      <alignment horizontal="center" vertical="center"/>
    </xf>
    <xf numFmtId="0" fontId="4" fillId="3" borderId="1" xfId="0" applyFont="1" applyFill="1" applyBorder="1" applyAlignment="1">
      <alignment horizontal="left" vertical="center"/>
    </xf>
    <xf numFmtId="0" fontId="0" fillId="3" borderId="1" xfId="0" applyFill="1" applyBorder="1"/>
    <xf numFmtId="0" fontId="8" fillId="8" borderId="1" xfId="0" applyFont="1" applyFill="1" applyBorder="1" applyAlignment="1">
      <alignment horizontal="left" vertical="center" wrapText="1"/>
    </xf>
    <xf numFmtId="0" fontId="21" fillId="10" borderId="1" xfId="0" applyFont="1" applyFill="1" applyBorder="1" applyAlignment="1">
      <alignment horizontal="center" vertical="center" wrapText="1"/>
    </xf>
    <xf numFmtId="0" fontId="13" fillId="10" borderId="1" xfId="0" applyFont="1" applyFill="1" applyBorder="1" applyAlignment="1">
      <alignment horizontal="center" vertical="center"/>
    </xf>
    <xf numFmtId="0" fontId="2" fillId="3" borderId="0" xfId="0" applyFont="1" applyFill="1" applyAlignment="1">
      <alignment horizontal="left" vertical="center" wrapText="1"/>
    </xf>
    <xf numFmtId="0" fontId="0" fillId="3" borderId="0" xfId="0" applyFill="1"/>
    <xf numFmtId="0" fontId="1" fillId="2" borderId="0" xfId="0" applyFont="1" applyFill="1" applyAlignment="1">
      <alignment horizontal="left" vertical="center"/>
    </xf>
    <xf numFmtId="0" fontId="0" fillId="2" borderId="0" xfId="0" applyFill="1"/>
    <xf numFmtId="0" fontId="22" fillId="10" borderId="1" xfId="0" applyFont="1" applyFill="1" applyBorder="1" applyAlignment="1">
      <alignment horizontal="left" vertical="center" wrapText="1"/>
    </xf>
    <xf numFmtId="0" fontId="0" fillId="10" borderId="1" xfId="0" applyFill="1" applyBorder="1"/>
    <xf numFmtId="0" fontId="8" fillId="7" borderId="1" xfId="0" applyFont="1" applyFill="1" applyBorder="1" applyAlignment="1">
      <alignment horizontal="left" vertical="center" wrapText="1"/>
    </xf>
    <xf numFmtId="0" fontId="0" fillId="7" borderId="1" xfId="0" applyFill="1" applyBorder="1"/>
    <xf numFmtId="0" fontId="2" fillId="3" borderId="1" xfId="0" applyFont="1" applyFill="1" applyBorder="1" applyAlignment="1">
      <alignment horizontal="left" vertical="center"/>
    </xf>
    <xf numFmtId="0" fontId="11" fillId="7" borderId="1" xfId="0" applyFont="1" applyFill="1" applyBorder="1" applyAlignment="1">
      <alignment horizontal="left" vertical="center" wrapText="1"/>
    </xf>
    <xf numFmtId="0" fontId="0" fillId="0" borderId="5" xfId="0" applyBorder="1"/>
    <xf numFmtId="0" fontId="0" fillId="0" borderId="4" xfId="0" applyBorder="1"/>
    <xf numFmtId="0" fontId="7" fillId="6" borderId="1" xfId="0" applyFont="1" applyFill="1" applyBorder="1" applyAlignment="1">
      <alignment horizontal="left" vertical="center" wrapText="1"/>
    </xf>
    <xf numFmtId="0" fontId="9" fillId="0" borderId="0" xfId="0" applyFont="1" applyAlignment="1">
      <alignment horizontal="left" vertical="center" wrapText="1"/>
    </xf>
    <xf numFmtId="0" fontId="0" fillId="0" borderId="0" xfId="0"/>
    <xf numFmtId="0" fontId="8" fillId="7"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8" fillId="5" borderId="1" xfId="0" applyFont="1" applyFill="1" applyBorder="1" applyAlignment="1">
      <alignment horizontal="left" vertical="center" wrapText="1"/>
    </xf>
    <xf numFmtId="1" fontId="10" fillId="9" borderId="1" xfId="0" applyNumberFormat="1" applyFont="1" applyFill="1" applyBorder="1" applyAlignment="1">
      <alignment horizontal="left" vertical="center"/>
    </xf>
    <xf numFmtId="0" fontId="11" fillId="7" borderId="1" xfId="0" applyFont="1" applyFill="1" applyBorder="1" applyAlignment="1">
      <alignment horizontal="left" vertical="center"/>
    </xf>
    <xf numFmtId="0" fontId="6" fillId="5" borderId="12" xfId="0" applyFont="1" applyFill="1" applyBorder="1" applyAlignment="1">
      <alignment horizontal="center" vertical="center"/>
    </xf>
    <xf numFmtId="0" fontId="6" fillId="5" borderId="4" xfId="0" applyFont="1" applyFill="1" applyBorder="1" applyAlignment="1">
      <alignment horizontal="center" vertical="center"/>
    </xf>
    <xf numFmtId="0" fontId="10" fillId="9" borderId="1" xfId="0" applyFont="1" applyFill="1" applyBorder="1" applyAlignment="1">
      <alignment horizontal="left" vertical="center"/>
    </xf>
    <xf numFmtId="0" fontId="5" fillId="3" borderId="11" xfId="0" applyFont="1" applyFill="1" applyBorder="1" applyAlignment="1">
      <alignment horizontal="center" vertical="center"/>
    </xf>
    <xf numFmtId="0" fontId="5" fillId="3" borderId="2" xfId="0" applyFont="1" applyFill="1" applyBorder="1" applyAlignment="1">
      <alignment horizontal="center" vertical="center"/>
    </xf>
    <xf numFmtId="164" fontId="8" fillId="5" borderId="1" xfId="0" applyNumberFormat="1" applyFont="1" applyFill="1" applyBorder="1" applyAlignment="1">
      <alignment horizontal="left" vertical="center" wrapText="1"/>
    </xf>
    <xf numFmtId="0" fontId="13" fillId="9" borderId="1" xfId="0" applyFont="1" applyFill="1" applyBorder="1" applyAlignment="1">
      <alignment horizontal="left" vertical="center"/>
    </xf>
    <xf numFmtId="0" fontId="11" fillId="7" borderId="1" xfId="0" applyFont="1" applyFill="1" applyBorder="1" applyAlignment="1">
      <alignment horizontal="left" vertical="top" wrapText="1"/>
    </xf>
    <xf numFmtId="0" fontId="9" fillId="10" borderId="1" xfId="0" applyFont="1" applyFill="1" applyBorder="1" applyAlignment="1">
      <alignment horizontal="center" vertical="center"/>
    </xf>
    <xf numFmtId="0" fontId="14" fillId="4" borderId="1" xfId="0" applyFont="1" applyFill="1" applyBorder="1" applyAlignment="1">
      <alignment horizontal="center" vertical="center" wrapText="1"/>
    </xf>
    <xf numFmtId="165" fontId="17" fillId="11" borderId="1" xfId="0" applyNumberFormat="1" applyFont="1" applyFill="1" applyBorder="1" applyAlignment="1">
      <alignment horizontal="center" vertical="center"/>
    </xf>
    <xf numFmtId="0" fontId="14" fillId="1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2" fontId="16" fillId="11" borderId="1" xfId="0" applyNumberFormat="1" applyFont="1" applyFill="1" applyBorder="1" applyAlignment="1">
      <alignment horizontal="center" vertical="center"/>
    </xf>
    <xf numFmtId="2" fontId="15" fillId="11" borderId="1" xfId="0" applyNumberFormat="1" applyFont="1" applyFill="1" applyBorder="1" applyAlignment="1">
      <alignment horizontal="center" vertical="center"/>
    </xf>
    <xf numFmtId="0" fontId="14" fillId="13" borderId="1" xfId="0" applyFont="1" applyFill="1" applyBorder="1" applyAlignment="1">
      <alignment horizontal="center" vertical="center" wrapText="1"/>
    </xf>
    <xf numFmtId="1" fontId="15" fillId="11" borderId="1" xfId="0" applyNumberFormat="1" applyFont="1" applyFill="1" applyBorder="1" applyAlignment="1">
      <alignment horizontal="center" vertical="center"/>
    </xf>
    <xf numFmtId="9" fontId="18" fillId="11" borderId="1" xfId="0" applyNumberFormat="1" applyFont="1" applyFill="1" applyBorder="1" applyAlignment="1">
      <alignment horizontal="center" vertical="center"/>
    </xf>
    <xf numFmtId="1" fontId="16" fillId="11" borderId="1" xfId="0" applyNumberFormat="1" applyFont="1" applyFill="1" applyBorder="1" applyAlignment="1">
      <alignment horizontal="center" vertical="center"/>
    </xf>
    <xf numFmtId="9" fontId="17" fillId="11" borderId="1" xfId="0" applyNumberFormat="1" applyFont="1" applyFill="1" applyBorder="1" applyAlignment="1">
      <alignment horizontal="center" vertical="center"/>
    </xf>
    <xf numFmtId="0" fontId="14" fillId="3" borderId="11" xfId="0" applyFont="1" applyFill="1" applyBorder="1" applyAlignment="1">
      <alignment horizontal="center" vertical="center"/>
    </xf>
    <xf numFmtId="0" fontId="14" fillId="3" borderId="2" xfId="0" applyFont="1" applyFill="1" applyBorder="1" applyAlignment="1">
      <alignment horizontal="center" vertical="center"/>
    </xf>
    <xf numFmtId="1" fontId="8" fillId="9" borderId="6" xfId="0" applyNumberFormat="1" applyFont="1" applyFill="1" applyBorder="1" applyAlignment="1">
      <alignment horizontal="center" vertical="center"/>
    </xf>
    <xf numFmtId="1" fontId="8" fillId="9" borderId="0" xfId="0" applyNumberFormat="1" applyFont="1" applyFill="1" applyBorder="1" applyAlignment="1">
      <alignment horizontal="center" vertical="center"/>
    </xf>
    <xf numFmtId="1" fontId="6" fillId="5" borderId="6" xfId="0" applyNumberFormat="1" applyFont="1" applyFill="1" applyBorder="1" applyAlignment="1">
      <alignment horizontal="center" vertical="center"/>
    </xf>
    <xf numFmtId="1" fontId="6" fillId="5" borderId="0" xfId="0" applyNumberFormat="1" applyFont="1" applyFill="1" applyBorder="1" applyAlignment="1">
      <alignment horizontal="center" vertical="center"/>
    </xf>
    <xf numFmtId="0" fontId="20" fillId="5" borderId="1" xfId="0" applyFont="1" applyFill="1" applyBorder="1" applyAlignment="1">
      <alignment horizontal="left" vertical="top" wrapText="1"/>
    </xf>
    <xf numFmtId="0" fontId="0" fillId="5" borderId="1" xfId="0" applyFill="1" applyBorder="1"/>
    <xf numFmtId="0" fontId="5" fillId="3" borderId="1" xfId="0" applyFont="1" applyFill="1" applyBorder="1" applyAlignment="1">
      <alignment horizontal="center" vertical="center"/>
    </xf>
    <xf numFmtId="0" fontId="6" fillId="5" borderId="1" xfId="0" applyFont="1" applyFill="1" applyBorder="1" applyAlignment="1">
      <alignment horizontal="left" vertical="center"/>
    </xf>
    <xf numFmtId="0" fontId="3" fillId="4" borderId="6" xfId="0" applyFont="1" applyFill="1" applyBorder="1" applyAlignment="1">
      <alignment horizontal="center" vertical="center"/>
    </xf>
    <xf numFmtId="0" fontId="3" fillId="4" borderId="0" xfId="0" applyFont="1" applyFill="1" applyBorder="1" applyAlignment="1">
      <alignment horizontal="center" vertical="center"/>
    </xf>
    <xf numFmtId="0" fontId="10" fillId="7" borderId="1" xfId="0" applyFont="1" applyFill="1" applyBorder="1" applyAlignment="1">
      <alignment horizontal="left" vertical="top" wrapText="1"/>
    </xf>
    <xf numFmtId="0" fontId="0" fillId="0" borderId="2" xfId="0" applyFont="1" applyBorder="1"/>
    <xf numFmtId="0" fontId="0" fillId="0" borderId="3" xfId="0" applyFont="1" applyBorder="1"/>
    <xf numFmtId="0" fontId="0" fillId="0" borderId="6" xfId="0" applyFont="1" applyBorder="1"/>
    <xf numFmtId="0" fontId="0" fillId="0" borderId="0" xfId="0" applyFont="1"/>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0" fontId="13" fillId="7" borderId="1" xfId="0" applyFont="1" applyFill="1" applyBorder="1" applyAlignment="1">
      <alignment horizontal="left" vertical="top" wrapText="1"/>
    </xf>
    <xf numFmtId="0" fontId="24" fillId="0" borderId="2" xfId="0" applyFont="1" applyBorder="1"/>
    <xf numFmtId="0" fontId="24" fillId="0" borderId="3" xfId="0" applyFont="1" applyBorder="1"/>
    <xf numFmtId="0" fontId="24" fillId="0" borderId="6" xfId="0" applyFont="1" applyBorder="1"/>
    <xf numFmtId="0" fontId="24" fillId="0" borderId="0" xfId="0" applyFont="1"/>
    <xf numFmtId="0" fontId="24" fillId="0" borderId="7" xfId="0" applyFont="1" applyBorder="1"/>
    <xf numFmtId="0" fontId="24" fillId="0" borderId="8" xfId="0" applyFont="1" applyBorder="1"/>
    <xf numFmtId="0" fontId="24" fillId="0" borderId="9" xfId="0" applyFont="1" applyBorder="1"/>
    <xf numFmtId="0" fontId="24" fillId="0" borderId="10" xfId="0" applyFont="1" applyBorder="1"/>
    <xf numFmtId="1" fontId="25" fillId="8" borderId="1" xfId="0" applyNumberFormat="1" applyFont="1" applyFill="1" applyBorder="1" applyAlignment="1">
      <alignment horizontal="left" vertical="center"/>
    </xf>
    <xf numFmtId="0" fontId="25" fillId="5" borderId="1" xfId="0" applyFont="1" applyFill="1" applyBorder="1" applyAlignment="1">
      <alignment horizontal="left" vertical="center"/>
    </xf>
    <xf numFmtId="0" fontId="26" fillId="5" borderId="1" xfId="0" applyFont="1" applyFill="1" applyBorder="1" applyAlignment="1">
      <alignment horizontal="left" vertical="center"/>
    </xf>
    <xf numFmtId="1" fontId="27" fillId="6" borderId="1" xfId="0" applyNumberFormat="1" applyFont="1" applyFill="1" applyBorder="1" applyAlignment="1">
      <alignment horizontal="center" vertical="center"/>
    </xf>
    <xf numFmtId="164" fontId="10" fillId="5" borderId="1" xfId="0" applyNumberFormat="1" applyFont="1" applyFill="1" applyBorder="1" applyAlignment="1">
      <alignment horizontal="center" vertical="center"/>
    </xf>
    <xf numFmtId="0" fontId="28" fillId="7"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2"/>
  <c:chart>
    <c:title>
      <c:tx>
        <c:rich>
          <a:bodyPr/>
          <a:lstStyle/>
          <a:p>
            <a:pPr>
              <a:defRPr/>
            </a:pPr>
            <a:r>
              <a:rPr lang="es-CL"/>
              <a:t>Carga por día de la semana</a:t>
            </a:r>
          </a:p>
        </c:rich>
      </c:tx>
      <c:overlay val="1"/>
    </c:title>
    <c:autoTitleDeleted val="0"/>
    <c:plotArea>
      <c:layout/>
      <c:barChart>
        <c:barDir val="col"/>
        <c:grouping val="clustered"/>
        <c:varyColors val="1"/>
        <c:ser>
          <c:idx val="0"/>
          <c:order val="0"/>
          <c:tx>
            <c:strRef>
              <c:f>PANEL!$B$19</c:f>
              <c:strCache>
                <c:ptCount val="1"/>
                <c:pt idx="0">
                  <c:v>Carga (UA)</c:v>
                </c:pt>
              </c:strCache>
            </c:strRef>
          </c:tx>
          <c:spPr>
            <a:ln>
              <a:prstDash val="solid"/>
            </a:ln>
          </c:spPr>
          <c:invertIfNegative val="1"/>
          <c:cat>
            <c:strRef>
              <c:f>PANEL!$A$20:$A$26</c:f>
              <c:strCache>
                <c:ptCount val="7"/>
                <c:pt idx="0">
                  <c:v>Lunes</c:v>
                </c:pt>
                <c:pt idx="1">
                  <c:v>Martes</c:v>
                </c:pt>
                <c:pt idx="2">
                  <c:v>Miércoles</c:v>
                </c:pt>
                <c:pt idx="3">
                  <c:v>Jueves</c:v>
                </c:pt>
                <c:pt idx="4">
                  <c:v>Viernes</c:v>
                </c:pt>
                <c:pt idx="5">
                  <c:v>Sábado</c:v>
                </c:pt>
                <c:pt idx="6">
                  <c:v>Domingo</c:v>
                </c:pt>
              </c:strCache>
            </c:strRef>
          </c:cat>
          <c:val>
            <c:numRef>
              <c:f>PANEL!$B$20:$B$26</c:f>
              <c:numCache>
                <c:formatCode>0</c:formatCode>
                <c:ptCount val="7"/>
                <c:pt idx="0">
                  <c:v>0</c:v>
                </c:pt>
                <c:pt idx="1">
                  <c:v>600</c:v>
                </c:pt>
                <c:pt idx="2">
                  <c:v>240</c:v>
                </c:pt>
                <c:pt idx="3">
                  <c:v>720</c:v>
                </c:pt>
                <c:pt idx="4">
                  <c:v>135</c:v>
                </c:pt>
                <c:pt idx="5">
                  <c:v>1080</c:v>
                </c:pt>
                <c:pt idx="6">
                  <c:v>450</c:v>
                </c:pt>
              </c:numCache>
            </c:numRef>
          </c:val>
          <c:extLst>
            <c:ext xmlns:c16="http://schemas.microsoft.com/office/drawing/2014/chart" uri="{C3380CC4-5D6E-409C-BE32-E72D297353CC}">
              <c16:uniqueId val="{00000000-3A07-4961-8F52-4FCA69670C6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CL"/>
                  <a:t>unidades arbitrarias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CL"/>
              <a:t>Reparto del tiempo por zona de intensidad</a:t>
            </a:r>
          </a:p>
        </c:rich>
      </c:tx>
      <c:layout>
        <c:manualLayout>
          <c:xMode val="edge"/>
          <c:yMode val="edge"/>
          <c:x val="0.28247162102941803"/>
          <c:y val="7.8395061728395062E-3"/>
        </c:manualLayout>
      </c:layout>
      <c:overlay val="1"/>
    </c:title>
    <c:autoTitleDeleted val="0"/>
    <c:plotArea>
      <c:layout/>
      <c:pieChart>
        <c:varyColors val="1"/>
        <c:ser>
          <c:idx val="0"/>
          <c:order val="0"/>
          <c:tx>
            <c:strRef>
              <c:f>PANEL!$B$29</c:f>
              <c:strCache>
                <c:ptCount val="1"/>
                <c:pt idx="0">
                  <c:v>Minutos</c:v>
                </c:pt>
              </c:strCache>
            </c:strRef>
          </c:tx>
          <c:spPr>
            <a:ln>
              <a:prstDash val="solid"/>
            </a:ln>
          </c:spPr>
          <c:explosion val="3"/>
          <c:dPt>
            <c:idx val="0"/>
            <c:bubble3D val="0"/>
            <c:explosion val="0"/>
            <c:extLst>
              <c:ext xmlns:c16="http://schemas.microsoft.com/office/drawing/2014/chart" uri="{C3380CC4-5D6E-409C-BE32-E72D297353CC}">
                <c16:uniqueId val="{00000004-54AB-415E-BA39-7FDAF131F16F}"/>
              </c:ext>
            </c:extLst>
          </c:dPt>
          <c:dPt>
            <c:idx val="1"/>
            <c:bubble3D val="0"/>
            <c:explosion val="0"/>
            <c:extLst>
              <c:ext xmlns:c16="http://schemas.microsoft.com/office/drawing/2014/chart" uri="{C3380CC4-5D6E-409C-BE32-E72D297353CC}">
                <c16:uniqueId val="{00000002-54AB-415E-BA39-7FDAF131F16F}"/>
              </c:ext>
            </c:extLst>
          </c:dPt>
          <c:dPt>
            <c:idx val="2"/>
            <c:bubble3D val="0"/>
            <c:explosion val="0"/>
            <c:extLst>
              <c:ext xmlns:c16="http://schemas.microsoft.com/office/drawing/2014/chart" uri="{C3380CC4-5D6E-409C-BE32-E72D297353CC}">
                <c16:uniqueId val="{00000003-54AB-415E-BA39-7FDAF131F16F}"/>
              </c:ext>
            </c:extLst>
          </c:dPt>
          <c:cat>
            <c:strRef>
              <c:f>PANEL!$A$30:$A$32</c:f>
              <c:strCache>
                <c:ptCount val="3"/>
                <c:pt idx="0">
                  <c:v>Zona 1 · suave</c:v>
                </c:pt>
                <c:pt idx="1">
                  <c:v>Zona 2 · moderada</c:v>
                </c:pt>
                <c:pt idx="2">
                  <c:v>Zona 3 · alta</c:v>
                </c:pt>
              </c:strCache>
            </c:strRef>
          </c:cat>
          <c:val>
            <c:numRef>
              <c:f>PANEL!$B$30:$B$32</c:f>
              <c:numCache>
                <c:formatCode>0</c:formatCode>
                <c:ptCount val="3"/>
                <c:pt idx="0">
                  <c:v>105</c:v>
                </c:pt>
                <c:pt idx="1">
                  <c:v>270</c:v>
                </c:pt>
                <c:pt idx="2">
                  <c:v>165</c:v>
                </c:pt>
              </c:numCache>
            </c:numRef>
          </c:val>
          <c:extLst>
            <c:ext xmlns:c16="http://schemas.microsoft.com/office/drawing/2014/chart" uri="{C3380CC4-5D6E-409C-BE32-E72D297353CC}">
              <c16:uniqueId val="{00000000-54AB-415E-BA39-7FDAF131F16F}"/>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3"/>
  <c:chart>
    <c:title>
      <c:tx>
        <c:rich>
          <a:bodyPr/>
          <a:lstStyle/>
          <a:p>
            <a:pPr>
              <a:defRPr/>
            </a:pPr>
            <a:r>
              <a:rPr lang="es-CL"/>
              <a:t>Carga semanal en las últimas semanas</a:t>
            </a:r>
          </a:p>
        </c:rich>
      </c:tx>
      <c:overlay val="1"/>
    </c:title>
    <c:autoTitleDeleted val="0"/>
    <c:plotArea>
      <c:layout/>
      <c:lineChart>
        <c:grouping val="standard"/>
        <c:varyColors val="1"/>
        <c:ser>
          <c:idx val="0"/>
          <c:order val="0"/>
          <c:tx>
            <c:strRef>
              <c:f>PANEL!$B$35</c:f>
              <c:strCache>
                <c:ptCount val="1"/>
                <c:pt idx="0">
                  <c:v>Carga (UA)</c:v>
                </c:pt>
              </c:strCache>
            </c:strRef>
          </c:tx>
          <c:spPr>
            <a:ln>
              <a:prstDash val="solid"/>
            </a:ln>
          </c:spPr>
          <c:marker>
            <c:symbol val="none"/>
          </c:marker>
          <c:cat>
            <c:strRef>
              <c:f>PANEL!$A$36:$A$39</c:f>
              <c:strCache>
                <c:ptCount val="4"/>
                <c:pt idx="0">
                  <c:v>Semana 1</c:v>
                </c:pt>
                <c:pt idx="1">
                  <c:v>Semana 2</c:v>
                </c:pt>
                <c:pt idx="2">
                  <c:v>Semana 3</c:v>
                </c:pt>
                <c:pt idx="3">
                  <c:v>Semana actual</c:v>
                </c:pt>
              </c:strCache>
            </c:strRef>
          </c:cat>
          <c:val>
            <c:numRef>
              <c:f>PANEL!$B$36:$B$39</c:f>
              <c:numCache>
                <c:formatCode>0</c:formatCode>
                <c:ptCount val="4"/>
                <c:pt idx="0">
                  <c:v>2800</c:v>
                </c:pt>
                <c:pt idx="1">
                  <c:v>3000</c:v>
                </c:pt>
                <c:pt idx="2">
                  <c:v>2600</c:v>
                </c:pt>
                <c:pt idx="3">
                  <c:v>3225</c:v>
                </c:pt>
              </c:numCache>
            </c:numRef>
          </c:val>
          <c:smooth val="0"/>
          <c:extLst>
            <c:ext xmlns:c16="http://schemas.microsoft.com/office/drawing/2014/chart" uri="{C3380CC4-5D6E-409C-BE32-E72D297353CC}">
              <c16:uniqueId val="{00000000-274F-4073-93E1-988F589A5BA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CL"/>
                  <a:t>unidades arbitrarias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771525</xdr:colOff>
      <xdr:row>18</xdr:row>
      <xdr:rowOff>142875</xdr:rowOff>
    </xdr:from>
    <xdr:ext cx="6840000" cy="375285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533399</xdr:colOff>
      <xdr:row>28</xdr:row>
      <xdr:rowOff>142875</xdr:rowOff>
    </xdr:from>
    <xdr:ext cx="6105526" cy="348615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381000</xdr:colOff>
      <xdr:row>34</xdr:row>
      <xdr:rowOff>142876</xdr:rowOff>
    </xdr:from>
    <xdr:ext cx="6840000" cy="356385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39"/>
  <sheetViews>
    <sheetView showGridLines="0" workbookViewId="0">
      <selection sqref="A1:Q1"/>
    </sheetView>
  </sheetViews>
  <sheetFormatPr baseColWidth="10" defaultColWidth="9.140625" defaultRowHeight="15"/>
  <cols>
    <col min="1" max="1" width="18.5703125"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39"/>
      <c r="C1" s="39"/>
      <c r="D1" s="39"/>
      <c r="E1" s="39"/>
      <c r="F1" s="39"/>
      <c r="G1" s="39"/>
      <c r="H1" s="39"/>
      <c r="I1" s="39"/>
      <c r="J1" s="39"/>
      <c r="K1" s="39"/>
      <c r="L1" s="39"/>
      <c r="M1" s="39"/>
      <c r="N1" s="39"/>
      <c r="O1" s="39"/>
      <c r="P1" s="39"/>
      <c r="Q1" s="39"/>
    </row>
    <row r="2" spans="1:17" ht="15" customHeight="1">
      <c r="A2" s="36" t="s">
        <v>1</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7.75" customHeight="1">
      <c r="A4" s="44" t="s">
        <v>2</v>
      </c>
      <c r="B4" s="32"/>
      <c r="C4" s="32"/>
      <c r="D4" s="32"/>
      <c r="E4" s="32"/>
      <c r="F4" s="32"/>
      <c r="G4" s="32"/>
      <c r="H4" s="32"/>
      <c r="I4" s="32"/>
      <c r="J4" s="32"/>
      <c r="K4" s="32"/>
      <c r="L4" s="32"/>
      <c r="M4" s="32"/>
      <c r="N4" s="32"/>
      <c r="O4" s="32"/>
      <c r="P4" s="32"/>
      <c r="Q4" s="32"/>
    </row>
    <row r="5" spans="1:17" ht="27.75" customHeight="1">
      <c r="A5" s="30" t="str">
        <f>HYPERLINK("#DATOS!A1","▶  DATOS")</f>
        <v>▶  DATOS</v>
      </c>
      <c r="B5" s="30"/>
      <c r="C5" s="30" t="str">
        <f>HYPERLINK("#SEMANA!A1","▶  SEMANA")</f>
        <v>▶  SEMANA</v>
      </c>
      <c r="D5" s="30"/>
      <c r="E5" s="30" t="str">
        <f>HYPERLINK("#CARGA!A1","▶  CARGA")</f>
        <v>▶  CARGA</v>
      </c>
      <c r="F5" s="30"/>
      <c r="G5" s="30" t="str">
        <f>HYPERLINK("#DISTRIBUCION!A1","▶  DISTRIBUCION")</f>
        <v>▶  DISTRIBUCION</v>
      </c>
      <c r="H5" s="30"/>
      <c r="I5" s="30" t="str">
        <f>HYPERLINK("#PROGRESION!A1","▶  PROGRESION")</f>
        <v>▶  PROGRESION</v>
      </c>
      <c r="J5" s="30"/>
      <c r="K5" s="30" t="str">
        <f>HYPERLINK("#PANEL!A1","▶  PANEL")</f>
        <v>▶  PANEL</v>
      </c>
      <c r="L5" s="30"/>
      <c r="M5" s="30" t="str">
        <f>HYPERLINK("#FUENTES!A1","▶  FUENTES")</f>
        <v>▶  FUENTES</v>
      </c>
      <c r="N5" s="30"/>
      <c r="O5" s="30" t="str">
        <f>HYPERLINK("#PRUEBAS!A1","▶  PRUEBAS")</f>
        <v>▶  PRUEBAS</v>
      </c>
      <c r="P5" s="30"/>
      <c r="Q5" s="30"/>
    </row>
    <row r="6" spans="1:17" ht="29.25" customHeight="1">
      <c r="A6" s="34" t="s">
        <v>3</v>
      </c>
      <c r="B6" s="34"/>
      <c r="C6" s="34" t="s">
        <v>4</v>
      </c>
      <c r="D6" s="34"/>
      <c r="E6" s="34" t="s">
        <v>5</v>
      </c>
      <c r="F6" s="34"/>
      <c r="G6" s="34" t="s">
        <v>6</v>
      </c>
      <c r="H6" s="34"/>
      <c r="I6" s="34" t="s">
        <v>7</v>
      </c>
      <c r="J6" s="34"/>
      <c r="K6" s="34" t="s">
        <v>8</v>
      </c>
      <c r="L6" s="34"/>
      <c r="M6" s="34" t="s">
        <v>9</v>
      </c>
      <c r="N6" s="34"/>
      <c r="O6" s="34" t="s">
        <v>10</v>
      </c>
      <c r="P6" s="34"/>
      <c r="Q6" s="34"/>
    </row>
    <row r="7" spans="1:17" ht="27.75" customHeight="1">
      <c r="A7" s="30" t="str">
        <f>HYPERLINK("#CONFIG!A1","▶  CONFIG")</f>
        <v>▶  CONFIG</v>
      </c>
      <c r="B7" s="30"/>
      <c r="C7" s="30" t="str">
        <f>HYPERLINK("#CHANGELOG!A1","▶  CHANGELOG")</f>
        <v>▶  CHANGELOG</v>
      </c>
      <c r="D7" s="30"/>
    </row>
    <row r="8" spans="1:17" ht="29.25" customHeight="1">
      <c r="A8" s="34" t="s">
        <v>11</v>
      </c>
      <c r="B8" s="34"/>
      <c r="C8" s="34" t="s">
        <v>12</v>
      </c>
      <c r="D8" s="34"/>
    </row>
    <row r="10" spans="1:17" ht="15" customHeight="1">
      <c r="A10" s="29" t="s">
        <v>13</v>
      </c>
      <c r="B10" s="29"/>
      <c r="C10" s="33" t="s">
        <v>14</v>
      </c>
      <c r="D10" s="33"/>
      <c r="E10" s="33"/>
      <c r="F10" s="33"/>
      <c r="G10" s="33"/>
      <c r="H10" s="33"/>
      <c r="I10" s="33"/>
      <c r="J10" s="33"/>
      <c r="K10" s="33"/>
    </row>
    <row r="11" spans="1:17" ht="15" customHeight="1">
      <c r="A11" s="29" t="s">
        <v>15</v>
      </c>
      <c r="B11" s="29"/>
      <c r="C11" s="33" t="s">
        <v>16</v>
      </c>
      <c r="D11" s="33"/>
      <c r="E11" s="33"/>
      <c r="F11" s="33"/>
      <c r="G11" s="33"/>
      <c r="H11" s="33"/>
      <c r="I11" s="33"/>
      <c r="J11" s="33"/>
      <c r="K11" s="33"/>
    </row>
    <row r="12" spans="1:17" ht="15" customHeight="1">
      <c r="A12" s="29" t="s">
        <v>17</v>
      </c>
      <c r="B12" s="29"/>
      <c r="C12" s="33" t="s">
        <v>18</v>
      </c>
      <c r="D12" s="33"/>
      <c r="E12" s="33"/>
      <c r="F12" s="33"/>
      <c r="G12" s="33"/>
      <c r="H12" s="33"/>
      <c r="I12" s="33"/>
      <c r="J12" s="33"/>
      <c r="K12" s="33"/>
    </row>
    <row r="13" spans="1:17" ht="15" customHeight="1">
      <c r="A13" s="29" t="s">
        <v>19</v>
      </c>
      <c r="B13" s="29"/>
      <c r="C13" s="33" t="s">
        <v>20</v>
      </c>
      <c r="D13" s="33"/>
      <c r="E13" s="33"/>
      <c r="F13" s="33"/>
      <c r="G13" s="33"/>
      <c r="H13" s="33"/>
      <c r="I13" s="33"/>
      <c r="J13" s="33"/>
      <c r="K13" s="33"/>
    </row>
    <row r="14" spans="1:17" ht="15" customHeight="1">
      <c r="A14" s="29" t="s">
        <v>21</v>
      </c>
      <c r="B14" s="29"/>
      <c r="C14" s="33" t="s">
        <v>22</v>
      </c>
      <c r="D14" s="33"/>
      <c r="E14" s="33"/>
      <c r="F14" s="33"/>
      <c r="G14" s="33"/>
      <c r="H14" s="33"/>
      <c r="I14" s="33"/>
      <c r="J14" s="33"/>
      <c r="K14" s="33"/>
    </row>
    <row r="15" spans="1:17" ht="15" customHeight="1">
      <c r="A15" s="29" t="s">
        <v>23</v>
      </c>
      <c r="B15" s="29"/>
      <c r="C15" s="33" t="s">
        <v>24</v>
      </c>
      <c r="D15" s="33"/>
      <c r="E15" s="33"/>
      <c r="F15" s="33"/>
      <c r="G15" s="33"/>
      <c r="H15" s="33"/>
      <c r="I15" s="33"/>
      <c r="J15" s="33"/>
      <c r="K15" s="33"/>
    </row>
    <row r="16" spans="1:17" ht="15" customHeight="1">
      <c r="A16" s="29" t="s">
        <v>25</v>
      </c>
      <c r="B16" s="29"/>
      <c r="C16" s="33" t="s">
        <v>26</v>
      </c>
      <c r="D16" s="33"/>
      <c r="E16" s="33"/>
      <c r="F16" s="33"/>
      <c r="G16" s="33"/>
      <c r="H16" s="33"/>
      <c r="I16" s="33"/>
      <c r="J16" s="33"/>
      <c r="K16" s="33"/>
    </row>
    <row r="18" spans="1:17" ht="20.100000000000001" customHeight="1">
      <c r="A18" s="31" t="s">
        <v>27</v>
      </c>
      <c r="B18" s="32"/>
      <c r="C18" s="32"/>
      <c r="D18" s="32"/>
      <c r="E18" s="32"/>
      <c r="F18" s="32"/>
      <c r="G18" s="32"/>
      <c r="H18" s="32"/>
      <c r="I18" s="32"/>
      <c r="J18" s="32"/>
      <c r="K18" s="32"/>
      <c r="L18" s="32"/>
      <c r="M18" s="32"/>
      <c r="N18" s="32"/>
      <c r="O18" s="32"/>
      <c r="P18" s="32"/>
      <c r="Q18" s="32"/>
    </row>
    <row r="19" spans="1:17" ht="27.95" customHeight="1">
      <c r="A19" s="40" t="s">
        <v>28</v>
      </c>
      <c r="B19" s="41"/>
      <c r="C19" s="41"/>
      <c r="D19" s="41"/>
      <c r="E19" s="41"/>
      <c r="F19" s="41"/>
      <c r="G19" s="41"/>
      <c r="H19" s="41"/>
      <c r="I19" s="41"/>
      <c r="J19" s="41"/>
      <c r="K19" s="41"/>
      <c r="L19" s="41"/>
      <c r="M19" s="41"/>
      <c r="N19" s="41"/>
      <c r="O19" s="41"/>
      <c r="P19" s="41"/>
      <c r="Q19" s="41"/>
    </row>
    <row r="20" spans="1:17" ht="27.95" customHeight="1">
      <c r="A20" s="40" t="s">
        <v>29</v>
      </c>
      <c r="B20" s="41"/>
      <c r="C20" s="41"/>
      <c r="D20" s="41"/>
      <c r="E20" s="41"/>
      <c r="F20" s="41"/>
      <c r="G20" s="41"/>
      <c r="H20" s="41"/>
      <c r="I20" s="41"/>
      <c r="J20" s="41"/>
      <c r="K20" s="41"/>
      <c r="L20" s="41"/>
      <c r="M20" s="41"/>
      <c r="N20" s="41"/>
      <c r="O20" s="41"/>
      <c r="P20" s="41"/>
      <c r="Q20" s="41"/>
    </row>
    <row r="21" spans="1:17" ht="27.95" customHeight="1">
      <c r="A21" s="40" t="s">
        <v>30</v>
      </c>
      <c r="B21" s="41"/>
      <c r="C21" s="41"/>
      <c r="D21" s="41"/>
      <c r="E21" s="41"/>
      <c r="F21" s="41"/>
      <c r="G21" s="41"/>
      <c r="H21" s="41"/>
      <c r="I21" s="41"/>
      <c r="J21" s="41"/>
      <c r="K21" s="41"/>
      <c r="L21" s="41"/>
      <c r="M21" s="41"/>
      <c r="N21" s="41"/>
      <c r="O21" s="41"/>
      <c r="P21" s="41"/>
      <c r="Q21" s="41"/>
    </row>
    <row r="22" spans="1:17" ht="27.95" customHeight="1">
      <c r="A22" s="40" t="s">
        <v>31</v>
      </c>
      <c r="B22" s="41"/>
      <c r="C22" s="41"/>
      <c r="D22" s="41"/>
      <c r="E22" s="41"/>
      <c r="F22" s="41"/>
      <c r="G22" s="41"/>
      <c r="H22" s="41"/>
      <c r="I22" s="41"/>
      <c r="J22" s="41"/>
      <c r="K22" s="41"/>
      <c r="L22" s="41"/>
      <c r="M22" s="41"/>
      <c r="N22" s="41"/>
      <c r="O22" s="41"/>
      <c r="P22" s="41"/>
      <c r="Q22" s="41"/>
    </row>
    <row r="24" spans="1:17" ht="20.100000000000001" customHeight="1">
      <c r="A24" s="31" t="s">
        <v>32</v>
      </c>
      <c r="B24" s="32"/>
      <c r="C24" s="32"/>
      <c r="D24" s="32"/>
      <c r="E24" s="32"/>
      <c r="F24" s="32"/>
      <c r="G24" s="32"/>
      <c r="H24" s="32"/>
      <c r="I24" s="32"/>
      <c r="J24" s="32"/>
      <c r="K24" s="32"/>
      <c r="L24" s="32"/>
      <c r="M24" s="32"/>
      <c r="N24" s="32"/>
      <c r="O24" s="32"/>
      <c r="P24" s="32"/>
      <c r="Q24" s="32"/>
    </row>
    <row r="25" spans="1:17" ht="27.95" customHeight="1">
      <c r="A25" s="42" t="s">
        <v>33</v>
      </c>
      <c r="B25" s="43"/>
      <c r="C25" s="43"/>
      <c r="D25" s="43"/>
      <c r="E25" s="43"/>
      <c r="F25" s="43"/>
      <c r="G25" s="43"/>
      <c r="H25" s="43"/>
      <c r="I25" s="43"/>
      <c r="J25" s="43"/>
      <c r="K25" s="43"/>
      <c r="L25" s="43"/>
      <c r="M25" s="43"/>
      <c r="N25" s="43"/>
      <c r="O25" s="43"/>
      <c r="P25" s="43"/>
      <c r="Q25" s="43"/>
    </row>
    <row r="26" spans="1:17" ht="27.95" customHeight="1">
      <c r="A26" s="42" t="s">
        <v>34</v>
      </c>
      <c r="B26" s="43"/>
      <c r="C26" s="43"/>
      <c r="D26" s="43"/>
      <c r="E26" s="43"/>
      <c r="F26" s="43"/>
      <c r="G26" s="43"/>
      <c r="H26" s="43"/>
      <c r="I26" s="43"/>
      <c r="J26" s="43"/>
      <c r="K26" s="43"/>
      <c r="L26" s="43"/>
      <c r="M26" s="43"/>
      <c r="N26" s="43"/>
      <c r="O26" s="43"/>
      <c r="P26" s="43"/>
      <c r="Q26" s="43"/>
    </row>
    <row r="27" spans="1:17" ht="27.95" customHeight="1">
      <c r="A27" s="42" t="s">
        <v>35</v>
      </c>
      <c r="B27" s="43"/>
      <c r="C27" s="43"/>
      <c r="D27" s="43"/>
      <c r="E27" s="43"/>
      <c r="F27" s="43"/>
      <c r="G27" s="43"/>
      <c r="H27" s="43"/>
      <c r="I27" s="43"/>
      <c r="J27" s="43"/>
      <c r="K27" s="43"/>
      <c r="L27" s="43"/>
      <c r="M27" s="43"/>
      <c r="N27" s="43"/>
      <c r="O27" s="43"/>
      <c r="P27" s="43"/>
      <c r="Q27" s="43"/>
    </row>
    <row r="28" spans="1:17" ht="27.95" customHeight="1">
      <c r="A28" s="42" t="s">
        <v>36</v>
      </c>
      <c r="B28" s="43"/>
      <c r="C28" s="43"/>
      <c r="D28" s="43"/>
      <c r="E28" s="43"/>
      <c r="F28" s="43"/>
      <c r="G28" s="43"/>
      <c r="H28" s="43"/>
      <c r="I28" s="43"/>
      <c r="J28" s="43"/>
      <c r="K28" s="43"/>
      <c r="L28" s="43"/>
      <c r="M28" s="43"/>
      <c r="N28" s="43"/>
      <c r="O28" s="43"/>
      <c r="P28" s="43"/>
      <c r="Q28" s="43"/>
    </row>
    <row r="29" spans="1:17" ht="27.95" customHeight="1">
      <c r="A29" s="42" t="s">
        <v>37</v>
      </c>
      <c r="B29" s="43"/>
      <c r="C29" s="43"/>
      <c r="D29" s="43"/>
      <c r="E29" s="43"/>
      <c r="F29" s="43"/>
      <c r="G29" s="43"/>
      <c r="H29" s="43"/>
      <c r="I29" s="43"/>
      <c r="J29" s="43"/>
      <c r="K29" s="43"/>
      <c r="L29" s="43"/>
      <c r="M29" s="43"/>
      <c r="N29" s="43"/>
      <c r="O29" s="43"/>
      <c r="P29" s="43"/>
      <c r="Q29" s="43"/>
    </row>
    <row r="30" spans="1:17" ht="27.95" customHeight="1">
      <c r="A30" s="42" t="s">
        <v>38</v>
      </c>
      <c r="B30" s="43"/>
      <c r="C30" s="43"/>
      <c r="D30" s="43"/>
      <c r="E30" s="43"/>
      <c r="F30" s="43"/>
      <c r="G30" s="43"/>
      <c r="H30" s="43"/>
      <c r="I30" s="43"/>
      <c r="J30" s="43"/>
      <c r="K30" s="43"/>
      <c r="L30" s="43"/>
      <c r="M30" s="43"/>
      <c r="N30" s="43"/>
      <c r="O30" s="43"/>
      <c r="P30" s="43"/>
      <c r="Q30" s="43"/>
    </row>
    <row r="32" spans="1:17" ht="20.100000000000001" customHeight="1">
      <c r="A32" s="31" t="s">
        <v>39</v>
      </c>
      <c r="B32" s="32"/>
      <c r="C32" s="32"/>
      <c r="D32" s="32"/>
      <c r="E32" s="32"/>
      <c r="F32" s="32"/>
      <c r="G32" s="32"/>
      <c r="H32" s="32"/>
      <c r="I32" s="32"/>
      <c r="J32" s="32"/>
      <c r="K32" s="32"/>
      <c r="L32" s="32"/>
      <c r="M32" s="32"/>
      <c r="N32" s="32"/>
      <c r="O32" s="32"/>
      <c r="P32" s="32"/>
      <c r="Q32" s="32"/>
    </row>
    <row r="33" spans="1:17" ht="20.100000000000001" customHeight="1">
      <c r="A33" s="35">
        <v>1</v>
      </c>
      <c r="B33" s="35"/>
      <c r="C33" s="33" t="s">
        <v>40</v>
      </c>
      <c r="D33" s="33"/>
      <c r="E33" s="33"/>
      <c r="F33" s="33"/>
      <c r="G33" s="33"/>
      <c r="H33" s="33"/>
      <c r="I33" s="33"/>
      <c r="J33" s="33"/>
      <c r="K33" s="33"/>
      <c r="L33" s="33"/>
      <c r="M33" s="33"/>
      <c r="N33" s="33"/>
      <c r="O33" s="33"/>
      <c r="P33" s="33"/>
      <c r="Q33" s="33"/>
    </row>
    <row r="34" spans="1:17" ht="20.100000000000001" customHeight="1">
      <c r="A34" s="35">
        <v>2</v>
      </c>
      <c r="B34" s="35"/>
      <c r="C34" s="33" t="s">
        <v>41</v>
      </c>
      <c r="D34" s="33"/>
      <c r="E34" s="33"/>
      <c r="F34" s="33"/>
      <c r="G34" s="33"/>
      <c r="H34" s="33"/>
      <c r="I34" s="33"/>
      <c r="J34" s="33"/>
      <c r="K34" s="33"/>
      <c r="L34" s="33"/>
      <c r="M34" s="33"/>
      <c r="N34" s="33"/>
      <c r="O34" s="33"/>
      <c r="P34" s="33"/>
      <c r="Q34" s="33"/>
    </row>
    <row r="35" spans="1:17" ht="20.100000000000001" customHeight="1">
      <c r="A35" s="35">
        <v>3</v>
      </c>
      <c r="B35" s="35"/>
      <c r="C35" s="33" t="s">
        <v>42</v>
      </c>
      <c r="D35" s="33"/>
      <c r="E35" s="33"/>
      <c r="F35" s="33"/>
      <c r="G35" s="33"/>
      <c r="H35" s="33"/>
      <c r="I35" s="33"/>
      <c r="J35" s="33"/>
      <c r="K35" s="33"/>
      <c r="L35" s="33"/>
      <c r="M35" s="33"/>
      <c r="N35" s="33"/>
      <c r="O35" s="33"/>
      <c r="P35" s="33"/>
      <c r="Q35" s="33"/>
    </row>
    <row r="36" spans="1:17" ht="20.100000000000001" customHeight="1">
      <c r="A36" s="35">
        <v>4</v>
      </c>
      <c r="B36" s="35"/>
      <c r="C36" s="33" t="s">
        <v>43</v>
      </c>
      <c r="D36" s="33"/>
      <c r="E36" s="33"/>
      <c r="F36" s="33"/>
      <c r="G36" s="33"/>
      <c r="H36" s="33"/>
      <c r="I36" s="33"/>
      <c r="J36" s="33"/>
      <c r="K36" s="33"/>
      <c r="L36" s="33"/>
      <c r="M36" s="33"/>
      <c r="N36" s="33"/>
      <c r="O36" s="33"/>
      <c r="P36" s="33"/>
      <c r="Q36" s="33"/>
    </row>
    <row r="37" spans="1:17" ht="20.100000000000001" customHeight="1">
      <c r="A37" s="35">
        <v>5</v>
      </c>
      <c r="B37" s="35"/>
      <c r="C37" s="33" t="s">
        <v>44</v>
      </c>
      <c r="D37" s="33"/>
      <c r="E37" s="33"/>
      <c r="F37" s="33"/>
      <c r="G37" s="33"/>
      <c r="H37" s="33"/>
      <c r="I37" s="33"/>
      <c r="J37" s="33"/>
      <c r="K37" s="33"/>
      <c r="L37" s="33"/>
      <c r="M37" s="33"/>
      <c r="N37" s="33"/>
      <c r="O37" s="33"/>
      <c r="P37" s="33"/>
      <c r="Q37" s="33"/>
    </row>
    <row r="38" spans="1:17" ht="20.100000000000001" customHeight="1">
      <c r="A38" s="35">
        <v>6</v>
      </c>
      <c r="B38" s="35"/>
      <c r="C38" s="33" t="s">
        <v>45</v>
      </c>
      <c r="D38" s="33"/>
      <c r="E38" s="33"/>
      <c r="F38" s="33"/>
      <c r="G38" s="33"/>
      <c r="H38" s="33"/>
      <c r="I38" s="33"/>
      <c r="J38" s="33"/>
      <c r="K38" s="33"/>
      <c r="L38" s="33"/>
      <c r="M38" s="33"/>
      <c r="N38" s="33"/>
      <c r="O38" s="33"/>
      <c r="P38" s="33"/>
      <c r="Q38" s="33"/>
    </row>
    <row r="39" spans="1:17" ht="20.100000000000001" customHeight="1">
      <c r="A39" s="35">
        <v>7</v>
      </c>
      <c r="B39" s="35"/>
      <c r="C39" s="33" t="s">
        <v>46</v>
      </c>
      <c r="D39" s="33"/>
      <c r="E39" s="33"/>
      <c r="F39" s="33"/>
      <c r="G39" s="33"/>
      <c r="H39" s="33"/>
      <c r="I39" s="33"/>
      <c r="J39" s="33"/>
      <c r="K39" s="33"/>
      <c r="L39" s="33"/>
      <c r="M39" s="33"/>
      <c r="N39" s="33"/>
      <c r="O39" s="33"/>
      <c r="P39" s="33"/>
      <c r="Q39" s="33"/>
    </row>
  </sheetData>
  <sheetProtection algorithmName="SHA-512" hashValue="0kfL0T6FfEHVuq93zhdAdFoRRROYkzxi5uUzQQoN8ZbMLKfiLqjjJLVSTyLb/dWY+NLACfbyjHZcdUCzviZSpg==" saltValue="d/5mRjSNcR1BJc6lUsQA/w==" spinCount="100000" sheet="1" objects="1" scenarios="1"/>
  <mergeCells count="64">
    <mergeCell ref="A39:B39"/>
    <mergeCell ref="A34:B34"/>
    <mergeCell ref="A38:B38"/>
    <mergeCell ref="C14:K14"/>
    <mergeCell ref="A4:Q4"/>
    <mergeCell ref="A10:B10"/>
    <mergeCell ref="A20:Q20"/>
    <mergeCell ref="A29:Q29"/>
    <mergeCell ref="A13:B13"/>
    <mergeCell ref="A28:Q28"/>
    <mergeCell ref="K6:L6"/>
    <mergeCell ref="C35:Q35"/>
    <mergeCell ref="C37:Q37"/>
    <mergeCell ref="A8:B8"/>
    <mergeCell ref="C34:Q34"/>
    <mergeCell ref="C8:D8"/>
    <mergeCell ref="A32:Q32"/>
    <mergeCell ref="A35:B35"/>
    <mergeCell ref="C15:K15"/>
    <mergeCell ref="A22:Q22"/>
    <mergeCell ref="C33:Q33"/>
    <mergeCell ref="A30:Q30"/>
    <mergeCell ref="A37:B37"/>
    <mergeCell ref="A19:Q19"/>
    <mergeCell ref="A25:Q25"/>
    <mergeCell ref="G6:H6"/>
    <mergeCell ref="C39:Q39"/>
    <mergeCell ref="A12:B12"/>
    <mergeCell ref="E6:F6"/>
    <mergeCell ref="A18:Q18"/>
    <mergeCell ref="A27:Q27"/>
    <mergeCell ref="M6:N6"/>
    <mergeCell ref="A21:Q21"/>
    <mergeCell ref="C38:Q38"/>
    <mergeCell ref="A33:B33"/>
    <mergeCell ref="C13:K13"/>
    <mergeCell ref="A26:Q26"/>
    <mergeCell ref="A14:B14"/>
    <mergeCell ref="A36:B36"/>
    <mergeCell ref="A2:Q3"/>
    <mergeCell ref="M5:N5"/>
    <mergeCell ref="A1:Q1"/>
    <mergeCell ref="A6:B6"/>
    <mergeCell ref="C12:K12"/>
    <mergeCell ref="A16:B16"/>
    <mergeCell ref="C11:K11"/>
    <mergeCell ref="A7:B7"/>
    <mergeCell ref="C36:Q36"/>
    <mergeCell ref="A5:B5"/>
    <mergeCell ref="G5:H5"/>
    <mergeCell ref="I5:J5"/>
    <mergeCell ref="C7:D7"/>
    <mergeCell ref="O6:Q6"/>
    <mergeCell ref="A15:B15"/>
    <mergeCell ref="A11:B11"/>
    <mergeCell ref="C5:D5"/>
    <mergeCell ref="A24:Q24"/>
    <mergeCell ref="E5:F5"/>
    <mergeCell ref="K5:L5"/>
    <mergeCell ref="C16:K16"/>
    <mergeCell ref="O5:Q5"/>
    <mergeCell ref="C6:D6"/>
    <mergeCell ref="I6:J6"/>
    <mergeCell ref="C10:K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29"/>
  <sheetViews>
    <sheetView showGridLines="0" topLeftCell="A13" workbookViewId="0">
      <selection activeCell="A4" sqref="A4:D4"/>
    </sheetView>
  </sheetViews>
  <sheetFormatPr baseColWidth="10" defaultColWidth="9.140625" defaultRowHeight="15"/>
  <cols>
    <col min="1" max="1" width="18.5703125" customWidth="1"/>
    <col min="2" max="2" width="20.8554687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47</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92" t="str">
        <f>HYPERLINK("#INICIO!A1","▶  VOLVER A INICIO")</f>
        <v>▶  VOLVER A INICIO</v>
      </c>
      <c r="B4" s="93"/>
      <c r="C4" s="93"/>
      <c r="D4" s="93"/>
    </row>
    <row r="6" spans="1:17" ht="20.100000000000001" customHeight="1">
      <c r="A6" s="31" t="s">
        <v>48</v>
      </c>
      <c r="B6" s="46"/>
      <c r="C6" s="46"/>
      <c r="D6" s="46"/>
      <c r="E6" s="46"/>
      <c r="F6" s="46"/>
      <c r="G6" s="46"/>
      <c r="H6" s="46"/>
      <c r="I6" s="46"/>
      <c r="J6" s="46"/>
      <c r="K6" s="46"/>
      <c r="L6" s="46"/>
      <c r="M6" s="46"/>
      <c r="N6" s="46"/>
      <c r="O6" s="46"/>
      <c r="P6" s="46"/>
      <c r="Q6" s="47"/>
    </row>
    <row r="7" spans="1:17" ht="18" customHeight="1">
      <c r="A7" s="29" t="s">
        <v>49</v>
      </c>
      <c r="B7" s="47"/>
      <c r="C7" s="48" t="s">
        <v>50</v>
      </c>
      <c r="D7" s="46"/>
      <c r="E7" s="46"/>
      <c r="F7" s="46"/>
      <c r="G7" s="46"/>
      <c r="H7" s="46"/>
      <c r="I7" s="46"/>
      <c r="J7" s="46"/>
      <c r="K7" s="47"/>
    </row>
    <row r="8" spans="1:17" ht="18" customHeight="1">
      <c r="A8" s="29" t="s">
        <v>51</v>
      </c>
      <c r="B8" s="47"/>
      <c r="C8" s="48">
        <v>31</v>
      </c>
      <c r="D8" s="46"/>
      <c r="E8" s="46"/>
      <c r="F8" s="46"/>
      <c r="G8" s="46"/>
      <c r="H8" s="46"/>
      <c r="I8" s="46"/>
      <c r="J8" s="46"/>
      <c r="K8" s="47"/>
    </row>
    <row r="9" spans="1:17" ht="18" customHeight="1">
      <c r="A9" s="29" t="s">
        <v>52</v>
      </c>
      <c r="B9" s="47"/>
      <c r="C9" s="48" t="s">
        <v>53</v>
      </c>
      <c r="D9" s="46"/>
      <c r="E9" s="46"/>
      <c r="F9" s="46"/>
      <c r="G9" s="46"/>
      <c r="H9" s="46"/>
      <c r="I9" s="46"/>
      <c r="J9" s="46"/>
      <c r="K9" s="47"/>
    </row>
    <row r="10" spans="1:17" ht="18" customHeight="1">
      <c r="A10" s="29" t="s">
        <v>54</v>
      </c>
      <c r="B10" s="47"/>
      <c r="C10" s="48" t="s">
        <v>55</v>
      </c>
      <c r="D10" s="46"/>
      <c r="E10" s="46"/>
      <c r="F10" s="46"/>
      <c r="G10" s="46"/>
      <c r="H10" s="46"/>
      <c r="I10" s="46"/>
      <c r="J10" s="46"/>
      <c r="K10" s="47"/>
    </row>
    <row r="11" spans="1:17" ht="18" customHeight="1">
      <c r="A11" s="29" t="s">
        <v>56</v>
      </c>
      <c r="B11" s="47"/>
      <c r="C11" s="48" t="s">
        <v>57</v>
      </c>
      <c r="D11" s="46"/>
      <c r="E11" s="46"/>
      <c r="F11" s="46"/>
      <c r="G11" s="46"/>
      <c r="H11" s="46"/>
      <c r="I11" s="46"/>
      <c r="J11" s="46"/>
      <c r="K11" s="47"/>
    </row>
    <row r="12" spans="1:17" ht="18" customHeight="1">
      <c r="A12" s="29" t="s">
        <v>58</v>
      </c>
      <c r="B12" s="47"/>
      <c r="C12" s="48">
        <v>6</v>
      </c>
      <c r="D12" s="46"/>
      <c r="E12" s="46"/>
      <c r="F12" s="46"/>
      <c r="G12" s="46"/>
      <c r="H12" s="46"/>
      <c r="I12" s="46"/>
      <c r="J12" s="46"/>
      <c r="K12" s="47"/>
    </row>
    <row r="13" spans="1:17" ht="18" customHeight="1">
      <c r="A13" s="29" t="s">
        <v>59</v>
      </c>
      <c r="B13" s="47"/>
      <c r="C13" s="48" t="s">
        <v>60</v>
      </c>
      <c r="D13" s="46"/>
      <c r="E13" s="46"/>
      <c r="F13" s="46"/>
      <c r="G13" s="46"/>
      <c r="H13" s="46"/>
      <c r="I13" s="46"/>
      <c r="J13" s="46"/>
      <c r="K13" s="47"/>
      <c r="L13" s="49" t="s">
        <v>61</v>
      </c>
      <c r="M13" s="50"/>
      <c r="N13" s="50"/>
      <c r="O13" s="50"/>
      <c r="P13" s="50"/>
      <c r="Q13" s="50"/>
    </row>
    <row r="15" spans="1:17" ht="20.100000000000001" customHeight="1">
      <c r="A15" s="31" t="s">
        <v>62</v>
      </c>
      <c r="B15" s="46"/>
      <c r="C15" s="46"/>
      <c r="D15" s="46"/>
      <c r="E15" s="46"/>
      <c r="F15" s="46"/>
      <c r="G15" s="46"/>
      <c r="H15" s="46"/>
      <c r="I15" s="46"/>
      <c r="J15" s="46"/>
      <c r="K15" s="46"/>
      <c r="L15" s="46"/>
      <c r="M15" s="46"/>
      <c r="N15" s="46"/>
      <c r="O15" s="46"/>
      <c r="P15" s="46"/>
      <c r="Q15" s="47"/>
    </row>
    <row r="16" spans="1:17" ht="18" customHeight="1">
      <c r="A16" s="29" t="s">
        <v>63</v>
      </c>
      <c r="B16" s="47"/>
      <c r="C16" s="48" t="s">
        <v>64</v>
      </c>
      <c r="D16" s="46"/>
      <c r="E16" s="46"/>
      <c r="F16" s="46"/>
      <c r="G16" s="46"/>
      <c r="H16" s="46"/>
      <c r="I16" s="46"/>
      <c r="J16" s="46"/>
      <c r="K16" s="47"/>
    </row>
    <row r="17" spans="1:17" ht="18" customHeight="1">
      <c r="A17" s="29" t="s">
        <v>65</v>
      </c>
      <c r="B17" s="47"/>
      <c r="C17" s="48">
        <v>3</v>
      </c>
      <c r="D17" s="46"/>
      <c r="E17" s="46"/>
      <c r="F17" s="46"/>
      <c r="G17" s="46"/>
      <c r="H17" s="46"/>
      <c r="I17" s="46"/>
      <c r="J17" s="46"/>
      <c r="K17" s="47"/>
      <c r="L17" s="49" t="s">
        <v>66</v>
      </c>
      <c r="M17" s="50"/>
      <c r="N17" s="50"/>
      <c r="O17" s="50"/>
      <c r="P17" s="50"/>
      <c r="Q17" s="50"/>
    </row>
    <row r="18" spans="1:17" ht="18" customHeight="1">
      <c r="A18" s="29" t="s">
        <v>67</v>
      </c>
      <c r="B18" s="47"/>
      <c r="C18" s="48" t="s">
        <v>68</v>
      </c>
      <c r="D18" s="46"/>
      <c r="E18" s="46"/>
      <c r="F18" s="46"/>
      <c r="G18" s="46"/>
      <c r="H18" s="46"/>
      <c r="I18" s="46"/>
      <c r="J18" s="46"/>
      <c r="K18" s="47"/>
      <c r="L18" s="49" t="s">
        <v>69</v>
      </c>
      <c r="M18" s="50"/>
      <c r="N18" s="50"/>
      <c r="O18" s="50"/>
      <c r="P18" s="50"/>
      <c r="Q18" s="50"/>
    </row>
    <row r="19" spans="1:17" ht="18" customHeight="1">
      <c r="A19" s="29" t="s">
        <v>70</v>
      </c>
      <c r="B19" s="47"/>
      <c r="C19" s="48" t="s">
        <v>71</v>
      </c>
      <c r="D19" s="46"/>
      <c r="E19" s="46"/>
      <c r="F19" s="46"/>
      <c r="G19" s="46"/>
      <c r="H19" s="46"/>
      <c r="I19" s="46"/>
      <c r="J19" s="46"/>
      <c r="K19" s="47"/>
    </row>
    <row r="20" spans="1:17" ht="18" customHeight="1">
      <c r="A20" s="29" t="s">
        <v>72</v>
      </c>
      <c r="B20" s="47"/>
      <c r="C20" s="48" t="s">
        <v>73</v>
      </c>
      <c r="D20" s="46"/>
      <c r="E20" s="46"/>
      <c r="F20" s="46"/>
      <c r="G20" s="46"/>
      <c r="H20" s="46"/>
      <c r="I20" s="46"/>
      <c r="J20" s="46"/>
      <c r="K20" s="47"/>
    </row>
    <row r="21" spans="1:17" ht="18" customHeight="1">
      <c r="A21" s="29" t="s">
        <v>74</v>
      </c>
      <c r="B21" s="47"/>
      <c r="C21" s="48">
        <v>10</v>
      </c>
      <c r="D21" s="46"/>
      <c r="E21" s="46"/>
      <c r="F21" s="46"/>
      <c r="G21" s="46"/>
      <c r="H21" s="46"/>
      <c r="I21" s="46"/>
      <c r="J21" s="46"/>
      <c r="K21" s="47"/>
    </row>
    <row r="22" spans="1:17" ht="18" customHeight="1">
      <c r="A22" s="29" t="s">
        <v>75</v>
      </c>
      <c r="B22" s="47"/>
      <c r="C22" s="48" t="s">
        <v>76</v>
      </c>
      <c r="D22" s="46"/>
      <c r="E22" s="46"/>
      <c r="F22" s="46"/>
      <c r="G22" s="46"/>
      <c r="H22" s="46"/>
      <c r="I22" s="46"/>
      <c r="J22" s="46"/>
      <c r="K22" s="47"/>
    </row>
    <row r="23" spans="1:17" ht="18" customHeight="1">
      <c r="A23" s="29" t="s">
        <v>77</v>
      </c>
      <c r="B23" s="47"/>
      <c r="C23" s="48" t="s">
        <v>18</v>
      </c>
      <c r="D23" s="46"/>
      <c r="E23" s="46"/>
      <c r="F23" s="46"/>
      <c r="G23" s="46"/>
      <c r="H23" s="46"/>
      <c r="I23" s="46"/>
      <c r="J23" s="46"/>
      <c r="K23" s="47"/>
    </row>
    <row r="25" spans="1:17" ht="27.95" customHeight="1">
      <c r="A25" s="29" t="s">
        <v>78</v>
      </c>
      <c r="B25" s="47"/>
      <c r="C25" s="45" t="str">
        <f>IF(NOT(ISNUMBER(C17)),"ND",IF(MOD(C17,4)=0,"Esta es la cuarta semana del bloque: suele corresponder una semana de descarga con reducción de volumen.","Semana de carga dentro del bloque."))</f>
        <v>Semana de carga dentro del bloque.</v>
      </c>
      <c r="D25" s="46"/>
      <c r="E25" s="46"/>
      <c r="F25" s="46"/>
      <c r="G25" s="46"/>
      <c r="H25" s="46"/>
      <c r="I25" s="46"/>
      <c r="J25" s="46"/>
      <c r="K25" s="47"/>
    </row>
    <row r="27" spans="1:17">
      <c r="A27" s="51" t="s">
        <v>79</v>
      </c>
      <c r="B27" s="52"/>
      <c r="C27" s="52"/>
      <c r="D27" s="52"/>
      <c r="E27" s="52"/>
      <c r="F27" s="52"/>
      <c r="G27" s="52"/>
      <c r="H27" s="52"/>
      <c r="I27" s="52"/>
      <c r="J27" s="52"/>
      <c r="K27" s="52"/>
      <c r="L27" s="52"/>
      <c r="M27" s="52"/>
      <c r="N27" s="52"/>
      <c r="O27" s="52"/>
      <c r="P27" s="52"/>
      <c r="Q27" s="53"/>
    </row>
    <row r="28" spans="1:17">
      <c r="A28" s="54"/>
      <c r="B28" s="50"/>
      <c r="C28" s="50"/>
      <c r="D28" s="50"/>
      <c r="E28" s="50"/>
      <c r="F28" s="50"/>
      <c r="G28" s="50"/>
      <c r="H28" s="50"/>
      <c r="I28" s="50"/>
      <c r="J28" s="50"/>
      <c r="K28" s="50"/>
      <c r="L28" s="50"/>
      <c r="M28" s="50"/>
      <c r="N28" s="50"/>
      <c r="O28" s="50"/>
      <c r="P28" s="50"/>
      <c r="Q28" s="55"/>
    </row>
    <row r="29" spans="1:17">
      <c r="A29" s="56"/>
      <c r="B29" s="57"/>
      <c r="C29" s="57"/>
      <c r="D29" s="57"/>
      <c r="E29" s="57"/>
      <c r="F29" s="57"/>
      <c r="G29" s="57"/>
      <c r="H29" s="57"/>
      <c r="I29" s="57"/>
      <c r="J29" s="57"/>
      <c r="K29" s="57"/>
      <c r="L29" s="57"/>
      <c r="M29" s="57"/>
      <c r="N29" s="57"/>
      <c r="O29" s="57"/>
      <c r="P29" s="57"/>
      <c r="Q29" s="58"/>
    </row>
  </sheetData>
  <sheetProtection algorithmName="SHA-512" hashValue="AwiMhkpF+eMt/a5T2ECCJDL2kb3AKlE4QxNFXU7YnIG/vFqA6Gq1psg8xfcwy68DqGj8e4Uohogr+DmU4ExMhQ==" saltValue="Eyv5WMedA2WNpl7FeuiGQg==" spinCount="100000" sheet="1" objects="1" scenarios="1"/>
  <protectedRanges>
    <protectedRange sqref="C16:K23" name="Rango2"/>
    <protectedRange sqref="C7:K13" name="Rango1"/>
  </protectedRanges>
  <mergeCells count="41">
    <mergeCell ref="A23:B23"/>
    <mergeCell ref="A8:B8"/>
    <mergeCell ref="A22:B22"/>
    <mergeCell ref="A27:Q29"/>
    <mergeCell ref="A20:B20"/>
    <mergeCell ref="A19:B19"/>
    <mergeCell ref="A10:B10"/>
    <mergeCell ref="A13:B13"/>
    <mergeCell ref="L13:Q13"/>
    <mergeCell ref="A9:B9"/>
    <mergeCell ref="C20:K20"/>
    <mergeCell ref="C9:K9"/>
    <mergeCell ref="A15:Q15"/>
    <mergeCell ref="C13:K13"/>
    <mergeCell ref="C16:K16"/>
    <mergeCell ref="A2:Q3"/>
    <mergeCell ref="C12:K12"/>
    <mergeCell ref="A1:Q1"/>
    <mergeCell ref="A6:Q6"/>
    <mergeCell ref="C11:K11"/>
    <mergeCell ref="A7:B7"/>
    <mergeCell ref="C8:K8"/>
    <mergeCell ref="A12:B12"/>
    <mergeCell ref="C7:K7"/>
    <mergeCell ref="A4:D4"/>
    <mergeCell ref="C25:K25"/>
    <mergeCell ref="C10:K10"/>
    <mergeCell ref="A11:B11"/>
    <mergeCell ref="L18:Q18"/>
    <mergeCell ref="C22:K22"/>
    <mergeCell ref="C21:K21"/>
    <mergeCell ref="A16:B16"/>
    <mergeCell ref="A25:B25"/>
    <mergeCell ref="C17:K17"/>
    <mergeCell ref="C23:K23"/>
    <mergeCell ref="A18:B18"/>
    <mergeCell ref="A21:B21"/>
    <mergeCell ref="C19:K19"/>
    <mergeCell ref="C18:K18"/>
    <mergeCell ref="A17:B17"/>
    <mergeCell ref="L17:Q17"/>
  </mergeCells>
  <dataValidations count="3">
    <dataValidation type="list" allowBlank="1" sqref="C13" xr:uid="{00000000-0002-0000-0100-000000000000}">
      <formula1>lst_si</formula1>
    </dataValidation>
    <dataValidation type="list" allowBlank="1" sqref="C16" xr:uid="{00000000-0002-0000-0100-000001000000}">
      <formula1>lst_fase</formula1>
    </dataValidation>
    <dataValidation type="list" allowBlank="1" sqref="C18" xr:uid="{00000000-0002-0000-0100-000002000000}">
      <formula1>lst_modelo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Q32"/>
  <sheetViews>
    <sheetView showGridLines="0" zoomScaleNormal="100" workbookViewId="0">
      <selection activeCell="A30" sqref="A30:Q32"/>
    </sheetView>
  </sheetViews>
  <sheetFormatPr baseColWidth="10" defaultColWidth="9.140625" defaultRowHeight="15"/>
  <cols>
    <col min="1" max="1" width="13" customWidth="1"/>
    <col min="2" max="2" width="26" customWidth="1"/>
    <col min="3" max="8" width="26.2851562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80</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92" t="str">
        <f>HYPERLINK("#INICIO!A1","▶  VOLVER A INICIO")</f>
        <v>▶  VOLVER A INICIO</v>
      </c>
      <c r="B4" s="93"/>
      <c r="C4" s="93"/>
      <c r="D4" s="93"/>
    </row>
    <row r="6" spans="1:17">
      <c r="A6" s="103" t="s">
        <v>81</v>
      </c>
      <c r="B6" s="104"/>
      <c r="C6" s="104"/>
      <c r="D6" s="104"/>
      <c r="E6" s="104"/>
      <c r="F6" s="104"/>
      <c r="G6" s="104"/>
      <c r="H6" s="104"/>
      <c r="I6" s="104"/>
      <c r="J6" s="104"/>
      <c r="K6" s="104"/>
      <c r="L6" s="104"/>
      <c r="M6" s="104"/>
      <c r="N6" s="104"/>
      <c r="O6" s="104"/>
      <c r="P6" s="104"/>
      <c r="Q6" s="105"/>
    </row>
    <row r="7" spans="1:17">
      <c r="A7" s="106"/>
      <c r="B7" s="107"/>
      <c r="C7" s="107"/>
      <c r="D7" s="107"/>
      <c r="E7" s="107"/>
      <c r="F7" s="107"/>
      <c r="G7" s="107"/>
      <c r="H7" s="107"/>
      <c r="I7" s="107"/>
      <c r="J7" s="107"/>
      <c r="K7" s="107"/>
      <c r="L7" s="107"/>
      <c r="M7" s="107"/>
      <c r="N7" s="107"/>
      <c r="O7" s="107"/>
      <c r="P7" s="107"/>
      <c r="Q7" s="108"/>
    </row>
    <row r="8" spans="1:17">
      <c r="A8" s="109"/>
      <c r="B8" s="110"/>
      <c r="C8" s="110"/>
      <c r="D8" s="110"/>
      <c r="E8" s="110"/>
      <c r="F8" s="110"/>
      <c r="G8" s="110"/>
      <c r="H8" s="110"/>
      <c r="I8" s="110"/>
      <c r="J8" s="110"/>
      <c r="K8" s="110"/>
      <c r="L8" s="110"/>
      <c r="M8" s="110"/>
      <c r="N8" s="110"/>
      <c r="O8" s="110"/>
      <c r="P8" s="110"/>
      <c r="Q8" s="111"/>
    </row>
    <row r="10" spans="1:17" ht="20.100000000000001" customHeight="1">
      <c r="A10" s="31" t="s">
        <v>82</v>
      </c>
      <c r="B10" s="46"/>
      <c r="C10" s="46"/>
      <c r="D10" s="46"/>
      <c r="E10" s="46"/>
      <c r="F10" s="46"/>
      <c r="G10" s="46"/>
      <c r="H10" s="46"/>
      <c r="I10" s="46"/>
      <c r="J10" s="46"/>
      <c r="K10" s="46"/>
      <c r="L10" s="46"/>
      <c r="M10" s="46"/>
      <c r="N10" s="46"/>
      <c r="O10" s="46"/>
      <c r="P10" s="46"/>
      <c r="Q10" s="47"/>
    </row>
    <row r="11" spans="1:17" ht="42" customHeight="1">
      <c r="A11" s="1" t="s">
        <v>83</v>
      </c>
      <c r="B11" s="1" t="s">
        <v>84</v>
      </c>
      <c r="C11" s="1" t="s">
        <v>85</v>
      </c>
      <c r="D11" s="1" t="s">
        <v>86</v>
      </c>
      <c r="E11" s="1" t="s">
        <v>87</v>
      </c>
      <c r="F11" s="1" t="s">
        <v>88</v>
      </c>
      <c r="G11" s="1" t="s">
        <v>89</v>
      </c>
      <c r="H11" s="1" t="s">
        <v>90</v>
      </c>
    </row>
    <row r="12" spans="1:17" ht="20.100000000000001" customHeight="1">
      <c r="A12" s="5" t="s">
        <v>91</v>
      </c>
      <c r="B12" s="5" t="s">
        <v>92</v>
      </c>
      <c r="C12" s="2">
        <v>0</v>
      </c>
      <c r="D12" s="2">
        <v>0</v>
      </c>
      <c r="E12" s="10">
        <f t="shared" ref="E12:E18" si="0">IF(OR(NOT(ISNUMBER($C12)),NOT(ISNUMBER($D12))),"",$C12*$D12)</f>
        <v>0</v>
      </c>
      <c r="F12" s="6" t="str">
        <f t="shared" ref="F12:F18" si="1">IF(OR(NOT(ISNUMBER($D12)),$D12=0),"—",IF($D12&lt;=INDEX(rng_zonas,1,3),INDEX(rng_zonas,1,1),IF($D12&lt;=INDEX(rng_zonas,2,3),INDEX(rng_zonas,2,1),INDEX(rng_zonas,3,1))))</f>
        <v>—</v>
      </c>
      <c r="G12" s="5" t="s">
        <v>93</v>
      </c>
      <c r="H12" s="5"/>
    </row>
    <row r="13" spans="1:17" ht="20.100000000000001" customHeight="1">
      <c r="A13" s="5" t="s">
        <v>94</v>
      </c>
      <c r="B13" s="5" t="s">
        <v>95</v>
      </c>
      <c r="C13" s="2">
        <v>75</v>
      </c>
      <c r="D13" s="2">
        <v>8</v>
      </c>
      <c r="E13" s="10">
        <f t="shared" si="0"/>
        <v>600</v>
      </c>
      <c r="F13" s="6" t="str">
        <f t="shared" si="1"/>
        <v>Zona 3 · alta</v>
      </c>
      <c r="G13" s="5" t="s">
        <v>96</v>
      </c>
      <c r="H13" s="5" t="s">
        <v>97</v>
      </c>
    </row>
    <row r="14" spans="1:17" ht="20.100000000000001" customHeight="1">
      <c r="A14" s="5" t="s">
        <v>98</v>
      </c>
      <c r="B14" s="5" t="s">
        <v>99</v>
      </c>
      <c r="C14" s="2">
        <v>60</v>
      </c>
      <c r="D14" s="2">
        <v>4</v>
      </c>
      <c r="E14" s="10">
        <f t="shared" si="0"/>
        <v>240</v>
      </c>
      <c r="F14" s="6" t="str">
        <f t="shared" si="1"/>
        <v>Zona 1 · suave</v>
      </c>
      <c r="G14" s="5" t="s">
        <v>100</v>
      </c>
      <c r="H14" s="5"/>
    </row>
    <row r="15" spans="1:17" ht="20.100000000000001" customHeight="1">
      <c r="A15" s="5" t="s">
        <v>101</v>
      </c>
      <c r="B15" s="5" t="s">
        <v>102</v>
      </c>
      <c r="C15" s="2">
        <v>90</v>
      </c>
      <c r="D15" s="2">
        <v>8</v>
      </c>
      <c r="E15" s="10">
        <f t="shared" si="0"/>
        <v>720</v>
      </c>
      <c r="F15" s="6" t="str">
        <f t="shared" si="1"/>
        <v>Zona 3 · alta</v>
      </c>
      <c r="G15" s="5" t="s">
        <v>103</v>
      </c>
      <c r="H15" s="5" t="s">
        <v>97</v>
      </c>
    </row>
    <row r="16" spans="1:17" ht="20.100000000000001" customHeight="1">
      <c r="A16" s="5" t="s">
        <v>104</v>
      </c>
      <c r="B16" s="5" t="s">
        <v>105</v>
      </c>
      <c r="C16" s="2">
        <v>45</v>
      </c>
      <c r="D16" s="2">
        <v>3</v>
      </c>
      <c r="E16" s="10">
        <f t="shared" si="0"/>
        <v>135</v>
      </c>
      <c r="F16" s="6" t="str">
        <f t="shared" si="1"/>
        <v>Zona 1 · suave</v>
      </c>
      <c r="G16" s="5" t="s">
        <v>106</v>
      </c>
      <c r="H16" s="5"/>
    </row>
    <row r="17" spans="1:17" ht="20.100000000000001" customHeight="1">
      <c r="A17" s="5" t="s">
        <v>107</v>
      </c>
      <c r="B17" s="5" t="s">
        <v>108</v>
      </c>
      <c r="C17" s="2">
        <v>180</v>
      </c>
      <c r="D17" s="2">
        <v>6</v>
      </c>
      <c r="E17" s="10">
        <f t="shared" si="0"/>
        <v>1080</v>
      </c>
      <c r="F17" s="6" t="str">
        <f t="shared" si="1"/>
        <v>Zona 2 · moderada</v>
      </c>
      <c r="G17" s="5" t="s">
        <v>109</v>
      </c>
      <c r="H17" s="5" t="s">
        <v>110</v>
      </c>
    </row>
    <row r="18" spans="1:17" ht="20.100000000000001" customHeight="1">
      <c r="A18" s="5" t="s">
        <v>111</v>
      </c>
      <c r="B18" s="5" t="s">
        <v>102</v>
      </c>
      <c r="C18" s="2">
        <v>90</v>
      </c>
      <c r="D18" s="2">
        <v>5</v>
      </c>
      <c r="E18" s="10">
        <f t="shared" si="0"/>
        <v>450</v>
      </c>
      <c r="F18" s="6" t="str">
        <f t="shared" si="1"/>
        <v>Zona 2 · moderada</v>
      </c>
      <c r="G18" s="5" t="s">
        <v>112</v>
      </c>
      <c r="H18" s="5"/>
    </row>
    <row r="19" spans="1:17">
      <c r="A19" s="60" t="s">
        <v>113</v>
      </c>
      <c r="B19" s="47"/>
      <c r="C19" s="10">
        <f>SUM(C12:C18)</f>
        <v>540</v>
      </c>
      <c r="D19" s="10"/>
      <c r="E19" s="10">
        <f>SUM(E12:E18)</f>
        <v>3225</v>
      </c>
      <c r="F19" s="10"/>
      <c r="G19" s="10"/>
      <c r="H19" s="10"/>
    </row>
    <row r="21" spans="1:17" ht="20.100000000000001" customHeight="1">
      <c r="A21" s="31" t="s">
        <v>114</v>
      </c>
      <c r="B21" s="46"/>
      <c r="C21" s="46"/>
      <c r="D21" s="46"/>
      <c r="E21" s="46"/>
      <c r="F21" s="46"/>
      <c r="G21" s="46"/>
      <c r="H21" s="46"/>
      <c r="I21" s="46"/>
      <c r="J21" s="46"/>
      <c r="K21" s="46"/>
      <c r="L21" s="46"/>
      <c r="M21" s="46"/>
      <c r="N21" s="46"/>
      <c r="O21" s="46"/>
      <c r="P21" s="46"/>
      <c r="Q21" s="47"/>
    </row>
    <row r="22" spans="1:17" ht="18" customHeight="1">
      <c r="A22" s="29" t="s">
        <v>115</v>
      </c>
      <c r="B22" s="47"/>
      <c r="C22" s="59">
        <f>C19</f>
        <v>540</v>
      </c>
      <c r="D22" s="46"/>
      <c r="E22" s="46"/>
      <c r="F22" s="46"/>
      <c r="G22" s="46"/>
      <c r="H22" s="46"/>
      <c r="I22" s="46"/>
      <c r="J22" s="46"/>
      <c r="K22" s="47"/>
    </row>
    <row r="23" spans="1:17" ht="18" customHeight="1">
      <c r="A23" s="29" t="s">
        <v>116</v>
      </c>
      <c r="B23" s="47"/>
      <c r="C23" s="59">
        <f>IF(NOT(ISNUMBER(C22)),"ND",C22/60)</f>
        <v>9</v>
      </c>
      <c r="D23" s="46"/>
      <c r="E23" s="46"/>
      <c r="F23" s="46"/>
      <c r="G23" s="46"/>
      <c r="H23" s="46"/>
      <c r="I23" s="46"/>
      <c r="J23" s="46"/>
      <c r="K23" s="47"/>
    </row>
    <row r="24" spans="1:17" ht="18" customHeight="1">
      <c r="A24" s="29" t="s">
        <v>117</v>
      </c>
      <c r="B24" s="47"/>
      <c r="C24" s="59">
        <f>COUNTIFS(C12:C18,"&gt;0")</f>
        <v>6</v>
      </c>
      <c r="D24" s="46"/>
      <c r="E24" s="46"/>
      <c r="F24" s="46"/>
      <c r="G24" s="46"/>
      <c r="H24" s="46"/>
      <c r="I24" s="46"/>
      <c r="J24" s="46"/>
      <c r="K24" s="47"/>
    </row>
    <row r="25" spans="1:17" ht="18" customHeight="1">
      <c r="A25" s="29" t="s">
        <v>118</v>
      </c>
      <c r="B25" s="47"/>
      <c r="C25" s="59">
        <f>COUNTIFS(C12:C18,0)+COUNTIFS(C12:C18,"")</f>
        <v>1</v>
      </c>
      <c r="D25" s="46"/>
      <c r="E25" s="46"/>
      <c r="F25" s="46"/>
      <c r="G25" s="46"/>
      <c r="H25" s="46"/>
      <c r="I25" s="46"/>
      <c r="J25" s="46"/>
      <c r="K25" s="47"/>
    </row>
    <row r="26" spans="1:17" ht="18" customHeight="1">
      <c r="A26" s="29" t="s">
        <v>119</v>
      </c>
      <c r="B26" s="47"/>
      <c r="C26" s="59">
        <f>COUNTIF(F12:F18,INDEX(rng_zonas,3,1))</f>
        <v>2</v>
      </c>
      <c r="D26" s="46"/>
      <c r="E26" s="46"/>
      <c r="F26" s="46"/>
      <c r="G26" s="46"/>
      <c r="H26" s="46"/>
      <c r="I26" s="46"/>
      <c r="J26" s="46"/>
      <c r="K26" s="47"/>
    </row>
    <row r="27" spans="1:17" ht="18" customHeight="1">
      <c r="A27" s="29" t="s">
        <v>120</v>
      </c>
      <c r="B27" s="47"/>
      <c r="C27" s="61" t="str">
        <f>IF(C25&gt;=k_descanso,"Hay al menos un día de descanso completo en la semana.","REVISAR: no hay días de descanso completo programados.")</f>
        <v>Hay al menos un día de descanso completo en la semana.</v>
      </c>
      <c r="D27" s="46"/>
      <c r="E27" s="46"/>
      <c r="F27" s="46"/>
      <c r="G27" s="46"/>
      <c r="H27" s="46"/>
      <c r="I27" s="46"/>
      <c r="J27" s="46"/>
      <c r="K27" s="47"/>
    </row>
    <row r="28" spans="1:17" ht="27.95" customHeight="1">
      <c r="A28" s="29" t="s">
        <v>121</v>
      </c>
      <c r="B28" s="47"/>
      <c r="C28" s="45" t="str">
        <f>IF(C26=0,"No hay sesiones de alta intensidad esta semana.",IF(C26&lt;=2,"Hay "&amp;C26&amp;" sesión(es) de alta intensidad: cantidad habitual para una semana de carga.","Hay "&amp;C26&amp;" sesiones de alta intensidad: revise que haya recuperación suficiente entre ellas."))</f>
        <v>Hay 2 sesión(es) de alta intensidad: cantidad habitual para una semana de carga.</v>
      </c>
      <c r="D28" s="46"/>
      <c r="E28" s="46"/>
      <c r="F28" s="46"/>
      <c r="G28" s="46"/>
      <c r="H28" s="46"/>
      <c r="I28" s="46"/>
      <c r="J28" s="46"/>
      <c r="K28" s="47"/>
    </row>
    <row r="30" spans="1:17">
      <c r="A30" s="103" t="s">
        <v>122</v>
      </c>
      <c r="B30" s="104"/>
      <c r="C30" s="104"/>
      <c r="D30" s="104"/>
      <c r="E30" s="104"/>
      <c r="F30" s="104"/>
      <c r="G30" s="104"/>
      <c r="H30" s="104"/>
      <c r="I30" s="104"/>
      <c r="J30" s="104"/>
      <c r="K30" s="104"/>
      <c r="L30" s="104"/>
      <c r="M30" s="104"/>
      <c r="N30" s="104"/>
      <c r="O30" s="104"/>
      <c r="P30" s="104"/>
      <c r="Q30" s="105"/>
    </row>
    <row r="31" spans="1:17">
      <c r="A31" s="106"/>
      <c r="B31" s="107"/>
      <c r="C31" s="107"/>
      <c r="D31" s="107"/>
      <c r="E31" s="107"/>
      <c r="F31" s="107"/>
      <c r="G31" s="107"/>
      <c r="H31" s="107"/>
      <c r="I31" s="107"/>
      <c r="J31" s="107"/>
      <c r="K31" s="107"/>
      <c r="L31" s="107"/>
      <c r="M31" s="107"/>
      <c r="N31" s="107"/>
      <c r="O31" s="107"/>
      <c r="P31" s="107"/>
      <c r="Q31" s="108"/>
    </row>
    <row r="32" spans="1:17">
      <c r="A32" s="109"/>
      <c r="B32" s="110"/>
      <c r="C32" s="110"/>
      <c r="D32" s="110"/>
      <c r="E32" s="110"/>
      <c r="F32" s="110"/>
      <c r="G32" s="110"/>
      <c r="H32" s="110"/>
      <c r="I32" s="110"/>
      <c r="J32" s="110"/>
      <c r="K32" s="110"/>
      <c r="L32" s="110"/>
      <c r="M32" s="110"/>
      <c r="N32" s="110"/>
      <c r="O32" s="110"/>
      <c r="P32" s="110"/>
      <c r="Q32" s="111"/>
    </row>
  </sheetData>
  <sheetProtection algorithmName="SHA-512" hashValue="ooFgGDXDmRxlX+mSuF5FBSR+o+exdhSzu5qXwjB0mH+8Skpq4YdSRK+MH0UAkd7KWvnQOyaV/g8muZHKgPvJbw==" saltValue="Rz1C4x0T3nLLQEi/EQpUYA==" spinCount="100000" sheet="1" objects="1" scenarios="1"/>
  <protectedRanges>
    <protectedRange sqref="G12:H18" name="Rango2"/>
    <protectedRange sqref="A12:D18" name="Rango1"/>
  </protectedRanges>
  <mergeCells count="22">
    <mergeCell ref="C27:K27"/>
    <mergeCell ref="A25:B25"/>
    <mergeCell ref="A30:Q32"/>
    <mergeCell ref="C23:K23"/>
    <mergeCell ref="A27:B27"/>
    <mergeCell ref="A26:B26"/>
    <mergeCell ref="C28:K28"/>
    <mergeCell ref="A23:B23"/>
    <mergeCell ref="C24:K24"/>
    <mergeCell ref="A28:B28"/>
    <mergeCell ref="C26:K26"/>
    <mergeCell ref="A24:B24"/>
    <mergeCell ref="C25:K25"/>
    <mergeCell ref="C22:K22"/>
    <mergeCell ref="A2:Q3"/>
    <mergeCell ref="A1:Q1"/>
    <mergeCell ref="A6:Q8"/>
    <mergeCell ref="A21:Q21"/>
    <mergeCell ref="A22:B22"/>
    <mergeCell ref="A19:B19"/>
    <mergeCell ref="A10:Q10"/>
    <mergeCell ref="A4:D4"/>
  </mergeCells>
  <dataValidations count="3">
    <dataValidation type="list" allowBlank="1" sqref="A12:A18" xr:uid="{00000000-0002-0000-0200-000000000000}">
      <formula1>lst_dia</formula1>
    </dataValidation>
    <dataValidation type="list" allowBlank="1" sqref="B12:B18" xr:uid="{00000000-0002-0000-0200-000001000000}">
      <formula1>lst_tipo</formula1>
    </dataValidation>
    <dataValidation type="whole" allowBlank="1" errorTitle="Valor fuera de escala" error="El esfuerzo percibido va de 0 a 10." sqref="D12:D18" xr:uid="{00000000-0002-0000-0200-000002000000}">
      <formula1>0</formula1>
      <formula2>10</formula2>
    </dataValidation>
  </dataValidations>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FF0E3"/>
  </sheetPr>
  <dimension ref="A1:Q32"/>
  <sheetViews>
    <sheetView showGridLines="0" workbookViewId="0">
      <selection activeCell="A4" sqref="A4:D4"/>
    </sheetView>
  </sheetViews>
  <sheetFormatPr baseColWidth="10" defaultColWidth="9.140625" defaultRowHeight="15"/>
  <cols>
    <col min="1" max="1" width="18.5703125" customWidth="1"/>
    <col min="2" max="2" width="15" customWidth="1"/>
    <col min="3" max="3" width="18.85546875"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123</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92" t="str">
        <f>HYPERLINK("#INICIO!A1","▶  VOLVER A INICIO")</f>
        <v>▶  VOLVER A INICIO</v>
      </c>
      <c r="B4" s="93"/>
      <c r="C4" s="93"/>
      <c r="D4" s="93"/>
    </row>
    <row r="6" spans="1:17" ht="20.100000000000001" customHeight="1">
      <c r="A6" s="31" t="s">
        <v>124</v>
      </c>
      <c r="B6" s="46"/>
      <c r="C6" s="46"/>
      <c r="D6" s="46"/>
      <c r="E6" s="46"/>
      <c r="F6" s="46"/>
      <c r="G6" s="46"/>
      <c r="H6" s="46"/>
      <c r="I6" s="46"/>
      <c r="J6" s="46"/>
      <c r="K6" s="46"/>
      <c r="L6" s="46"/>
      <c r="M6" s="46"/>
      <c r="N6" s="46"/>
      <c r="O6" s="46"/>
      <c r="P6" s="46"/>
      <c r="Q6" s="47"/>
    </row>
    <row r="7" spans="1:17" ht="20.25" customHeight="1">
      <c r="A7" s="7" t="s">
        <v>83</v>
      </c>
      <c r="B7" s="7" t="s">
        <v>85</v>
      </c>
      <c r="C7" s="7" t="s">
        <v>125</v>
      </c>
      <c r="D7" s="7" t="s">
        <v>126</v>
      </c>
      <c r="E7" s="65" t="s">
        <v>88</v>
      </c>
      <c r="F7" s="66"/>
    </row>
    <row r="8" spans="1:17">
      <c r="A8" s="8" t="str">
        <f>SEMANA!A12</f>
        <v>Lunes</v>
      </c>
      <c r="B8" s="9">
        <f>SEMANA!C12</f>
        <v>0</v>
      </c>
      <c r="C8" s="9">
        <f>SEMANA!D12</f>
        <v>0</v>
      </c>
      <c r="D8" s="10">
        <f>IF(SEMANA!E12="",0,SEMANA!E12)</f>
        <v>0</v>
      </c>
      <c r="E8" s="62" t="str">
        <f>SEMANA!F12</f>
        <v>—</v>
      </c>
      <c r="F8" s="63"/>
    </row>
    <row r="9" spans="1:17">
      <c r="A9" s="8" t="str">
        <f>SEMANA!A13</f>
        <v>Martes</v>
      </c>
      <c r="B9" s="9">
        <f>SEMANA!C13</f>
        <v>75</v>
      </c>
      <c r="C9" s="9">
        <f>SEMANA!D13</f>
        <v>8</v>
      </c>
      <c r="D9" s="10">
        <f>IF(SEMANA!E13="",0,SEMANA!E13)</f>
        <v>600</v>
      </c>
      <c r="E9" s="62" t="str">
        <f>SEMANA!F13</f>
        <v>Zona 3 · alta</v>
      </c>
      <c r="F9" s="63"/>
    </row>
    <row r="10" spans="1:17">
      <c r="A10" s="8" t="str">
        <f>SEMANA!A14</f>
        <v>Miércoles</v>
      </c>
      <c r="B10" s="9">
        <f>SEMANA!C14</f>
        <v>60</v>
      </c>
      <c r="C10" s="9">
        <f>SEMANA!D14</f>
        <v>4</v>
      </c>
      <c r="D10" s="10">
        <f>IF(SEMANA!E14="",0,SEMANA!E14)</f>
        <v>240</v>
      </c>
      <c r="E10" s="62" t="str">
        <f>SEMANA!F14</f>
        <v>Zona 1 · suave</v>
      </c>
      <c r="F10" s="63"/>
    </row>
    <row r="11" spans="1:17">
      <c r="A11" s="8" t="str">
        <f>SEMANA!A15</f>
        <v>Jueves</v>
      </c>
      <c r="B11" s="9">
        <f>SEMANA!C15</f>
        <v>90</v>
      </c>
      <c r="C11" s="9">
        <f>SEMANA!D15</f>
        <v>8</v>
      </c>
      <c r="D11" s="10">
        <f>IF(SEMANA!E15="",0,SEMANA!E15)</f>
        <v>720</v>
      </c>
      <c r="E11" s="62" t="str">
        <f>SEMANA!F15</f>
        <v>Zona 3 · alta</v>
      </c>
      <c r="F11" s="63"/>
    </row>
    <row r="12" spans="1:17">
      <c r="A12" s="8" t="str">
        <f>SEMANA!A16</f>
        <v>Viernes</v>
      </c>
      <c r="B12" s="9">
        <f>SEMANA!C16</f>
        <v>45</v>
      </c>
      <c r="C12" s="9">
        <f>SEMANA!D16</f>
        <v>3</v>
      </c>
      <c r="D12" s="10">
        <f>IF(SEMANA!E16="",0,SEMANA!E16)</f>
        <v>135</v>
      </c>
      <c r="E12" s="62" t="str">
        <f>SEMANA!F16</f>
        <v>Zona 1 · suave</v>
      </c>
      <c r="F12" s="63"/>
    </row>
    <row r="13" spans="1:17">
      <c r="A13" s="8" t="str">
        <f>SEMANA!A17</f>
        <v>Sábado</v>
      </c>
      <c r="B13" s="9">
        <f>SEMANA!C17</f>
        <v>180</v>
      </c>
      <c r="C13" s="9">
        <f>SEMANA!D17</f>
        <v>6</v>
      </c>
      <c r="D13" s="10">
        <f>IF(SEMANA!E17="",0,SEMANA!E17)</f>
        <v>1080</v>
      </c>
      <c r="E13" s="62" t="str">
        <f>SEMANA!F17</f>
        <v>Zona 2 · moderada</v>
      </c>
      <c r="F13" s="63"/>
    </row>
    <row r="14" spans="1:17">
      <c r="A14" s="8" t="str">
        <f>SEMANA!A18</f>
        <v>Domingo</v>
      </c>
      <c r="B14" s="9">
        <f>SEMANA!C18</f>
        <v>90</v>
      </c>
      <c r="C14" s="9">
        <f>SEMANA!D18</f>
        <v>5</v>
      </c>
      <c r="D14" s="10">
        <f>IF(SEMANA!E18="",0,SEMANA!E18)</f>
        <v>450</v>
      </c>
      <c r="E14" s="62" t="str">
        <f>SEMANA!F18</f>
        <v>Zona 2 · moderada</v>
      </c>
      <c r="F14" s="63"/>
    </row>
    <row r="16" spans="1:17" ht="20.100000000000001" customHeight="1">
      <c r="A16" s="31" t="s">
        <v>127</v>
      </c>
      <c r="B16" s="46"/>
      <c r="C16" s="46"/>
      <c r="D16" s="46"/>
      <c r="E16" s="46"/>
      <c r="F16" s="46"/>
      <c r="G16" s="46"/>
      <c r="H16" s="46"/>
      <c r="I16" s="46"/>
      <c r="J16" s="46"/>
      <c r="K16" s="46"/>
      <c r="L16" s="46"/>
      <c r="M16" s="46"/>
      <c r="N16" s="46"/>
      <c r="O16" s="46"/>
      <c r="P16" s="46"/>
      <c r="Q16" s="47"/>
    </row>
    <row r="17" spans="1:17" ht="18" customHeight="1">
      <c r="A17" s="29" t="s">
        <v>128</v>
      </c>
      <c r="B17" s="47"/>
      <c r="C17" s="59">
        <f>SUM(D8:D14)</f>
        <v>3225</v>
      </c>
      <c r="D17" s="46"/>
      <c r="E17" s="46"/>
      <c r="F17" s="46"/>
      <c r="G17" s="46"/>
      <c r="H17" s="46"/>
      <c r="I17" s="46"/>
      <c r="J17" s="46"/>
      <c r="K17" s="47"/>
      <c r="L17" s="49" t="s">
        <v>129</v>
      </c>
      <c r="M17" s="50"/>
      <c r="N17" s="50"/>
      <c r="O17" s="50"/>
      <c r="P17" s="50"/>
      <c r="Q17" s="50"/>
    </row>
    <row r="18" spans="1:17" ht="18" customHeight="1">
      <c r="A18" s="29" t="s">
        <v>130</v>
      </c>
      <c r="B18" s="47"/>
      <c r="C18" s="59">
        <f>IF(COUNT(D8:D14)=0,"ND",AVERAGE(D8:D14))</f>
        <v>460.71428571428572</v>
      </c>
      <c r="D18" s="46"/>
      <c r="E18" s="46"/>
      <c r="F18" s="46"/>
      <c r="G18" s="46"/>
      <c r="H18" s="46"/>
      <c r="I18" s="46"/>
      <c r="J18" s="46"/>
      <c r="K18" s="47"/>
      <c r="L18" s="49" t="s">
        <v>131</v>
      </c>
      <c r="M18" s="50"/>
      <c r="N18" s="50"/>
      <c r="O18" s="50"/>
      <c r="P18" s="50"/>
      <c r="Q18" s="50"/>
    </row>
    <row r="19" spans="1:17" ht="18" customHeight="1">
      <c r="A19" s="29" t="s">
        <v>132</v>
      </c>
      <c r="B19" s="47"/>
      <c r="C19" s="59">
        <f>IF(COUNT(D8:D14)&lt;2,"ND",STDEV(D8:D14))</f>
        <v>373.5686970673151</v>
      </c>
      <c r="D19" s="46"/>
      <c r="E19" s="46"/>
      <c r="F19" s="46"/>
      <c r="G19" s="46"/>
      <c r="H19" s="46"/>
      <c r="I19" s="46"/>
      <c r="J19" s="46"/>
      <c r="K19" s="47"/>
      <c r="L19" s="49" t="s">
        <v>133</v>
      </c>
      <c r="M19" s="50"/>
      <c r="N19" s="50"/>
      <c r="O19" s="50"/>
      <c r="P19" s="50"/>
      <c r="Q19" s="50"/>
    </row>
    <row r="20" spans="1:17" ht="21.95" customHeight="1">
      <c r="A20" s="29" t="s">
        <v>134</v>
      </c>
      <c r="B20" s="47"/>
      <c r="C20" s="68">
        <f>IF(OR(NOT(ISNUMBER(C19)),C19=0),"ND: sin variación entre días",C18/C19)</f>
        <v>1.2332786160379692</v>
      </c>
      <c r="D20" s="46"/>
      <c r="E20" s="46"/>
      <c r="F20" s="46"/>
      <c r="G20" s="46"/>
      <c r="H20" s="46"/>
      <c r="I20" s="46"/>
      <c r="J20" s="46"/>
      <c r="K20" s="47"/>
      <c r="L20" s="49" t="s">
        <v>135</v>
      </c>
      <c r="M20" s="50"/>
      <c r="N20" s="50"/>
      <c r="O20" s="50"/>
      <c r="P20" s="50"/>
      <c r="Q20" s="50"/>
    </row>
    <row r="21" spans="1:17" ht="18" customHeight="1">
      <c r="A21" s="29" t="s">
        <v>136</v>
      </c>
      <c r="B21" s="47"/>
      <c r="C21" s="64">
        <f>IF(OR(NOT(ISNUMBER(C20)),NOT(ISNUMBER(C17))),"ND",C17*C20)</f>
        <v>3977.3235367224506</v>
      </c>
      <c r="D21" s="46"/>
      <c r="E21" s="46"/>
      <c r="F21" s="46"/>
      <c r="G21" s="46"/>
      <c r="H21" s="46"/>
      <c r="I21" s="46"/>
      <c r="J21" s="46"/>
      <c r="K21" s="47"/>
      <c r="L21" s="49" t="s">
        <v>137</v>
      </c>
      <c r="M21" s="50"/>
      <c r="N21" s="50"/>
      <c r="O21" s="50"/>
      <c r="P21" s="50"/>
      <c r="Q21" s="50"/>
    </row>
    <row r="22" spans="1:17" ht="18" customHeight="1">
      <c r="A22" s="29" t="s">
        <v>138</v>
      </c>
      <c r="B22" s="47"/>
      <c r="C22" s="59" t="str">
        <f>IF(COUNT(D8:D14)=0,"ND",INDEX(A8:A14,MATCH(MAX(D8:D14),D8:D14,0)))</f>
        <v>Sábado</v>
      </c>
      <c r="D22" s="46"/>
      <c r="E22" s="46"/>
      <c r="F22" s="46"/>
      <c r="G22" s="46"/>
      <c r="H22" s="46"/>
      <c r="I22" s="46"/>
      <c r="J22" s="46"/>
      <c r="K22" s="47"/>
    </row>
    <row r="23" spans="1:17" ht="18" customHeight="1">
      <c r="A23" s="29" t="s">
        <v>139</v>
      </c>
      <c r="B23" s="47"/>
      <c r="C23" s="59">
        <f>MAX(D8:D14)</f>
        <v>1080</v>
      </c>
      <c r="D23" s="46"/>
      <c r="E23" s="46"/>
      <c r="F23" s="46"/>
      <c r="G23" s="46"/>
      <c r="H23" s="46"/>
      <c r="I23" s="46"/>
      <c r="J23" s="46"/>
      <c r="K23" s="47"/>
    </row>
    <row r="24" spans="1:17" ht="18" customHeight="1">
      <c r="A24" s="29" t="s">
        <v>140</v>
      </c>
      <c r="B24" s="47"/>
      <c r="C24" s="67">
        <f>IF(OR(NOT(ISNUMBER(C17)),C17=0),"ND",MAX(D8:D14)/C17)</f>
        <v>0.33488372093023255</v>
      </c>
      <c r="D24" s="46"/>
      <c r="E24" s="46"/>
      <c r="F24" s="46"/>
      <c r="G24" s="46"/>
      <c r="H24" s="46"/>
      <c r="I24" s="46"/>
      <c r="J24" s="46"/>
      <c r="K24" s="47"/>
    </row>
    <row r="26" spans="1:17" ht="20.100000000000001" customHeight="1">
      <c r="A26" s="31" t="s">
        <v>141</v>
      </c>
      <c r="B26" s="46"/>
      <c r="C26" s="46"/>
      <c r="D26" s="46"/>
      <c r="E26" s="46"/>
      <c r="F26" s="46"/>
      <c r="G26" s="46"/>
      <c r="H26" s="46"/>
      <c r="I26" s="46"/>
      <c r="J26" s="46"/>
      <c r="K26" s="46"/>
      <c r="L26" s="46"/>
      <c r="M26" s="46"/>
      <c r="N26" s="46"/>
      <c r="O26" s="46"/>
      <c r="P26" s="46"/>
      <c r="Q26" s="47"/>
    </row>
    <row r="27" spans="1:17" ht="30" customHeight="1">
      <c r="A27" s="29" t="s">
        <v>142</v>
      </c>
      <c r="B27" s="47"/>
      <c r="C27" s="45" t="str">
        <f>IF(NOT(ISNUMBER(C20)),"ND",IF(C20&gt;=u_mono,"Monotonía ELEVADA: los días se parecen demasiado entre sí. Introduzca contraste entre días exigentes y suaves.","Monotonía dentro de lo esperable: hay contraste entre los días de la semana."))</f>
        <v>Monotonía dentro de lo esperable: hay contraste entre los días de la semana.</v>
      </c>
      <c r="D27" s="46"/>
      <c r="E27" s="46"/>
      <c r="F27" s="46"/>
      <c r="G27" s="46"/>
      <c r="H27" s="46"/>
      <c r="I27" s="46"/>
      <c r="J27" s="46"/>
      <c r="K27" s="47"/>
    </row>
    <row r="28" spans="1:17" ht="30" customHeight="1">
      <c r="A28" s="29" t="s">
        <v>143</v>
      </c>
      <c r="B28" s="47"/>
      <c r="C28" s="45" t="str">
        <f>IF(NOT(ISNUMBER(C21)),"ND","El strain combina cuánto se entrena con cuán parecidos son los días entre sí. Un mismo volumen distribuido sin contraste produce más strain que el mismo volumen con días suaves reales.")</f>
        <v>El strain combina cuánto se entrena con cuán parecidos son los días entre sí. Un mismo volumen distribuido sin contraste produce más strain que el mismo volumen con días suaves reales.</v>
      </c>
      <c r="D28" s="46"/>
      <c r="E28" s="46"/>
      <c r="F28" s="46"/>
      <c r="G28" s="46"/>
      <c r="H28" s="46"/>
      <c r="I28" s="46"/>
      <c r="J28" s="46"/>
      <c r="K28" s="47"/>
    </row>
    <row r="30" spans="1:17">
      <c r="A30" s="51" t="s">
        <v>144</v>
      </c>
      <c r="B30" s="52"/>
      <c r="C30" s="52"/>
      <c r="D30" s="52"/>
      <c r="E30" s="52"/>
      <c r="F30" s="52"/>
      <c r="G30" s="52"/>
      <c r="H30" s="52"/>
      <c r="I30" s="52"/>
      <c r="J30" s="52"/>
      <c r="K30" s="52"/>
      <c r="L30" s="52"/>
      <c r="M30" s="52"/>
      <c r="N30" s="52"/>
      <c r="O30" s="52"/>
      <c r="P30" s="52"/>
      <c r="Q30" s="53"/>
    </row>
    <row r="31" spans="1:17">
      <c r="A31" s="54"/>
      <c r="B31" s="50"/>
      <c r="C31" s="50"/>
      <c r="D31" s="50"/>
      <c r="E31" s="50"/>
      <c r="F31" s="50"/>
      <c r="G31" s="50"/>
      <c r="H31" s="50"/>
      <c r="I31" s="50"/>
      <c r="J31" s="50"/>
      <c r="K31" s="50"/>
      <c r="L31" s="50"/>
      <c r="M31" s="50"/>
      <c r="N31" s="50"/>
      <c r="O31" s="50"/>
      <c r="P31" s="50"/>
      <c r="Q31" s="55"/>
    </row>
    <row r="32" spans="1:17">
      <c r="A32" s="56"/>
      <c r="B32" s="57"/>
      <c r="C32" s="57"/>
      <c r="D32" s="57"/>
      <c r="E32" s="57"/>
      <c r="F32" s="57"/>
      <c r="G32" s="57"/>
      <c r="H32" s="57"/>
      <c r="I32" s="57"/>
      <c r="J32" s="57"/>
      <c r="K32" s="57"/>
      <c r="L32" s="57"/>
      <c r="M32" s="57"/>
      <c r="N32" s="57"/>
      <c r="O32" s="57"/>
      <c r="P32" s="57"/>
      <c r="Q32" s="58"/>
    </row>
  </sheetData>
  <sheetProtection algorithmName="SHA-512" hashValue="DX0MTAIZY4gvQECbdgVfjpFeEk/zVPboNaArigDFq/Eyx2+VwziL+5lbUrBG8oZyQcSzx8WyKgqWruMAn4o0jQ==" saltValue="e3bgU+ZE6d7+UC4FXuHQVA==" spinCount="100000" sheet="1" objects="1" scenarios="1"/>
  <mergeCells count="40">
    <mergeCell ref="A4:D4"/>
    <mergeCell ref="A28:B28"/>
    <mergeCell ref="C20:K20"/>
    <mergeCell ref="C27:K27"/>
    <mergeCell ref="A30:Q32"/>
    <mergeCell ref="A16:Q16"/>
    <mergeCell ref="C17:K17"/>
    <mergeCell ref="C23:K23"/>
    <mergeCell ref="A18:B18"/>
    <mergeCell ref="A27:B27"/>
    <mergeCell ref="A21:B21"/>
    <mergeCell ref="L21:Q21"/>
    <mergeCell ref="C19:K19"/>
    <mergeCell ref="C28:K28"/>
    <mergeCell ref="A26:Q26"/>
    <mergeCell ref="C18:K18"/>
    <mergeCell ref="L17:Q17"/>
    <mergeCell ref="E13:F13"/>
    <mergeCell ref="A17:B17"/>
    <mergeCell ref="A23:B23"/>
    <mergeCell ref="A24:B24"/>
    <mergeCell ref="L18:Q18"/>
    <mergeCell ref="C22:K22"/>
    <mergeCell ref="A22:B22"/>
    <mergeCell ref="C24:K24"/>
    <mergeCell ref="E14:F14"/>
    <mergeCell ref="A2:Q3"/>
    <mergeCell ref="A1:Q1"/>
    <mergeCell ref="L20:Q20"/>
    <mergeCell ref="C21:K21"/>
    <mergeCell ref="A6:Q6"/>
    <mergeCell ref="A20:B20"/>
    <mergeCell ref="A19:B19"/>
    <mergeCell ref="L19:Q19"/>
    <mergeCell ref="E7:F7"/>
    <mergeCell ref="E8:F8"/>
    <mergeCell ref="E9:F9"/>
    <mergeCell ref="E10:F10"/>
    <mergeCell ref="E11:F11"/>
    <mergeCell ref="E12:F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FF1"/>
  </sheetPr>
  <dimension ref="A1:Q23"/>
  <sheetViews>
    <sheetView showGridLines="0" workbookViewId="0">
      <selection activeCell="A20" sqref="A20:Q23"/>
    </sheetView>
  </sheetViews>
  <sheetFormatPr baseColWidth="10" defaultColWidth="9.140625" defaultRowHeight="15"/>
  <cols>
    <col min="1" max="8" width="18.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145</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92" t="str">
        <f>HYPERLINK("#INICIO!A1","▶  VOLVER A INICIO")</f>
        <v>▶  VOLVER A INICIO</v>
      </c>
      <c r="B4" s="93"/>
      <c r="C4" s="93"/>
      <c r="D4" s="93"/>
    </row>
    <row r="6" spans="1:17" ht="20.100000000000001" customHeight="1">
      <c r="A6" s="31" t="s">
        <v>146</v>
      </c>
      <c r="B6" s="46"/>
      <c r="C6" s="46"/>
      <c r="D6" s="46"/>
      <c r="E6" s="46"/>
      <c r="F6" s="46"/>
      <c r="G6" s="46"/>
      <c r="H6" s="46"/>
      <c r="I6" s="46"/>
      <c r="J6" s="46"/>
      <c r="K6" s="46"/>
      <c r="L6" s="46"/>
      <c r="M6" s="46"/>
      <c r="N6" s="46"/>
      <c r="O6" s="46"/>
      <c r="P6" s="46"/>
      <c r="Q6" s="47"/>
    </row>
    <row r="7" spans="1:17" ht="33.950000000000003" customHeight="1">
      <c r="A7" s="1" t="s">
        <v>88</v>
      </c>
      <c r="B7" s="1" t="s">
        <v>147</v>
      </c>
      <c r="C7" s="1" t="s">
        <v>148</v>
      </c>
      <c r="D7" s="1" t="s">
        <v>149</v>
      </c>
      <c r="E7" s="1" t="s">
        <v>150</v>
      </c>
      <c r="F7" s="1" t="s">
        <v>151</v>
      </c>
      <c r="G7" s="1" t="s">
        <v>152</v>
      </c>
      <c r="H7" s="1" t="s">
        <v>153</v>
      </c>
    </row>
    <row r="8" spans="1:17">
      <c r="A8" s="11" t="str">
        <f>INDEX(rng_zonas,1,1)</f>
        <v>Zona 1 · suave</v>
      </c>
      <c r="B8" s="9" t="str">
        <f>INDEX(rng_zonas,1,2)&amp;" a "&amp;INDEX(rng_zonas,1,3)</f>
        <v>1 a 4</v>
      </c>
      <c r="C8" s="9">
        <f>SUMIFS(SEMANA!$C$12:$C$18,SEMANA!$F$12:$F$18,INDEX(rng_zonas,1,1))</f>
        <v>105</v>
      </c>
      <c r="D8" s="12">
        <f>IF($C$11=0,"ND",C8/$C$11)</f>
        <v>0.19444444444444445</v>
      </c>
      <c r="E8" s="12">
        <f>INDEX(rng_zonas,1,5)</f>
        <v>0.75</v>
      </c>
      <c r="F8" s="12">
        <f>IF(NOT(ISNUMBER(D8)),"ND",D8-E8)</f>
        <v>-0.55555555555555558</v>
      </c>
      <c r="G8" s="9">
        <f>SUMIFS(SEMANA!$E$12:$E$18,SEMANA!$F$12:$F$18,INDEX(rng_zonas,1,1))</f>
        <v>375</v>
      </c>
      <c r="H8" s="13">
        <f>IF($G$11=0,"ND",G8/$G$11)</f>
        <v>0.11627906976744186</v>
      </c>
    </row>
    <row r="9" spans="1:17">
      <c r="A9" s="11" t="str">
        <f>INDEX(rng_zonas,2,1)</f>
        <v>Zona 2 · moderada</v>
      </c>
      <c r="B9" s="9" t="str">
        <f>INDEX(rng_zonas,2,2)&amp;" a "&amp;INDEX(rng_zonas,2,3)</f>
        <v>5 a 6</v>
      </c>
      <c r="C9" s="9">
        <f>SUMIFS(SEMANA!$C$12:$C$18,SEMANA!$F$12:$F$18,INDEX(rng_zonas,2,1))</f>
        <v>270</v>
      </c>
      <c r="D9" s="12">
        <f>IF($C$11=0,"ND",C9/$C$11)</f>
        <v>0.5</v>
      </c>
      <c r="E9" s="12">
        <f>INDEX(rng_zonas,2,5)</f>
        <v>0.1</v>
      </c>
      <c r="F9" s="12">
        <f>IF(NOT(ISNUMBER(D9)),"ND",D9-E9)</f>
        <v>0.4</v>
      </c>
      <c r="G9" s="9">
        <f>SUMIFS(SEMANA!$E$12:$E$18,SEMANA!$F$12:$F$18,INDEX(rng_zonas,2,1))</f>
        <v>1530</v>
      </c>
      <c r="H9" s="13">
        <f>IF($G$11=0,"ND",G9/$G$11)</f>
        <v>0.47441860465116281</v>
      </c>
    </row>
    <row r="10" spans="1:17">
      <c r="A10" s="11" t="str">
        <f>INDEX(rng_zonas,3,1)</f>
        <v>Zona 3 · alta</v>
      </c>
      <c r="B10" s="9" t="str">
        <f>INDEX(rng_zonas,3,2)&amp;" a "&amp;INDEX(rng_zonas,3,3)</f>
        <v>7 a 10</v>
      </c>
      <c r="C10" s="9">
        <f>SUMIFS(SEMANA!$C$12:$C$18,SEMANA!$F$12:$F$18,INDEX(rng_zonas,3,1))</f>
        <v>165</v>
      </c>
      <c r="D10" s="12">
        <f>IF($C$11=0,"ND",C10/$C$11)</f>
        <v>0.30555555555555558</v>
      </c>
      <c r="E10" s="12">
        <f>INDEX(rng_zonas,3,5)</f>
        <v>0.15</v>
      </c>
      <c r="F10" s="12">
        <f>IF(NOT(ISNUMBER(D10)),"ND",D10-E10)</f>
        <v>0.15555555555555559</v>
      </c>
      <c r="G10" s="9">
        <f>SUMIFS(SEMANA!$E$12:$E$18,SEMANA!$F$12:$F$18,INDEX(rng_zonas,3,1))</f>
        <v>1320</v>
      </c>
      <c r="H10" s="13">
        <f>IF($G$11=0,"ND",G10/$G$11)</f>
        <v>0.40930232558139534</v>
      </c>
    </row>
    <row r="11" spans="1:17">
      <c r="A11" s="14" t="s">
        <v>154</v>
      </c>
      <c r="B11" s="15"/>
      <c r="C11" s="15">
        <f>SUM(C8:C10)</f>
        <v>540</v>
      </c>
      <c r="D11" s="16">
        <f>IF(C11=0,"ND",SUM(D8:D10))</f>
        <v>1</v>
      </c>
      <c r="E11" s="16">
        <f>SUM(E8:E10)</f>
        <v>1</v>
      </c>
      <c r="F11" s="15"/>
      <c r="G11" s="15">
        <f>SUM(G8:G10)</f>
        <v>3225</v>
      </c>
      <c r="H11" s="16">
        <f>IF(G11=0,"ND",SUM(H8:H10))</f>
        <v>1</v>
      </c>
    </row>
    <row r="13" spans="1:17" ht="20.100000000000001" customHeight="1">
      <c r="A13" s="31" t="s">
        <v>155</v>
      </c>
      <c r="B13" s="46"/>
      <c r="C13" s="46"/>
      <c r="D13" s="46"/>
      <c r="E13" s="46"/>
      <c r="F13" s="46"/>
      <c r="G13" s="46"/>
      <c r="H13" s="46"/>
      <c r="I13" s="46"/>
      <c r="J13" s="46"/>
      <c r="K13" s="46"/>
      <c r="L13" s="46"/>
      <c r="M13" s="46"/>
      <c r="N13" s="46"/>
      <c r="O13" s="46"/>
      <c r="P13" s="46"/>
      <c r="Q13" s="47"/>
    </row>
    <row r="14" spans="1:17" ht="18" customHeight="1">
      <c r="A14" s="29" t="s">
        <v>156</v>
      </c>
      <c r="B14" s="47"/>
      <c r="C14" s="59" t="str">
        <f>v_modelo</f>
        <v>Polarizado</v>
      </c>
      <c r="D14" s="46"/>
      <c r="E14" s="46"/>
      <c r="F14" s="46"/>
      <c r="G14" s="46"/>
      <c r="H14" s="46"/>
      <c r="I14" s="46"/>
      <c r="J14" s="46"/>
      <c r="K14" s="47"/>
    </row>
    <row r="15" spans="1:17" ht="18" customHeight="1">
      <c r="A15" s="29" t="s">
        <v>157</v>
      </c>
      <c r="B15" s="47"/>
      <c r="C15" s="67">
        <f>D8</f>
        <v>0.19444444444444445</v>
      </c>
      <c r="D15" s="46"/>
      <c r="E15" s="46"/>
      <c r="F15" s="46"/>
      <c r="G15" s="46"/>
      <c r="H15" s="46"/>
      <c r="I15" s="46"/>
      <c r="J15" s="46"/>
      <c r="K15" s="47"/>
    </row>
    <row r="16" spans="1:17" ht="18" customHeight="1">
      <c r="A16" s="29" t="s">
        <v>158</v>
      </c>
      <c r="B16" s="47"/>
      <c r="C16" s="67">
        <f>D10</f>
        <v>0.30555555555555558</v>
      </c>
      <c r="D16" s="46"/>
      <c r="E16" s="46"/>
      <c r="F16" s="46"/>
      <c r="G16" s="46"/>
      <c r="H16" s="46"/>
      <c r="I16" s="46"/>
      <c r="J16" s="46"/>
      <c r="K16" s="47"/>
    </row>
    <row r="17" spans="1:17" ht="44.1" customHeight="1">
      <c r="A17" s="29" t="s">
        <v>159</v>
      </c>
      <c r="B17" s="47"/>
      <c r="C17" s="69" t="str">
        <f>IF(NOT(ISNUMBER(C15)),"ND",IF(C15&lt;INDEX(rng_zonas,1,5)-0.1,"La proporción de trabajo suave es MENOR que la de referencia: hay poco volumen a baja intensidad y demasiado tiempo en zona intermedia. Es el desvío más frecuente y el que más compromete la recuperación.",IF(C15&gt;INDEX(rng_zonas,1,5)+0.1,"La proporción de trabajo suave supera la referencia: verifique que haya estímulo de alta intensidad suficiente.","La distribución se aproxima al modelo de referencia declarado.")))</f>
        <v>La proporción de trabajo suave es MENOR que la de referencia: hay poco volumen a baja intensidad y demasiado tiempo en zona intermedia. Es el desvío más frecuente y el que más compromete la recuperación.</v>
      </c>
      <c r="D17" s="46"/>
      <c r="E17" s="46"/>
      <c r="F17" s="46"/>
      <c r="G17" s="46"/>
      <c r="H17" s="46"/>
      <c r="I17" s="46"/>
      <c r="J17" s="46"/>
      <c r="K17" s="47"/>
    </row>
    <row r="18" spans="1:17" ht="30" customHeight="1">
      <c r="A18" s="29" t="s">
        <v>160</v>
      </c>
      <c r="B18" s="47"/>
      <c r="C18" s="45" t="str">
        <f>IF(OR(NOT(ISNUMBER(D10)),NOT(ISNUMBER(H10))),"ND","La zona alta ocupa "&amp;TEXT(D10,"0.0%")&amp;" del tiempo pero aporta "&amp;TEXT(H10,"0.0%")&amp;" de la carga: un minuto intenso pesa mucho más que un minuto suave.")</f>
        <v>La zona alta ocupa 31% del tiempo pero aporta 41% de la carga: un minuto intenso pesa mucho más que un minuto suave.</v>
      </c>
      <c r="D18" s="46"/>
      <c r="E18" s="46"/>
      <c r="F18" s="46"/>
      <c r="G18" s="46"/>
      <c r="H18" s="46"/>
      <c r="I18" s="46"/>
      <c r="J18" s="46"/>
      <c r="K18" s="47"/>
    </row>
    <row r="20" spans="1:17">
      <c r="A20" s="94" t="s">
        <v>161</v>
      </c>
      <c r="B20" s="95"/>
      <c r="C20" s="95"/>
      <c r="D20" s="95"/>
      <c r="E20" s="95"/>
      <c r="F20" s="95"/>
      <c r="G20" s="95"/>
      <c r="H20" s="95"/>
      <c r="I20" s="95"/>
      <c r="J20" s="95"/>
      <c r="K20" s="95"/>
      <c r="L20" s="95"/>
      <c r="M20" s="95"/>
      <c r="N20" s="95"/>
      <c r="O20" s="95"/>
      <c r="P20" s="95"/>
      <c r="Q20" s="96"/>
    </row>
    <row r="21" spans="1:17">
      <c r="A21" s="97"/>
      <c r="B21" s="98"/>
      <c r="C21" s="98"/>
      <c r="D21" s="98"/>
      <c r="E21" s="98"/>
      <c r="F21" s="98"/>
      <c r="G21" s="98"/>
      <c r="H21" s="98"/>
      <c r="I21" s="98"/>
      <c r="J21" s="98"/>
      <c r="K21" s="98"/>
      <c r="L21" s="98"/>
      <c r="M21" s="98"/>
      <c r="N21" s="98"/>
      <c r="O21" s="98"/>
      <c r="P21" s="98"/>
      <c r="Q21" s="99"/>
    </row>
    <row r="22" spans="1:17">
      <c r="A22" s="97"/>
      <c r="B22" s="98"/>
      <c r="C22" s="98"/>
      <c r="D22" s="98"/>
      <c r="E22" s="98"/>
      <c r="F22" s="98"/>
      <c r="G22" s="98"/>
      <c r="H22" s="98"/>
      <c r="I22" s="98"/>
      <c r="J22" s="98"/>
      <c r="K22" s="98"/>
      <c r="L22" s="98"/>
      <c r="M22" s="98"/>
      <c r="N22" s="98"/>
      <c r="O22" s="98"/>
      <c r="P22" s="98"/>
      <c r="Q22" s="99"/>
    </row>
    <row r="23" spans="1:17">
      <c r="A23" s="100"/>
      <c r="B23" s="101"/>
      <c r="C23" s="101"/>
      <c r="D23" s="101"/>
      <c r="E23" s="101"/>
      <c r="F23" s="101"/>
      <c r="G23" s="101"/>
      <c r="H23" s="101"/>
      <c r="I23" s="101"/>
      <c r="J23" s="101"/>
      <c r="K23" s="101"/>
      <c r="L23" s="101"/>
      <c r="M23" s="101"/>
      <c r="N23" s="101"/>
      <c r="O23" s="101"/>
      <c r="P23" s="101"/>
      <c r="Q23" s="102"/>
    </row>
  </sheetData>
  <sheetProtection algorithmName="SHA-512" hashValue="hjmnO+/HXSZXBpKeGE7mURcnZVWDacmz/kilec5fJD/6mJPOvLdtgaUZGYkwWzPplYQ3nkZZL5WtbMvidP2sNA==" saltValue="8NILmZt+7cpk21meWxMiWQ==" spinCount="100000" sheet="1" objects="1" scenarios="1"/>
  <mergeCells count="16">
    <mergeCell ref="A4:D4"/>
    <mergeCell ref="A1:Q1"/>
    <mergeCell ref="A13:Q13"/>
    <mergeCell ref="C18:K18"/>
    <mergeCell ref="A20:Q23"/>
    <mergeCell ref="A14:B14"/>
    <mergeCell ref="A2:Q3"/>
    <mergeCell ref="C17:K17"/>
    <mergeCell ref="A17:B17"/>
    <mergeCell ref="A18:B18"/>
    <mergeCell ref="C16:K16"/>
    <mergeCell ref="A6:Q6"/>
    <mergeCell ref="C15:K15"/>
    <mergeCell ref="A16:B16"/>
    <mergeCell ref="A15:B15"/>
    <mergeCell ref="C14:K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324D"/>
  </sheetPr>
  <dimension ref="A1:Q43"/>
  <sheetViews>
    <sheetView showGridLines="0" workbookViewId="0">
      <selection activeCell="A4" sqref="A4:E4"/>
    </sheetView>
  </sheetViews>
  <sheetFormatPr baseColWidth="10" defaultColWidth="9.140625" defaultRowHeight="15"/>
  <cols>
    <col min="1" max="1" width="22" customWidth="1"/>
    <col min="2" max="2" width="14"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39"/>
      <c r="C1" s="39"/>
      <c r="D1" s="39"/>
      <c r="E1" s="39"/>
      <c r="F1" s="39"/>
      <c r="G1" s="39"/>
      <c r="H1" s="39"/>
      <c r="I1" s="39"/>
      <c r="J1" s="39"/>
      <c r="K1" s="39"/>
      <c r="L1" s="39"/>
      <c r="M1" s="39"/>
      <c r="N1" s="39"/>
      <c r="O1" s="39"/>
      <c r="P1" s="39"/>
      <c r="Q1" s="39"/>
    </row>
    <row r="2" spans="1:17" ht="15" customHeight="1">
      <c r="A2" s="36" t="s">
        <v>182</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92" t="str">
        <f>HYPERLINK("#INICIO!A1","▶  VOLVER A INICIO")</f>
        <v>▶  VOLVER A INICIO</v>
      </c>
      <c r="B4" s="93"/>
      <c r="C4" s="93"/>
      <c r="D4" s="93"/>
      <c r="E4" s="93"/>
    </row>
    <row r="6" spans="1:17" ht="20.100000000000001" customHeight="1">
      <c r="A6" s="31" t="s">
        <v>183</v>
      </c>
      <c r="B6" s="32"/>
      <c r="C6" s="32"/>
      <c r="D6" s="32"/>
      <c r="E6" s="32"/>
      <c r="F6" s="32"/>
      <c r="G6" s="32"/>
      <c r="H6" s="32"/>
      <c r="I6" s="32"/>
      <c r="J6" s="32"/>
      <c r="K6" s="32"/>
      <c r="L6" s="32"/>
      <c r="M6" s="32"/>
      <c r="N6" s="32"/>
      <c r="O6" s="32"/>
      <c r="P6" s="32"/>
      <c r="Q6" s="32"/>
    </row>
    <row r="7" spans="1:17" ht="21.95" customHeight="1">
      <c r="A7" s="74" t="s">
        <v>184</v>
      </c>
      <c r="B7" s="74"/>
      <c r="C7" s="74"/>
      <c r="D7" s="71" t="s">
        <v>134</v>
      </c>
      <c r="E7" s="71"/>
      <c r="F7" s="71"/>
      <c r="G7" s="74" t="s">
        <v>136</v>
      </c>
      <c r="H7" s="74"/>
      <c r="I7" s="74"/>
      <c r="J7" s="73" t="s">
        <v>185</v>
      </c>
      <c r="K7" s="73"/>
      <c r="L7" s="73"/>
      <c r="M7" s="71" t="s">
        <v>186</v>
      </c>
      <c r="N7" s="71"/>
      <c r="O7" s="71"/>
    </row>
    <row r="8" spans="1:17" ht="18" customHeight="1">
      <c r="A8" s="78">
        <f>v_carga</f>
        <v>3225</v>
      </c>
      <c r="B8" s="78"/>
      <c r="C8" s="78"/>
      <c r="D8" s="75">
        <f>v_mono</f>
        <v>1.2332786160379692</v>
      </c>
      <c r="E8" s="75"/>
      <c r="F8" s="75"/>
      <c r="G8" s="78">
        <f>v_strain</f>
        <v>3977.3235367224506</v>
      </c>
      <c r="H8" s="78"/>
      <c r="I8" s="78"/>
      <c r="J8" s="72">
        <f>SEMANA!C23</f>
        <v>9</v>
      </c>
      <c r="K8" s="72"/>
      <c r="L8" s="72"/>
      <c r="M8" s="80">
        <f>SEMANA!C24</f>
        <v>6</v>
      </c>
      <c r="N8" s="80"/>
      <c r="O8" s="80"/>
    </row>
    <row r="9" spans="1:17" ht="18" customHeight="1">
      <c r="A9" s="78"/>
      <c r="B9" s="78"/>
      <c r="C9" s="78"/>
      <c r="D9" s="75"/>
      <c r="E9" s="75"/>
      <c r="F9" s="75"/>
      <c r="G9" s="78"/>
      <c r="H9" s="78"/>
      <c r="I9" s="78"/>
      <c r="J9" s="72"/>
      <c r="K9" s="72"/>
      <c r="L9" s="72"/>
      <c r="M9" s="80"/>
      <c r="N9" s="80"/>
      <c r="O9" s="80"/>
    </row>
    <row r="10" spans="1:17" ht="15.95" customHeight="1">
      <c r="A10" s="70" t="s">
        <v>187</v>
      </c>
      <c r="B10" s="70"/>
      <c r="C10" s="70"/>
      <c r="D10" s="70" t="s">
        <v>188</v>
      </c>
      <c r="E10" s="70"/>
      <c r="F10" s="70"/>
      <c r="G10" s="70" t="s">
        <v>189</v>
      </c>
      <c r="H10" s="70"/>
      <c r="I10" s="70"/>
      <c r="J10" s="70" t="s">
        <v>190</v>
      </c>
      <c r="K10" s="70"/>
      <c r="L10" s="70"/>
      <c r="M10" s="70" t="s">
        <v>191</v>
      </c>
      <c r="N10" s="70"/>
      <c r="O10" s="70"/>
    </row>
    <row r="12" spans="1:17" ht="21.95" customHeight="1">
      <c r="A12" s="73" t="s">
        <v>192</v>
      </c>
      <c r="B12" s="73"/>
      <c r="C12" s="73"/>
      <c r="D12" s="77" t="s">
        <v>193</v>
      </c>
      <c r="E12" s="77"/>
      <c r="F12" s="77"/>
      <c r="G12" s="77" t="s">
        <v>194</v>
      </c>
      <c r="H12" s="77"/>
      <c r="I12" s="77"/>
      <c r="J12" s="74" t="s">
        <v>195</v>
      </c>
      <c r="K12" s="74"/>
      <c r="L12" s="74"/>
      <c r="M12" s="74" t="s">
        <v>196</v>
      </c>
      <c r="N12" s="74"/>
      <c r="O12" s="74"/>
    </row>
    <row r="13" spans="1:17" ht="18" customHeight="1">
      <c r="A13" s="81">
        <f>DISTRIBUCION!D8</f>
        <v>0.19444444444444445</v>
      </c>
      <c r="B13" s="81"/>
      <c r="C13" s="81"/>
      <c r="D13" s="79">
        <f>DISTRIBUCION!D10</f>
        <v>0.30555555555555558</v>
      </c>
      <c r="E13" s="79"/>
      <c r="F13" s="79"/>
      <c r="G13" s="79">
        <f>PROGRESION!C17</f>
        <v>0.24038461538461539</v>
      </c>
      <c r="H13" s="79"/>
      <c r="I13" s="79"/>
      <c r="J13" s="76">
        <f>PROGRESION!C16</f>
        <v>1.1096774193548387</v>
      </c>
      <c r="K13" s="76"/>
      <c r="L13" s="76"/>
      <c r="M13" s="78">
        <f>SEMANA!C26</f>
        <v>2</v>
      </c>
      <c r="N13" s="78"/>
      <c r="O13" s="78"/>
    </row>
    <row r="14" spans="1:17" ht="18" customHeight="1">
      <c r="A14" s="81"/>
      <c r="B14" s="81"/>
      <c r="C14" s="81"/>
      <c r="D14" s="79"/>
      <c r="E14" s="79"/>
      <c r="F14" s="79"/>
      <c r="G14" s="79"/>
      <c r="H14" s="79"/>
      <c r="I14" s="79"/>
      <c r="J14" s="76"/>
      <c r="K14" s="76"/>
      <c r="L14" s="76"/>
      <c r="M14" s="78"/>
      <c r="N14" s="78"/>
      <c r="O14" s="78"/>
    </row>
    <row r="15" spans="1:17" ht="15.95" customHeight="1">
      <c r="A15" s="70" t="s">
        <v>197</v>
      </c>
      <c r="B15" s="70"/>
      <c r="C15" s="70"/>
      <c r="D15" s="70" t="s">
        <v>197</v>
      </c>
      <c r="E15" s="70"/>
      <c r="F15" s="70"/>
      <c r="G15" s="70" t="s">
        <v>198</v>
      </c>
      <c r="H15" s="70"/>
      <c r="I15" s="70"/>
      <c r="J15" s="70" t="s">
        <v>199</v>
      </c>
      <c r="K15" s="70"/>
      <c r="L15" s="70"/>
      <c r="M15" s="70" t="s">
        <v>200</v>
      </c>
      <c r="N15" s="70"/>
      <c r="O15" s="70"/>
    </row>
    <row r="18" spans="1:17" ht="20.100000000000001" customHeight="1">
      <c r="A18" s="31" t="s">
        <v>201</v>
      </c>
      <c r="B18" s="32"/>
      <c r="C18" s="32"/>
      <c r="D18" s="32"/>
      <c r="E18" s="32"/>
      <c r="F18" s="32"/>
      <c r="G18" s="32"/>
      <c r="H18" s="32"/>
      <c r="I18" s="32"/>
      <c r="J18" s="32"/>
      <c r="K18" s="32"/>
      <c r="L18" s="32"/>
      <c r="M18" s="32"/>
      <c r="N18" s="32"/>
      <c r="O18" s="32"/>
      <c r="P18" s="32"/>
      <c r="Q18" s="32"/>
    </row>
    <row r="19" spans="1:17">
      <c r="A19" s="17" t="s">
        <v>83</v>
      </c>
      <c r="B19" s="17" t="s">
        <v>126</v>
      </c>
    </row>
    <row r="20" spans="1:17" ht="41.25" customHeight="1">
      <c r="A20" s="112" t="str">
        <f>CARGA!A8</f>
        <v>Lunes</v>
      </c>
      <c r="B20" s="18">
        <f>CARGA!D8</f>
        <v>0</v>
      </c>
    </row>
    <row r="21" spans="1:17" ht="41.25" customHeight="1">
      <c r="A21" s="112" t="str">
        <f>CARGA!A9</f>
        <v>Martes</v>
      </c>
      <c r="B21" s="18">
        <f>CARGA!D9</f>
        <v>600</v>
      </c>
    </row>
    <row r="22" spans="1:17" ht="41.25" customHeight="1">
      <c r="A22" s="112" t="str">
        <f>CARGA!A10</f>
        <v>Miércoles</v>
      </c>
      <c r="B22" s="18">
        <f>CARGA!D10</f>
        <v>240</v>
      </c>
    </row>
    <row r="23" spans="1:17" ht="41.25" customHeight="1">
      <c r="A23" s="112" t="str">
        <f>CARGA!A11</f>
        <v>Jueves</v>
      </c>
      <c r="B23" s="18">
        <f>CARGA!D11</f>
        <v>720</v>
      </c>
    </row>
    <row r="24" spans="1:17" ht="41.25" customHeight="1">
      <c r="A24" s="112" t="str">
        <f>CARGA!A12</f>
        <v>Viernes</v>
      </c>
      <c r="B24" s="18">
        <f>CARGA!D12</f>
        <v>135</v>
      </c>
    </row>
    <row r="25" spans="1:17" ht="41.25" customHeight="1">
      <c r="A25" s="112" t="str">
        <f>CARGA!A13</f>
        <v>Sábado</v>
      </c>
      <c r="B25" s="18">
        <f>CARGA!D13</f>
        <v>1080</v>
      </c>
    </row>
    <row r="26" spans="1:17" ht="41.25" customHeight="1">
      <c r="A26" s="112" t="str">
        <f>CARGA!A14</f>
        <v>Domingo</v>
      </c>
      <c r="B26" s="18">
        <f>CARGA!D14</f>
        <v>450</v>
      </c>
    </row>
    <row r="28" spans="1:17" ht="20.100000000000001" customHeight="1">
      <c r="A28" s="31" t="s">
        <v>202</v>
      </c>
      <c r="B28" s="32"/>
      <c r="C28" s="32"/>
      <c r="D28" s="32"/>
      <c r="E28" s="32"/>
      <c r="F28" s="32"/>
      <c r="G28" s="32"/>
      <c r="H28" s="32"/>
      <c r="I28" s="32"/>
      <c r="J28" s="32"/>
      <c r="K28" s="32"/>
      <c r="L28" s="32"/>
      <c r="M28" s="32"/>
      <c r="N28" s="32"/>
      <c r="O28" s="32"/>
      <c r="P28" s="32"/>
      <c r="Q28" s="32"/>
    </row>
    <row r="29" spans="1:17" ht="35.25" customHeight="1">
      <c r="A29" s="17" t="s">
        <v>88</v>
      </c>
      <c r="B29" s="82" t="s">
        <v>148</v>
      </c>
      <c r="C29" s="83"/>
    </row>
    <row r="30" spans="1:17" ht="60.75" customHeight="1">
      <c r="A30" s="28" t="str">
        <f>DISTRIBUCION!A8</f>
        <v>Zona 1 · suave</v>
      </c>
      <c r="B30" s="84">
        <f>DISTRIBUCION!C8</f>
        <v>105</v>
      </c>
      <c r="C30" s="85"/>
    </row>
    <row r="31" spans="1:17" ht="60.75" customHeight="1">
      <c r="A31" s="28" t="str">
        <f>DISTRIBUCION!A9</f>
        <v>Zona 2 · moderada</v>
      </c>
      <c r="B31" s="84">
        <f>DISTRIBUCION!C9</f>
        <v>270</v>
      </c>
      <c r="C31" s="85"/>
    </row>
    <row r="32" spans="1:17" ht="69.75" customHeight="1">
      <c r="A32" s="28" t="str">
        <f>DISTRIBUCION!A10</f>
        <v>Zona 3 · alta</v>
      </c>
      <c r="B32" s="84">
        <f>DISTRIBUCION!C10</f>
        <v>165</v>
      </c>
      <c r="C32" s="85"/>
    </row>
    <row r="33" spans="1:17" ht="61.5" customHeight="1"/>
    <row r="34" spans="1:17" ht="20.100000000000001" customHeight="1">
      <c r="A34" s="31" t="s">
        <v>203</v>
      </c>
      <c r="B34" s="32"/>
      <c r="C34" s="32"/>
      <c r="D34" s="32"/>
      <c r="E34" s="32"/>
      <c r="F34" s="32"/>
      <c r="G34" s="32"/>
      <c r="H34" s="32"/>
      <c r="I34" s="32"/>
      <c r="J34" s="32"/>
      <c r="K34" s="32"/>
      <c r="L34" s="32"/>
      <c r="M34" s="32"/>
      <c r="N34" s="32"/>
      <c r="O34" s="32"/>
      <c r="P34" s="32"/>
      <c r="Q34" s="32"/>
    </row>
    <row r="35" spans="1:17">
      <c r="A35" s="17" t="s">
        <v>164</v>
      </c>
      <c r="B35" s="82" t="s">
        <v>126</v>
      </c>
      <c r="C35" s="83"/>
    </row>
    <row r="36" spans="1:17" ht="69.75" customHeight="1">
      <c r="A36" s="113" t="str">
        <f>PROGRESION!A8</f>
        <v>Semana 1</v>
      </c>
      <c r="B36" s="86">
        <f>PROGRESION!B8</f>
        <v>2800</v>
      </c>
      <c r="C36" s="87"/>
    </row>
    <row r="37" spans="1:17" ht="69.75" customHeight="1">
      <c r="A37" s="113" t="str">
        <f>PROGRESION!A9</f>
        <v>Semana 2</v>
      </c>
      <c r="B37" s="86">
        <f>PROGRESION!B9</f>
        <v>3000</v>
      </c>
      <c r="C37" s="87"/>
    </row>
    <row r="38" spans="1:17" ht="69.75" customHeight="1">
      <c r="A38" s="113" t="str">
        <f>PROGRESION!A10</f>
        <v>Semana 3</v>
      </c>
      <c r="B38" s="86">
        <f>PROGRESION!B10</f>
        <v>2600</v>
      </c>
      <c r="C38" s="87"/>
    </row>
    <row r="39" spans="1:17" ht="69.75" customHeight="1">
      <c r="A39" s="113" t="str">
        <f>PROGRESION!A11</f>
        <v>Semana actual</v>
      </c>
      <c r="B39" s="86">
        <f>PROGRESION!B11</f>
        <v>3225</v>
      </c>
      <c r="C39" s="87"/>
    </row>
    <row r="41" spans="1:17">
      <c r="A41" s="51" t="s">
        <v>204</v>
      </c>
      <c r="B41" s="43"/>
      <c r="C41" s="43"/>
      <c r="D41" s="43"/>
      <c r="E41" s="43"/>
      <c r="F41" s="43"/>
      <c r="G41" s="43"/>
      <c r="H41" s="43"/>
      <c r="I41" s="43"/>
      <c r="J41" s="43"/>
      <c r="K41" s="43"/>
      <c r="L41" s="43"/>
      <c r="M41" s="43"/>
      <c r="N41" s="43"/>
      <c r="O41" s="43"/>
      <c r="P41" s="43"/>
      <c r="Q41" s="43"/>
    </row>
    <row r="42" spans="1:17">
      <c r="A42" s="43"/>
      <c r="B42" s="43"/>
      <c r="C42" s="43"/>
      <c r="D42" s="43"/>
      <c r="E42" s="43"/>
      <c r="F42" s="43"/>
      <c r="G42" s="43"/>
      <c r="H42" s="43"/>
      <c r="I42" s="43"/>
      <c r="J42" s="43"/>
      <c r="K42" s="43"/>
      <c r="L42" s="43"/>
      <c r="M42" s="43"/>
      <c r="N42" s="43"/>
      <c r="O42" s="43"/>
      <c r="P42" s="43"/>
      <c r="Q42" s="43"/>
    </row>
    <row r="43" spans="1:17">
      <c r="A43" s="43"/>
      <c r="B43" s="43"/>
      <c r="C43" s="43"/>
      <c r="D43" s="43"/>
      <c r="E43" s="43"/>
      <c r="F43" s="43"/>
      <c r="G43" s="43"/>
      <c r="H43" s="43"/>
      <c r="I43" s="43"/>
      <c r="J43" s="43"/>
      <c r="K43" s="43"/>
      <c r="L43" s="43"/>
      <c r="M43" s="43"/>
      <c r="N43" s="43"/>
      <c r="O43" s="43"/>
      <c r="P43" s="43"/>
      <c r="Q43" s="43"/>
    </row>
  </sheetData>
  <sheetProtection algorithmName="SHA-512" hashValue="w09APEarPfBorUwqBhvHBo8HEvG5YLtOsHRiO2MVla1aOH0kI9rgO1gdW4YLgHHcoaj/spCdaS9dV229niPLnA==" saltValue="6iXhfsPxgVzr2Vlzc+6IgQ==" spinCount="100000" sheet="1" objects="1" scenarios="1"/>
  <mergeCells count="47">
    <mergeCell ref="B35:C35"/>
    <mergeCell ref="B36:C36"/>
    <mergeCell ref="B37:C37"/>
    <mergeCell ref="B38:C38"/>
    <mergeCell ref="B39:C39"/>
    <mergeCell ref="A41:Q43"/>
    <mergeCell ref="A10:C10"/>
    <mergeCell ref="A18:Q18"/>
    <mergeCell ref="M13:O14"/>
    <mergeCell ref="G12:I12"/>
    <mergeCell ref="A15:C15"/>
    <mergeCell ref="D13:F14"/>
    <mergeCell ref="D10:F10"/>
    <mergeCell ref="J10:L10"/>
    <mergeCell ref="A13:C14"/>
    <mergeCell ref="A28:Q28"/>
    <mergeCell ref="J15:L15"/>
    <mergeCell ref="B29:C29"/>
    <mergeCell ref="B30:C30"/>
    <mergeCell ref="B31:C31"/>
    <mergeCell ref="B32:C32"/>
    <mergeCell ref="A1:Q1"/>
    <mergeCell ref="G15:I15"/>
    <mergeCell ref="M15:O15"/>
    <mergeCell ref="J7:L7"/>
    <mergeCell ref="A6:Q6"/>
    <mergeCell ref="J13:L14"/>
    <mergeCell ref="D12:F12"/>
    <mergeCell ref="G8:I9"/>
    <mergeCell ref="J12:L12"/>
    <mergeCell ref="G13:I14"/>
    <mergeCell ref="D15:F15"/>
    <mergeCell ref="A8:C9"/>
    <mergeCell ref="M8:O9"/>
    <mergeCell ref="A7:C7"/>
    <mergeCell ref="G7:I7"/>
    <mergeCell ref="G10:I10"/>
    <mergeCell ref="M10:O10"/>
    <mergeCell ref="A34:Q34"/>
    <mergeCell ref="A2:Q3"/>
    <mergeCell ref="M7:O7"/>
    <mergeCell ref="J8:L9"/>
    <mergeCell ref="D7:F7"/>
    <mergeCell ref="A12:C12"/>
    <mergeCell ref="M12:O12"/>
    <mergeCell ref="D8:F9"/>
    <mergeCell ref="A4:E4"/>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7E0F5"/>
  </sheetPr>
  <dimension ref="A1:Q30"/>
  <sheetViews>
    <sheetView showGridLines="0" workbookViewId="0">
      <selection activeCell="H9" sqref="H9"/>
    </sheetView>
  </sheetViews>
  <sheetFormatPr baseColWidth="10" defaultColWidth="9.140625" defaultRowHeight="15"/>
  <cols>
    <col min="1" max="1" width="30" customWidth="1"/>
    <col min="2" max="2" width="16" customWidth="1"/>
    <col min="3" max="3" width="26" customWidth="1"/>
    <col min="4" max="4" width="34" customWidth="1"/>
    <col min="5"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162</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92" t="str">
        <f>HYPERLINK("#INICIO!A1","▶  VOLVER A INICIO")</f>
        <v>▶  VOLVER A INICIO</v>
      </c>
      <c r="B4" s="93"/>
      <c r="C4" s="93"/>
    </row>
    <row r="6" spans="1:17" ht="20.100000000000001" customHeight="1">
      <c r="A6" s="31" t="s">
        <v>163</v>
      </c>
      <c r="B6" s="46"/>
      <c r="C6" s="46"/>
      <c r="D6" s="46"/>
      <c r="E6" s="46"/>
      <c r="F6" s="46"/>
      <c r="G6" s="46"/>
      <c r="H6" s="46"/>
      <c r="I6" s="46"/>
      <c r="J6" s="46"/>
      <c r="K6" s="46"/>
      <c r="L6" s="46"/>
      <c r="M6" s="46"/>
      <c r="N6" s="46"/>
      <c r="O6" s="46"/>
      <c r="P6" s="46"/>
      <c r="Q6" s="47"/>
    </row>
    <row r="7" spans="1:17" ht="32.1" customHeight="1">
      <c r="A7" s="1" t="s">
        <v>164</v>
      </c>
      <c r="B7" s="1" t="s">
        <v>126</v>
      </c>
      <c r="C7" s="1" t="s">
        <v>165</v>
      </c>
      <c r="D7" s="1" t="s">
        <v>166</v>
      </c>
    </row>
    <row r="8" spans="1:17" ht="27.75" customHeight="1">
      <c r="A8" s="114" t="s">
        <v>167</v>
      </c>
      <c r="B8" s="115">
        <v>2800</v>
      </c>
      <c r="C8" s="116"/>
      <c r="D8" s="117" t="str">
        <f>IF(NOT(ISNUMBER(C8)),"Primera semana registrada",IF(C8&gt;u_progMax,"Aumento sobre la referencia",IF(C8&lt;u_descarga,"Reducción compatible con descarga","Cambio dentro de lo esperable")))</f>
        <v>Primera semana registrada</v>
      </c>
    </row>
    <row r="9" spans="1:17" ht="27.75" customHeight="1">
      <c r="A9" s="114" t="s">
        <v>168</v>
      </c>
      <c r="B9" s="115">
        <v>3000</v>
      </c>
      <c r="C9" s="116">
        <f>IF(OR(NOT(ISNUMBER(B9)),NOT(ISNUMBER(B8)),B8=0),"ND",(B9-B8)/B8)</f>
        <v>7.1428571428571425E-2</v>
      </c>
      <c r="D9" s="117" t="str">
        <f>IF(NOT(ISNUMBER(C9)),"Primera semana registrada",IF(C9&gt;u_progMax,"Aumento sobre la referencia",IF(C9&lt;u_descarga,"Reducción compatible con descarga","Cambio dentro de lo esperable")))</f>
        <v>Cambio dentro de lo esperable</v>
      </c>
    </row>
    <row r="10" spans="1:17" ht="27.75" customHeight="1">
      <c r="A10" s="114" t="s">
        <v>169</v>
      </c>
      <c r="B10" s="115">
        <v>2600</v>
      </c>
      <c r="C10" s="116">
        <f>IF(OR(NOT(ISNUMBER(B10)),NOT(ISNUMBER(B9)),B9=0),"ND",(B10-B9)/B9)</f>
        <v>-0.13333333333333333</v>
      </c>
      <c r="D10" s="117" t="str">
        <f>IF(NOT(ISNUMBER(C10)),"Primera semana registrada",IF(C10&gt;u_progMax,"Aumento sobre la referencia",IF(C10&lt;u_descarga,"Reducción compatible con descarga","Cambio dentro de lo esperable")))</f>
        <v>Cambio dentro de lo esperable</v>
      </c>
    </row>
    <row r="11" spans="1:17" ht="27.75" customHeight="1">
      <c r="A11" s="114" t="s">
        <v>170</v>
      </c>
      <c r="B11" s="10">
        <f>v_carga</f>
        <v>3225</v>
      </c>
      <c r="C11" s="116">
        <f>IF(OR(NOT(ISNUMBER(B11)),NOT(ISNUMBER(B10)),B10=0),"ND",(B11-B10)/B10)</f>
        <v>0.24038461538461539</v>
      </c>
      <c r="D11" s="117" t="str">
        <f>IF(NOT(ISNUMBER(C11)),"ND",IF(C11&gt;u_progMax,"Aumento sobre la referencia",IF(C11&lt;u_descarga,"Reducción compatible con descarga","Cambio dentro de lo esperable")))</f>
        <v>Aumento sobre la referencia</v>
      </c>
    </row>
    <row r="13" spans="1:17" ht="20.100000000000001" customHeight="1">
      <c r="A13" s="31" t="s">
        <v>171</v>
      </c>
      <c r="B13" s="46"/>
      <c r="C13" s="46"/>
      <c r="D13" s="46"/>
      <c r="E13" s="46"/>
      <c r="F13" s="46"/>
      <c r="G13" s="46"/>
      <c r="H13" s="46"/>
      <c r="I13" s="46"/>
      <c r="J13" s="46"/>
      <c r="K13" s="46"/>
      <c r="L13" s="46"/>
      <c r="M13" s="46"/>
      <c r="N13" s="46"/>
      <c r="O13" s="46"/>
      <c r="P13" s="46"/>
      <c r="Q13" s="47"/>
    </row>
    <row r="14" spans="1:17" ht="18" customHeight="1">
      <c r="A14" s="29" t="s">
        <v>172</v>
      </c>
      <c r="B14" s="47"/>
      <c r="C14" s="59">
        <f>v_carga</f>
        <v>3225</v>
      </c>
      <c r="D14" s="46"/>
      <c r="E14" s="46"/>
      <c r="F14" s="46"/>
      <c r="G14" s="46"/>
      <c r="H14" s="46"/>
      <c r="I14" s="46"/>
      <c r="J14" s="46"/>
      <c r="K14" s="47"/>
    </row>
    <row r="15" spans="1:17" ht="18" customHeight="1">
      <c r="A15" s="29" t="s">
        <v>173</v>
      </c>
      <c r="B15" s="47"/>
      <c r="C15" s="59">
        <f>IF(COUNT(B8:B11)&lt;4,"ND: faltan semanas",AVERAGE(B8:B11))</f>
        <v>2906.25</v>
      </c>
      <c r="D15" s="46"/>
      <c r="E15" s="46"/>
      <c r="F15" s="46"/>
      <c r="G15" s="46"/>
      <c r="H15" s="46"/>
      <c r="I15" s="46"/>
      <c r="J15" s="46"/>
      <c r="K15" s="47"/>
    </row>
    <row r="16" spans="1:17" ht="18" customHeight="1">
      <c r="A16" s="29" t="s">
        <v>174</v>
      </c>
      <c r="B16" s="47"/>
      <c r="C16" s="64">
        <f>IF(OR(NOT(ISNUMBER(C15)),C15=0),"ND",v_carga/C15)</f>
        <v>1.1096774193548387</v>
      </c>
      <c r="D16" s="46"/>
      <c r="E16" s="46"/>
      <c r="F16" s="46"/>
      <c r="G16" s="46"/>
      <c r="H16" s="46"/>
      <c r="I16" s="46"/>
      <c r="J16" s="46"/>
      <c r="K16" s="47"/>
      <c r="L16" s="49" t="s">
        <v>175</v>
      </c>
      <c r="M16" s="50"/>
      <c r="N16" s="50"/>
      <c r="O16" s="50"/>
      <c r="P16" s="50"/>
      <c r="Q16" s="50"/>
    </row>
    <row r="17" spans="1:17" ht="18" customHeight="1">
      <c r="A17" s="29" t="s">
        <v>176</v>
      </c>
      <c r="B17" s="47"/>
      <c r="C17" s="67">
        <f>C11</f>
        <v>0.24038461538461539</v>
      </c>
      <c r="D17" s="46"/>
      <c r="E17" s="46"/>
      <c r="F17" s="46"/>
      <c r="G17" s="46"/>
      <c r="H17" s="46"/>
      <c r="I17" s="46"/>
      <c r="J17" s="46"/>
      <c r="K17" s="47"/>
    </row>
    <row r="19" spans="1:17" ht="20.100000000000001" customHeight="1">
      <c r="A19" s="31" t="s">
        <v>177</v>
      </c>
      <c r="B19" s="46"/>
      <c r="C19" s="46"/>
      <c r="D19" s="46"/>
      <c r="E19" s="46"/>
      <c r="F19" s="46"/>
      <c r="G19" s="46"/>
      <c r="H19" s="46"/>
      <c r="I19" s="46"/>
      <c r="J19" s="46"/>
      <c r="K19" s="46"/>
      <c r="L19" s="46"/>
      <c r="M19" s="46"/>
      <c r="N19" s="46"/>
      <c r="O19" s="46"/>
      <c r="P19" s="46"/>
      <c r="Q19" s="47"/>
    </row>
    <row r="20" spans="1:17" ht="39.950000000000003" customHeight="1">
      <c r="A20" s="29" t="s">
        <v>178</v>
      </c>
      <c r="B20" s="47"/>
      <c r="C20" s="69" t="str">
        <f>IF(NOT(ISNUMBER(C17)),"ND",IF(C17&gt;u_progMax,"El aumento de "&amp;TEXT(C17,"0.0%")&amp;" supera la referencia de "&amp;TEXT(u_progMax,"0%")&amp;". No implica lesión, pero conviene verificar que la persona esté recuperando bien antes de sostenerlo.",IF(C17&lt;u_descarga,"La reducción es compatible con una semana de descarga planificada.","El cambio se mantiene dentro de la referencia.")))</f>
        <v>El aumento de 24% supera la referencia de 10%. No implica lesión, pero conviene verificar que la persona esté recuperando bien antes de sostenerlo.</v>
      </c>
      <c r="D20" s="46"/>
      <c r="E20" s="46"/>
      <c r="F20" s="46"/>
      <c r="G20" s="46"/>
      <c r="H20" s="46"/>
      <c r="I20" s="46"/>
      <c r="J20" s="46"/>
      <c r="K20" s="47"/>
    </row>
    <row r="21" spans="1:17" ht="30" customHeight="1">
      <c r="A21" s="29" t="s">
        <v>179</v>
      </c>
      <c r="B21" s="47"/>
      <c r="C21" s="45" t="str">
        <f>IF(NOT(ISNUMBER(C16)),"ND",IF(AND(C16&gt;=u_acwrMin,C16&lt;=u_acwrMax),"La carga de esta semana se mantiene próxima al promedio de las últimas cuatro.",IF(C16&gt;u_acwrMax,"La carga de esta semana se aleja hacia arriba del promedio de las últimas cuatro.","La carga de esta semana está bajo el promedio de las últimas cuatro.")))</f>
        <v>La carga de esta semana se mantiene próxima al promedio de las últimas cuatro.</v>
      </c>
      <c r="D21" s="46"/>
      <c r="E21" s="46"/>
      <c r="F21" s="46"/>
      <c r="G21" s="46"/>
      <c r="H21" s="46"/>
      <c r="I21" s="46"/>
      <c r="J21" s="46"/>
      <c r="K21" s="47"/>
    </row>
    <row r="23" spans="1:17">
      <c r="A23" s="103" t="s">
        <v>180</v>
      </c>
      <c r="B23" s="104"/>
      <c r="C23" s="104"/>
      <c r="D23" s="104"/>
      <c r="E23" s="104"/>
      <c r="F23" s="104"/>
      <c r="G23" s="104"/>
      <c r="H23" s="104"/>
      <c r="I23" s="104"/>
      <c r="J23" s="104"/>
      <c r="K23" s="104"/>
      <c r="L23" s="104"/>
      <c r="M23" s="104"/>
      <c r="N23" s="104"/>
      <c r="O23" s="104"/>
      <c r="P23" s="104"/>
      <c r="Q23" s="105"/>
    </row>
    <row r="24" spans="1:17">
      <c r="A24" s="106"/>
      <c r="B24" s="107"/>
      <c r="C24" s="107"/>
      <c r="D24" s="107"/>
      <c r="E24" s="107"/>
      <c r="F24" s="107"/>
      <c r="G24" s="107"/>
      <c r="H24" s="107"/>
      <c r="I24" s="107"/>
      <c r="J24" s="107"/>
      <c r="K24" s="107"/>
      <c r="L24" s="107"/>
      <c r="M24" s="107"/>
      <c r="N24" s="107"/>
      <c r="O24" s="107"/>
      <c r="P24" s="107"/>
      <c r="Q24" s="108"/>
    </row>
    <row r="25" spans="1:17">
      <c r="A25" s="106"/>
      <c r="B25" s="107"/>
      <c r="C25" s="107"/>
      <c r="D25" s="107"/>
      <c r="E25" s="107"/>
      <c r="F25" s="107"/>
      <c r="G25" s="107"/>
      <c r="H25" s="107"/>
      <c r="I25" s="107"/>
      <c r="J25" s="107"/>
      <c r="K25" s="107"/>
      <c r="L25" s="107"/>
      <c r="M25" s="107"/>
      <c r="N25" s="107"/>
      <c r="O25" s="107"/>
      <c r="P25" s="107"/>
      <c r="Q25" s="108"/>
    </row>
    <row r="26" spans="1:17">
      <c r="A26" s="109"/>
      <c r="B26" s="110"/>
      <c r="C26" s="110"/>
      <c r="D26" s="110"/>
      <c r="E26" s="110"/>
      <c r="F26" s="110"/>
      <c r="G26" s="110"/>
      <c r="H26" s="110"/>
      <c r="I26" s="110"/>
      <c r="J26" s="110"/>
      <c r="K26" s="110"/>
      <c r="L26" s="110"/>
      <c r="M26" s="110"/>
      <c r="N26" s="110"/>
      <c r="O26" s="110"/>
      <c r="P26" s="110"/>
      <c r="Q26" s="111"/>
    </row>
    <row r="28" spans="1:17">
      <c r="A28" s="103" t="s">
        <v>181</v>
      </c>
      <c r="B28" s="104"/>
      <c r="C28" s="104"/>
      <c r="D28" s="104"/>
      <c r="E28" s="104"/>
      <c r="F28" s="104"/>
      <c r="G28" s="104"/>
      <c r="H28" s="104"/>
      <c r="I28" s="104"/>
      <c r="J28" s="104"/>
      <c r="K28" s="104"/>
      <c r="L28" s="104"/>
      <c r="M28" s="104"/>
      <c r="N28" s="104"/>
      <c r="O28" s="104"/>
      <c r="P28" s="104"/>
      <c r="Q28" s="105"/>
    </row>
    <row r="29" spans="1:17">
      <c r="A29" s="106"/>
      <c r="B29" s="107"/>
      <c r="C29" s="107"/>
      <c r="D29" s="107"/>
      <c r="E29" s="107"/>
      <c r="F29" s="107"/>
      <c r="G29" s="107"/>
      <c r="H29" s="107"/>
      <c r="I29" s="107"/>
      <c r="J29" s="107"/>
      <c r="K29" s="107"/>
      <c r="L29" s="107"/>
      <c r="M29" s="107"/>
      <c r="N29" s="107"/>
      <c r="O29" s="107"/>
      <c r="P29" s="107"/>
      <c r="Q29" s="108"/>
    </row>
    <row r="30" spans="1:17">
      <c r="A30" s="109"/>
      <c r="B30" s="110"/>
      <c r="C30" s="110"/>
      <c r="D30" s="110"/>
      <c r="E30" s="110"/>
      <c r="F30" s="110"/>
      <c r="G30" s="110"/>
      <c r="H30" s="110"/>
      <c r="I30" s="110"/>
      <c r="J30" s="110"/>
      <c r="K30" s="110"/>
      <c r="L30" s="110"/>
      <c r="M30" s="110"/>
      <c r="N30" s="110"/>
      <c r="O30" s="110"/>
      <c r="P30" s="110"/>
      <c r="Q30" s="111"/>
    </row>
  </sheetData>
  <sheetProtection algorithmName="SHA-512" hashValue="gYJPdDm3WN1viZ5xA2HfFtL7QXAGoiFUYA10/lXtIIBYeLRYLwovNgpAMuLhlYEnrxAMNIiCeUaKNShJw3gc9Q==" saltValue="Vdaw1lrJY5YFZywcMjbGnQ==" spinCount="100000" sheet="1" objects="1" scenarios="1"/>
  <protectedRanges>
    <protectedRange sqref="B8:B10" name="Rango1"/>
  </protectedRanges>
  <mergeCells count="21">
    <mergeCell ref="A4:C4"/>
    <mergeCell ref="A19:Q19"/>
    <mergeCell ref="C20:K20"/>
    <mergeCell ref="A13:Q13"/>
    <mergeCell ref="C16:K16"/>
    <mergeCell ref="A15:B15"/>
    <mergeCell ref="A28:Q30"/>
    <mergeCell ref="A2:Q3"/>
    <mergeCell ref="A1:Q1"/>
    <mergeCell ref="C21:K21"/>
    <mergeCell ref="A6:Q6"/>
    <mergeCell ref="A16:B16"/>
    <mergeCell ref="A23:Q26"/>
    <mergeCell ref="C17:K17"/>
    <mergeCell ref="A21:B21"/>
    <mergeCell ref="A14:B14"/>
    <mergeCell ref="A17:B17"/>
    <mergeCell ref="L16:Q16"/>
    <mergeCell ref="A20:B20"/>
    <mergeCell ref="C15:K15"/>
    <mergeCell ref="C14:K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8E7E2"/>
  </sheetPr>
  <dimension ref="A1:Q17"/>
  <sheetViews>
    <sheetView showGridLines="0" workbookViewId="0">
      <selection sqref="A1:Q1"/>
    </sheetView>
  </sheetViews>
  <sheetFormatPr baseColWidth="10" defaultColWidth="9.140625" defaultRowHeight="15"/>
  <cols>
    <col min="1" max="1" width="34"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39"/>
      <c r="C1" s="39"/>
      <c r="D1" s="39"/>
      <c r="E1" s="39"/>
      <c r="F1" s="39"/>
      <c r="G1" s="39"/>
      <c r="H1" s="39"/>
      <c r="I1" s="39"/>
      <c r="J1" s="39"/>
      <c r="K1" s="39"/>
      <c r="L1" s="39"/>
      <c r="M1" s="39"/>
      <c r="N1" s="39"/>
      <c r="O1" s="39"/>
      <c r="P1" s="39"/>
      <c r="Q1" s="39"/>
    </row>
    <row r="2" spans="1:17" ht="15" customHeight="1">
      <c r="A2" s="36" t="s">
        <v>205</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30" t="str">
        <f>HYPERLINK("#INICIO!A1","▶  VOLVER A INICIO")</f>
        <v>▶  VOLVER A INICIO</v>
      </c>
      <c r="B4" s="30"/>
    </row>
    <row r="6" spans="1:17" ht="20.100000000000001" customHeight="1">
      <c r="A6" s="31" t="s">
        <v>206</v>
      </c>
      <c r="B6" s="32"/>
      <c r="C6" s="32"/>
      <c r="D6" s="32"/>
      <c r="E6" s="32"/>
      <c r="F6" s="32"/>
      <c r="G6" s="32"/>
      <c r="H6" s="32"/>
      <c r="I6" s="32"/>
      <c r="J6" s="32"/>
      <c r="K6" s="32"/>
      <c r="L6" s="32"/>
      <c r="M6" s="32"/>
      <c r="N6" s="32"/>
      <c r="O6" s="32"/>
      <c r="P6" s="32"/>
      <c r="Q6" s="32"/>
    </row>
    <row r="7" spans="1:17">
      <c r="A7" s="19" t="s">
        <v>207</v>
      </c>
      <c r="B7" s="90" t="s">
        <v>208</v>
      </c>
      <c r="C7" s="32"/>
      <c r="D7" s="32"/>
      <c r="E7" s="32"/>
      <c r="F7" s="32"/>
      <c r="G7" s="32"/>
      <c r="H7" s="32"/>
      <c r="I7" s="32"/>
      <c r="J7" s="32"/>
      <c r="K7" s="32"/>
      <c r="L7" s="32"/>
      <c r="M7" s="32"/>
      <c r="N7" s="32"/>
      <c r="O7" s="32"/>
      <c r="P7" s="32"/>
      <c r="Q7" s="32"/>
    </row>
    <row r="8" spans="1:17" ht="63.95" customHeight="1">
      <c r="A8" s="20" t="s">
        <v>209</v>
      </c>
      <c r="B8" s="88" t="s">
        <v>210</v>
      </c>
      <c r="C8" s="89"/>
      <c r="D8" s="89"/>
      <c r="E8" s="89"/>
      <c r="F8" s="89"/>
      <c r="G8" s="89"/>
      <c r="H8" s="89"/>
      <c r="I8" s="89"/>
      <c r="J8" s="89"/>
      <c r="K8" s="89"/>
      <c r="L8" s="89"/>
      <c r="M8" s="89"/>
      <c r="N8" s="89"/>
      <c r="O8" s="89"/>
      <c r="P8" s="89"/>
      <c r="Q8" s="89"/>
    </row>
    <row r="9" spans="1:17" ht="63.95" customHeight="1">
      <c r="A9" s="20" t="s">
        <v>211</v>
      </c>
      <c r="B9" s="88" t="s">
        <v>212</v>
      </c>
      <c r="C9" s="89"/>
      <c r="D9" s="89"/>
      <c r="E9" s="89"/>
      <c r="F9" s="89"/>
      <c r="G9" s="89"/>
      <c r="H9" s="89"/>
      <c r="I9" s="89"/>
      <c r="J9" s="89"/>
      <c r="K9" s="89"/>
      <c r="L9" s="89"/>
      <c r="M9" s="89"/>
      <c r="N9" s="89"/>
      <c r="O9" s="89"/>
      <c r="P9" s="89"/>
      <c r="Q9" s="89"/>
    </row>
    <row r="10" spans="1:17" ht="63.95" customHeight="1">
      <c r="A10" s="20" t="s">
        <v>213</v>
      </c>
      <c r="B10" s="88" t="s">
        <v>214</v>
      </c>
      <c r="C10" s="89"/>
      <c r="D10" s="89"/>
      <c r="E10" s="89"/>
      <c r="F10" s="89"/>
      <c r="G10" s="89"/>
      <c r="H10" s="89"/>
      <c r="I10" s="89"/>
      <c r="J10" s="89"/>
      <c r="K10" s="89"/>
      <c r="L10" s="89"/>
      <c r="M10" s="89"/>
      <c r="N10" s="89"/>
      <c r="O10" s="89"/>
      <c r="P10" s="89"/>
      <c r="Q10" s="89"/>
    </row>
    <row r="11" spans="1:17" ht="63.95" customHeight="1">
      <c r="A11" s="20" t="s">
        <v>215</v>
      </c>
      <c r="B11" s="88" t="s">
        <v>216</v>
      </c>
      <c r="C11" s="89"/>
      <c r="D11" s="89"/>
      <c r="E11" s="89"/>
      <c r="F11" s="89"/>
      <c r="G11" s="89"/>
      <c r="H11" s="89"/>
      <c r="I11" s="89"/>
      <c r="J11" s="89"/>
      <c r="K11" s="89"/>
      <c r="L11" s="89"/>
      <c r="M11" s="89"/>
      <c r="N11" s="89"/>
      <c r="O11" s="89"/>
      <c r="P11" s="89"/>
      <c r="Q11" s="89"/>
    </row>
    <row r="12" spans="1:17" ht="63.95" customHeight="1">
      <c r="A12" s="20" t="s">
        <v>217</v>
      </c>
      <c r="B12" s="88" t="s">
        <v>218</v>
      </c>
      <c r="C12" s="89"/>
      <c r="D12" s="89"/>
      <c r="E12" s="89"/>
      <c r="F12" s="89"/>
      <c r="G12" s="89"/>
      <c r="H12" s="89"/>
      <c r="I12" s="89"/>
      <c r="J12" s="89"/>
      <c r="K12" s="89"/>
      <c r="L12" s="89"/>
      <c r="M12" s="89"/>
      <c r="N12" s="89"/>
      <c r="O12" s="89"/>
      <c r="P12" s="89"/>
      <c r="Q12" s="89"/>
    </row>
    <row r="13" spans="1:17" ht="63.95" customHeight="1">
      <c r="A13" s="20" t="s">
        <v>219</v>
      </c>
      <c r="B13" s="88" t="s">
        <v>220</v>
      </c>
      <c r="C13" s="89"/>
      <c r="D13" s="89"/>
      <c r="E13" s="89"/>
      <c r="F13" s="89"/>
      <c r="G13" s="89"/>
      <c r="H13" s="89"/>
      <c r="I13" s="89"/>
      <c r="J13" s="89"/>
      <c r="K13" s="89"/>
      <c r="L13" s="89"/>
      <c r="M13" s="89"/>
      <c r="N13" s="89"/>
      <c r="O13" s="89"/>
      <c r="P13" s="89"/>
      <c r="Q13" s="89"/>
    </row>
    <row r="14" spans="1:17" ht="63.95" customHeight="1">
      <c r="A14" s="20" t="s">
        <v>221</v>
      </c>
      <c r="B14" s="88" t="s">
        <v>222</v>
      </c>
      <c r="C14" s="89"/>
      <c r="D14" s="89"/>
      <c r="E14" s="89"/>
      <c r="F14" s="89"/>
      <c r="G14" s="89"/>
      <c r="H14" s="89"/>
      <c r="I14" s="89"/>
      <c r="J14" s="89"/>
      <c r="K14" s="89"/>
      <c r="L14" s="89"/>
      <c r="M14" s="89"/>
      <c r="N14" s="89"/>
      <c r="O14" s="89"/>
      <c r="P14" s="89"/>
      <c r="Q14" s="89"/>
    </row>
    <row r="15" spans="1:17" ht="63.95" customHeight="1">
      <c r="A15" s="20" t="s">
        <v>223</v>
      </c>
      <c r="B15" s="88" t="s">
        <v>224</v>
      </c>
      <c r="C15" s="89"/>
      <c r="D15" s="89"/>
      <c r="E15" s="89"/>
      <c r="F15" s="89"/>
      <c r="G15" s="89"/>
      <c r="H15" s="89"/>
      <c r="I15" s="89"/>
      <c r="J15" s="89"/>
      <c r="K15" s="89"/>
      <c r="L15" s="89"/>
      <c r="M15" s="89"/>
      <c r="N15" s="89"/>
      <c r="O15" s="89"/>
      <c r="P15" s="89"/>
      <c r="Q15" s="89"/>
    </row>
    <row r="16" spans="1:17" ht="63.95" customHeight="1">
      <c r="A16" s="20" t="s">
        <v>225</v>
      </c>
      <c r="B16" s="88" t="s">
        <v>226</v>
      </c>
      <c r="C16" s="89"/>
      <c r="D16" s="89"/>
      <c r="E16" s="89"/>
      <c r="F16" s="89"/>
      <c r="G16" s="89"/>
      <c r="H16" s="89"/>
      <c r="I16" s="89"/>
      <c r="J16" s="89"/>
      <c r="K16" s="89"/>
      <c r="L16" s="89"/>
      <c r="M16" s="89"/>
      <c r="N16" s="89"/>
      <c r="O16" s="89"/>
      <c r="P16" s="89"/>
      <c r="Q16" s="89"/>
    </row>
    <row r="17" spans="1:17" ht="63.95" customHeight="1">
      <c r="A17" s="20" t="s">
        <v>227</v>
      </c>
      <c r="B17" s="88" t="s">
        <v>228</v>
      </c>
      <c r="C17" s="89"/>
      <c r="D17" s="89"/>
      <c r="E17" s="89"/>
      <c r="F17" s="89"/>
      <c r="G17" s="89"/>
      <c r="H17" s="89"/>
      <c r="I17" s="89"/>
      <c r="J17" s="89"/>
      <c r="K17" s="89"/>
      <c r="L17" s="89"/>
      <c r="M17" s="89"/>
      <c r="N17" s="89"/>
      <c r="O17" s="89"/>
      <c r="P17" s="89"/>
      <c r="Q17" s="89"/>
    </row>
  </sheetData>
  <sheetProtection algorithmName="SHA-512" hashValue="Mi1iVbIMVVB/gP0d5n7YHP0O9Gz3lsymutpPymPx4odpHYVDpCgj5c6fXKsmNjYJVHobSiCcT57XvrBbx6xC0g==" saltValue="ef/ZgprrJTMWJIWbEGMI9g==" spinCount="100000" sheet="1" objects="1" scenarios="1"/>
  <mergeCells count="15">
    <mergeCell ref="A1:Q1"/>
    <mergeCell ref="A2:Q3"/>
    <mergeCell ref="B13:Q13"/>
    <mergeCell ref="B16:Q16"/>
    <mergeCell ref="B15:Q15"/>
    <mergeCell ref="B7:Q7"/>
    <mergeCell ref="A4:B4"/>
    <mergeCell ref="A6:Q6"/>
    <mergeCell ref="B10:Q10"/>
    <mergeCell ref="B14:Q14"/>
    <mergeCell ref="B17:Q17"/>
    <mergeCell ref="B9:Q9"/>
    <mergeCell ref="B8:Q8"/>
    <mergeCell ref="B11:Q11"/>
    <mergeCell ref="B12:Q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BE4D5"/>
  </sheetPr>
  <dimension ref="A1:Q40"/>
  <sheetViews>
    <sheetView showGridLines="0" topLeftCell="A16" workbookViewId="0">
      <selection sqref="A1:Q1"/>
    </sheetView>
  </sheetViews>
  <sheetFormatPr baseColWidth="10" defaultColWidth="9.140625" defaultRowHeight="15"/>
  <cols>
    <col min="1" max="1" width="18.5703125" customWidth="1"/>
    <col min="2" max="2" width="54" customWidth="1"/>
    <col min="3" max="5" width="20"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39"/>
      <c r="C1" s="39"/>
      <c r="D1" s="39"/>
      <c r="E1" s="39"/>
      <c r="F1" s="39"/>
      <c r="G1" s="39"/>
      <c r="H1" s="39"/>
      <c r="I1" s="39"/>
      <c r="J1" s="39"/>
      <c r="K1" s="39"/>
      <c r="L1" s="39"/>
      <c r="M1" s="39"/>
      <c r="N1" s="39"/>
      <c r="O1" s="39"/>
      <c r="P1" s="39"/>
      <c r="Q1" s="39"/>
    </row>
    <row r="2" spans="1:17" ht="15" customHeight="1">
      <c r="A2" s="36" t="s">
        <v>229</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30" t="str">
        <f>HYPERLINK("#INICIO!A1","▶  VOLVER A INICIO")</f>
        <v>▶  VOLVER A INICIO</v>
      </c>
      <c r="B4" s="30"/>
    </row>
    <row r="6" spans="1:17">
      <c r="A6" s="21" t="s">
        <v>230</v>
      </c>
    </row>
    <row r="8" spans="1:17">
      <c r="A8" s="19" t="s">
        <v>231</v>
      </c>
      <c r="B8" s="19" t="s">
        <v>232</v>
      </c>
      <c r="C8" s="19" t="s">
        <v>233</v>
      </c>
      <c r="D8" s="19" t="s">
        <v>234</v>
      </c>
      <c r="E8" s="19" t="s">
        <v>235</v>
      </c>
    </row>
    <row r="9" spans="1:17">
      <c r="A9" s="22" t="s">
        <v>236</v>
      </c>
      <c r="B9" s="23" t="s">
        <v>237</v>
      </c>
      <c r="C9" s="22">
        <f>SEMANA!E13</f>
        <v>600</v>
      </c>
      <c r="D9" s="22">
        <v>600</v>
      </c>
      <c r="E9" s="24" t="str">
        <f t="shared" ref="E9:E38" si="0">IF(AND(ISNUMBER(C9),ISNUMBER(D9)),IF(ABS(C9-D9)&lt;=0.001,"APROBADO","REVISAR"),IF(EXACT(C9&amp;"",D9&amp;""),"APROBADO","REVISAR"))</f>
        <v>APROBADO</v>
      </c>
    </row>
    <row r="10" spans="1:17">
      <c r="A10" s="22" t="s">
        <v>236</v>
      </c>
      <c r="B10" s="23" t="s">
        <v>238</v>
      </c>
      <c r="C10" s="22">
        <f>SEMANA!E17</f>
        <v>1080</v>
      </c>
      <c r="D10" s="22">
        <v>1080</v>
      </c>
      <c r="E10" s="24" t="str">
        <f t="shared" si="0"/>
        <v>APROBADO</v>
      </c>
    </row>
    <row r="11" spans="1:17">
      <c r="A11" s="22" t="s">
        <v>236</v>
      </c>
      <c r="B11" s="23" t="s">
        <v>239</v>
      </c>
      <c r="C11" s="22">
        <f>CARGA!D8</f>
        <v>0</v>
      </c>
      <c r="D11" s="22">
        <v>0</v>
      </c>
      <c r="E11" s="24" t="str">
        <f t="shared" si="0"/>
        <v>APROBADO</v>
      </c>
    </row>
    <row r="12" spans="1:17">
      <c r="A12" s="22" t="s">
        <v>236</v>
      </c>
      <c r="B12" s="23" t="s">
        <v>240</v>
      </c>
      <c r="C12" s="22" t="str">
        <f>SEMANA!F13</f>
        <v>Zona 3 · alta</v>
      </c>
      <c r="D12" s="22" t="s">
        <v>241</v>
      </c>
      <c r="E12" s="24" t="str">
        <f t="shared" si="0"/>
        <v>APROBADO</v>
      </c>
    </row>
    <row r="13" spans="1:17">
      <c r="A13" s="22" t="s">
        <v>236</v>
      </c>
      <c r="B13" s="23" t="s">
        <v>242</v>
      </c>
      <c r="C13" s="22" t="str">
        <f>SEMANA!F14</f>
        <v>Zona 1 · suave</v>
      </c>
      <c r="D13" s="22" t="s">
        <v>243</v>
      </c>
      <c r="E13" s="24" t="str">
        <f t="shared" si="0"/>
        <v>APROBADO</v>
      </c>
    </row>
    <row r="14" spans="1:17">
      <c r="A14" s="22" t="s">
        <v>244</v>
      </c>
      <c r="B14" s="23" t="s">
        <v>245</v>
      </c>
      <c r="C14" s="22">
        <f>CARGA!C17</f>
        <v>3225</v>
      </c>
      <c r="D14" s="22">
        <v>3225</v>
      </c>
      <c r="E14" s="24" t="str">
        <f t="shared" si="0"/>
        <v>APROBADO</v>
      </c>
    </row>
    <row r="15" spans="1:17">
      <c r="A15" s="22" t="s">
        <v>244</v>
      </c>
      <c r="B15" s="23" t="s">
        <v>115</v>
      </c>
      <c r="C15" s="22">
        <f>SEMANA!C22</f>
        <v>540</v>
      </c>
      <c r="D15" s="22">
        <v>540</v>
      </c>
      <c r="E15" s="24" t="str">
        <f t="shared" si="0"/>
        <v>APROBADO</v>
      </c>
    </row>
    <row r="16" spans="1:17">
      <c r="A16" s="22" t="s">
        <v>244</v>
      </c>
      <c r="B16" s="23" t="s">
        <v>246</v>
      </c>
      <c r="C16" s="22">
        <f>CARGA!C18</f>
        <v>460.71428571428572</v>
      </c>
      <c r="D16" s="22">
        <v>460.71428571400003</v>
      </c>
      <c r="E16" s="24" t="str">
        <f t="shared" si="0"/>
        <v>APROBADO</v>
      </c>
    </row>
    <row r="17" spans="1:5">
      <c r="A17" s="22" t="s">
        <v>244</v>
      </c>
      <c r="B17" s="23" t="s">
        <v>247</v>
      </c>
      <c r="C17" s="22">
        <f>CARGA!C19</f>
        <v>373.5686970673151</v>
      </c>
      <c r="D17" s="22">
        <v>373.56869706700002</v>
      </c>
      <c r="E17" s="24" t="str">
        <f t="shared" si="0"/>
        <v>APROBADO</v>
      </c>
    </row>
    <row r="18" spans="1:5">
      <c r="A18" s="22" t="s">
        <v>244</v>
      </c>
      <c r="B18" s="23" t="s">
        <v>134</v>
      </c>
      <c r="C18" s="22">
        <f>CARGA!C20</f>
        <v>1.2332786160379692</v>
      </c>
      <c r="D18" s="22">
        <v>1.233278616</v>
      </c>
      <c r="E18" s="24" t="str">
        <f t="shared" si="0"/>
        <v>APROBADO</v>
      </c>
    </row>
    <row r="19" spans="1:5">
      <c r="A19" s="22" t="s">
        <v>244</v>
      </c>
      <c r="B19" s="23" t="s">
        <v>136</v>
      </c>
      <c r="C19" s="22">
        <f>CARGA!C21</f>
        <v>3977.3235367224506</v>
      </c>
      <c r="D19" s="22">
        <v>3977.323536722</v>
      </c>
      <c r="E19" s="24" t="str">
        <f t="shared" si="0"/>
        <v>APROBADO</v>
      </c>
    </row>
    <row r="20" spans="1:5">
      <c r="A20" s="22" t="s">
        <v>248</v>
      </c>
      <c r="B20" s="23" t="s">
        <v>249</v>
      </c>
      <c r="C20" s="22" t="str">
        <f>IF(CARGA!C20&lt;u_mono,"BAJO","SOBRE")</f>
        <v>BAJO</v>
      </c>
      <c r="D20" s="22" t="s">
        <v>250</v>
      </c>
      <c r="E20" s="24" t="str">
        <f t="shared" si="0"/>
        <v>APROBADO</v>
      </c>
    </row>
    <row r="21" spans="1:5">
      <c r="A21" s="22" t="s">
        <v>248</v>
      </c>
      <c r="B21" s="23" t="s">
        <v>138</v>
      </c>
      <c r="C21" s="22" t="str">
        <f>CARGA!C22</f>
        <v>Sábado</v>
      </c>
      <c r="D21" s="22" t="s">
        <v>107</v>
      </c>
      <c r="E21" s="24" t="str">
        <f t="shared" si="0"/>
        <v>APROBADO</v>
      </c>
    </row>
    <row r="22" spans="1:5">
      <c r="A22" s="22" t="s">
        <v>248</v>
      </c>
      <c r="B22" s="23" t="s">
        <v>251</v>
      </c>
      <c r="C22" s="22">
        <f>CARGA!C23</f>
        <v>1080</v>
      </c>
      <c r="D22" s="22">
        <v>1080</v>
      </c>
      <c r="E22" s="24" t="str">
        <f t="shared" si="0"/>
        <v>APROBADO</v>
      </c>
    </row>
    <row r="23" spans="1:5">
      <c r="A23" s="22" t="s">
        <v>252</v>
      </c>
      <c r="B23" s="23" t="s">
        <v>253</v>
      </c>
      <c r="C23" s="22">
        <f>DISTRIBUCION!C8</f>
        <v>105</v>
      </c>
      <c r="D23" s="22">
        <v>105</v>
      </c>
      <c r="E23" s="24" t="str">
        <f t="shared" si="0"/>
        <v>APROBADO</v>
      </c>
    </row>
    <row r="24" spans="1:5">
      <c r="A24" s="22" t="s">
        <v>252</v>
      </c>
      <c r="B24" s="23" t="s">
        <v>254</v>
      </c>
      <c r="C24" s="22">
        <f>DISTRIBUCION!C9</f>
        <v>270</v>
      </c>
      <c r="D24" s="22">
        <v>270</v>
      </c>
      <c r="E24" s="24" t="str">
        <f t="shared" si="0"/>
        <v>APROBADO</v>
      </c>
    </row>
    <row r="25" spans="1:5">
      <c r="A25" s="22" t="s">
        <v>252</v>
      </c>
      <c r="B25" s="23" t="s">
        <v>255</v>
      </c>
      <c r="C25" s="22">
        <f>DISTRIBUCION!C10</f>
        <v>165</v>
      </c>
      <c r="D25" s="22">
        <v>165</v>
      </c>
      <c r="E25" s="24" t="str">
        <f t="shared" si="0"/>
        <v>APROBADO</v>
      </c>
    </row>
    <row r="26" spans="1:5">
      <c r="A26" s="22" t="s">
        <v>252</v>
      </c>
      <c r="B26" s="23" t="s">
        <v>256</v>
      </c>
      <c r="C26" s="22">
        <f>DISTRIBUCION!C11</f>
        <v>540</v>
      </c>
      <c r="D26" s="22">
        <v>540</v>
      </c>
      <c r="E26" s="24" t="str">
        <f t="shared" si="0"/>
        <v>APROBADO</v>
      </c>
    </row>
    <row r="27" spans="1:5">
      <c r="A27" s="22" t="s">
        <v>252</v>
      </c>
      <c r="B27" s="23" t="s">
        <v>157</v>
      </c>
      <c r="C27" s="22">
        <f>DISTRIBUCION!D8</f>
        <v>0.19444444444444445</v>
      </c>
      <c r="D27" s="22">
        <v>0.19444444399999999</v>
      </c>
      <c r="E27" s="24" t="str">
        <f t="shared" si="0"/>
        <v>APROBADO</v>
      </c>
    </row>
    <row r="28" spans="1:5">
      <c r="A28" s="22" t="s">
        <v>252</v>
      </c>
      <c r="B28" s="23" t="s">
        <v>158</v>
      </c>
      <c r="C28" s="22">
        <f>DISTRIBUCION!D10</f>
        <v>0.30555555555555558</v>
      </c>
      <c r="D28" s="22">
        <v>0.30555555600000001</v>
      </c>
      <c r="E28" s="24" t="str">
        <f t="shared" si="0"/>
        <v>APROBADO</v>
      </c>
    </row>
    <row r="29" spans="1:5">
      <c r="A29" s="22" t="s">
        <v>252</v>
      </c>
      <c r="B29" s="23" t="s">
        <v>257</v>
      </c>
      <c r="C29" s="22">
        <f>DISTRIBUCION!G10</f>
        <v>1320</v>
      </c>
      <c r="D29" s="22">
        <v>1320</v>
      </c>
      <c r="E29" s="24" t="str">
        <f t="shared" si="0"/>
        <v>APROBADO</v>
      </c>
    </row>
    <row r="30" spans="1:5">
      <c r="A30" s="22" t="s">
        <v>252</v>
      </c>
      <c r="B30" s="23" t="s">
        <v>258</v>
      </c>
      <c r="C30" s="22" t="str">
        <f>IF(DISTRIBUCION!H10&gt;DISTRIBUCION!D10,"MÁS","MENOS")</f>
        <v>MÁS</v>
      </c>
      <c r="D30" s="22" t="s">
        <v>259</v>
      </c>
      <c r="E30" s="24" t="str">
        <f t="shared" si="0"/>
        <v>APROBADO</v>
      </c>
    </row>
    <row r="31" spans="1:5">
      <c r="A31" s="22" t="s">
        <v>260</v>
      </c>
      <c r="B31" s="23" t="s">
        <v>261</v>
      </c>
      <c r="C31" s="22" t="str">
        <f>IF(ISNUMBER(SEARCH("MENOR que la de referencia",DISTRIBUCION!C17)),"ADVIERTE","NO ADVIERTE")</f>
        <v>ADVIERTE</v>
      </c>
      <c r="D31" s="22" t="s">
        <v>262</v>
      </c>
      <c r="E31" s="24" t="str">
        <f t="shared" si="0"/>
        <v>APROBADO</v>
      </c>
    </row>
    <row r="32" spans="1:5">
      <c r="A32" s="22" t="s">
        <v>263</v>
      </c>
      <c r="B32" s="23" t="s">
        <v>264</v>
      </c>
      <c r="C32" s="22">
        <f>PROGRESION!C15</f>
        <v>2906.25</v>
      </c>
      <c r="D32" s="22">
        <v>2906.25</v>
      </c>
      <c r="E32" s="24" t="str">
        <f t="shared" si="0"/>
        <v>APROBADO</v>
      </c>
    </row>
    <row r="33" spans="1:5">
      <c r="A33" s="22" t="s">
        <v>263</v>
      </c>
      <c r="B33" s="23" t="s">
        <v>179</v>
      </c>
      <c r="C33" s="22">
        <f>PROGRESION!C16</f>
        <v>1.1096774193548387</v>
      </c>
      <c r="D33" s="22">
        <v>1.1096774190000001</v>
      </c>
      <c r="E33" s="24" t="str">
        <f t="shared" si="0"/>
        <v>APROBADO</v>
      </c>
    </row>
    <row r="34" spans="1:5">
      <c r="A34" s="22" t="s">
        <v>263</v>
      </c>
      <c r="B34" s="23" t="s">
        <v>176</v>
      </c>
      <c r="C34" s="22">
        <f>PROGRESION!C17</f>
        <v>0.24038461538461539</v>
      </c>
      <c r="D34" s="22">
        <v>0.240384615</v>
      </c>
      <c r="E34" s="24" t="str">
        <f t="shared" si="0"/>
        <v>APROBADO</v>
      </c>
    </row>
    <row r="35" spans="1:5">
      <c r="A35" s="22" t="s">
        <v>263</v>
      </c>
      <c r="B35" s="23" t="s">
        <v>265</v>
      </c>
      <c r="C35" s="22" t="str">
        <f>IF(PROGRESION!C17&gt;u_progMax,"SUPERA","DENTRO")</f>
        <v>SUPERA</v>
      </c>
      <c r="D35" s="22" t="s">
        <v>266</v>
      </c>
      <c r="E35" s="24" t="str">
        <f t="shared" si="0"/>
        <v>APROBADO</v>
      </c>
    </row>
    <row r="36" spans="1:5">
      <c r="A36" s="22" t="s">
        <v>267</v>
      </c>
      <c r="B36" s="23" t="s">
        <v>268</v>
      </c>
      <c r="C36" s="22">
        <f>SEMANA!C25</f>
        <v>1</v>
      </c>
      <c r="D36" s="22">
        <v>1</v>
      </c>
      <c r="E36" s="24" t="str">
        <f t="shared" si="0"/>
        <v>APROBADO</v>
      </c>
    </row>
    <row r="37" spans="1:5">
      <c r="A37" s="22" t="s">
        <v>267</v>
      </c>
      <c r="B37" s="23" t="s">
        <v>119</v>
      </c>
      <c r="C37" s="22">
        <f>SEMANA!C26</f>
        <v>2</v>
      </c>
      <c r="D37" s="22">
        <v>2</v>
      </c>
      <c r="E37" s="24" t="str">
        <f t="shared" si="0"/>
        <v>APROBADO</v>
      </c>
    </row>
    <row r="38" spans="1:5">
      <c r="A38" s="22" t="s">
        <v>269</v>
      </c>
      <c r="B38" s="23" t="s">
        <v>270</v>
      </c>
      <c r="C38" s="22" t="str">
        <f>IF(ISNUMBER(""),"NUMERO","ND")</f>
        <v>ND</v>
      </c>
      <c r="D38" s="22" t="s">
        <v>271</v>
      </c>
      <c r="E38" s="24" t="str">
        <f t="shared" si="0"/>
        <v>APROBADO</v>
      </c>
    </row>
    <row r="40" spans="1:5">
      <c r="A40" s="25" t="s">
        <v>272</v>
      </c>
      <c r="B40" s="26" t="s">
        <v>273</v>
      </c>
      <c r="C40" s="25">
        <f>COUNTIF(E9:E38,"APROBADO")</f>
        <v>30</v>
      </c>
      <c r="D40" s="25">
        <f>COUNTA(E9:E38)</f>
        <v>30</v>
      </c>
      <c r="E40" s="25" t="str">
        <f>IF(C40=D40,"TODAS APROBADAS","HAY PRUEBAS POR REVISAR")</f>
        <v>TODAS APROBADAS</v>
      </c>
    </row>
  </sheetData>
  <sheetProtection algorithmName="SHA-512" hashValue="ymblm0OwZqiHGzKmeSWwM1RdPYLR6x+IldT54fflxVTV0syOpIhKxgj7aD9GbIho5FOXNKpFepGOnSNrCuml2w==" saltValue="8aiAnbaXggt9JkWoBfpOUQ==" spinCount="100000" sheet="1" objects="1" scenarios="1"/>
  <mergeCells count="3">
    <mergeCell ref="A4:B4"/>
    <mergeCell ref="A1:Q1"/>
    <mergeCell ref="A2:Q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A6B70"/>
  </sheetPr>
  <dimension ref="A1:Q41"/>
  <sheetViews>
    <sheetView showGridLines="0" tabSelected="1" topLeftCell="A4" workbookViewId="0">
      <selection activeCell="G22" sqref="G22"/>
    </sheetView>
  </sheetViews>
  <sheetFormatPr baseColWidth="10" defaultColWidth="9.140625" defaultRowHeight="15"/>
  <cols>
    <col min="1" max="1" width="46" customWidth="1"/>
    <col min="2" max="2" width="15" customWidth="1"/>
    <col min="3" max="3" width="12" customWidth="1"/>
    <col min="4" max="4" width="42" customWidth="1"/>
    <col min="5" max="5" width="16.85546875"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50"/>
      <c r="C1" s="50"/>
      <c r="D1" s="50"/>
      <c r="E1" s="50"/>
      <c r="F1" s="50"/>
      <c r="G1" s="50"/>
      <c r="H1" s="50"/>
      <c r="I1" s="50"/>
      <c r="J1" s="50"/>
      <c r="K1" s="50"/>
      <c r="L1" s="50"/>
      <c r="M1" s="50"/>
      <c r="N1" s="50"/>
      <c r="O1" s="50"/>
      <c r="P1" s="50"/>
      <c r="Q1" s="50"/>
    </row>
    <row r="2" spans="1:17" ht="15" customHeight="1">
      <c r="A2" s="36" t="s">
        <v>274</v>
      </c>
      <c r="B2" s="50"/>
      <c r="C2" s="50"/>
      <c r="D2" s="50"/>
      <c r="E2" s="50"/>
      <c r="F2" s="50"/>
      <c r="G2" s="50"/>
      <c r="H2" s="50"/>
      <c r="I2" s="50"/>
      <c r="J2" s="50"/>
      <c r="K2" s="50"/>
      <c r="L2" s="50"/>
      <c r="M2" s="50"/>
      <c r="N2" s="50"/>
      <c r="O2" s="50"/>
      <c r="P2" s="50"/>
      <c r="Q2" s="50"/>
    </row>
    <row r="3" spans="1:17" ht="15" customHeight="1">
      <c r="A3" s="50"/>
      <c r="B3" s="50"/>
      <c r="C3" s="50"/>
      <c r="D3" s="50"/>
      <c r="E3" s="50"/>
      <c r="F3" s="50"/>
      <c r="G3" s="50"/>
      <c r="H3" s="50"/>
      <c r="I3" s="50"/>
      <c r="J3" s="50"/>
      <c r="K3" s="50"/>
      <c r="L3" s="50"/>
      <c r="M3" s="50"/>
      <c r="N3" s="50"/>
      <c r="O3" s="50"/>
      <c r="P3" s="50"/>
      <c r="Q3" s="50"/>
    </row>
    <row r="4" spans="1:17" ht="24" customHeight="1">
      <c r="A4" s="30" t="str">
        <f>HYPERLINK("#INICIO!A1","▶  VOLVER A INICIO")</f>
        <v>▶  VOLVER A INICIO</v>
      </c>
      <c r="B4" s="47"/>
    </row>
    <row r="6" spans="1:17" ht="20.100000000000001" customHeight="1">
      <c r="A6" s="31" t="s">
        <v>275</v>
      </c>
      <c r="B6" s="46"/>
      <c r="C6" s="46"/>
      <c r="D6" s="46"/>
      <c r="E6" s="46"/>
      <c r="F6" s="46"/>
      <c r="G6" s="46"/>
      <c r="H6" s="46"/>
      <c r="I6" s="46"/>
      <c r="J6" s="46"/>
      <c r="K6" s="46"/>
      <c r="L6" s="46"/>
      <c r="M6" s="46"/>
      <c r="N6" s="46"/>
      <c r="O6" s="46"/>
      <c r="P6" s="46"/>
      <c r="Q6" s="47"/>
    </row>
    <row r="7" spans="1:17" ht="32.1" customHeight="1">
      <c r="A7" s="1" t="s">
        <v>88</v>
      </c>
      <c r="B7" s="1" t="s">
        <v>276</v>
      </c>
      <c r="C7" s="1" t="s">
        <v>277</v>
      </c>
      <c r="D7" s="1" t="s">
        <v>278</v>
      </c>
      <c r="E7" s="1" t="s">
        <v>279</v>
      </c>
    </row>
    <row r="8" spans="1:17">
      <c r="A8" s="11" t="s">
        <v>243</v>
      </c>
      <c r="B8" s="2">
        <v>1</v>
      </c>
      <c r="C8" s="2">
        <v>4</v>
      </c>
      <c r="D8" s="11" t="s">
        <v>280</v>
      </c>
      <c r="E8" s="3">
        <v>0.75</v>
      </c>
    </row>
    <row r="9" spans="1:17">
      <c r="A9" s="11" t="s">
        <v>281</v>
      </c>
      <c r="B9" s="2">
        <v>5</v>
      </c>
      <c r="C9" s="2">
        <v>6</v>
      </c>
      <c r="D9" s="11" t="s">
        <v>282</v>
      </c>
      <c r="E9" s="3">
        <v>0.1</v>
      </c>
    </row>
    <row r="10" spans="1:17">
      <c r="A10" s="11" t="s">
        <v>241</v>
      </c>
      <c r="B10" s="2">
        <v>7</v>
      </c>
      <c r="C10" s="2">
        <v>10</v>
      </c>
      <c r="D10" s="11" t="s">
        <v>283</v>
      </c>
      <c r="E10" s="3">
        <v>0.15</v>
      </c>
    </row>
    <row r="11" spans="1:17">
      <c r="A11" s="94" t="s">
        <v>284</v>
      </c>
      <c r="B11" s="95"/>
      <c r="C11" s="95"/>
      <c r="D11" s="95"/>
      <c r="E11" s="95"/>
      <c r="F11" s="95"/>
      <c r="G11" s="95"/>
      <c r="H11" s="95"/>
      <c r="I11" s="95"/>
      <c r="J11" s="95"/>
      <c r="K11" s="95"/>
      <c r="L11" s="95"/>
      <c r="M11" s="95"/>
      <c r="N11" s="95"/>
      <c r="O11" s="95"/>
      <c r="P11" s="95"/>
      <c r="Q11" s="96"/>
    </row>
    <row r="12" spans="1:17">
      <c r="A12" s="97"/>
      <c r="B12" s="98"/>
      <c r="C12" s="98"/>
      <c r="D12" s="98"/>
      <c r="E12" s="98"/>
      <c r="F12" s="98"/>
      <c r="G12" s="98"/>
      <c r="H12" s="98"/>
      <c r="I12" s="98"/>
      <c r="J12" s="98"/>
      <c r="K12" s="98"/>
      <c r="L12" s="98"/>
      <c r="M12" s="98"/>
      <c r="N12" s="98"/>
      <c r="O12" s="98"/>
      <c r="P12" s="98"/>
      <c r="Q12" s="99"/>
    </row>
    <row r="13" spans="1:17">
      <c r="A13" s="97"/>
      <c r="B13" s="98"/>
      <c r="C13" s="98"/>
      <c r="D13" s="98"/>
      <c r="E13" s="98"/>
      <c r="F13" s="98"/>
      <c r="G13" s="98"/>
      <c r="H13" s="98"/>
      <c r="I13" s="98"/>
      <c r="J13" s="98"/>
      <c r="K13" s="98"/>
      <c r="L13" s="98"/>
      <c r="M13" s="98"/>
      <c r="N13" s="98"/>
      <c r="O13" s="98"/>
      <c r="P13" s="98"/>
      <c r="Q13" s="99"/>
    </row>
    <row r="14" spans="1:17">
      <c r="A14" s="100"/>
      <c r="B14" s="101"/>
      <c r="C14" s="101"/>
      <c r="D14" s="101"/>
      <c r="E14" s="101"/>
      <c r="F14" s="101"/>
      <c r="G14" s="101"/>
      <c r="H14" s="101"/>
      <c r="I14" s="101"/>
      <c r="J14" s="101"/>
      <c r="K14" s="101"/>
      <c r="L14" s="101"/>
      <c r="M14" s="101"/>
      <c r="N14" s="101"/>
      <c r="O14" s="101"/>
      <c r="P14" s="101"/>
      <c r="Q14" s="102"/>
    </row>
    <row r="16" spans="1:17" ht="20.100000000000001" customHeight="1">
      <c r="A16" s="31" t="s">
        <v>285</v>
      </c>
      <c r="B16" s="46"/>
      <c r="C16" s="46"/>
      <c r="D16" s="46"/>
      <c r="E16" s="46"/>
      <c r="F16" s="46"/>
      <c r="G16" s="46"/>
      <c r="H16" s="46"/>
      <c r="I16" s="46"/>
      <c r="J16" s="46"/>
      <c r="K16" s="46"/>
      <c r="L16" s="46"/>
      <c r="M16" s="46"/>
      <c r="N16" s="46"/>
      <c r="O16" s="46"/>
      <c r="P16" s="46"/>
      <c r="Q16" s="47"/>
    </row>
    <row r="17" spans="1:17">
      <c r="A17" s="91" t="s">
        <v>286</v>
      </c>
      <c r="B17" s="46"/>
      <c r="C17" s="47"/>
      <c r="D17" s="4" t="s">
        <v>287</v>
      </c>
      <c r="E17" s="2">
        <v>2</v>
      </c>
    </row>
    <row r="18" spans="1:17">
      <c r="A18" s="91" t="s">
        <v>288</v>
      </c>
      <c r="B18" s="46"/>
      <c r="C18" s="47"/>
      <c r="D18" s="4" t="s">
        <v>289</v>
      </c>
      <c r="E18" s="3">
        <v>0.1</v>
      </c>
    </row>
    <row r="19" spans="1:17">
      <c r="A19" s="91" t="s">
        <v>290</v>
      </c>
      <c r="B19" s="46"/>
      <c r="C19" s="47"/>
      <c r="D19" s="4" t="s">
        <v>289</v>
      </c>
      <c r="E19" s="3">
        <v>-0.3</v>
      </c>
    </row>
    <row r="20" spans="1:17">
      <c r="A20" s="91" t="s">
        <v>291</v>
      </c>
      <c r="B20" s="46"/>
      <c r="C20" s="47"/>
      <c r="D20" s="4" t="s">
        <v>287</v>
      </c>
      <c r="E20" s="2">
        <v>0.8</v>
      </c>
    </row>
    <row r="21" spans="1:17">
      <c r="A21" s="91" t="s">
        <v>292</v>
      </c>
      <c r="B21" s="46"/>
      <c r="C21" s="47"/>
      <c r="D21" s="4" t="s">
        <v>287</v>
      </c>
      <c r="E21" s="2">
        <v>1.3</v>
      </c>
    </row>
    <row r="22" spans="1:17">
      <c r="A22" s="91" t="s">
        <v>293</v>
      </c>
      <c r="B22" s="46"/>
      <c r="C22" s="47"/>
      <c r="D22" s="4" t="s">
        <v>294</v>
      </c>
      <c r="E22" s="2">
        <v>4</v>
      </c>
    </row>
    <row r="23" spans="1:17">
      <c r="A23" s="91" t="s">
        <v>295</v>
      </c>
      <c r="B23" s="46"/>
      <c r="C23" s="47"/>
      <c r="D23" s="4" t="s">
        <v>296</v>
      </c>
      <c r="E23" s="2">
        <v>1</v>
      </c>
    </row>
    <row r="24" spans="1:17">
      <c r="A24" s="91" t="s">
        <v>213</v>
      </c>
      <c r="B24" s="46"/>
      <c r="C24" s="47"/>
      <c r="D24" s="4" t="s">
        <v>297</v>
      </c>
      <c r="E24" s="2" t="s">
        <v>298</v>
      </c>
    </row>
    <row r="25" spans="1:17">
      <c r="A25" s="91" t="s">
        <v>299</v>
      </c>
      <c r="B25" s="46"/>
      <c r="C25" s="47"/>
      <c r="D25" s="4" t="s">
        <v>300</v>
      </c>
      <c r="E25" s="2">
        <v>1E-4</v>
      </c>
    </row>
    <row r="26" spans="1:17">
      <c r="A26" s="103" t="s">
        <v>301</v>
      </c>
      <c r="B26" s="104"/>
      <c r="C26" s="104"/>
      <c r="D26" s="104"/>
      <c r="E26" s="104"/>
      <c r="F26" s="104"/>
      <c r="G26" s="104"/>
      <c r="H26" s="104"/>
      <c r="I26" s="104"/>
      <c r="J26" s="104"/>
      <c r="K26" s="104"/>
      <c r="L26" s="104"/>
      <c r="M26" s="104"/>
      <c r="N26" s="104"/>
      <c r="O26" s="104"/>
      <c r="P26" s="104"/>
      <c r="Q26" s="105"/>
    </row>
    <row r="27" spans="1:17">
      <c r="A27" s="106"/>
      <c r="B27" s="107"/>
      <c r="C27" s="107"/>
      <c r="D27" s="107"/>
      <c r="E27" s="107"/>
      <c r="F27" s="107"/>
      <c r="G27" s="107"/>
      <c r="H27" s="107"/>
      <c r="I27" s="107"/>
      <c r="J27" s="107"/>
      <c r="K27" s="107"/>
      <c r="L27" s="107"/>
      <c r="M27" s="107"/>
      <c r="N27" s="107"/>
      <c r="O27" s="107"/>
      <c r="P27" s="107"/>
      <c r="Q27" s="108"/>
    </row>
    <row r="28" spans="1:17">
      <c r="A28" s="106"/>
      <c r="B28" s="107"/>
      <c r="C28" s="107"/>
      <c r="D28" s="107"/>
      <c r="E28" s="107"/>
      <c r="F28" s="107"/>
      <c r="G28" s="107"/>
      <c r="H28" s="107"/>
      <c r="I28" s="107"/>
      <c r="J28" s="107"/>
      <c r="K28" s="107"/>
      <c r="L28" s="107"/>
      <c r="M28" s="107"/>
      <c r="N28" s="107"/>
      <c r="O28" s="107"/>
      <c r="P28" s="107"/>
      <c r="Q28" s="108"/>
    </row>
    <row r="29" spans="1:17">
      <c r="A29" s="109"/>
      <c r="B29" s="110"/>
      <c r="C29" s="110"/>
      <c r="D29" s="110"/>
      <c r="E29" s="110"/>
      <c r="F29" s="110"/>
      <c r="G29" s="110"/>
      <c r="H29" s="110"/>
      <c r="I29" s="110"/>
      <c r="J29" s="110"/>
      <c r="K29" s="110"/>
      <c r="L29" s="110"/>
      <c r="M29" s="110"/>
      <c r="N29" s="110"/>
      <c r="O29" s="110"/>
      <c r="P29" s="110"/>
      <c r="Q29" s="111"/>
    </row>
    <row r="31" spans="1:17" ht="20.100000000000001" customHeight="1">
      <c r="A31" s="31" t="s">
        <v>302</v>
      </c>
      <c r="B31" s="46"/>
      <c r="C31" s="46"/>
      <c r="D31" s="46"/>
      <c r="E31" s="46"/>
      <c r="F31" s="46"/>
      <c r="G31" s="46"/>
      <c r="H31" s="46"/>
      <c r="I31" s="46"/>
      <c r="J31" s="46"/>
      <c r="K31" s="46"/>
      <c r="L31" s="46"/>
      <c r="M31" s="46"/>
      <c r="N31" s="46"/>
      <c r="O31" s="46"/>
      <c r="P31" s="46"/>
      <c r="Q31" s="47"/>
    </row>
    <row r="32" spans="1:17">
      <c r="A32" s="7" t="s">
        <v>303</v>
      </c>
      <c r="D32" s="7" t="s">
        <v>304</v>
      </c>
      <c r="G32" s="7" t="s">
        <v>305</v>
      </c>
      <c r="J32" s="7" t="s">
        <v>306</v>
      </c>
      <c r="M32" s="7" t="s">
        <v>307</v>
      </c>
    </row>
    <row r="33" spans="1:13">
      <c r="A33" s="11" t="s">
        <v>91</v>
      </c>
      <c r="D33" s="11" t="s">
        <v>92</v>
      </c>
      <c r="G33" s="11" t="s">
        <v>308</v>
      </c>
      <c r="J33" s="11" t="s">
        <v>309</v>
      </c>
      <c r="M33" s="11" t="s">
        <v>68</v>
      </c>
    </row>
    <row r="34" spans="1:13">
      <c r="A34" s="11" t="s">
        <v>94</v>
      </c>
      <c r="D34" s="11" t="s">
        <v>99</v>
      </c>
      <c r="G34" s="11" t="s">
        <v>64</v>
      </c>
      <c r="J34" s="11" t="s">
        <v>60</v>
      </c>
      <c r="M34" s="11" t="s">
        <v>310</v>
      </c>
    </row>
    <row r="35" spans="1:13">
      <c r="A35" s="11" t="s">
        <v>98</v>
      </c>
      <c r="D35" s="11" t="s">
        <v>108</v>
      </c>
      <c r="G35" s="11" t="s">
        <v>311</v>
      </c>
      <c r="M35" s="11" t="s">
        <v>102</v>
      </c>
    </row>
    <row r="36" spans="1:13">
      <c r="A36" s="11" t="s">
        <v>101</v>
      </c>
      <c r="D36" s="11" t="s">
        <v>95</v>
      </c>
      <c r="G36" s="11" t="s">
        <v>312</v>
      </c>
      <c r="M36" s="11" t="s">
        <v>313</v>
      </c>
    </row>
    <row r="37" spans="1:13">
      <c r="A37" s="11" t="s">
        <v>104</v>
      </c>
      <c r="D37" s="11" t="s">
        <v>102</v>
      </c>
      <c r="G37" s="11" t="s">
        <v>314</v>
      </c>
    </row>
    <row r="38" spans="1:13">
      <c r="A38" s="11" t="s">
        <v>107</v>
      </c>
      <c r="D38" s="11" t="s">
        <v>315</v>
      </c>
      <c r="G38" s="11" t="s">
        <v>316</v>
      </c>
    </row>
    <row r="39" spans="1:13">
      <c r="A39" s="11" t="s">
        <v>111</v>
      </c>
      <c r="D39" s="11" t="s">
        <v>317</v>
      </c>
    </row>
    <row r="40" spans="1:13">
      <c r="D40" s="11" t="s">
        <v>318</v>
      </c>
    </row>
    <row r="41" spans="1:13">
      <c r="D41" s="11" t="s">
        <v>105</v>
      </c>
    </row>
  </sheetData>
  <sheetProtection algorithmName="SHA-512" hashValue="gbYtkfg2PSrccaJMftWoucvHr+lJtZPwa68SDyb8KCtW+6mdtNLp261XOvbgJqWV0j+XBqc0Cxqk5bqmOjefIg==" saltValue="mpK+YewHXYFiNHWSYkCQIA==" spinCount="100000" sheet="1" objects="1" scenarios="1"/>
  <protectedRanges>
    <protectedRange sqref="E17:E25" name="Rango3"/>
    <protectedRange sqref="E8:E10" name="Rango2"/>
    <protectedRange sqref="B8:C10" name="Rango1"/>
  </protectedRanges>
  <mergeCells count="17">
    <mergeCell ref="A2:Q3"/>
    <mergeCell ref="A21:C21"/>
    <mergeCell ref="A24:C24"/>
    <mergeCell ref="A20:C20"/>
    <mergeCell ref="A1:Q1"/>
    <mergeCell ref="A4:B4"/>
    <mergeCell ref="A25:C25"/>
    <mergeCell ref="A6:Q6"/>
    <mergeCell ref="A31:Q31"/>
    <mergeCell ref="A19:C19"/>
    <mergeCell ref="A23:C23"/>
    <mergeCell ref="A26:Q29"/>
    <mergeCell ref="A22:C22"/>
    <mergeCell ref="A17:C17"/>
    <mergeCell ref="A16:Q16"/>
    <mergeCell ref="A18:C18"/>
    <mergeCell ref="A11:Q1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7C7CB"/>
  </sheetPr>
  <dimension ref="A1:Q13"/>
  <sheetViews>
    <sheetView showGridLines="0" workbookViewId="0"/>
  </sheetViews>
  <sheetFormatPr baseColWidth="10" defaultColWidth="9.140625" defaultRowHeight="15"/>
  <cols>
    <col min="1" max="1" width="12" customWidth="1"/>
    <col min="2" max="2" width="14"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38" t="s">
        <v>0</v>
      </c>
      <c r="B1" s="39"/>
      <c r="C1" s="39"/>
      <c r="D1" s="39"/>
      <c r="E1" s="39"/>
      <c r="F1" s="39"/>
      <c r="G1" s="39"/>
      <c r="H1" s="39"/>
      <c r="I1" s="39"/>
      <c r="J1" s="39"/>
      <c r="K1" s="39"/>
      <c r="L1" s="39"/>
      <c r="M1" s="39"/>
      <c r="N1" s="39"/>
      <c r="O1" s="39"/>
      <c r="P1" s="39"/>
      <c r="Q1" s="39"/>
    </row>
    <row r="2" spans="1:17" ht="15" customHeight="1">
      <c r="A2" s="36" t="s">
        <v>319</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30" t="str">
        <f>HYPERLINK("#INICIO!A1","▶  VOLVER A INICIO")</f>
        <v>▶  VOLVER A INICIO</v>
      </c>
      <c r="B4" s="30"/>
    </row>
    <row r="6" spans="1:17">
      <c r="A6" s="19" t="s">
        <v>15</v>
      </c>
      <c r="B6" s="19" t="s">
        <v>17</v>
      </c>
      <c r="C6" s="90" t="s">
        <v>320</v>
      </c>
      <c r="D6" s="46"/>
      <c r="E6" s="46"/>
      <c r="F6" s="46"/>
      <c r="G6" s="46"/>
      <c r="H6" s="46"/>
      <c r="I6" s="47"/>
      <c r="J6" s="50"/>
      <c r="K6" s="50"/>
      <c r="L6" s="50"/>
      <c r="M6" s="50"/>
      <c r="N6" s="50"/>
      <c r="O6" s="50"/>
      <c r="P6" s="50"/>
      <c r="Q6" s="50"/>
    </row>
    <row r="7" spans="1:17" ht="45.95" customHeight="1">
      <c r="A7" s="27" t="s">
        <v>16</v>
      </c>
      <c r="B7" s="27" t="s">
        <v>18</v>
      </c>
      <c r="C7" s="88" t="s">
        <v>321</v>
      </c>
      <c r="D7" s="89"/>
      <c r="E7" s="89"/>
      <c r="F7" s="89"/>
      <c r="G7" s="89"/>
      <c r="H7" s="89"/>
      <c r="I7" s="89"/>
      <c r="J7" s="88" t="s">
        <v>322</v>
      </c>
      <c r="K7" s="89"/>
      <c r="L7" s="89"/>
      <c r="M7" s="89"/>
      <c r="N7" s="89"/>
      <c r="O7" s="89"/>
      <c r="P7" s="89"/>
      <c r="Q7" s="89"/>
    </row>
    <row r="8" spans="1:17" ht="45.95" customHeight="1">
      <c r="A8" s="27" t="s">
        <v>16</v>
      </c>
      <c r="B8" s="27" t="s">
        <v>18</v>
      </c>
      <c r="C8" s="88" t="s">
        <v>323</v>
      </c>
      <c r="D8" s="89"/>
      <c r="E8" s="89"/>
      <c r="F8" s="89"/>
      <c r="G8" s="89"/>
      <c r="H8" s="89"/>
      <c r="I8" s="89"/>
      <c r="J8" s="88" t="s">
        <v>324</v>
      </c>
      <c r="K8" s="89"/>
      <c r="L8" s="89"/>
      <c r="M8" s="89"/>
      <c r="N8" s="89"/>
      <c r="O8" s="89"/>
      <c r="P8" s="89"/>
      <c r="Q8" s="89"/>
    </row>
    <row r="9" spans="1:17" ht="45.95" customHeight="1">
      <c r="A9" s="27" t="s">
        <v>16</v>
      </c>
      <c r="B9" s="27" t="s">
        <v>18</v>
      </c>
      <c r="C9" s="88" t="s">
        <v>325</v>
      </c>
      <c r="D9" s="89"/>
      <c r="E9" s="89"/>
      <c r="F9" s="89"/>
      <c r="G9" s="89"/>
      <c r="H9" s="89"/>
      <c r="I9" s="89"/>
      <c r="J9" s="88" t="s">
        <v>326</v>
      </c>
      <c r="K9" s="89"/>
      <c r="L9" s="89"/>
      <c r="M9" s="89"/>
      <c r="N9" s="89"/>
      <c r="O9" s="89"/>
      <c r="P9" s="89"/>
      <c r="Q9" s="89"/>
    </row>
    <row r="10" spans="1:17" ht="45.95" customHeight="1">
      <c r="A10" s="27" t="s">
        <v>16</v>
      </c>
      <c r="B10" s="27" t="s">
        <v>18</v>
      </c>
      <c r="C10" s="88" t="s">
        <v>327</v>
      </c>
      <c r="D10" s="89"/>
      <c r="E10" s="89"/>
      <c r="F10" s="89"/>
      <c r="G10" s="89"/>
      <c r="H10" s="89"/>
      <c r="I10" s="89"/>
      <c r="J10" s="88" t="s">
        <v>328</v>
      </c>
      <c r="K10" s="89"/>
      <c r="L10" s="89"/>
      <c r="M10" s="89"/>
      <c r="N10" s="89"/>
      <c r="O10" s="89"/>
      <c r="P10" s="89"/>
      <c r="Q10" s="89"/>
    </row>
    <row r="11" spans="1:17" ht="45.95" customHeight="1">
      <c r="A11" s="27" t="s">
        <v>16</v>
      </c>
      <c r="B11" s="27" t="s">
        <v>18</v>
      </c>
      <c r="C11" s="88" t="s">
        <v>329</v>
      </c>
      <c r="D11" s="89"/>
      <c r="E11" s="89"/>
      <c r="F11" s="89"/>
      <c r="G11" s="89"/>
      <c r="H11" s="89"/>
      <c r="I11" s="89"/>
      <c r="J11" s="88" t="s">
        <v>330</v>
      </c>
      <c r="K11" s="89"/>
      <c r="L11" s="89"/>
      <c r="M11" s="89"/>
      <c r="N11" s="89"/>
      <c r="O11" s="89"/>
      <c r="P11" s="89"/>
      <c r="Q11" s="89"/>
    </row>
    <row r="12" spans="1:17" ht="45.95" customHeight="1">
      <c r="A12" s="27" t="s">
        <v>16</v>
      </c>
      <c r="B12" s="27" t="s">
        <v>18</v>
      </c>
      <c r="C12" s="88" t="s">
        <v>331</v>
      </c>
      <c r="D12" s="89"/>
      <c r="E12" s="89"/>
      <c r="F12" s="89"/>
      <c r="G12" s="89"/>
      <c r="H12" s="89"/>
      <c r="I12" s="89"/>
      <c r="J12" s="88" t="s">
        <v>332</v>
      </c>
      <c r="K12" s="89"/>
      <c r="L12" s="89"/>
      <c r="M12" s="89"/>
      <c r="N12" s="89"/>
      <c r="O12" s="89"/>
      <c r="P12" s="89"/>
      <c r="Q12" s="89"/>
    </row>
    <row r="13" spans="1:17" ht="45.95" customHeight="1">
      <c r="A13" s="27" t="s">
        <v>16</v>
      </c>
      <c r="B13" s="27" t="s">
        <v>18</v>
      </c>
      <c r="C13" s="88" t="s">
        <v>333</v>
      </c>
      <c r="D13" s="89"/>
      <c r="E13" s="89"/>
      <c r="F13" s="89"/>
      <c r="G13" s="89"/>
      <c r="H13" s="89"/>
      <c r="I13" s="89"/>
      <c r="J13" s="88" t="s">
        <v>334</v>
      </c>
      <c r="K13" s="89"/>
      <c r="L13" s="89"/>
      <c r="M13" s="89"/>
      <c r="N13" s="89"/>
      <c r="O13" s="89"/>
      <c r="P13" s="89"/>
      <c r="Q13" s="89"/>
    </row>
  </sheetData>
  <mergeCells count="19">
    <mergeCell ref="C11:I11"/>
    <mergeCell ref="J8:Q8"/>
    <mergeCell ref="C8:I8"/>
    <mergeCell ref="A2:Q3"/>
    <mergeCell ref="C7:I7"/>
    <mergeCell ref="J10:Q10"/>
    <mergeCell ref="J13:Q13"/>
    <mergeCell ref="A1:Q1"/>
    <mergeCell ref="J9:Q9"/>
    <mergeCell ref="C13:I13"/>
    <mergeCell ref="J6:Q6"/>
    <mergeCell ref="C6:I6"/>
    <mergeCell ref="J11:Q11"/>
    <mergeCell ref="J7:Q7"/>
    <mergeCell ref="C10:I10"/>
    <mergeCell ref="A4:B4"/>
    <mergeCell ref="C9:I9"/>
    <mergeCell ref="J12:Q12"/>
    <mergeCell ref="C12:I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20</vt:i4>
      </vt:variant>
    </vt:vector>
  </HeadingPairs>
  <TitlesOfParts>
    <vt:vector size="31" baseType="lpstr">
      <vt:lpstr>INICIO</vt:lpstr>
      <vt:lpstr>DATOS</vt:lpstr>
      <vt:lpstr>SEMANA</vt:lpstr>
      <vt:lpstr>CARGA</vt:lpstr>
      <vt:lpstr>DISTRIBUCION</vt:lpstr>
      <vt:lpstr>PANEL</vt:lpstr>
      <vt:lpstr>PROGRESION</vt:lpstr>
      <vt:lpstr>FUENTES</vt:lpstr>
      <vt:lpstr>PRUEBAS</vt:lpstr>
      <vt:lpstr>CONFIG</vt:lpstr>
      <vt:lpstr>CHANGELOG</vt:lpstr>
      <vt:lpstr>k_de</vt:lpstr>
      <vt:lpstr>k_descanso</vt:lpstr>
      <vt:lpstr>k_semCron</vt:lpstr>
      <vt:lpstr>k_tol</vt:lpstr>
      <vt:lpstr>lst_dia</vt:lpstr>
      <vt:lpstr>lst_fase</vt:lpstr>
      <vt:lpstr>lst_modelo</vt:lpstr>
      <vt:lpstr>lst_si</vt:lpstr>
      <vt:lpstr>lst_tipo</vt:lpstr>
      <vt:lpstr>rng_zonas</vt:lpstr>
      <vt:lpstr>u_acwrMax</vt:lpstr>
      <vt:lpstr>u_acwrMin</vt:lpstr>
      <vt:lpstr>u_descarga</vt:lpstr>
      <vt:lpstr>u_mono</vt:lpstr>
      <vt:lpstr>u_progMax</vt:lpstr>
      <vt:lpstr>v_carga</vt:lpstr>
      <vt:lpstr>v_modelo</vt:lpstr>
      <vt:lpstr>v_mono</vt:lpstr>
      <vt:lpstr>v_semana</vt:lpstr>
      <vt:lpstr>v_strain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cp:lastModifiedBy>
  <dcterms:created xsi:type="dcterms:W3CDTF">2026-07-24T00:22:46Z</dcterms:created>
  <dcterms:modified xsi:type="dcterms:W3CDTF">2026-08-14T20:15:20Z</dcterms:modified>
</cp:coreProperties>
</file>
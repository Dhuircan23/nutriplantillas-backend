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aniel\AppData\Local\Temp\Rar$DIa91372.24850\"/>
    </mc:Choice>
  </mc:AlternateContent>
  <xr:revisionPtr revIDLastSave="0" documentId="13_ncr:1_{E30229F8-2291-440A-B391-0EE88983BA1D}" xr6:coauthVersionLast="47" xr6:coauthVersionMax="47" xr10:uidLastSave="{00000000-0000-0000-0000-000000000000}"/>
  <bookViews>
    <workbookView xWindow="-120" yWindow="-120" windowWidth="29040" windowHeight="15840" tabRatio="500" activeTab="2" xr2:uid="{00000000-000D-0000-FFFF-FFFF00000000}"/>
  </bookViews>
  <sheets>
    <sheet name="INICIO" sheetId="1" r:id="rId1"/>
    <sheet name="CATALOGO" sheetId="2" r:id="rId2"/>
    <sheet name="FLUJO" sheetId="3" r:id="rId3"/>
    <sheet name="CONEXIONES" sheetId="4" r:id="rId4"/>
    <sheet name="LICENCIA" sheetId="5" r:id="rId5"/>
    <sheet name="VERIFICACION" sheetId="6" r:id="rId6"/>
    <sheet name="PRUEBAS" sheetId="8" r:id="rId7"/>
    <sheet name="FUENTES" sheetId="7" r:id="rId8"/>
    <sheet name="CONFIG" sheetId="9" state="hidden" r:id="rId9"/>
    <sheet name="CHANGELOG" sheetId="10" state="hidden" r:id="rId10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" i="6" l="1"/>
  <c r="C3" i="10" l="1"/>
  <c r="A3" i="10"/>
  <c r="C3" i="9"/>
  <c r="A3" i="9"/>
  <c r="E18" i="8"/>
  <c r="C17" i="8"/>
  <c r="E17" i="8" s="1"/>
  <c r="C15" i="8"/>
  <c r="E15" i="8" s="1"/>
  <c r="C14" i="8"/>
  <c r="E14" i="8" s="1"/>
  <c r="C13" i="8"/>
  <c r="E13" i="8" s="1"/>
  <c r="C11" i="8"/>
  <c r="E11" i="8" s="1"/>
  <c r="C10" i="8"/>
  <c r="E10" i="8" s="1"/>
  <c r="C6" i="8"/>
  <c r="E6" i="8" s="1"/>
  <c r="E3" i="8"/>
  <c r="C3" i="8"/>
  <c r="A3" i="8"/>
  <c r="C3" i="7"/>
  <c r="A3" i="7"/>
  <c r="D13" i="6"/>
  <c r="D12" i="6"/>
  <c r="D11" i="6"/>
  <c r="C3" i="6"/>
  <c r="A3" i="6"/>
  <c r="C3" i="5"/>
  <c r="A3" i="5"/>
  <c r="E3" i="4"/>
  <c r="C3" i="4"/>
  <c r="A3" i="4"/>
  <c r="E3" i="3"/>
  <c r="C3" i="3"/>
  <c r="A3" i="3"/>
  <c r="F12" i="2"/>
  <c r="C9" i="8" s="1"/>
  <c r="E9" i="8" s="1"/>
  <c r="E12" i="2"/>
  <c r="C16" i="8" s="1"/>
  <c r="E16" i="8" s="1"/>
  <c r="D3" i="2"/>
  <c r="C3" i="2"/>
  <c r="A3" i="2"/>
  <c r="I3" i="1"/>
  <c r="H3" i="1"/>
  <c r="G3" i="1"/>
  <c r="F3" i="1"/>
  <c r="E3" i="1"/>
  <c r="D3" i="1"/>
  <c r="C3" i="1"/>
  <c r="B3" i="1"/>
  <c r="A3" i="1"/>
  <c r="C7" i="8" l="1"/>
  <c r="E7" i="8" s="1"/>
  <c r="C8" i="8"/>
  <c r="E8" i="8" s="1"/>
  <c r="C12" i="8"/>
  <c r="E12" i="8" s="1"/>
  <c r="C20" i="8" l="1"/>
  <c r="E20" i="8" s="1"/>
</calcChain>
</file>

<file path=xl/sharedStrings.xml><?xml version="1.0" encoding="utf-8"?>
<sst xmlns="http://schemas.openxmlformats.org/spreadsheetml/2006/main" count="363" uniqueCount="266">
  <si>
    <t>NUTRIMETRÍA  ·  NMX-28</t>
  </si>
  <si>
    <t>Guía del pack de antropometría · documenta CINCO archivos independientes · traspaso de datos MANUAL, sin vínculos ni integración automática · versión 1.0.1 · Fase 8</t>
  </si>
  <si>
    <t>Código del paquete</t>
  </si>
  <si>
    <t>NMX-28</t>
  </si>
  <si>
    <t>Versión</t>
  </si>
  <si>
    <t>1.0.1</t>
  </si>
  <si>
    <t>Fecha</t>
  </si>
  <si>
    <t>2026-07-24</t>
  </si>
  <si>
    <t>Componentes</t>
  </si>
  <si>
    <t>NMX-41 · NMX-36 · NMX-12 · NMX-16 · NMX-34</t>
  </si>
  <si>
    <t>Alcance</t>
  </si>
  <si>
    <t>Evaluación de la composición corporal y la forma en personas adultas.</t>
  </si>
  <si>
    <t>Estado de distribución</t>
  </si>
  <si>
    <t>LIBRE · ningún componente incorpora la base INTA (todos con motor propio).</t>
  </si>
  <si>
    <t>Responsable</t>
  </si>
  <si>
    <t>Equipo Nutrimetría (completar por el titular)</t>
  </si>
  <si>
    <t>QUÉ ES ESTE ARCHIVO</t>
  </si>
  <si>
    <t>Este libro es la GUÍA del pack de antropometría, no una herramienta de cálculo. No mide ni estima nada: toda la operación ocurre dentro de los cinco componentes, que son archivos independientes.</t>
  </si>
  <si>
    <t>Sirve para cuatro cosas: qué hace cada componente, en qué orden usarlos, qué dato se traspasa de uno a otro, y qué se puede distribuir.</t>
  </si>
  <si>
    <t>Los cinco cubren la secuencia antropométrica: verificar el instrumento y el evaluador, tomar pliegues, estimar la composición completa, describir la forma y, opcionalmente, comunicar el resultado.</t>
  </si>
  <si>
    <t>AVISO DE ALCANCE</t>
  </si>
  <si>
    <t>EXACTITUD MATEMÁTICA ≠ VALIDACIÓN CLÍNICA. Ninguno de los componentes está validado clínicamente ni constituye diagnóstico.</t>
  </si>
  <si>
    <t>Los métodos ESTIMAN la composición; la referencia son la densitometría (DEXA) y el pesaje hidrostático. La calidad depende de la técnica del evaluador (estándar ISAK).</t>
  </si>
  <si>
    <t>NMX-34 (edad metabólica) es un constructo NO validado y de uso EDUCATIVO: no lo presente como diagnóstico ni lo use en personas con trastorno de la conducta alimentaria o alto riesgo.</t>
  </si>
  <si>
    <t>El pack NO calcula requerimientos energéticos ni evalúa la ingesta: eso está en otros módulos de la colección.</t>
  </si>
  <si>
    <t>Los componentes son archivos independientes: NO hay vínculos automáticos. Cada traspaso de dato se hace a mano y debe verificarse.</t>
  </si>
  <si>
    <t>Sin respaldo de INTA, Universidad de Chile ni ISAK. Esta revisión no sustituye asesoría jurídica ni científica.</t>
  </si>
  <si>
    <t>POR DÓNDE EMPEZAR</t>
  </si>
  <si>
    <t>1</t>
  </si>
  <si>
    <t>Lea COMPONENTES para saber qué hace cada uno de los cinco.</t>
  </si>
  <si>
    <t>2</t>
  </si>
  <si>
    <t>Revise ORDEN: el instrumento se verifica ANTES de medir; sin conocer el error del evaluador, un cambio de pliegue no se puede interpretar.</t>
  </si>
  <si>
    <t>3</t>
  </si>
  <si>
    <t>Antes del primer caso real, lea CONEXIONES: documenta qué se copia de un componente a otro y evita remedir los mismos pliegues.</t>
  </si>
  <si>
    <t>4</t>
  </si>
  <si>
    <t>Consulte LICENCIA: este pack es distribuible, pero el componente pendiente NMX-20 SÍ arrastra la restricción de la base INTA.</t>
  </si>
  <si>
    <t>5</t>
  </si>
  <si>
    <t>Use VERIFICAR para confirmar que los cinco archivos están presentes y con sus pruebas aprobadas.</t>
  </si>
  <si>
    <t>6</t>
  </si>
  <si>
    <t>Para el detalle de CADA fórmula (coeficientes, población, fuente), remítase a NMX-15 · Biblioteca de fórmulas.</t>
  </si>
  <si>
    <t>Los cinco componentes del pack</t>
  </si>
  <si>
    <t>COMPOSICIÓN DEL PACK</t>
  </si>
  <si>
    <t>Código</t>
  </si>
  <si>
    <t>Herramienta</t>
  </si>
  <si>
    <t>Qué resuelve</t>
  </si>
  <si>
    <t>Resultado principal</t>
  </si>
  <si>
    <t>Hojas</t>
  </si>
  <si>
    <t>Base INTA</t>
  </si>
  <si>
    <t>NMX-41</t>
  </si>
  <si>
    <t>Software acompañante para plicómetro</t>
  </si>
  <si>
    <t>Verifica el instrumento contra patrones y calcula el error técnico de medición del evaluador.</t>
  </si>
  <si>
    <t>Plicómetro verificado, ETM intra/interevaluador y cambio mínimo detectable.</t>
  </si>
  <si>
    <t>No</t>
  </si>
  <si>
    <t>NMX-36</t>
  </si>
  <si>
    <t>Plicometría especializada</t>
  </si>
  <si>
    <t>Toma pliegues por duplicado y estima el porcentaje de grasa por cuatro ecuaciones estandarizadas.</t>
  </si>
  <si>
    <t>%grasa (JP7/JP3, Durnin–Womersley, Faulkner), Σ pliegues, MG y MLG.</t>
  </si>
  <si>
    <t>NMX-12</t>
  </si>
  <si>
    <t>Grasa y composición corporal</t>
  </si>
  <si>
    <t>Estima composición por pliegues, circunferencias e IMC, con índices y clasificación MINSAL/OMS.</t>
  </si>
  <si>
    <t>%grasa, MG, MLG, IMG/IMLG, ICC/ICE y clasificación por IMC y cintura.</t>
  </si>
  <si>
    <t>NMX-16</t>
  </si>
  <si>
    <t>Somatotipo y somatocarta</t>
  </si>
  <si>
    <t>Determina los tres componentes de Heath–Carter y ubica la forma en la somatocarta.</t>
  </si>
  <si>
    <t>Endomorfia, mesomorfia, ectomorfia y coordenadas (X,Y) con clasificación.</t>
  </si>
  <si>
    <t>NMX-34</t>
  </si>
  <si>
    <t>Indicador educativo de edad metabólica</t>
  </si>
  <si>
    <t>Traduce la masa libre de grasa a una 'edad' con fines de comunicación (constructo NO validado).</t>
  </si>
  <si>
    <t>Indicador educativo, sensibilidad y demostración de circularidad.</t>
  </si>
  <si>
    <t>TOTAL</t>
  </si>
  <si>
    <t>QUÉ CUBRE Y QUÉ NO CUBRE</t>
  </si>
  <si>
    <t>CUBRE</t>
  </si>
  <si>
    <t>La secuencia antropométrica: verificar el instrumento y el evaluador, tomar pliegues, estimar composición, describir la forma y comunicar el resultado.</t>
  </si>
  <si>
    <t>Población adulta (≥18 años). NMX-34 es educativo y no validado.</t>
  </si>
  <si>
    <t>NO CUBRE</t>
  </si>
  <si>
    <t>Requerimientos energéticos, ingesta ni planificación: están en otros módulos.</t>
  </si>
  <si>
    <t>Población pediátrica de crecimiento (peso/talla/IMC por edad): eso es NMX-09, fuera de este pack.</t>
  </si>
  <si>
    <t>PENDIENTE</t>
  </si>
  <si>
    <t>NMX-20 (formulario integral de composición y somatotipo) completaría el pack, pero incorpora la base INTA y no fue entregado: queda fuera hasta resolver licencia.</t>
  </si>
  <si>
    <t>En qué orden usar los componentes</t>
  </si>
  <si>
    <t>El orden importa: el instrumento y el evaluador se verifican ANTES de medir; y los mismos pliegues alimentan varios componentes. Saltarse una etapa obliga a suponer un dato que otra habría entregado medido.</t>
  </si>
  <si>
    <t>Etapa</t>
  </si>
  <si>
    <t>Componente</t>
  </si>
  <si>
    <t>Cuándo</t>
  </si>
  <si>
    <t>Qué produce</t>
  </si>
  <si>
    <t>Qué necesita antes</t>
  </si>
  <si>
    <t>1 · Verificar</t>
  </si>
  <si>
    <t>Antes de medir</t>
  </si>
  <si>
    <t>Instrumento verificado contra patrones y ETM del evaluador.</t>
  </si>
  <si>
    <t>Mediciones por duplicado y bloques de espesor conocido.</t>
  </si>
  <si>
    <t>2 · Medir pliegues</t>
  </si>
  <si>
    <t>Con el instrumento verificado</t>
  </si>
  <si>
    <t>%grasa por 4 ecuaciones, Σ pliegues, MG y MLG.</t>
  </si>
  <si>
    <t>Pliegues del lado derecho; ecuación validada para la población.</t>
  </si>
  <si>
    <t>3 · Composición</t>
  </si>
  <si>
    <t>Cuando se requiere más que pliegues</t>
  </si>
  <si>
    <t>%grasa (pliegues/circunf./IMC), índices y clasificación MINSAL/OMS.</t>
  </si>
  <si>
    <t>Pliegues, circunferencias, peso, talla, edad, sexo.</t>
  </si>
  <si>
    <t>4 · Forma</t>
  </si>
  <si>
    <t>Para describir el biotipo</t>
  </si>
  <si>
    <t>Endo/meso/ectomorfia y somatocarta.</t>
  </si>
  <si>
    <t>Pliegues (tríceps, subescap., supraespinal), diámetros, perímetros, peso, talla.</t>
  </si>
  <si>
    <t>5 · Comunicar (opcional)</t>
  </si>
  <si>
    <t>Sólo con fines educativos</t>
  </si>
  <si>
    <t>Indicador de edad metabólica (NO validado) y su sensibilidad.</t>
  </si>
  <si>
    <t>%grasa / MLG, edad, sexo, peso, talla.</t>
  </si>
  <si>
    <t>DECISIONES QUE CONVIENE TENER CLARAS</t>
  </si>
  <si>
    <t>NMX-36 y NMX-12 se solapan en el %grasa por pliegues: use NMX-36 si su foco es la plicometría de seguimiento (doble medición y ETM); use NMX-12 si además necesita circunferencias, IMC y clasificación.</t>
  </si>
  <si>
    <t>NMX-41 va SIEMPRE antes de medir. Sin conocer el error del evaluador, una variación de pliegue puede ser sólo ruido del método.</t>
  </si>
  <si>
    <t>NMX-34 es opcional y educativo: no es diagnóstico, no compara personas y no se usa ante riesgo de trastorno alimentario.</t>
  </si>
  <si>
    <t>Use la MISMA conversión densidad→%grasa (Siri o Brožek) en NMX-36 y NMX-12 para que los resultados sean comparables.</t>
  </si>
  <si>
    <t>Qué dato pasa de un componente a otro</t>
  </si>
  <si>
    <t>Los componentes son archivos INDEPENDIENTES: no hay vínculos automáticos. Cada traspaso se hace copiando el dato a mano. Documentar qué se copia evita remedir los mismos pliegues y transcribir mal.</t>
  </si>
  <si>
    <t>Origen</t>
  </si>
  <si>
    <t>Dato que se traspasa</t>
  </si>
  <si>
    <t>Destino</t>
  </si>
  <si>
    <t>Dónde se pega</t>
  </si>
  <si>
    <t>Por qué importa</t>
  </si>
  <si>
    <t>Verificación del instrumento y ETM del evaluador</t>
  </si>
  <si>
    <t>NMX-36 · NMX-12 · NMX-16</t>
  </si>
  <si>
    <t>Hoja DATOS / observaciones</t>
  </si>
  <si>
    <t>Valida la calidad de los pliegues antes de estimar la composición.</t>
  </si>
  <si>
    <t>(común)</t>
  </si>
  <si>
    <t>Peso, talla, edad y sexo</t>
  </si>
  <si>
    <t>NMX-36 · NMX-12 · NMX-16 · NMX-34</t>
  </si>
  <si>
    <t>Hoja DATOS</t>
  </si>
  <si>
    <t>Determinan ecuaciones aplicables, índices y clasificación.</t>
  </si>
  <si>
    <t>Pliegues tríceps, subescapular, suprailíaco, abdominal</t>
  </si>
  <si>
    <t>Hoja DATOS / pliegues</t>
  </si>
  <si>
    <t>Mismos sitios: evita medir dos veces y mantiene coherencia.</t>
  </si>
  <si>
    <t>Pliegues tríceps, subescapular y supraespinal</t>
  </si>
  <si>
    <t>Panel MEDIDAS (endomorfia)</t>
  </si>
  <si>
    <t>La endomorfia usa esos tres sitios ya medidos.</t>
  </si>
  <si>
    <t>NMX-36 · NMX-12</t>
  </si>
  <si>
    <t>%grasa y masa libre de grasa</t>
  </si>
  <si>
    <t>Es el insumo directo del indicador de edad metabólica.</t>
  </si>
  <si>
    <t>NMX-12 · NMX-16</t>
  </si>
  <si>
    <t>Composición y somatotipo de la sesión</t>
  </si>
  <si>
    <t>Informe / ficha</t>
  </si>
  <si>
    <t>Documento del paciente</t>
  </si>
  <si>
    <t>Cierra la evaluación antropométrica en un solo registro.</t>
  </si>
  <si>
    <t>EL TRASPASO QUE MÁS SE EQUIVOCA: los pliegues compartidos entre NMX-36, NMX-12 y NMX-16. Mídalos UNA vez y cópielos; volver a medir introduce dos errores de evaluador distintos para el mismo sitio.</t>
  </si>
  <si>
    <t>Qué se puede distribuir y qué no</t>
  </si>
  <si>
    <t>A diferencia del paquete clínico NMX-P1, este pack NO depende de la Tabla de Composición INTA: los cinco componentes tienen motor propio y son DISTRIBUIBLES. Esta revisión no sustituye asesoría jurídica.</t>
  </si>
  <si>
    <t>¿Base INTA?</t>
  </si>
  <si>
    <t>Situación de distribución</t>
  </si>
  <si>
    <t>Motor propio: distribuible.</t>
  </si>
  <si>
    <t>Ecuaciones y coeficientes (hechos no protegibles): distribuible.</t>
  </si>
  <si>
    <t>Ecuaciones propias: distribuible.</t>
  </si>
  <si>
    <t>Método Heath–Carter (ecuaciones): distribuible.</t>
  </si>
  <si>
    <t>Indicador de edad metabólica</t>
  </si>
  <si>
    <t>Distribuible; ⚠ constructo NO validado, presentarlo como educativo.</t>
  </si>
  <si>
    <t>Integridad del pack · antes de usarlo o entregarlo</t>
  </si>
  <si>
    <t>Marque cada archivo como presente tras comprobar que abre sin errores y que su hoja PRUEBAS está aprobada. Un archivo que abre con pruebas en revisión no está listo para uso.</t>
  </si>
  <si>
    <t>Archivo esperado</t>
  </si>
  <si>
    <t>¿Presente?</t>
  </si>
  <si>
    <t>¿Pruebas OK?</t>
  </si>
  <si>
    <t>Observaciones</t>
  </si>
  <si>
    <t>NMX-41_Software_Acompanante_Plicometro_v1_0.xlsx</t>
  </si>
  <si>
    <t>1.0</t>
  </si>
  <si>
    <t>Presente</t>
  </si>
  <si>
    <t>Sí</t>
  </si>
  <si>
    <t>NMX-36_INICIO_aprobado.xlsx</t>
  </si>
  <si>
    <t>'aprobado'</t>
  </si>
  <si>
    <t>NMX-12_INICIO_aprobado.xlsx</t>
  </si>
  <si>
    <t>NMX-16_INICIO_aprobado.xlsx</t>
  </si>
  <si>
    <t>NMX-34_Indicador_Educativo_Edad_Metabolica_v1_0.xlsx</t>
  </si>
  <si>
    <t>Existe un duplicado sin sufijo de versión: conservar el v1_0.</t>
  </si>
  <si>
    <t>Archivos presentes</t>
  </si>
  <si>
    <t>Con pruebas aprobadas</t>
  </si>
  <si>
    <t>Hojas sumadas</t>
  </si>
  <si>
    <t>Antes de entregar a un tercero: retire los casos de ejemplo, confirme que ningún archivo contiene datos de pacientes (son datos sensibles de salud) y documente al responsable profesional.</t>
  </si>
  <si>
    <t>Alcance común y métodos de los componentes</t>
  </si>
  <si>
    <t>Para el detalle de cada fórmula (autor, año, población, coeficientes, DOI), consulte NMX-15 · Biblioteca de fórmulas. Aquí sólo el alcance común del pack.</t>
  </si>
  <si>
    <t>Elemento</t>
  </si>
  <si>
    <t>Detalle</t>
  </si>
  <si>
    <t>Estándar de medición</t>
  </si>
  <si>
    <t>ISAK — puntos anatómicos, técnica de pliegues, diámetros y perímetros del lado derecho. La reproducibilidad depende de la acreditación del evaluador.</t>
  </si>
  <si>
    <t>Densidad y %grasa</t>
  </si>
  <si>
    <t>Jackson–Pollock (1978/1980), Durnin–Womersley (1974), Faulkner (1968), con conversión de Siri (1961) o Brožek (1963). Ecuaciones y coeficientes (hechos no protegibles).</t>
  </si>
  <si>
    <t>Circunferencias e IMC</t>
  </si>
  <si>
    <t>US Navy (Hodgdon &amp; Beckett, 1984) y Deurenberg (1991). Estimaciones poblacionales, menos precisas en el individuo.</t>
  </si>
  <si>
    <t>Somatotipo</t>
  </si>
  <si>
    <t>Método antropométrico de Heath–Carter (Carter, 1990/2002). Describe la forma, no la composición.</t>
  </si>
  <si>
    <t>Fiabilidad</t>
  </si>
  <si>
    <t>Error técnico de medición (ETM) y cambio mínimo detectable según ISAK; límites 5% intra y 7,5% interevaluador.</t>
  </si>
  <si>
    <t>Edad metabólica</t>
  </si>
  <si>
    <t>Katch–McArdle (sin edad) + Mifflin–St Jeor (con edad). Constructo NO validado; se incluye de forma transparente y educativa.</t>
  </si>
  <si>
    <t>Clasificación</t>
  </si>
  <si>
    <t>Cortes de IMC, cintura e índices de distribución de MINSAL/OMS. Rangos de %grasa de ACE, sólo referenciales.</t>
  </si>
  <si>
    <t>Dato ausente</t>
  </si>
  <si>
    <t>Principio común de la colección: un valor no informado NUNCA se interpreta como cero.</t>
  </si>
  <si>
    <t>Validación</t>
  </si>
  <si>
    <t>EXACTITUD MATEMÁTICA ≠ VALIDACIÓN CLÍNICA. La referencia son DEXA y el pesaje hidrostático. Ningún componente diagnostica.</t>
  </si>
  <si>
    <t>Control de calidad de la guía · consistencia del catálogo y los recuentos</t>
  </si>
  <si>
    <t>Esta guía no calcula resultados clínicos: las pruebas verifican que el catálogo, el flujo, la licencia y la verificación son internamente consistentes. Las pruebas clínicas están en cada componente. Estado = OK si |Obtenido−Esperado| ≤ CONFIG!B7.</t>
  </si>
  <si>
    <t>Bloque</t>
  </si>
  <si>
    <t>Descripción de la prueba</t>
  </si>
  <si>
    <t>Obtenido</t>
  </si>
  <si>
    <t>Esperado</t>
  </si>
  <si>
    <t>Estado</t>
  </si>
  <si>
    <t>A</t>
  </si>
  <si>
    <t>Componentes en el catálogo</t>
  </si>
  <si>
    <t>Hojas sumadas (catálogo)</t>
  </si>
  <si>
    <t>Componentes con base de composición INTA</t>
  </si>
  <si>
    <t>Componentes sin base de composición</t>
  </si>
  <si>
    <t>B</t>
  </si>
  <si>
    <t>Etapas del flujo de trabajo</t>
  </si>
  <si>
    <t>Traspasos de datos documentados</t>
  </si>
  <si>
    <t>C</t>
  </si>
  <si>
    <t>Componentes bloqueados para distribución</t>
  </si>
  <si>
    <t>Archivos marcados como presentes</t>
  </si>
  <si>
    <t>Archivos con pruebas aprobadas</t>
  </si>
  <si>
    <t>D</t>
  </si>
  <si>
    <t>Hojas sumadas en la verificación</t>
  </si>
  <si>
    <t>El recuento verificación coincide con el catálogo (dif=0)</t>
  </si>
  <si>
    <t>E</t>
  </si>
  <si>
    <t>Componentes pendientes de integrar (NMX-20)</t>
  </si>
  <si>
    <t>F</t>
  </si>
  <si>
    <t>Un valor ausente NO se interpreta como cero</t>
  </si>
  <si>
    <t>ND</t>
  </si>
  <si>
    <t>RESUMEN</t>
  </si>
  <si>
    <t>Pruebas OK</t>
  </si>
  <si>
    <t>Parámetros del pack</t>
  </si>
  <si>
    <t>Este libro es la GUÍA del pack: no calcula nada clínico. Toda la operación ocurre dentro de los cinco componentes, que son archivos independientes.</t>
  </si>
  <si>
    <t>PARÁMETROS</t>
  </si>
  <si>
    <t>Parámetro</t>
  </si>
  <si>
    <t>Valor</t>
  </si>
  <si>
    <t>Unidad</t>
  </si>
  <si>
    <t>Nota</t>
  </si>
  <si>
    <t>Tolerancia de las pruebas</t>
  </si>
  <si>
    <t>±</t>
  </si>
  <si>
    <t>Margen de los recuentos</t>
  </si>
  <si>
    <t>Componentes del pack</t>
  </si>
  <si>
    <t>módulos</t>
  </si>
  <si>
    <t>NMX-41, 36, 12, 16, 34</t>
  </si>
  <si>
    <t>Componentes con base de composición</t>
  </si>
  <si>
    <t>Ninguno usa la Tabla INTA</t>
  </si>
  <si>
    <t>Todos con motor propio</t>
  </si>
  <si>
    <t>Hojas de trabajo sumadas</t>
  </si>
  <si>
    <t>hojas</t>
  </si>
  <si>
    <t>10+9+8+9+9</t>
  </si>
  <si>
    <t>Componentes pendientes de integrar</t>
  </si>
  <si>
    <t>NMX-20 (bloqueado por INTA)</t>
  </si>
  <si>
    <t>traspasos</t>
  </si>
  <si>
    <t>Ver CONEXIONES</t>
  </si>
  <si>
    <t>Etapas del flujo</t>
  </si>
  <si>
    <t>etapas</t>
  </si>
  <si>
    <t>Ver FLUJO</t>
  </si>
  <si>
    <t>Historial de versiones</t>
  </si>
  <si>
    <t>Cambio</t>
  </si>
  <si>
    <t>Motivo</t>
  </si>
  <si>
    <t>Versión inicial de NMX-28: guía del pack de antropometría (5 componentes) con catálogo, flujo, mapa de traspasos, licencia, verificación y pruebas de consistencia.</t>
  </si>
  <si>
    <t>Fase 8 · empaquetar los componentes antropométricos ya construidos.</t>
  </si>
  <si>
    <t>Equipo Nutrimetría</t>
  </si>
  <si>
    <t>Diseño visual, navegación y paleta replicados de NMX-10 / NMX-P1 aprobados.</t>
  </si>
  <si>
    <t>Unificar la identidad de la colección.</t>
  </si>
  <si>
    <t>El pack se declara DISTRIBUIBLE: ninguno de los cinco componentes incorpora la base INTA.</t>
  </si>
  <si>
    <t>Diferencia clave frente al paquete clínico NMX-P1, que sí está bloqueado.</t>
  </si>
  <si>
    <t>NMX-20 queda como componente PENDIENTE (no entregado y bloqueado por INTA).</t>
  </si>
  <si>
    <t>Se empaqueta al completar sus componentes; NMX-20 requiere resolver licencia.</t>
  </si>
  <si>
    <t>Código asignado NMX-28 por indicación del titular. Nota: por convención (NMX-P1) los paquetes llevan prefijo 'P'; renombrable a NMX-P-# si se desea.</t>
  </si>
  <si>
    <t>Coherencia con la numeración de la colección; decisión del titular.</t>
  </si>
  <si>
    <t>2026-08-01</t>
  </si>
  <si>
    <t>Se aclara la posición del producto en el encabezado: NMX-28 es la GUÍA de un pack de cinco archivos INDEPENDIENTES (NMX-41, 36, 12, 16, 34); no es una herramienta integrada y todo traspaso de datos es MANUAL (ya documentado en CONEXIONES).</t>
  </si>
  <si>
    <t>Evitar que el rótulo Pack sugiera integración o traspaso automático inexistentes.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</si>
</sst>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Calibri"/>
      <family val="2"/>
      <charset val="1"/>
    </font>
    <font>
      <b/>
      <sz val="20"/>
      <color rgb="FFFFFFFF"/>
      <name val="Arial"/>
      <charset val="1"/>
    </font>
    <font>
      <b/>
      <sz val="12"/>
      <color rgb="FFFFFFFF"/>
      <name val="Arial"/>
      <charset val="1"/>
    </font>
    <font>
      <b/>
      <sz val="10"/>
      <color rgb="FFFFFFFF"/>
      <name val="Calibri"/>
      <charset val="1"/>
    </font>
    <font>
      <b/>
      <sz val="11"/>
      <color rgb="FF1A1A1A"/>
      <name val="Arial"/>
      <charset val="1"/>
    </font>
    <font>
      <b/>
      <sz val="10"/>
      <color rgb="FF1A1A1A"/>
      <name val="Arial"/>
      <charset val="1"/>
    </font>
    <font>
      <b/>
      <sz val="11"/>
      <color rgb="FFFFFFFF"/>
      <name val="Arial"/>
      <charset val="1"/>
    </font>
    <font>
      <sz val="10"/>
      <color rgb="FF1A1A1A"/>
      <name val="Arial"/>
      <charset val="1"/>
    </font>
    <font>
      <b/>
      <sz val="14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color rgb="FF155E6C"/>
      <name val="Arial"/>
      <charset val="1"/>
    </font>
    <font>
      <b/>
      <sz val="9"/>
      <color rgb="FF1A1A1A"/>
      <name val="Arial"/>
      <charset val="1"/>
    </font>
    <font>
      <sz val="9"/>
      <color rgb="FF1A1A1A"/>
      <name val="Arial"/>
      <charset val="1"/>
    </font>
    <font>
      <sz val="8"/>
      <color rgb="FF1A1A1A"/>
      <name val="Arial"/>
      <charset val="1"/>
    </font>
    <font>
      <b/>
      <sz val="10"/>
      <color theme="0"/>
      <name val="Aptos"/>
    </font>
    <font>
      <b/>
      <sz val="10"/>
      <color rgb="FF1A1A1A"/>
      <name val="Arial"/>
      <family val="2"/>
    </font>
    <font>
      <b/>
      <sz val="10"/>
      <name val="Arial"/>
      <family val="2"/>
    </font>
    <font>
      <sz val="11"/>
      <color rgb="FF1A1A1A"/>
      <name val="Arial"/>
      <family val="2"/>
    </font>
    <font>
      <b/>
      <sz val="11"/>
      <color rgb="FF1A1A1A"/>
      <name val="Arial"/>
      <family val="2"/>
    </font>
    <font>
      <b/>
      <u/>
      <sz val="14"/>
      <color rgb="FFFFFFFF"/>
      <name val="Arial"/>
      <family val="2"/>
    </font>
    <font>
      <sz val="9"/>
      <color rgb="FF1A1A1A"/>
      <name val="Arial"/>
      <family val="2"/>
    </font>
    <font>
      <b/>
      <i/>
      <sz val="11"/>
      <color rgb="FF1A1A1A"/>
      <name val="Arial"/>
      <family val="2"/>
    </font>
    <font>
      <sz val="12"/>
      <color rgb="FF1A1A1A"/>
      <name val="Arial"/>
      <family val="2"/>
    </font>
    <font>
      <b/>
      <sz val="12"/>
      <color rgb="FF1A1A1A"/>
      <name val="Arial"/>
      <family val="2"/>
    </font>
    <font>
      <b/>
      <i/>
      <sz val="12"/>
      <color rgb="FF1A1A1A"/>
      <name val="Arial"/>
      <family val="2"/>
    </font>
    <font>
      <sz val="12"/>
      <color theme="1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0F3B44"/>
        <bgColor rgb="FF17324D"/>
      </patternFill>
    </fill>
    <fill>
      <patternFill patternType="solid">
        <fgColor rgb="FF1C6B72"/>
        <bgColor rgb="FF155E6C"/>
      </patternFill>
    </fill>
    <fill>
      <patternFill patternType="solid">
        <fgColor rgb="FF17324D"/>
        <bgColor rgb="FF0F3B44"/>
      </patternFill>
    </fill>
    <fill>
      <patternFill patternType="solid">
        <fgColor rgb="FFE7E0F5"/>
        <bgColor rgb="FFD8E7E2"/>
      </patternFill>
    </fill>
    <fill>
      <patternFill patternType="solid">
        <fgColor rgb="FFFBE4D5"/>
        <bgColor rgb="FFFFF6D8"/>
      </patternFill>
    </fill>
    <fill>
      <patternFill patternType="solid">
        <fgColor rgb="FFDFF0E3"/>
        <bgColor rgb="FFDCEFF1"/>
      </patternFill>
    </fill>
    <fill>
      <patternFill patternType="solid">
        <fgColor rgb="FFFFF6D8"/>
        <bgColor rgb="FFFBE4D5"/>
      </patternFill>
    </fill>
    <fill>
      <patternFill patternType="solid">
        <fgColor rgb="FF17324D"/>
      </patternFill>
    </fill>
    <fill>
      <patternFill patternType="solid">
        <fgColor rgb="FFE7E0F5"/>
      </patternFill>
    </fill>
  </fills>
  <borders count="13">
    <border>
      <left/>
      <right/>
      <top/>
      <bottom/>
      <diagonal/>
    </border>
    <border>
      <left style="thin">
        <color rgb="FFBFC9CC"/>
      </left>
      <right style="thin">
        <color rgb="FFBFC9CC"/>
      </right>
      <top style="thin">
        <color rgb="FFBFC9CC"/>
      </top>
      <bottom style="thin">
        <color rgb="FFBFC9CC"/>
      </bottom>
      <diagonal/>
    </border>
    <border>
      <left style="thin">
        <color rgb="FFBFC9CC"/>
      </left>
      <right/>
      <top style="thin">
        <color rgb="FFBFC9CC"/>
      </top>
      <bottom style="thin">
        <color rgb="FFBFC9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rgb="FFBFC9CC"/>
      </top>
      <bottom style="thin">
        <color rgb="FFBFC9CC"/>
      </bottom>
      <diagonal/>
    </border>
    <border>
      <left/>
      <right style="thin">
        <color rgb="FFBFC9CC"/>
      </right>
      <top style="thin">
        <color rgb="FFBFC9CC"/>
      </top>
      <bottom style="thin">
        <color rgb="FFBFC9CC"/>
      </bottom>
      <diagonal/>
    </border>
    <border>
      <left/>
      <right/>
      <top style="thin">
        <color rgb="FFBFC9CC"/>
      </top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11" fillId="6" borderId="0" xfId="0" applyFont="1" applyFill="1" applyBorder="1" applyAlignment="1" applyProtection="1">
      <alignment horizontal="center" vertical="center"/>
    </xf>
    <xf numFmtId="0" fontId="12" fillId="0" borderId="0" xfId="0" applyFont="1" applyBorder="1" applyAlignment="1" applyProtection="1">
      <alignment vertical="top" wrapText="1"/>
    </xf>
    <xf numFmtId="0" fontId="11" fillId="7" borderId="0" xfId="0" applyFont="1" applyFill="1" applyBorder="1" applyAlignment="1" applyProtection="1">
      <alignment horizontal="center" vertical="center"/>
    </xf>
    <xf numFmtId="0" fontId="3" fillId="4" borderId="0" xfId="0" applyFont="1" applyFill="1" applyBorder="1" applyAlignment="1" applyProtection="1">
      <alignment vertical="center"/>
    </xf>
    <xf numFmtId="0" fontId="8" fillId="2" borderId="0" xfId="0" applyFont="1" applyFill="1" applyBorder="1" applyAlignment="1" applyProtection="1">
      <alignment vertical="center"/>
    </xf>
    <xf numFmtId="0" fontId="6" fillId="3" borderId="0" xfId="0" applyFont="1" applyFill="1" applyBorder="1" applyAlignment="1" applyProtection="1">
      <alignment vertical="center" wrapText="1"/>
    </xf>
    <xf numFmtId="0" fontId="2" fillId="3" borderId="0" xfId="0" applyFont="1" applyFill="1" applyBorder="1" applyAlignment="1" applyProtection="1">
      <alignment vertical="center"/>
    </xf>
    <xf numFmtId="0" fontId="1" fillId="2" borderId="0" xfId="0" applyFont="1" applyFill="1" applyBorder="1" applyAlignment="1" applyProtection="1">
      <alignment vertical="center"/>
    </xf>
    <xf numFmtId="0" fontId="0" fillId="0" borderId="0" xfId="0" applyAlignment="1" applyProtection="1"/>
    <xf numFmtId="0" fontId="9" fillId="3" borderId="1" xfId="0" applyFont="1" applyFill="1" applyBorder="1" applyAlignment="1" applyProtection="1">
      <alignment vertical="center" wrapText="1"/>
    </xf>
    <xf numFmtId="0" fontId="10" fillId="0" borderId="1" xfId="0" applyFont="1" applyBorder="1" applyAlignment="1" applyProtection="1">
      <alignment horizontal="center" vertical="center"/>
    </xf>
    <xf numFmtId="0" fontId="11" fillId="0" borderId="1" xfId="0" applyFont="1" applyBorder="1" applyAlignment="1" applyProtection="1">
      <alignment vertical="top" wrapText="1"/>
    </xf>
    <xf numFmtId="0" fontId="12" fillId="0" borderId="1" xfId="0" applyFont="1" applyBorder="1" applyAlignment="1" applyProtection="1">
      <alignment vertical="top" wrapText="1"/>
    </xf>
    <xf numFmtId="0" fontId="7" fillId="0" borderId="1" xfId="0" applyFont="1" applyBorder="1" applyAlignment="1" applyProtection="1">
      <alignment horizontal="center" vertical="center"/>
    </xf>
    <xf numFmtId="0" fontId="5" fillId="0" borderId="1" xfId="0" applyFont="1" applyBorder="1" applyAlignment="1" applyProtection="1"/>
    <xf numFmtId="0" fontId="0" fillId="0" borderId="1" xfId="0" applyBorder="1" applyAlignment="1" applyProtection="1"/>
    <xf numFmtId="0" fontId="5" fillId="0" borderId="1" xfId="0" applyFont="1" applyBorder="1" applyAlignment="1" applyProtection="1">
      <alignment horizontal="center" vertical="center"/>
    </xf>
    <xf numFmtId="0" fontId="12" fillId="0" borderId="1" xfId="0" applyFont="1" applyBorder="1" applyAlignment="1" applyProtection="1">
      <alignment horizontal="center" vertical="center"/>
    </xf>
    <xf numFmtId="0" fontId="0" fillId="4" borderId="0" xfId="0" applyFill="1" applyAlignment="1" applyProtection="1"/>
    <xf numFmtId="0" fontId="11" fillId="0" borderId="1" xfId="0" applyFont="1" applyBorder="1" applyAlignment="1" applyProtection="1">
      <alignment horizontal="center" vertical="center"/>
    </xf>
    <xf numFmtId="0" fontId="13" fillId="0" borderId="1" xfId="0" applyFont="1" applyBorder="1" applyAlignment="1" applyProtection="1">
      <alignment vertical="top" wrapText="1"/>
    </xf>
    <xf numFmtId="0" fontId="11" fillId="7" borderId="1" xfId="0" applyFont="1" applyFill="1" applyBorder="1" applyAlignment="1" applyProtection="1">
      <alignment horizontal="center" vertical="center"/>
    </xf>
    <xf numFmtId="0" fontId="7" fillId="0" borderId="1" xfId="0" applyFont="1" applyBorder="1" applyAlignment="1" applyProtection="1">
      <alignment vertical="top" wrapText="1"/>
    </xf>
    <xf numFmtId="0" fontId="7" fillId="8" borderId="1" xfId="0" applyFont="1" applyFill="1" applyBorder="1" applyAlignment="1" applyProtection="1">
      <alignment horizontal="center" vertical="center"/>
    </xf>
    <xf numFmtId="0" fontId="12" fillId="5" borderId="0" xfId="0" applyFont="1" applyFill="1" applyBorder="1" applyAlignment="1" applyProtection="1">
      <alignment vertical="top" wrapText="1"/>
    </xf>
    <xf numFmtId="0" fontId="4" fillId="5" borderId="3" xfId="0" applyFont="1" applyFill="1" applyBorder="1" applyAlignment="1" applyProtection="1">
      <alignment vertical="center" wrapText="1"/>
    </xf>
    <xf numFmtId="0" fontId="5" fillId="5" borderId="3" xfId="0" applyFont="1" applyFill="1" applyBorder="1" applyAlignment="1" applyProtection="1">
      <alignment vertical="top" wrapText="1"/>
    </xf>
    <xf numFmtId="0" fontId="14" fillId="9" borderId="4" xfId="0" applyFont="1" applyFill="1" applyBorder="1" applyAlignment="1">
      <alignment horizontal="center" vertical="center" wrapText="1"/>
    </xf>
    <xf numFmtId="0" fontId="15" fillId="5" borderId="0" xfId="0" applyFont="1" applyFill="1" applyBorder="1" applyAlignment="1" applyProtection="1">
      <alignment vertical="top" wrapText="1"/>
    </xf>
    <xf numFmtId="0" fontId="16" fillId="10" borderId="0" xfId="0" applyFont="1" applyFill="1" applyBorder="1" applyAlignment="1">
      <alignment horizontal="left" vertical="center" wrapText="1"/>
    </xf>
    <xf numFmtId="0" fontId="15" fillId="6" borderId="0" xfId="0" applyFont="1" applyFill="1" applyBorder="1" applyAlignment="1" applyProtection="1">
      <alignment vertical="top" wrapText="1"/>
    </xf>
    <xf numFmtId="0" fontId="18" fillId="5" borderId="0" xfId="0" applyFont="1" applyFill="1" applyBorder="1" applyAlignment="1" applyProtection="1">
      <alignment horizontal="center" vertical="center"/>
    </xf>
    <xf numFmtId="0" fontId="19" fillId="3" borderId="0" xfId="0" applyFont="1" applyFill="1" applyBorder="1" applyAlignment="1" applyProtection="1">
      <alignment vertical="center" wrapText="1"/>
    </xf>
    <xf numFmtId="0" fontId="14" fillId="9" borderId="7" xfId="0" applyFont="1" applyFill="1" applyBorder="1" applyAlignment="1">
      <alignment horizontal="center" vertical="center" wrapText="1"/>
    </xf>
    <xf numFmtId="0" fontId="14" fillId="9" borderId="8" xfId="0" applyFont="1" applyFill="1" applyBorder="1" applyAlignment="1">
      <alignment horizontal="center" vertical="center" wrapText="1"/>
    </xf>
    <xf numFmtId="0" fontId="14" fillId="9" borderId="9" xfId="0" applyFont="1" applyFill="1" applyBorder="1" applyAlignment="1">
      <alignment horizontal="center" vertical="center" wrapText="1"/>
    </xf>
    <xf numFmtId="0" fontId="14" fillId="9" borderId="7" xfId="0" applyFont="1" applyFill="1" applyBorder="1" applyAlignment="1">
      <alignment horizontal="center" vertical="center" wrapText="1"/>
    </xf>
    <xf numFmtId="0" fontId="20" fillId="0" borderId="2" xfId="0" applyFont="1" applyBorder="1" applyAlignment="1" applyProtection="1">
      <alignment horizontal="center" vertical="top" wrapText="1"/>
    </xf>
    <xf numFmtId="0" fontId="20" fillId="0" borderId="10" xfId="0" applyFont="1" applyBorder="1" applyAlignment="1" applyProtection="1">
      <alignment horizontal="center" vertical="top" wrapText="1"/>
    </xf>
    <xf numFmtId="0" fontId="20" fillId="0" borderId="11" xfId="0" applyFont="1" applyBorder="1" applyAlignment="1" applyProtection="1">
      <alignment horizontal="center" vertical="top" wrapText="1"/>
    </xf>
    <xf numFmtId="0" fontId="9" fillId="3" borderId="2" xfId="0" applyFont="1" applyFill="1" applyBorder="1" applyAlignment="1" applyProtection="1">
      <alignment horizontal="center" vertical="center" wrapText="1"/>
    </xf>
    <xf numFmtId="0" fontId="9" fillId="3" borderId="10" xfId="0" applyFont="1" applyFill="1" applyBorder="1" applyAlignment="1" applyProtection="1">
      <alignment horizontal="center" vertical="center" wrapText="1"/>
    </xf>
    <xf numFmtId="0" fontId="9" fillId="3" borderId="11" xfId="0" applyFont="1" applyFill="1" applyBorder="1" applyAlignment="1" applyProtection="1">
      <alignment horizontal="center" vertical="center" wrapText="1"/>
    </xf>
    <xf numFmtId="0" fontId="11" fillId="0" borderId="2" xfId="0" applyFont="1" applyBorder="1" applyAlignment="1" applyProtection="1">
      <alignment horizontal="center" vertical="center"/>
    </xf>
    <xf numFmtId="0" fontId="11" fillId="0" borderId="10" xfId="0" applyFont="1" applyBorder="1" applyAlignment="1" applyProtection="1">
      <alignment horizontal="center" vertical="center"/>
    </xf>
    <xf numFmtId="0" fontId="11" fillId="0" borderId="11" xfId="0" applyFont="1" applyBorder="1" applyAlignment="1" applyProtection="1">
      <alignment horizontal="center" vertical="center"/>
    </xf>
    <xf numFmtId="0" fontId="17" fillId="0" borderId="1" xfId="0" applyFont="1" applyBorder="1" applyAlignment="1" applyProtection="1">
      <alignment vertical="top" wrapText="1"/>
    </xf>
    <xf numFmtId="0" fontId="21" fillId="0" borderId="1" xfId="0" applyFont="1" applyBorder="1" applyAlignment="1" applyProtection="1">
      <alignment horizontal="center" vertical="center"/>
    </xf>
    <xf numFmtId="0" fontId="24" fillId="6" borderId="12" xfId="0" applyFont="1" applyFill="1" applyBorder="1" applyAlignment="1" applyProtection="1">
      <alignment horizontal="center" vertical="top" wrapText="1"/>
    </xf>
    <xf numFmtId="0" fontId="24" fillId="6" borderId="0" xfId="0" applyFont="1" applyFill="1" applyBorder="1" applyAlignment="1" applyProtection="1">
      <alignment horizontal="center" vertical="top" wrapText="1"/>
    </xf>
    <xf numFmtId="0" fontId="22" fillId="0" borderId="1" xfId="0" applyFont="1" applyBorder="1" applyAlignment="1" applyProtection="1">
      <alignment horizontal="center" vertical="center"/>
    </xf>
    <xf numFmtId="0" fontId="22" fillId="0" borderId="1" xfId="0" applyFont="1" applyBorder="1" applyAlignment="1" applyProtection="1">
      <alignment vertical="top" wrapText="1"/>
    </xf>
    <xf numFmtId="0" fontId="25" fillId="0" borderId="0" xfId="0" applyFont="1"/>
    <xf numFmtId="0" fontId="23" fillId="0" borderId="1" xfId="0" applyFont="1" applyBorder="1" applyAlignment="1" applyProtection="1">
      <alignment horizontal="center" vertical="center"/>
    </xf>
    <xf numFmtId="0" fontId="11" fillId="7" borderId="3" xfId="0" applyFont="1" applyFill="1" applyBorder="1" applyAlignment="1" applyProtection="1">
      <alignment horizontal="center" vertical="center"/>
    </xf>
    <xf numFmtId="0" fontId="11" fillId="7" borderId="5" xfId="0" applyFont="1" applyFill="1" applyBorder="1" applyAlignment="1" applyProtection="1">
      <alignment horizontal="center" vertical="center"/>
    </xf>
    <xf numFmtId="0" fontId="11" fillId="7" borderId="6" xfId="0" applyFont="1" applyFill="1" applyBorder="1" applyAlignment="1" applyProtection="1">
      <alignment horizontal="center" vertical="center"/>
    </xf>
    <xf numFmtId="0" fontId="18" fillId="5" borderId="0" xfId="0" applyFont="1" applyFill="1" applyBorder="1" applyAlignment="1" applyProtection="1">
      <alignment vertical="top" wrapText="1"/>
    </xf>
    <xf numFmtId="0" fontId="16" fillId="0" borderId="1" xfId="0" applyFont="1" applyBorder="1" applyAlignment="1" applyProtection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C6B72"/>
      <rgbColor rgb="FFBFC9CC"/>
      <rgbColor rgb="FF808080"/>
      <rgbColor rgb="FF9999FF"/>
      <rgbColor rgb="FF993366"/>
      <rgbColor rgb="FFFFF6D8"/>
      <rgbColor rgb="FFDCEFF1"/>
      <rgbColor rgb="FF660066"/>
      <rgbColor rgb="FFFF8080"/>
      <rgbColor rgb="FF0066CC"/>
      <rgbColor rgb="FFB7C7CB"/>
      <rgbColor rgb="FF000080"/>
      <rgbColor rgb="FFFF00FF"/>
      <rgbColor rgb="FFFFFF00"/>
      <rgbColor rgb="FF00FFFF"/>
      <rgbColor rgb="FF800080"/>
      <rgbColor rgb="FF800000"/>
      <rgbColor rgb="FF155E6C"/>
      <rgbColor rgb="FF0000FF"/>
      <rgbColor rgb="FF00CCFF"/>
      <rgbColor rgb="FFD8E7E2"/>
      <rgbColor rgb="FFDFF0E3"/>
      <rgbColor rgb="FFE7E0F5"/>
      <rgbColor rgb="FF99CCFF"/>
      <rgbColor rgb="FFFF99CC"/>
      <rgbColor rgb="FFCC99FF"/>
      <rgbColor rgb="FFFBE4D5"/>
      <rgbColor rgb="FF3366FF"/>
      <rgbColor rgb="FF33CCCC"/>
      <rgbColor rgb="FF99CC00"/>
      <rgbColor rgb="FFFFCC00"/>
      <rgbColor rgb="FFFF9900"/>
      <rgbColor rgb="FFFF6600"/>
      <rgbColor rgb="FF5A6B70"/>
      <rgbColor rgb="FF969696"/>
      <rgbColor rgb="FF17324D"/>
      <rgbColor rgb="FF339966"/>
      <rgbColor rgb="FF003300"/>
      <rgbColor rgb="FF1A1A1A"/>
      <rgbColor rgb="FF993300"/>
      <rgbColor rgb="FF993366"/>
      <rgbColor rgb="FF333399"/>
      <rgbColor rgb="FF0F3B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F3B44"/>
  </sheetPr>
  <dimension ref="A1:I31"/>
  <sheetViews>
    <sheetView showGridLines="0" zoomScaleNormal="100" workbookViewId="0">
      <pane ySplit="3" topLeftCell="A13" activePane="bottomLeft" state="frozen"/>
      <selection pane="bottomLeft" activeCell="A19" sqref="A19:I19"/>
    </sheetView>
  </sheetViews>
  <sheetFormatPr baseColWidth="10" defaultColWidth="8.7109375" defaultRowHeight="15"/>
  <cols>
    <col min="1" max="9" width="19.85546875" style="9" customWidth="1"/>
  </cols>
  <sheetData>
    <row r="1" spans="1:9" ht="30" customHeight="1">
      <c r="A1" s="8" t="s">
        <v>0</v>
      </c>
      <c r="B1" s="8"/>
      <c r="C1" s="8"/>
      <c r="D1" s="8"/>
      <c r="E1" s="8"/>
      <c r="F1" s="8"/>
      <c r="G1" s="8"/>
      <c r="H1" s="8"/>
      <c r="I1" s="8"/>
    </row>
    <row r="2" spans="1:9" ht="42" customHeight="1">
      <c r="A2" s="33" t="s">
        <v>1</v>
      </c>
      <c r="B2" s="33"/>
      <c r="C2" s="33"/>
      <c r="D2" s="33"/>
      <c r="E2" s="33"/>
      <c r="F2" s="33"/>
      <c r="G2" s="33"/>
      <c r="H2" s="33"/>
      <c r="I2" s="33"/>
    </row>
    <row r="3" spans="1:9" ht="15" customHeight="1">
      <c r="A3" s="28" t="str">
        <f>HYPERLINK("#CATALOGO!A1","▶  COMPONENTES")</f>
        <v>▶  COMPONENTES</v>
      </c>
      <c r="B3" s="28" t="str">
        <f>HYPERLINK("#FLUJO!A1","▶  ORDEN")</f>
        <v>▶  ORDEN</v>
      </c>
      <c r="C3" s="28" t="str">
        <f>HYPERLINK("#CONEXIONES!A1","▶  CONEXIONES")</f>
        <v>▶  CONEXIONES</v>
      </c>
      <c r="D3" s="28" t="str">
        <f>HYPERLINK("#LICENCIA!A1","▶  LICENCIA")</f>
        <v>▶  LICENCIA</v>
      </c>
      <c r="E3" s="28" t="str">
        <f>HYPERLINK("#VERIFICACION!A1","▶  VERIFICAR")</f>
        <v>▶  VERIFICAR</v>
      </c>
      <c r="F3" s="28" t="str">
        <f>HYPERLINK("#FUENTES!A1","▶  ALCANCE")</f>
        <v>▶  ALCANCE</v>
      </c>
      <c r="G3" s="28" t="str">
        <f>HYPERLINK("#PRUEBAS!A1","▶  QA")</f>
        <v>▶  QA</v>
      </c>
      <c r="H3" s="28" t="str">
        <f>HYPERLINK("#CONFIG!A1","▶  CONFIG")</f>
        <v>▶  CONFIG</v>
      </c>
      <c r="I3" s="28" t="str">
        <f>HYPERLINK("#CHANGELOG!A1","▶  HISTORIAL")</f>
        <v>▶  HISTORIAL</v>
      </c>
    </row>
    <row r="4" spans="1:9" ht="15.75" customHeight="1">
      <c r="A4" s="26" t="s">
        <v>2</v>
      </c>
      <c r="B4" s="26"/>
      <c r="C4" s="27" t="s">
        <v>3</v>
      </c>
      <c r="D4" s="27"/>
      <c r="E4" s="27"/>
      <c r="F4" s="27"/>
      <c r="G4" s="27"/>
      <c r="H4" s="27"/>
      <c r="I4" s="27"/>
    </row>
    <row r="5" spans="1:9" ht="15.75" customHeight="1">
      <c r="A5" s="26" t="s">
        <v>4</v>
      </c>
      <c r="B5" s="26"/>
      <c r="C5" s="27" t="s">
        <v>5</v>
      </c>
      <c r="D5" s="27"/>
      <c r="E5" s="27"/>
      <c r="F5" s="27"/>
      <c r="G5" s="27"/>
      <c r="H5" s="27"/>
      <c r="I5" s="27"/>
    </row>
    <row r="6" spans="1:9" ht="15.75" customHeight="1">
      <c r="A6" s="26" t="s">
        <v>6</v>
      </c>
      <c r="B6" s="26"/>
      <c r="C6" s="27" t="s">
        <v>7</v>
      </c>
      <c r="D6" s="27"/>
      <c r="E6" s="27"/>
      <c r="F6" s="27"/>
      <c r="G6" s="27"/>
      <c r="H6" s="27"/>
      <c r="I6" s="27"/>
    </row>
    <row r="7" spans="1:9" ht="15.75" customHeight="1">
      <c r="A7" s="26" t="s">
        <v>8</v>
      </c>
      <c r="B7" s="26"/>
      <c r="C7" s="27" t="s">
        <v>9</v>
      </c>
      <c r="D7" s="27"/>
      <c r="E7" s="27"/>
      <c r="F7" s="27"/>
      <c r="G7" s="27"/>
      <c r="H7" s="27"/>
      <c r="I7" s="27"/>
    </row>
    <row r="8" spans="1:9" ht="30" customHeight="1">
      <c r="A8" s="26" t="s">
        <v>10</v>
      </c>
      <c r="B8" s="26"/>
      <c r="C8" s="27" t="s">
        <v>11</v>
      </c>
      <c r="D8" s="27"/>
      <c r="E8" s="27"/>
      <c r="F8" s="27"/>
      <c r="G8" s="27"/>
      <c r="H8" s="27"/>
      <c r="I8" s="27"/>
    </row>
    <row r="9" spans="1:9" ht="30" customHeight="1">
      <c r="A9" s="26" t="s">
        <v>12</v>
      </c>
      <c r="B9" s="26"/>
      <c r="C9" s="27" t="s">
        <v>13</v>
      </c>
      <c r="D9" s="27"/>
      <c r="E9" s="27"/>
      <c r="F9" s="27"/>
      <c r="G9" s="27"/>
      <c r="H9" s="27"/>
      <c r="I9" s="27"/>
    </row>
    <row r="10" spans="1:9" ht="15.75" customHeight="1">
      <c r="A10" s="26" t="s">
        <v>14</v>
      </c>
      <c r="B10" s="26"/>
      <c r="C10" s="27" t="s">
        <v>15</v>
      </c>
      <c r="D10" s="27"/>
      <c r="E10" s="27"/>
      <c r="F10" s="27"/>
      <c r="G10" s="27"/>
      <c r="H10" s="27"/>
      <c r="I10" s="27"/>
    </row>
    <row r="12" spans="1:9" ht="18" customHeight="1">
      <c r="A12" s="6" t="s">
        <v>16</v>
      </c>
      <c r="B12" s="6"/>
      <c r="C12" s="6"/>
      <c r="D12" s="6"/>
      <c r="E12" s="6"/>
      <c r="F12" s="6"/>
      <c r="G12" s="6"/>
      <c r="H12" s="6"/>
      <c r="I12" s="6"/>
    </row>
    <row r="13" spans="1:9" ht="33" customHeight="1">
      <c r="A13" s="30" t="s">
        <v>17</v>
      </c>
      <c r="B13" s="30"/>
      <c r="C13" s="30"/>
      <c r="D13" s="30"/>
      <c r="E13" s="30"/>
      <c r="F13" s="30"/>
      <c r="G13" s="30"/>
      <c r="H13" s="30"/>
      <c r="I13" s="30"/>
    </row>
    <row r="14" spans="1:9" ht="33" customHeight="1">
      <c r="A14" s="30" t="s">
        <v>18</v>
      </c>
      <c r="B14" s="30"/>
      <c r="C14" s="30"/>
      <c r="D14" s="30"/>
      <c r="E14" s="30"/>
      <c r="F14" s="30"/>
      <c r="G14" s="30"/>
      <c r="H14" s="30"/>
      <c r="I14" s="30"/>
    </row>
    <row r="15" spans="1:9" ht="33" customHeight="1">
      <c r="A15" s="30" t="s">
        <v>19</v>
      </c>
      <c r="B15" s="30"/>
      <c r="C15" s="30"/>
      <c r="D15" s="30"/>
      <c r="E15" s="30"/>
      <c r="F15" s="30"/>
      <c r="G15" s="30"/>
      <c r="H15" s="30"/>
      <c r="I15" s="30"/>
    </row>
    <row r="17" spans="1:9" ht="18" customHeight="1">
      <c r="A17" s="6" t="s">
        <v>20</v>
      </c>
      <c r="B17" s="6"/>
      <c r="C17" s="6"/>
      <c r="D17" s="6"/>
      <c r="E17" s="6"/>
      <c r="F17" s="6"/>
      <c r="G17" s="6"/>
      <c r="H17" s="6"/>
      <c r="I17" s="6"/>
    </row>
    <row r="18" spans="1:9" ht="25.5" customHeight="1">
      <c r="A18" s="31" t="s">
        <v>21</v>
      </c>
      <c r="B18" s="31"/>
      <c r="C18" s="31"/>
      <c r="D18" s="31"/>
      <c r="E18" s="31"/>
      <c r="F18" s="31"/>
      <c r="G18" s="31"/>
      <c r="H18" s="31"/>
      <c r="I18" s="31"/>
    </row>
    <row r="19" spans="1:9" ht="25.5" customHeight="1">
      <c r="A19" s="31" t="s">
        <v>22</v>
      </c>
      <c r="B19" s="31"/>
      <c r="C19" s="31"/>
      <c r="D19" s="31"/>
      <c r="E19" s="31"/>
      <c r="F19" s="31"/>
      <c r="G19" s="31"/>
      <c r="H19" s="31"/>
      <c r="I19" s="31"/>
    </row>
    <row r="20" spans="1:9" ht="25.5" customHeight="1">
      <c r="A20" s="31" t="s">
        <v>23</v>
      </c>
      <c r="B20" s="31"/>
      <c r="C20" s="31"/>
      <c r="D20" s="31"/>
      <c r="E20" s="31"/>
      <c r="F20" s="31"/>
      <c r="G20" s="31"/>
      <c r="H20" s="31"/>
      <c r="I20" s="31"/>
    </row>
    <row r="21" spans="1:9" ht="25.5" customHeight="1">
      <c r="A21" s="31" t="s">
        <v>24</v>
      </c>
      <c r="B21" s="31"/>
      <c r="C21" s="31"/>
      <c r="D21" s="31"/>
      <c r="E21" s="31"/>
      <c r="F21" s="31"/>
      <c r="G21" s="31"/>
      <c r="H21" s="31"/>
      <c r="I21" s="31"/>
    </row>
    <row r="22" spans="1:9" ht="25.5" customHeight="1">
      <c r="A22" s="31" t="s">
        <v>25</v>
      </c>
      <c r="B22" s="31"/>
      <c r="C22" s="31"/>
      <c r="D22" s="31"/>
      <c r="E22" s="31"/>
      <c r="F22" s="31"/>
      <c r="G22" s="31"/>
      <c r="H22" s="31"/>
      <c r="I22" s="31"/>
    </row>
    <row r="23" spans="1:9" ht="25.5" customHeight="1">
      <c r="A23" s="31" t="s">
        <v>26</v>
      </c>
      <c r="B23" s="31"/>
      <c r="C23" s="31"/>
      <c r="D23" s="31"/>
      <c r="E23" s="31"/>
      <c r="F23" s="31"/>
      <c r="G23" s="31"/>
      <c r="H23" s="31"/>
      <c r="I23" s="31"/>
    </row>
    <row r="25" spans="1:9" ht="18" customHeight="1">
      <c r="A25" s="6" t="s">
        <v>27</v>
      </c>
      <c r="B25" s="6"/>
      <c r="C25" s="6"/>
      <c r="D25" s="6"/>
      <c r="E25" s="6"/>
      <c r="F25" s="6"/>
      <c r="G25" s="6"/>
      <c r="H25" s="6"/>
      <c r="I25" s="6"/>
    </row>
    <row r="26" spans="1:9" ht="25.5" customHeight="1">
      <c r="A26" s="32" t="s">
        <v>28</v>
      </c>
      <c r="B26" s="32"/>
      <c r="C26" s="29" t="s">
        <v>29</v>
      </c>
      <c r="D26" s="29"/>
      <c r="E26" s="29"/>
      <c r="F26" s="29"/>
      <c r="G26" s="29"/>
      <c r="H26" s="29"/>
      <c r="I26" s="29"/>
    </row>
    <row r="27" spans="1:9" ht="25.5" customHeight="1">
      <c r="A27" s="32" t="s">
        <v>30</v>
      </c>
      <c r="B27" s="32"/>
      <c r="C27" s="29" t="s">
        <v>31</v>
      </c>
      <c r="D27" s="29"/>
      <c r="E27" s="29"/>
      <c r="F27" s="29"/>
      <c r="G27" s="29"/>
      <c r="H27" s="29"/>
      <c r="I27" s="29"/>
    </row>
    <row r="28" spans="1:9" ht="25.5" customHeight="1">
      <c r="A28" s="32" t="s">
        <v>32</v>
      </c>
      <c r="B28" s="32"/>
      <c r="C28" s="29" t="s">
        <v>33</v>
      </c>
      <c r="D28" s="29"/>
      <c r="E28" s="29"/>
      <c r="F28" s="29"/>
      <c r="G28" s="29"/>
      <c r="H28" s="29"/>
      <c r="I28" s="29"/>
    </row>
    <row r="29" spans="1:9" ht="25.5" customHeight="1">
      <c r="A29" s="32" t="s">
        <v>34</v>
      </c>
      <c r="B29" s="32"/>
      <c r="C29" s="29" t="s">
        <v>35</v>
      </c>
      <c r="D29" s="29"/>
      <c r="E29" s="29"/>
      <c r="F29" s="29"/>
      <c r="G29" s="29"/>
      <c r="H29" s="29"/>
      <c r="I29" s="29"/>
    </row>
    <row r="30" spans="1:9" ht="25.5" customHeight="1">
      <c r="A30" s="32" t="s">
        <v>36</v>
      </c>
      <c r="B30" s="32"/>
      <c r="C30" s="29" t="s">
        <v>37</v>
      </c>
      <c r="D30" s="29"/>
      <c r="E30" s="29"/>
      <c r="F30" s="29"/>
      <c r="G30" s="29"/>
      <c r="H30" s="29"/>
      <c r="I30" s="29"/>
    </row>
    <row r="31" spans="1:9" ht="25.5" customHeight="1">
      <c r="A31" s="32" t="s">
        <v>38</v>
      </c>
      <c r="B31" s="32"/>
      <c r="C31" s="29" t="s">
        <v>39</v>
      </c>
      <c r="D31" s="29"/>
      <c r="E31" s="29"/>
      <c r="F31" s="29"/>
      <c r="G31" s="29"/>
      <c r="H31" s="29"/>
      <c r="I31" s="29"/>
    </row>
  </sheetData>
  <sheetProtection algorithmName="SHA-512" hashValue="xKCOZchxphSklwZ6+Npsxz7pztdX+JDYq1FhI037YAW/rdYKCwOvUwEn4QtTKuCsDjSTJGSkXyYy8GZpfd2dqA==" saltValue="be2P39Y+1PRLbRiLXSTpHQ==" spinCount="100000" sheet="1" objects="1" scenarios="1"/>
  <mergeCells count="40">
    <mergeCell ref="A31:B31"/>
    <mergeCell ref="C31:I31"/>
    <mergeCell ref="A28:B28"/>
    <mergeCell ref="C28:I28"/>
    <mergeCell ref="A29:B29"/>
    <mergeCell ref="C29:I29"/>
    <mergeCell ref="A30:B30"/>
    <mergeCell ref="C30:I30"/>
    <mergeCell ref="A25:I25"/>
    <mergeCell ref="A26:B26"/>
    <mergeCell ref="C26:I26"/>
    <mergeCell ref="A27:B27"/>
    <mergeCell ref="C27:I27"/>
    <mergeCell ref="A19:I19"/>
    <mergeCell ref="A20:I20"/>
    <mergeCell ref="A21:I21"/>
    <mergeCell ref="A22:I22"/>
    <mergeCell ref="A23:I23"/>
    <mergeCell ref="A13:I13"/>
    <mergeCell ref="A14:I14"/>
    <mergeCell ref="A15:I15"/>
    <mergeCell ref="A17:I17"/>
    <mergeCell ref="A18:I18"/>
    <mergeCell ref="A9:B9"/>
    <mergeCell ref="C9:I9"/>
    <mergeCell ref="A10:B10"/>
    <mergeCell ref="C10:I10"/>
    <mergeCell ref="A12:I12"/>
    <mergeCell ref="A6:B6"/>
    <mergeCell ref="C6:I6"/>
    <mergeCell ref="A7:B7"/>
    <mergeCell ref="C7:I7"/>
    <mergeCell ref="A8:B8"/>
    <mergeCell ref="C8:I8"/>
    <mergeCell ref="A1:I1"/>
    <mergeCell ref="A2:I2"/>
    <mergeCell ref="A4:B4"/>
    <mergeCell ref="C4:I4"/>
    <mergeCell ref="A5:B5"/>
    <mergeCell ref="C5:I5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C6B72"/>
  </sheetPr>
  <dimension ref="A1:F19"/>
  <sheetViews>
    <sheetView showGridLines="0" zoomScaleNormal="100" workbookViewId="0">
      <pane ySplit="6" topLeftCell="A7" activePane="bottomLeft" state="frozen"/>
      <selection pane="bottomLeft" sqref="A1:F1"/>
    </sheetView>
  </sheetViews>
  <sheetFormatPr baseColWidth="10" defaultColWidth="8.7109375" defaultRowHeight="15"/>
  <cols>
    <col min="1" max="1" width="10" style="9" customWidth="1"/>
    <col min="2" max="2" width="30" style="9" customWidth="1"/>
    <col min="3" max="4" width="42" style="9" customWidth="1"/>
    <col min="5" max="5" width="8" style="9" customWidth="1"/>
    <col min="6" max="6" width="11" style="9" customWidth="1"/>
  </cols>
  <sheetData>
    <row r="1" spans="1:6" ht="24" customHeight="1">
      <c r="A1" s="5" t="s">
        <v>0</v>
      </c>
      <c r="B1" s="5"/>
      <c r="C1" s="5"/>
      <c r="D1" s="5"/>
      <c r="E1" s="5"/>
      <c r="F1" s="5"/>
    </row>
    <row r="2" spans="1:6" ht="19.5" customHeight="1">
      <c r="A2" s="7" t="s">
        <v>40</v>
      </c>
      <c r="B2" s="7"/>
      <c r="C2" s="7"/>
      <c r="D2" s="7"/>
      <c r="E2" s="7"/>
      <c r="F2" s="7"/>
    </row>
    <row r="3" spans="1:6" ht="18" customHeight="1">
      <c r="A3" s="34" t="str">
        <f>HYPERLINK("#INICIO!A1","◀ INICIO")</f>
        <v>◀ INICIO</v>
      </c>
      <c r="B3" s="36"/>
      <c r="C3" s="28" t="str">
        <f>HYPERLINK("#FLUJO!A1","▶ ORDEN")</f>
        <v>▶ ORDEN</v>
      </c>
      <c r="D3" s="34" t="str">
        <f>HYPERLINK("#LICENCIA!A1","▶ LICENCIA")</f>
        <v>▶ LICENCIA</v>
      </c>
      <c r="E3" s="35"/>
      <c r="F3" s="36"/>
    </row>
    <row r="5" spans="1:6" ht="18" customHeight="1">
      <c r="A5" s="6" t="s">
        <v>41</v>
      </c>
      <c r="B5" s="6"/>
      <c r="C5" s="6"/>
      <c r="D5" s="6"/>
      <c r="E5" s="6"/>
      <c r="F5" s="6"/>
    </row>
    <row r="6" spans="1:6" ht="15" customHeight="1">
      <c r="A6" s="10" t="s">
        <v>42</v>
      </c>
      <c r="B6" s="10" t="s">
        <v>43</v>
      </c>
      <c r="C6" s="10" t="s">
        <v>44</v>
      </c>
      <c r="D6" s="10" t="s">
        <v>45</v>
      </c>
      <c r="E6" s="10" t="s">
        <v>46</v>
      </c>
      <c r="F6" s="10" t="s">
        <v>47</v>
      </c>
    </row>
    <row r="7" spans="1:6" ht="39.75" customHeight="1">
      <c r="A7" s="11" t="s">
        <v>48</v>
      </c>
      <c r="B7" s="12" t="s">
        <v>49</v>
      </c>
      <c r="C7" s="13" t="s">
        <v>50</v>
      </c>
      <c r="D7" s="13" t="s">
        <v>51</v>
      </c>
      <c r="E7" s="14">
        <v>10</v>
      </c>
      <c r="F7" s="14" t="s">
        <v>52</v>
      </c>
    </row>
    <row r="8" spans="1:6" ht="39.75" customHeight="1">
      <c r="A8" s="11" t="s">
        <v>53</v>
      </c>
      <c r="B8" s="12" t="s">
        <v>54</v>
      </c>
      <c r="C8" s="13" t="s">
        <v>55</v>
      </c>
      <c r="D8" s="13" t="s">
        <v>56</v>
      </c>
      <c r="E8" s="14">
        <v>9</v>
      </c>
      <c r="F8" s="14" t="s">
        <v>52</v>
      </c>
    </row>
    <row r="9" spans="1:6" ht="39.75" customHeight="1">
      <c r="A9" s="11" t="s">
        <v>57</v>
      </c>
      <c r="B9" s="12" t="s">
        <v>58</v>
      </c>
      <c r="C9" s="13" t="s">
        <v>59</v>
      </c>
      <c r="D9" s="13" t="s">
        <v>60</v>
      </c>
      <c r="E9" s="14">
        <v>8</v>
      </c>
      <c r="F9" s="14" t="s">
        <v>52</v>
      </c>
    </row>
    <row r="10" spans="1:6" ht="39.75" customHeight="1">
      <c r="A10" s="11" t="s">
        <v>61</v>
      </c>
      <c r="B10" s="12" t="s">
        <v>62</v>
      </c>
      <c r="C10" s="13" t="s">
        <v>63</v>
      </c>
      <c r="D10" s="13" t="s">
        <v>64</v>
      </c>
      <c r="E10" s="14">
        <v>9</v>
      </c>
      <c r="F10" s="14" t="s">
        <v>52</v>
      </c>
    </row>
    <row r="11" spans="1:6" ht="39.75" customHeight="1">
      <c r="A11" s="11" t="s">
        <v>65</v>
      </c>
      <c r="B11" s="12" t="s">
        <v>66</v>
      </c>
      <c r="C11" s="13" t="s">
        <v>67</v>
      </c>
      <c r="D11" s="13" t="s">
        <v>68</v>
      </c>
      <c r="E11" s="14">
        <v>9</v>
      </c>
      <c r="F11" s="14" t="s">
        <v>52</v>
      </c>
    </row>
    <row r="12" spans="1:6" ht="15" customHeight="1">
      <c r="A12" s="15" t="s">
        <v>69</v>
      </c>
      <c r="B12" s="16"/>
      <c r="C12" s="16"/>
      <c r="D12" s="16"/>
      <c r="E12" s="17">
        <f>SUM(E7:E11)</f>
        <v>45</v>
      </c>
      <c r="F12" s="17">
        <f>COUNTIF(F7:F11,"Sí")</f>
        <v>0</v>
      </c>
    </row>
    <row r="14" spans="1:6" ht="18" customHeight="1">
      <c r="A14" s="6" t="s">
        <v>70</v>
      </c>
      <c r="B14" s="6"/>
      <c r="C14" s="6"/>
      <c r="D14" s="6"/>
      <c r="E14" s="6"/>
      <c r="F14" s="6"/>
    </row>
    <row r="15" spans="1:6" ht="25.5" customHeight="1">
      <c r="A15" s="3" t="s">
        <v>71</v>
      </c>
      <c r="B15" s="3"/>
      <c r="C15" s="2" t="s">
        <v>72</v>
      </c>
      <c r="D15" s="2"/>
      <c r="E15" s="2"/>
      <c r="F15" s="2"/>
    </row>
    <row r="16" spans="1:6" ht="25.5" customHeight="1">
      <c r="A16" s="3" t="s">
        <v>71</v>
      </c>
      <c r="B16" s="3"/>
      <c r="C16" s="2" t="s">
        <v>73</v>
      </c>
      <c r="D16" s="2"/>
      <c r="E16" s="2"/>
      <c r="F16" s="2"/>
    </row>
    <row r="17" spans="1:6" ht="25.5" customHeight="1">
      <c r="A17" s="1" t="s">
        <v>74</v>
      </c>
      <c r="B17" s="1"/>
      <c r="C17" s="2" t="s">
        <v>75</v>
      </c>
      <c r="D17" s="2"/>
      <c r="E17" s="2"/>
      <c r="F17" s="2"/>
    </row>
    <row r="18" spans="1:6" ht="25.5" customHeight="1">
      <c r="A18" s="1" t="s">
        <v>74</v>
      </c>
      <c r="B18" s="1"/>
      <c r="C18" s="2" t="s">
        <v>76</v>
      </c>
      <c r="D18" s="2"/>
      <c r="E18" s="2"/>
      <c r="F18" s="2"/>
    </row>
    <row r="19" spans="1:6" ht="25.5" customHeight="1">
      <c r="A19" s="1" t="s">
        <v>77</v>
      </c>
      <c r="B19" s="1"/>
      <c r="C19" s="2" t="s">
        <v>78</v>
      </c>
      <c r="D19" s="2"/>
      <c r="E19" s="2"/>
      <c r="F19" s="2"/>
    </row>
  </sheetData>
  <mergeCells count="16">
    <mergeCell ref="D3:F3"/>
    <mergeCell ref="A3:B3"/>
    <mergeCell ref="A17:B17"/>
    <mergeCell ref="C17:F17"/>
    <mergeCell ref="A18:B18"/>
    <mergeCell ref="C18:F18"/>
    <mergeCell ref="A19:B19"/>
    <mergeCell ref="C19:F19"/>
    <mergeCell ref="A5:F5"/>
    <mergeCell ref="A14:F14"/>
    <mergeCell ref="A15:B15"/>
    <mergeCell ref="C15:F15"/>
    <mergeCell ref="A16:B16"/>
    <mergeCell ref="C16:F16"/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CEFF1"/>
  </sheetPr>
  <dimension ref="A1:E16"/>
  <sheetViews>
    <sheetView showGridLines="0" tabSelected="1" zoomScaleNormal="100" workbookViewId="0">
      <pane ySplit="5" topLeftCell="A6" activePane="bottomLeft" state="frozen"/>
      <selection pane="bottomLeft" sqref="A1:E1"/>
    </sheetView>
  </sheetViews>
  <sheetFormatPr baseColWidth="10" defaultColWidth="8.7109375" defaultRowHeight="15"/>
  <cols>
    <col min="1" max="1" width="16" style="9" customWidth="1"/>
    <col min="2" max="2" width="12" style="9" customWidth="1"/>
    <col min="3" max="3" width="22" style="9" customWidth="1"/>
    <col min="4" max="5" width="40" style="9" customWidth="1"/>
  </cols>
  <sheetData>
    <row r="1" spans="1:5" ht="24" customHeight="1">
      <c r="A1" s="5" t="s">
        <v>0</v>
      </c>
      <c r="B1" s="5"/>
      <c r="C1" s="5"/>
      <c r="D1" s="5"/>
      <c r="E1" s="5"/>
    </row>
    <row r="2" spans="1:5" ht="19.5" customHeight="1">
      <c r="A2" s="7" t="s">
        <v>79</v>
      </c>
      <c r="B2" s="7"/>
      <c r="C2" s="7"/>
      <c r="D2" s="7"/>
      <c r="E2" s="7"/>
    </row>
    <row r="3" spans="1:5" ht="18" customHeight="1">
      <c r="A3" s="34" t="str">
        <f>HYPERLINK("#INICIO!A1","◀ INICIO")</f>
        <v>◀ INICIO</v>
      </c>
      <c r="B3" s="36"/>
      <c r="C3" s="34" t="str">
        <f>HYPERLINK("#CATALOGO!A1","◀ COMPONENTES")</f>
        <v>◀ COMPONENTES</v>
      </c>
      <c r="D3" s="36"/>
      <c r="E3" s="37" t="str">
        <f>HYPERLINK("#CONEXIONES!A1","▶ CONEXIONES")</f>
        <v>▶ CONEXIONES</v>
      </c>
    </row>
    <row r="4" spans="1:5" ht="25.5" customHeight="1">
      <c r="A4" s="25" t="s">
        <v>80</v>
      </c>
      <c r="B4" s="25"/>
      <c r="C4" s="25"/>
      <c r="D4" s="25"/>
      <c r="E4" s="25"/>
    </row>
    <row r="5" spans="1:5" ht="15" customHeight="1">
      <c r="A5" s="10" t="s">
        <v>81</v>
      </c>
      <c r="B5" s="10" t="s">
        <v>82</v>
      </c>
      <c r="C5" s="10" t="s">
        <v>83</v>
      </c>
      <c r="D5" s="10" t="s">
        <v>84</v>
      </c>
      <c r="E5" s="10" t="s">
        <v>85</v>
      </c>
    </row>
    <row r="6" spans="1:5" ht="33.75" customHeight="1">
      <c r="A6" s="13" t="s">
        <v>86</v>
      </c>
      <c r="B6" s="18" t="s">
        <v>48</v>
      </c>
      <c r="C6" s="13" t="s">
        <v>87</v>
      </c>
      <c r="D6" s="13" t="s">
        <v>88</v>
      </c>
      <c r="E6" s="13" t="s">
        <v>89</v>
      </c>
    </row>
    <row r="7" spans="1:5" ht="33.75" customHeight="1">
      <c r="A7" s="13" t="s">
        <v>90</v>
      </c>
      <c r="B7" s="18" t="s">
        <v>53</v>
      </c>
      <c r="C7" s="13" t="s">
        <v>91</v>
      </c>
      <c r="D7" s="13" t="s">
        <v>92</v>
      </c>
      <c r="E7" s="13" t="s">
        <v>93</v>
      </c>
    </row>
    <row r="8" spans="1:5" ht="33.75" customHeight="1">
      <c r="A8" s="13" t="s">
        <v>94</v>
      </c>
      <c r="B8" s="18" t="s">
        <v>57</v>
      </c>
      <c r="C8" s="13" t="s">
        <v>95</v>
      </c>
      <c r="D8" s="13" t="s">
        <v>96</v>
      </c>
      <c r="E8" s="13" t="s">
        <v>97</v>
      </c>
    </row>
    <row r="9" spans="1:5" ht="33.75" customHeight="1">
      <c r="A9" s="13" t="s">
        <v>98</v>
      </c>
      <c r="B9" s="18" t="s">
        <v>61</v>
      </c>
      <c r="C9" s="13" t="s">
        <v>99</v>
      </c>
      <c r="D9" s="13" t="s">
        <v>100</v>
      </c>
      <c r="E9" s="13" t="s">
        <v>101</v>
      </c>
    </row>
    <row r="10" spans="1:5" ht="33.75" customHeight="1">
      <c r="A10" s="13" t="s">
        <v>102</v>
      </c>
      <c r="B10" s="18" t="s">
        <v>65</v>
      </c>
      <c r="C10" s="13" t="s">
        <v>103</v>
      </c>
      <c r="D10" s="13" t="s">
        <v>104</v>
      </c>
      <c r="E10" s="13" t="s">
        <v>105</v>
      </c>
    </row>
    <row r="12" spans="1:5" ht="18" customHeight="1">
      <c r="A12" s="6" t="s">
        <v>106</v>
      </c>
      <c r="B12" s="6"/>
      <c r="C12" s="6"/>
      <c r="D12" s="6"/>
      <c r="E12" s="6"/>
    </row>
    <row r="13" spans="1:5" ht="25.5" customHeight="1">
      <c r="A13" s="25" t="s">
        <v>107</v>
      </c>
      <c r="B13" s="25"/>
      <c r="C13" s="25"/>
      <c r="D13" s="25"/>
      <c r="E13" s="25"/>
    </row>
    <row r="14" spans="1:5" ht="25.5" customHeight="1">
      <c r="A14" s="25" t="s">
        <v>108</v>
      </c>
      <c r="B14" s="25"/>
      <c r="C14" s="25"/>
      <c r="D14" s="25"/>
      <c r="E14" s="25"/>
    </row>
    <row r="15" spans="1:5" ht="25.5" customHeight="1">
      <c r="A15" s="25" t="s">
        <v>109</v>
      </c>
      <c r="B15" s="25"/>
      <c r="C15" s="25"/>
      <c r="D15" s="25"/>
      <c r="E15" s="25"/>
    </row>
    <row r="16" spans="1:5" ht="25.5" customHeight="1">
      <c r="A16" s="25" t="s">
        <v>110</v>
      </c>
      <c r="B16" s="25"/>
      <c r="C16" s="25"/>
      <c r="D16" s="25"/>
      <c r="E16" s="25"/>
    </row>
  </sheetData>
  <sheetProtection algorithmName="SHA-512" hashValue="vnyKQSe2OdK/o91u4dIJujqJJFFmOfK5jjOGqyhm8Wjf7JnGLpwrhfcw5W9XiRjPivMQaH0/yR+SU5m9Tl/Sug==" saltValue="wD2p9RQksBTaGpHByz/9RQ==" spinCount="100000" sheet="1" objects="1" scenarios="1"/>
  <mergeCells count="10">
    <mergeCell ref="A12:E12"/>
    <mergeCell ref="A13:E13"/>
    <mergeCell ref="A14:E14"/>
    <mergeCell ref="A15:E15"/>
    <mergeCell ref="A16:E16"/>
    <mergeCell ref="A1:E1"/>
    <mergeCell ref="A2:E2"/>
    <mergeCell ref="A3:B3"/>
    <mergeCell ref="C3:D3"/>
    <mergeCell ref="A4:E4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7E0F5"/>
  </sheetPr>
  <dimension ref="A1:E14"/>
  <sheetViews>
    <sheetView showGridLines="0" zoomScaleNormal="100" workbookViewId="0">
      <pane ySplit="5" topLeftCell="A6" activePane="bottomLeft" state="frozen"/>
      <selection pane="bottomLeft" activeCell="B18" sqref="B18"/>
    </sheetView>
  </sheetViews>
  <sheetFormatPr baseColWidth="10" defaultColWidth="8.7109375" defaultRowHeight="15"/>
  <cols>
    <col min="1" max="1" width="29.5703125" style="9" customWidth="1"/>
    <col min="2" max="2" width="34" style="9" customWidth="1"/>
    <col min="3" max="3" width="40.7109375" style="9" customWidth="1"/>
    <col min="4" max="4" width="32.5703125" style="9" customWidth="1"/>
    <col min="5" max="5" width="42.7109375" style="9" customWidth="1"/>
  </cols>
  <sheetData>
    <row r="1" spans="1:5" ht="24" customHeight="1">
      <c r="A1" s="5" t="s">
        <v>0</v>
      </c>
      <c r="B1" s="5"/>
      <c r="C1" s="5"/>
      <c r="D1" s="5"/>
      <c r="E1" s="5"/>
    </row>
    <row r="2" spans="1:5" ht="19.5" customHeight="1">
      <c r="A2" s="7" t="s">
        <v>111</v>
      </c>
      <c r="B2" s="7"/>
      <c r="C2" s="7"/>
      <c r="D2" s="7"/>
      <c r="E2" s="7"/>
    </row>
    <row r="3" spans="1:5" ht="18" customHeight="1">
      <c r="A3" s="34" t="str">
        <f>HYPERLINK("#INICIO!A1","◀ INICIO")</f>
        <v>◀ INICIO</v>
      </c>
      <c r="B3" s="36"/>
      <c r="C3" s="34" t="str">
        <f>HYPERLINK("#FLUJO!A1","◀ ORDEN")</f>
        <v>◀ ORDEN</v>
      </c>
      <c r="D3" s="36"/>
      <c r="E3" s="37" t="str">
        <f>HYPERLINK("#LICENCIA!A1","▶ LICENCIA")</f>
        <v>▶ LICENCIA</v>
      </c>
    </row>
    <row r="4" spans="1:5" ht="25.5" customHeight="1">
      <c r="A4" s="25" t="s">
        <v>112</v>
      </c>
      <c r="B4" s="25"/>
      <c r="C4" s="25"/>
      <c r="D4" s="25"/>
      <c r="E4" s="25"/>
    </row>
    <row r="5" spans="1:5" ht="15" customHeight="1">
      <c r="A5" s="10" t="s">
        <v>113</v>
      </c>
      <c r="B5" s="10" t="s">
        <v>114</v>
      </c>
      <c r="C5" s="10" t="s">
        <v>115</v>
      </c>
      <c r="D5" s="10" t="s">
        <v>116</v>
      </c>
      <c r="E5" s="10" t="s">
        <v>117</v>
      </c>
    </row>
    <row r="6" spans="1:5" ht="42" customHeight="1">
      <c r="A6" s="48" t="s">
        <v>48</v>
      </c>
      <c r="B6" s="47" t="s">
        <v>118</v>
      </c>
      <c r="C6" s="47" t="s">
        <v>119</v>
      </c>
      <c r="D6" s="47" t="s">
        <v>120</v>
      </c>
      <c r="E6" s="47" t="s">
        <v>121</v>
      </c>
    </row>
    <row r="7" spans="1:5" ht="42" customHeight="1">
      <c r="A7" s="48" t="s">
        <v>122</v>
      </c>
      <c r="B7" s="47" t="s">
        <v>123</v>
      </c>
      <c r="C7" s="47" t="s">
        <v>124</v>
      </c>
      <c r="D7" s="47" t="s">
        <v>125</v>
      </c>
      <c r="E7" s="47" t="s">
        <v>126</v>
      </c>
    </row>
    <row r="8" spans="1:5" ht="42" customHeight="1">
      <c r="A8" s="48" t="s">
        <v>53</v>
      </c>
      <c r="B8" s="47" t="s">
        <v>127</v>
      </c>
      <c r="C8" s="47" t="s">
        <v>57</v>
      </c>
      <c r="D8" s="47" t="s">
        <v>128</v>
      </c>
      <c r="E8" s="47" t="s">
        <v>129</v>
      </c>
    </row>
    <row r="9" spans="1:5" ht="42" customHeight="1">
      <c r="A9" s="48" t="s">
        <v>53</v>
      </c>
      <c r="B9" s="47" t="s">
        <v>130</v>
      </c>
      <c r="C9" s="47" t="s">
        <v>61</v>
      </c>
      <c r="D9" s="47" t="s">
        <v>131</v>
      </c>
      <c r="E9" s="47" t="s">
        <v>132</v>
      </c>
    </row>
    <row r="10" spans="1:5" ht="42" customHeight="1">
      <c r="A10" s="48" t="s">
        <v>133</v>
      </c>
      <c r="B10" s="47" t="s">
        <v>134</v>
      </c>
      <c r="C10" s="47" t="s">
        <v>65</v>
      </c>
      <c r="D10" s="47" t="s">
        <v>125</v>
      </c>
      <c r="E10" s="47" t="s">
        <v>135</v>
      </c>
    </row>
    <row r="11" spans="1:5" ht="42" customHeight="1">
      <c r="A11" s="48" t="s">
        <v>136</v>
      </c>
      <c r="B11" s="47" t="s">
        <v>137</v>
      </c>
      <c r="C11" s="47" t="s">
        <v>138</v>
      </c>
      <c r="D11" s="47" t="s">
        <v>139</v>
      </c>
      <c r="E11" s="47" t="s">
        <v>140</v>
      </c>
    </row>
    <row r="12" spans="1:5" ht="30" customHeight="1">
      <c r="A12" s="49" t="s">
        <v>141</v>
      </c>
      <c r="B12" s="49"/>
      <c r="C12" s="49"/>
      <c r="D12" s="49"/>
      <c r="E12" s="49"/>
    </row>
    <row r="13" spans="1:5">
      <c r="A13" s="50"/>
      <c r="B13" s="50"/>
      <c r="C13" s="50"/>
      <c r="D13" s="50"/>
      <c r="E13" s="50"/>
    </row>
    <row r="14" spans="1:5">
      <c r="A14" s="50"/>
      <c r="B14" s="50"/>
      <c r="C14" s="50"/>
      <c r="D14" s="50"/>
      <c r="E14" s="50"/>
    </row>
  </sheetData>
  <sheetProtection algorithmName="SHA-512" hashValue="a0pP9sgnzho0QXsWSXPUfvw6Zhi/mo2KEGb7yJHC0LTIHpuq32Dl1mh2Sp0ap38LiYZktfF4gl3ncVD1oIdc0w==" saltValue="wfkQFwDawzfOzWFIiZSaVg==" spinCount="100000" sheet="1" objects="1" scenarios="1"/>
  <mergeCells count="6">
    <mergeCell ref="A12:E14"/>
    <mergeCell ref="A1:E1"/>
    <mergeCell ref="A2:E2"/>
    <mergeCell ref="A3:B3"/>
    <mergeCell ref="C3:D3"/>
    <mergeCell ref="A4:E4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BE4D5"/>
  </sheetPr>
  <dimension ref="A1:D12"/>
  <sheetViews>
    <sheetView showGridLines="0" zoomScaleNormal="100" workbookViewId="0">
      <pane ySplit="5" topLeftCell="A6" activePane="bottomLeft" state="frozen"/>
      <selection pane="bottomLeft" activeCell="A3" sqref="A3:B3"/>
    </sheetView>
  </sheetViews>
  <sheetFormatPr baseColWidth="10" defaultColWidth="8.7109375" defaultRowHeight="15"/>
  <cols>
    <col min="1" max="1" width="23" style="9" customWidth="1"/>
    <col min="2" max="2" width="42.85546875" style="9" customWidth="1"/>
    <col min="3" max="3" width="28.28515625" style="9" customWidth="1"/>
    <col min="4" max="4" width="44" style="9" customWidth="1"/>
  </cols>
  <sheetData>
    <row r="1" spans="1:4" ht="24" customHeight="1">
      <c r="A1" s="5" t="s">
        <v>0</v>
      </c>
      <c r="B1" s="5"/>
      <c r="C1" s="5"/>
      <c r="D1" s="5"/>
    </row>
    <row r="2" spans="1:4" ht="19.5" customHeight="1">
      <c r="A2" s="7" t="s">
        <v>142</v>
      </c>
      <c r="B2" s="7"/>
      <c r="C2" s="7"/>
      <c r="D2" s="7"/>
    </row>
    <row r="3" spans="1:4" ht="18" customHeight="1">
      <c r="A3" s="34" t="str">
        <f>HYPERLINK("#INICIO!A1","◀ INICIO")</f>
        <v>◀ INICIO</v>
      </c>
      <c r="B3" s="36"/>
      <c r="C3" s="34" t="str">
        <f>HYPERLINK("#VERIFICACION!A1","▶ VERIFICAR")</f>
        <v>▶ VERIFICAR</v>
      </c>
      <c r="D3" s="36"/>
    </row>
    <row r="4" spans="1:4" ht="34.5" customHeight="1">
      <c r="A4" s="29" t="s">
        <v>143</v>
      </c>
      <c r="B4" s="29"/>
      <c r="C4" s="29"/>
      <c r="D4" s="29"/>
    </row>
    <row r="5" spans="1:4" ht="27.75" customHeight="1">
      <c r="A5" s="10" t="s">
        <v>42</v>
      </c>
      <c r="B5" s="10" t="s">
        <v>43</v>
      </c>
      <c r="C5" s="10" t="s">
        <v>144</v>
      </c>
      <c r="D5" s="10" t="s">
        <v>145</v>
      </c>
    </row>
    <row r="6" spans="1:4" s="53" customFormat="1" ht="32.25" customHeight="1">
      <c r="A6" s="54" t="s">
        <v>48</v>
      </c>
      <c r="B6" s="52" t="s">
        <v>49</v>
      </c>
      <c r="C6" s="51" t="s">
        <v>52</v>
      </c>
      <c r="D6" s="52" t="s">
        <v>146</v>
      </c>
    </row>
    <row r="7" spans="1:4" s="53" customFormat="1" ht="32.25" customHeight="1">
      <c r="A7" s="54" t="s">
        <v>53</v>
      </c>
      <c r="B7" s="52" t="s">
        <v>54</v>
      </c>
      <c r="C7" s="51" t="s">
        <v>52</v>
      </c>
      <c r="D7" s="52" t="s">
        <v>147</v>
      </c>
    </row>
    <row r="8" spans="1:4" s="53" customFormat="1" ht="32.25" customHeight="1">
      <c r="A8" s="54" t="s">
        <v>57</v>
      </c>
      <c r="B8" s="52" t="s">
        <v>58</v>
      </c>
      <c r="C8" s="51" t="s">
        <v>52</v>
      </c>
      <c r="D8" s="52" t="s">
        <v>148</v>
      </c>
    </row>
    <row r="9" spans="1:4" s="53" customFormat="1" ht="32.25" customHeight="1">
      <c r="A9" s="54" t="s">
        <v>61</v>
      </c>
      <c r="B9" s="52" t="s">
        <v>62</v>
      </c>
      <c r="C9" s="51" t="s">
        <v>52</v>
      </c>
      <c r="D9" s="52" t="s">
        <v>149</v>
      </c>
    </row>
    <row r="10" spans="1:4" s="53" customFormat="1" ht="32.25" customHeight="1">
      <c r="A10" s="54" t="s">
        <v>65</v>
      </c>
      <c r="B10" s="52" t="s">
        <v>150</v>
      </c>
      <c r="C10" s="51" t="s">
        <v>52</v>
      </c>
      <c r="D10" s="52" t="s">
        <v>151</v>
      </c>
    </row>
    <row r="11" spans="1:4" ht="33.75" customHeight="1">
      <c r="A11"/>
      <c r="B11"/>
      <c r="C11"/>
      <c r="D11"/>
    </row>
    <row r="12" spans="1:4" ht="33.75" customHeight="1">
      <c r="A12"/>
      <c r="B12"/>
      <c r="C12"/>
      <c r="D12"/>
    </row>
  </sheetData>
  <sheetProtection algorithmName="SHA-512" hashValue="bkG/Z7PQmUfR6eqGGCAKH3/2BJMjyHVdINNdbtdv7N0B+bFA4zSZWOgDayZmYN8dqrwskhKciDOD39KRfOxoxQ==" saltValue="mwHVcY8fJSwzPPXlOLGSuw==" spinCount="100000" sheet="1" objects="1" scenarios="1"/>
  <mergeCells count="5">
    <mergeCell ref="A1:D1"/>
    <mergeCell ref="A2:D2"/>
    <mergeCell ref="A3:B3"/>
    <mergeCell ref="C3:D3"/>
    <mergeCell ref="A4:D4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DFF0E3"/>
  </sheetPr>
  <dimension ref="A1:G14"/>
  <sheetViews>
    <sheetView showGridLines="0" zoomScale="115" zoomScaleNormal="115" workbookViewId="0">
      <pane ySplit="5" topLeftCell="A6" activePane="bottomLeft" state="frozen"/>
      <selection pane="bottomLeft" activeCell="A14" sqref="A14:G14"/>
    </sheetView>
  </sheetViews>
  <sheetFormatPr baseColWidth="10" defaultColWidth="8.7109375" defaultRowHeight="15"/>
  <cols>
    <col min="1" max="1" width="10" style="9" customWidth="1"/>
    <col min="2" max="2" width="40" style="9" customWidth="1"/>
    <col min="3" max="3" width="9" style="9" customWidth="1"/>
    <col min="4" max="4" width="8" style="9" customWidth="1"/>
    <col min="5" max="6" width="11" style="9" customWidth="1"/>
    <col min="7" max="7" width="30" style="9" customWidth="1"/>
  </cols>
  <sheetData>
    <row r="1" spans="1:7" ht="24" customHeight="1">
      <c r="A1" s="5" t="s">
        <v>0</v>
      </c>
      <c r="B1" s="5"/>
      <c r="C1" s="5"/>
      <c r="D1" s="5"/>
      <c r="E1" s="5"/>
      <c r="F1" s="5"/>
      <c r="G1" s="5"/>
    </row>
    <row r="2" spans="1:7" ht="19.5" customHeight="1">
      <c r="A2" s="7" t="s">
        <v>152</v>
      </c>
      <c r="B2" s="7"/>
      <c r="C2" s="7"/>
      <c r="D2" s="7"/>
      <c r="E2" s="7"/>
      <c r="F2" s="7"/>
      <c r="G2" s="7"/>
    </row>
    <row r="3" spans="1:7" ht="18" customHeight="1">
      <c r="A3" s="34" t="str">
        <f>HYPERLINK("#INICIO!A1","◀ INICIO")</f>
        <v>◀ INICIO</v>
      </c>
      <c r="B3" s="36"/>
      <c r="C3" s="34" t="str">
        <f>HYPERLINK("#LICENCIA!A1","◀ LICENCIA")</f>
        <v>◀ LICENCIA</v>
      </c>
      <c r="D3" s="36"/>
      <c r="E3" s="34" t="str">
        <f>HYPERLINK("#PRUEBAS!A1","▶ QA")</f>
        <v>▶ QA</v>
      </c>
      <c r="F3" s="35"/>
      <c r="G3" s="35"/>
    </row>
    <row r="4" spans="1:7" ht="31.5" customHeight="1">
      <c r="A4" s="29" t="s">
        <v>153</v>
      </c>
      <c r="B4" s="29"/>
      <c r="C4" s="29"/>
      <c r="D4" s="29"/>
      <c r="E4" s="29"/>
      <c r="F4" s="29"/>
      <c r="G4" s="29"/>
    </row>
    <row r="5" spans="1:7" ht="23.25" customHeight="1">
      <c r="A5" s="10" t="s">
        <v>42</v>
      </c>
      <c r="B5" s="10" t="s">
        <v>154</v>
      </c>
      <c r="C5" s="10" t="s">
        <v>4</v>
      </c>
      <c r="D5" s="10" t="s">
        <v>46</v>
      </c>
      <c r="E5" s="10" t="s">
        <v>155</v>
      </c>
      <c r="F5" s="10" t="s">
        <v>156</v>
      </c>
      <c r="G5" s="10" t="s">
        <v>157</v>
      </c>
    </row>
    <row r="6" spans="1:7" ht="25.5" customHeight="1">
      <c r="A6" s="20" t="s">
        <v>48</v>
      </c>
      <c r="B6" s="21" t="s">
        <v>158</v>
      </c>
      <c r="C6" s="18" t="s">
        <v>159</v>
      </c>
      <c r="D6" s="18">
        <v>10</v>
      </c>
      <c r="E6" s="18" t="s">
        <v>160</v>
      </c>
      <c r="F6" s="18" t="s">
        <v>161</v>
      </c>
      <c r="G6" s="21"/>
    </row>
    <row r="7" spans="1:7" ht="25.5" customHeight="1">
      <c r="A7" s="20" t="s">
        <v>53</v>
      </c>
      <c r="B7" s="21" t="s">
        <v>162</v>
      </c>
      <c r="C7" s="18" t="s">
        <v>159</v>
      </c>
      <c r="D7" s="18">
        <v>9</v>
      </c>
      <c r="E7" s="18" t="s">
        <v>160</v>
      </c>
      <c r="F7" s="18" t="s">
        <v>161</v>
      </c>
      <c r="G7" s="21" t="s">
        <v>163</v>
      </c>
    </row>
    <row r="8" spans="1:7" ht="25.5" customHeight="1">
      <c r="A8" s="20" t="s">
        <v>57</v>
      </c>
      <c r="B8" s="21" t="s">
        <v>164</v>
      </c>
      <c r="C8" s="18" t="s">
        <v>159</v>
      </c>
      <c r="D8" s="18">
        <v>8</v>
      </c>
      <c r="E8" s="18" t="s">
        <v>160</v>
      </c>
      <c r="F8" s="18" t="s">
        <v>161</v>
      </c>
      <c r="G8" s="21" t="s">
        <v>163</v>
      </c>
    </row>
    <row r="9" spans="1:7" ht="25.5" customHeight="1">
      <c r="A9" s="20" t="s">
        <v>61</v>
      </c>
      <c r="B9" s="21" t="s">
        <v>165</v>
      </c>
      <c r="C9" s="18" t="s">
        <v>159</v>
      </c>
      <c r="D9" s="18">
        <v>9</v>
      </c>
      <c r="E9" s="18" t="s">
        <v>160</v>
      </c>
      <c r="F9" s="18" t="s">
        <v>161</v>
      </c>
      <c r="G9" s="21" t="s">
        <v>163</v>
      </c>
    </row>
    <row r="10" spans="1:7" ht="25.5" customHeight="1">
      <c r="A10" s="20" t="s">
        <v>65</v>
      </c>
      <c r="B10" s="21" t="s">
        <v>166</v>
      </c>
      <c r="C10" s="18" t="s">
        <v>159</v>
      </c>
      <c r="D10" s="18">
        <v>9</v>
      </c>
      <c r="E10" s="18" t="s">
        <v>160</v>
      </c>
      <c r="F10" s="18" t="s">
        <v>161</v>
      </c>
      <c r="G10" s="21" t="s">
        <v>167</v>
      </c>
    </row>
    <row r="11" spans="1:7" ht="15" customHeight="1">
      <c r="A11" s="44" t="s">
        <v>168</v>
      </c>
      <c r="B11" s="45"/>
      <c r="C11" s="46"/>
      <c r="D11" s="22">
        <f>COUNTIF(E6:E10,"Presente")</f>
        <v>5</v>
      </c>
    </row>
    <row r="12" spans="1:7" ht="15" customHeight="1">
      <c r="A12" s="44" t="s">
        <v>169</v>
      </c>
      <c r="B12" s="45"/>
      <c r="C12" s="46"/>
      <c r="D12" s="22">
        <f>COUNTIF(F6:F10,"Sí")</f>
        <v>5</v>
      </c>
    </row>
    <row r="13" spans="1:7" ht="15" customHeight="1">
      <c r="A13" s="44" t="s">
        <v>170</v>
      </c>
      <c r="B13" s="45"/>
      <c r="C13" s="46"/>
      <c r="D13" s="22">
        <f>SUM(D6:D10)</f>
        <v>45</v>
      </c>
    </row>
    <row r="14" spans="1:7" ht="42" customHeight="1">
      <c r="A14" s="31" t="s">
        <v>171</v>
      </c>
      <c r="B14" s="31"/>
      <c r="C14" s="31"/>
      <c r="D14" s="31"/>
      <c r="E14" s="31"/>
      <c r="F14" s="31"/>
      <c r="G14" s="31"/>
    </row>
  </sheetData>
  <sheetProtection algorithmName="SHA-512" hashValue="govSth8K3cZcF+u+m2Ca5kPLKv3ZRnrmiIPtm0S0bpPekUJTrqOFQvpT7wHyQFAx3pjlKbCy1OVaiM3gnNGb8g==" saltValue="HTsXed93ZYRL9//JK8G8xA==" spinCount="100000" sheet="1" objects="1" scenarios="1"/>
  <mergeCells count="10">
    <mergeCell ref="A4:G4"/>
    <mergeCell ref="A11:C11"/>
    <mergeCell ref="A12:C12"/>
    <mergeCell ref="A13:C13"/>
    <mergeCell ref="A14:G14"/>
    <mergeCell ref="A1:G1"/>
    <mergeCell ref="A2:G2"/>
    <mergeCell ref="A3:B3"/>
    <mergeCell ref="C3:D3"/>
    <mergeCell ref="E3:G3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BE4D5"/>
  </sheetPr>
  <dimension ref="A1:E20"/>
  <sheetViews>
    <sheetView showGridLines="0" zoomScaleNormal="100" workbookViewId="0">
      <pane ySplit="5" topLeftCell="A6" activePane="bottomLeft" state="frozen"/>
      <selection pane="bottomLeft" activeCell="J11" sqref="J11"/>
    </sheetView>
  </sheetViews>
  <sheetFormatPr baseColWidth="10" defaultColWidth="8.7109375" defaultRowHeight="15"/>
  <cols>
    <col min="1" max="1" width="10.7109375" style="9" customWidth="1"/>
    <col min="2" max="2" width="48.28515625" style="9" customWidth="1"/>
    <col min="3" max="4" width="15.28515625" style="9" customWidth="1"/>
    <col min="5" max="5" width="19.5703125" style="9" customWidth="1"/>
  </cols>
  <sheetData>
    <row r="1" spans="1:5" ht="24" customHeight="1">
      <c r="A1" s="5" t="s">
        <v>0</v>
      </c>
      <c r="B1" s="5"/>
      <c r="C1" s="5"/>
      <c r="D1" s="5"/>
      <c r="E1" s="5"/>
    </row>
    <row r="2" spans="1:5" ht="19.5" customHeight="1">
      <c r="A2" s="7" t="s">
        <v>194</v>
      </c>
      <c r="B2" s="7"/>
      <c r="C2" s="7"/>
      <c r="D2" s="7"/>
      <c r="E2" s="7"/>
    </row>
    <row r="3" spans="1:5" ht="18" customHeight="1">
      <c r="A3" s="34" t="str">
        <f>HYPERLINK("#INICIO!A1","◀ INICIO")</f>
        <v>◀ INICIO</v>
      </c>
      <c r="B3" s="36"/>
      <c r="C3" s="34" t="str">
        <f>HYPERLINK("#VERIFICACION!A1","◀ VERIFICAR")</f>
        <v>◀ VERIFICAR</v>
      </c>
      <c r="D3" s="36"/>
      <c r="E3" s="37" t="str">
        <f>HYPERLINK("#CONFIG!A1","▶ CONFIG")</f>
        <v>▶ CONFIG</v>
      </c>
    </row>
    <row r="4" spans="1:5" ht="45.75" customHeight="1">
      <c r="A4" s="29" t="s">
        <v>195</v>
      </c>
      <c r="B4" s="29"/>
      <c r="C4" s="29"/>
      <c r="D4" s="29"/>
      <c r="E4" s="29"/>
    </row>
    <row r="5" spans="1:5" ht="15" customHeight="1">
      <c r="A5" s="10" t="s">
        <v>196</v>
      </c>
      <c r="B5" s="10" t="s">
        <v>197</v>
      </c>
      <c r="C5" s="10" t="s">
        <v>198</v>
      </c>
      <c r="D5" s="10" t="s">
        <v>199</v>
      </c>
      <c r="E5" s="10" t="s">
        <v>200</v>
      </c>
    </row>
    <row r="6" spans="1:5" ht="24" customHeight="1">
      <c r="A6" s="20" t="s">
        <v>201</v>
      </c>
      <c r="B6" s="13" t="s">
        <v>202</v>
      </c>
      <c r="C6" s="18">
        <f>COUNTA(CATALOGO!A7:A11)</f>
        <v>5</v>
      </c>
      <c r="D6" s="18">
        <v>5</v>
      </c>
      <c r="E6" s="22" t="str">
        <f>IF(ABS(C6-D6)&lt;=CONFIG!$B$7,"OK","REVISAR")</f>
        <v>OK</v>
      </c>
    </row>
    <row r="7" spans="1:5" ht="24" customHeight="1">
      <c r="A7" s="20" t="s">
        <v>201</v>
      </c>
      <c r="B7" s="13" t="s">
        <v>203</v>
      </c>
      <c r="C7" s="18">
        <f>CATALOGO!E12</f>
        <v>45</v>
      </c>
      <c r="D7" s="18">
        <v>45</v>
      </c>
      <c r="E7" s="22" t="str">
        <f>IF(ABS(C7-D7)&lt;=CONFIG!$B$7,"OK","REVISAR")</f>
        <v>OK</v>
      </c>
    </row>
    <row r="8" spans="1:5" ht="24" customHeight="1">
      <c r="A8" s="20" t="s">
        <v>201</v>
      </c>
      <c r="B8" s="13" t="s">
        <v>204</v>
      </c>
      <c r="C8" s="18">
        <f>CATALOGO!F12</f>
        <v>0</v>
      </c>
      <c r="D8" s="18">
        <v>0</v>
      </c>
      <c r="E8" s="22" t="str">
        <f>IF(ABS(C8-D8)&lt;=CONFIG!$B$7,"OK","REVISAR")</f>
        <v>OK</v>
      </c>
    </row>
    <row r="9" spans="1:5" ht="24" customHeight="1">
      <c r="A9" s="20" t="s">
        <v>201</v>
      </c>
      <c r="B9" s="13" t="s">
        <v>205</v>
      </c>
      <c r="C9" s="18">
        <f>COUNTA(CATALOGO!A7:A11)-CATALOGO!F12</f>
        <v>5</v>
      </c>
      <c r="D9" s="18">
        <v>5</v>
      </c>
      <c r="E9" s="22" t="str">
        <f>IF(ABS(C9-D9)&lt;=CONFIG!$B$7,"OK","REVISAR")</f>
        <v>OK</v>
      </c>
    </row>
    <row r="10" spans="1:5" ht="24" customHeight="1">
      <c r="A10" s="20" t="s">
        <v>206</v>
      </c>
      <c r="B10" s="13" t="s">
        <v>207</v>
      </c>
      <c r="C10" s="18">
        <f>COUNTA(FLUJO!A6:A10)</f>
        <v>5</v>
      </c>
      <c r="D10" s="18">
        <v>5</v>
      </c>
      <c r="E10" s="22" t="str">
        <f>IF(ABS(C10-D10)&lt;=CONFIG!$B$7,"OK","REVISAR")</f>
        <v>OK</v>
      </c>
    </row>
    <row r="11" spans="1:5" ht="24" customHeight="1">
      <c r="A11" s="20" t="s">
        <v>206</v>
      </c>
      <c r="B11" s="13" t="s">
        <v>208</v>
      </c>
      <c r="C11" s="18">
        <f>COUNTA(CONEXIONES!A6:A11)</f>
        <v>6</v>
      </c>
      <c r="D11" s="18">
        <v>6</v>
      </c>
      <c r="E11" s="22" t="str">
        <f>IF(ABS(C11-D11)&lt;=CONFIG!$B$7,"OK","REVISAR")</f>
        <v>OK</v>
      </c>
    </row>
    <row r="12" spans="1:5" ht="24" customHeight="1">
      <c r="A12" s="20" t="s">
        <v>209</v>
      </c>
      <c r="B12" s="13" t="s">
        <v>210</v>
      </c>
      <c r="C12" s="18">
        <f>CATALOGO!F12</f>
        <v>0</v>
      </c>
      <c r="D12" s="18">
        <v>0</v>
      </c>
      <c r="E12" s="22" t="str">
        <f>IF(ABS(C12-D12)&lt;=CONFIG!$B$7,"OK","REVISAR")</f>
        <v>OK</v>
      </c>
    </row>
    <row r="13" spans="1:5" ht="24" customHeight="1">
      <c r="A13" s="20" t="s">
        <v>209</v>
      </c>
      <c r="B13" s="13" t="s">
        <v>211</v>
      </c>
      <c r="C13" s="18">
        <f>COUNTIF(VERIFICACION!E6:E10,"Presente")</f>
        <v>5</v>
      </c>
      <c r="D13" s="18">
        <v>5</v>
      </c>
      <c r="E13" s="22" t="str">
        <f>IF(ABS(C13-D13)&lt;=CONFIG!$B$7,"OK","REVISAR")</f>
        <v>OK</v>
      </c>
    </row>
    <row r="14" spans="1:5" ht="24" customHeight="1">
      <c r="A14" s="20" t="s">
        <v>209</v>
      </c>
      <c r="B14" s="13" t="s">
        <v>212</v>
      </c>
      <c r="C14" s="18">
        <f>COUNTIF(VERIFICACION!F6:F10,"Sí")</f>
        <v>5</v>
      </c>
      <c r="D14" s="18">
        <v>5</v>
      </c>
      <c r="E14" s="22" t="str">
        <f>IF(ABS(C14-D14)&lt;=CONFIG!$B$7,"OK","REVISAR")</f>
        <v>OK</v>
      </c>
    </row>
    <row r="15" spans="1:5" ht="24" customHeight="1">
      <c r="A15" s="20" t="s">
        <v>213</v>
      </c>
      <c r="B15" s="13" t="s">
        <v>214</v>
      </c>
      <c r="C15" s="18">
        <f>SUM(VERIFICACION!D6:D10)</f>
        <v>45</v>
      </c>
      <c r="D15" s="18">
        <v>45</v>
      </c>
      <c r="E15" s="22" t="str">
        <f>IF(ABS(C15-D15)&lt;=CONFIG!$B$7,"OK","REVISAR")</f>
        <v>OK</v>
      </c>
    </row>
    <row r="16" spans="1:5" ht="24" customHeight="1">
      <c r="A16" s="20" t="s">
        <v>213</v>
      </c>
      <c r="B16" s="13" t="s">
        <v>215</v>
      </c>
      <c r="C16" s="18">
        <f>CATALOGO!E12-SUM(VERIFICACION!D6:D10)</f>
        <v>0</v>
      </c>
      <c r="D16" s="18">
        <v>0</v>
      </c>
      <c r="E16" s="22" t="str">
        <f>IF(ABS(C16-D16)&lt;=CONFIG!$B$7,"OK","REVISAR")</f>
        <v>OK</v>
      </c>
    </row>
    <row r="17" spans="1:5" ht="24" customHeight="1">
      <c r="A17" s="20" t="s">
        <v>216</v>
      </c>
      <c r="B17" s="13" t="s">
        <v>217</v>
      </c>
      <c r="C17" s="18">
        <f>CONFIG!$B$12</f>
        <v>1</v>
      </c>
      <c r="D17" s="18">
        <v>1</v>
      </c>
      <c r="E17" s="22" t="str">
        <f>IF(ABS(C17-D17)&lt;=CONFIG!$B$7,"OK","REVISAR")</f>
        <v>OK</v>
      </c>
    </row>
    <row r="18" spans="1:5" ht="24" customHeight="1">
      <c r="A18" s="20" t="s">
        <v>218</v>
      </c>
      <c r="B18" s="13" t="s">
        <v>219</v>
      </c>
      <c r="C18" s="18" t="s">
        <v>220</v>
      </c>
      <c r="D18" s="18" t="s">
        <v>220</v>
      </c>
      <c r="E18" s="22" t="str">
        <f>IF(C18=D18,"OK","REVISAR")</f>
        <v>OK</v>
      </c>
    </row>
    <row r="19" spans="1:5" ht="18" customHeight="1">
      <c r="A19" s="6" t="s">
        <v>221</v>
      </c>
      <c r="B19" s="6"/>
      <c r="C19" s="6"/>
      <c r="D19" s="6"/>
      <c r="E19" s="6"/>
    </row>
    <row r="20" spans="1:5" ht="15" customHeight="1">
      <c r="A20" s="56" t="s">
        <v>222</v>
      </c>
      <c r="B20" s="57"/>
      <c r="C20" s="55">
        <f>COUNTIF(E6:E18,"OK")</f>
        <v>13</v>
      </c>
      <c r="D20" s="55">
        <v>13</v>
      </c>
      <c r="E20" s="55" t="str">
        <f>IF(C20=D20,"TODO OK","REVISAR")</f>
        <v>TODO OK</v>
      </c>
    </row>
  </sheetData>
  <sheetProtection algorithmName="SHA-512" hashValue="2pzMq0aRK4jMSeGfTFyWmAL7+F1GLZGtWuRi2Od8Nhj2ajwSG9CbjaQYl2vYbEeg0WBWQ7tkgEazAcYHKBiWLQ==" saltValue="pv5muGBf0kFsYo/TTX/JTQ==" spinCount="100000" sheet="1" objects="1" scenarios="1"/>
  <mergeCells count="7">
    <mergeCell ref="A19:E19"/>
    <mergeCell ref="A20:B20"/>
    <mergeCell ref="A1:E1"/>
    <mergeCell ref="A2:E2"/>
    <mergeCell ref="A3:B3"/>
    <mergeCell ref="C3:D3"/>
    <mergeCell ref="A4:E4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D8E7E2"/>
  </sheetPr>
  <dimension ref="A1:D14"/>
  <sheetViews>
    <sheetView showGridLines="0" zoomScaleNormal="100" workbookViewId="0">
      <pane ySplit="5" topLeftCell="A6" activePane="bottomLeft" state="frozen"/>
      <selection pane="bottomLeft" activeCell="G11" sqref="G11"/>
    </sheetView>
  </sheetViews>
  <sheetFormatPr baseColWidth="10" defaultColWidth="8.7109375" defaultRowHeight="15"/>
  <cols>
    <col min="1" max="1" width="29.42578125" style="9" customWidth="1"/>
    <col min="2" max="2" width="36.140625" style="9" customWidth="1"/>
    <col min="3" max="3" width="22" style="9" customWidth="1"/>
    <col min="4" max="4" width="28.140625" style="9" customWidth="1"/>
  </cols>
  <sheetData>
    <row r="1" spans="1:4" ht="24" customHeight="1">
      <c r="A1" s="5" t="s">
        <v>0</v>
      </c>
      <c r="B1" s="5"/>
      <c r="C1" s="5"/>
      <c r="D1" s="5"/>
    </row>
    <row r="2" spans="1:4" ht="19.5" customHeight="1">
      <c r="A2" s="7" t="s">
        <v>172</v>
      </c>
      <c r="B2" s="7"/>
      <c r="C2" s="7"/>
      <c r="D2" s="7"/>
    </row>
    <row r="3" spans="1:4" ht="18" customHeight="1">
      <c r="A3" s="34" t="str">
        <f>HYPERLINK("#INICIO!A1","◀ INICIO")</f>
        <v>◀ INICIO</v>
      </c>
      <c r="B3" s="36"/>
      <c r="C3" s="34" t="str">
        <f>HYPERLINK("#CATALOGO!A1","◀ COMPONENTES")</f>
        <v>◀ COMPONENTES</v>
      </c>
      <c r="D3" s="36"/>
    </row>
    <row r="4" spans="1:4" ht="35.25" customHeight="1">
      <c r="A4" s="58" t="s">
        <v>173</v>
      </c>
      <c r="B4" s="58"/>
      <c r="C4" s="58"/>
      <c r="D4" s="58"/>
    </row>
    <row r="5" spans="1:4" ht="15" customHeight="1">
      <c r="A5" s="10" t="s">
        <v>174</v>
      </c>
      <c r="B5" s="41" t="s">
        <v>175</v>
      </c>
      <c r="C5" s="42"/>
      <c r="D5" s="43"/>
    </row>
    <row r="6" spans="1:4" ht="42" customHeight="1">
      <c r="A6" s="59" t="s">
        <v>176</v>
      </c>
      <c r="B6" s="38" t="s">
        <v>177</v>
      </c>
      <c r="C6" s="39"/>
      <c r="D6" s="40"/>
    </row>
    <row r="7" spans="1:4" ht="42" customHeight="1">
      <c r="A7" s="59" t="s">
        <v>178</v>
      </c>
      <c r="B7" s="38" t="s">
        <v>179</v>
      </c>
      <c r="C7" s="39"/>
      <c r="D7" s="40"/>
    </row>
    <row r="8" spans="1:4" ht="42" customHeight="1">
      <c r="A8" s="59" t="s">
        <v>180</v>
      </c>
      <c r="B8" s="38" t="s">
        <v>181</v>
      </c>
      <c r="C8" s="39"/>
      <c r="D8" s="40"/>
    </row>
    <row r="9" spans="1:4" ht="42" customHeight="1">
      <c r="A9" s="59" t="s">
        <v>182</v>
      </c>
      <c r="B9" s="38" t="s">
        <v>183</v>
      </c>
      <c r="C9" s="39"/>
      <c r="D9" s="40"/>
    </row>
    <row r="10" spans="1:4" ht="42" customHeight="1">
      <c r="A10" s="59" t="s">
        <v>184</v>
      </c>
      <c r="B10" s="38" t="s">
        <v>185</v>
      </c>
      <c r="C10" s="39"/>
      <c r="D10" s="40"/>
    </row>
    <row r="11" spans="1:4" ht="42" customHeight="1">
      <c r="A11" s="59" t="s">
        <v>186</v>
      </c>
      <c r="B11" s="38" t="s">
        <v>187</v>
      </c>
      <c r="C11" s="39"/>
      <c r="D11" s="40"/>
    </row>
    <row r="12" spans="1:4" ht="42" customHeight="1">
      <c r="A12" s="59" t="s">
        <v>188</v>
      </c>
      <c r="B12" s="38" t="s">
        <v>189</v>
      </c>
      <c r="C12" s="39"/>
      <c r="D12" s="40"/>
    </row>
    <row r="13" spans="1:4" ht="42" customHeight="1">
      <c r="A13" s="59" t="s">
        <v>190</v>
      </c>
      <c r="B13" s="38" t="s">
        <v>191</v>
      </c>
      <c r="C13" s="39"/>
      <c r="D13" s="40"/>
    </row>
    <row r="14" spans="1:4" ht="42" customHeight="1">
      <c r="A14" s="59" t="s">
        <v>192</v>
      </c>
      <c r="B14" s="38" t="s">
        <v>193</v>
      </c>
      <c r="C14" s="39"/>
      <c r="D14" s="40"/>
    </row>
  </sheetData>
  <sheetProtection algorithmName="SHA-512" hashValue="K4dBI6y1a6uBUMpIFVEGKFVRL6zJAuXqcAT68zx3MRNlrGfiQ9yUh3QFO7RGqasa7zxA4+lmLUYDeY8TcxAB8g==" saltValue="uNpLlRjDjGb4b8wAwos94w==" spinCount="100000" sheet="1" objects="1" scenarios="1"/>
  <mergeCells count="15">
    <mergeCell ref="B11:D11"/>
    <mergeCell ref="B12:D12"/>
    <mergeCell ref="B13:D13"/>
    <mergeCell ref="B14:D14"/>
    <mergeCell ref="B5:D5"/>
    <mergeCell ref="B6:D6"/>
    <mergeCell ref="B7:D7"/>
    <mergeCell ref="B8:D8"/>
    <mergeCell ref="B9:D9"/>
    <mergeCell ref="B10:D10"/>
    <mergeCell ref="A1:D1"/>
    <mergeCell ref="A2:D2"/>
    <mergeCell ref="A3:B3"/>
    <mergeCell ref="C3:D3"/>
    <mergeCell ref="A4:D4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5A6B70"/>
  </sheetPr>
  <dimension ref="A1:D14"/>
  <sheetViews>
    <sheetView showGridLines="0" zoomScaleNormal="100" workbookViewId="0">
      <pane ySplit="6" topLeftCell="A7" activePane="bottomLeft" state="frozen"/>
      <selection pane="bottomLeft"/>
    </sheetView>
  </sheetViews>
  <sheetFormatPr baseColWidth="10" defaultColWidth="8.7109375" defaultRowHeight="15"/>
  <cols>
    <col min="1" max="1" width="34" style="9" customWidth="1"/>
    <col min="2" max="3" width="12" style="9" customWidth="1"/>
    <col min="4" max="4" width="34" style="9" customWidth="1"/>
  </cols>
  <sheetData>
    <row r="1" spans="1:4" ht="24" customHeight="1">
      <c r="A1" s="5" t="s">
        <v>0</v>
      </c>
      <c r="B1" s="5"/>
      <c r="C1" s="5"/>
      <c r="D1" s="5"/>
    </row>
    <row r="2" spans="1:4" ht="19.5" customHeight="1">
      <c r="A2" s="7" t="s">
        <v>223</v>
      </c>
      <c r="B2" s="7"/>
      <c r="C2" s="7"/>
      <c r="D2" s="7"/>
    </row>
    <row r="3" spans="1:4" ht="18" customHeight="1">
      <c r="A3" s="4" t="str">
        <f>HYPERLINK("#INICIO!A1","◀ INICIO")</f>
        <v>◀ INICIO</v>
      </c>
      <c r="B3" s="4"/>
      <c r="C3" s="4" t="str">
        <f>HYPERLINK("#PRUEBAS!A1","▶ QA")</f>
        <v>▶ QA</v>
      </c>
      <c r="D3" s="4"/>
    </row>
    <row r="4" spans="1:4" ht="24" customHeight="1">
      <c r="A4" s="25" t="s">
        <v>224</v>
      </c>
      <c r="B4" s="25"/>
      <c r="C4" s="25"/>
      <c r="D4" s="25"/>
    </row>
    <row r="5" spans="1:4" ht="18" customHeight="1">
      <c r="A5" s="6" t="s">
        <v>225</v>
      </c>
      <c r="B5" s="6"/>
      <c r="C5" s="6"/>
      <c r="D5" s="6"/>
    </row>
    <row r="6" spans="1:4" ht="15" customHeight="1">
      <c r="A6" s="10" t="s">
        <v>226</v>
      </c>
      <c r="B6" s="10" t="s">
        <v>227</v>
      </c>
      <c r="C6" s="10" t="s">
        <v>228</v>
      </c>
      <c r="D6" s="10" t="s">
        <v>229</v>
      </c>
    </row>
    <row r="7" spans="1:4" ht="19.5" customHeight="1">
      <c r="A7" s="23" t="s">
        <v>230</v>
      </c>
      <c r="B7" s="24">
        <v>1E-4</v>
      </c>
      <c r="C7" s="18" t="s">
        <v>231</v>
      </c>
      <c r="D7" s="13" t="s">
        <v>232</v>
      </c>
    </row>
    <row r="8" spans="1:4" ht="19.5" customHeight="1">
      <c r="A8" s="23" t="s">
        <v>233</v>
      </c>
      <c r="B8" s="24">
        <v>5</v>
      </c>
      <c r="C8" s="18" t="s">
        <v>234</v>
      </c>
      <c r="D8" s="13" t="s">
        <v>235</v>
      </c>
    </row>
    <row r="9" spans="1:4" ht="19.5" customHeight="1">
      <c r="A9" s="23" t="s">
        <v>236</v>
      </c>
      <c r="B9" s="24">
        <v>0</v>
      </c>
      <c r="C9" s="18" t="s">
        <v>234</v>
      </c>
      <c r="D9" s="13" t="s">
        <v>237</v>
      </c>
    </row>
    <row r="10" spans="1:4" ht="19.5" customHeight="1">
      <c r="A10" s="23" t="s">
        <v>205</v>
      </c>
      <c r="B10" s="24">
        <v>5</v>
      </c>
      <c r="C10" s="18" t="s">
        <v>234</v>
      </c>
      <c r="D10" s="13" t="s">
        <v>238</v>
      </c>
    </row>
    <row r="11" spans="1:4" ht="19.5" customHeight="1">
      <c r="A11" s="23" t="s">
        <v>239</v>
      </c>
      <c r="B11" s="24">
        <v>45</v>
      </c>
      <c r="C11" s="18" t="s">
        <v>240</v>
      </c>
      <c r="D11" s="13" t="s">
        <v>241</v>
      </c>
    </row>
    <row r="12" spans="1:4" ht="19.5" customHeight="1">
      <c r="A12" s="23" t="s">
        <v>242</v>
      </c>
      <c r="B12" s="24">
        <v>1</v>
      </c>
      <c r="C12" s="18" t="s">
        <v>234</v>
      </c>
      <c r="D12" s="13" t="s">
        <v>243</v>
      </c>
    </row>
    <row r="13" spans="1:4" ht="19.5" customHeight="1">
      <c r="A13" s="23" t="s">
        <v>208</v>
      </c>
      <c r="B13" s="24">
        <v>6</v>
      </c>
      <c r="C13" s="18" t="s">
        <v>244</v>
      </c>
      <c r="D13" s="13" t="s">
        <v>245</v>
      </c>
    </row>
    <row r="14" spans="1:4" ht="19.5" customHeight="1">
      <c r="A14" s="23" t="s">
        <v>246</v>
      </c>
      <c r="B14" s="24">
        <v>5</v>
      </c>
      <c r="C14" s="18" t="s">
        <v>247</v>
      </c>
      <c r="D14" s="13" t="s">
        <v>248</v>
      </c>
    </row>
  </sheetData>
  <mergeCells count="6">
    <mergeCell ref="A5:D5"/>
    <mergeCell ref="A1:D1"/>
    <mergeCell ref="A2:D2"/>
    <mergeCell ref="A3:B3"/>
    <mergeCell ref="C3:D3"/>
    <mergeCell ref="A4:D4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B7C7CB"/>
  </sheetPr>
  <dimension ref="A1:E11"/>
  <sheetViews>
    <sheetView showGridLines="0" zoomScaleNormal="100" workbookViewId="0"/>
  </sheetViews>
  <sheetFormatPr baseColWidth="10" defaultColWidth="8.7109375" defaultRowHeight="15"/>
  <cols>
    <col min="1" max="1" width="9" style="9" customWidth="1"/>
    <col min="2" max="2" width="12" style="9" customWidth="1"/>
    <col min="3" max="3" width="46" style="9" customWidth="1"/>
    <col min="4" max="4" width="40" style="9" customWidth="1"/>
    <col min="5" max="5" width="16" style="9" customWidth="1"/>
  </cols>
  <sheetData>
    <row r="1" spans="1:5" ht="24" customHeight="1">
      <c r="A1" s="5" t="s">
        <v>0</v>
      </c>
      <c r="B1" s="5"/>
      <c r="C1" s="5"/>
      <c r="D1" s="5"/>
      <c r="E1" s="5"/>
    </row>
    <row r="2" spans="1:5" ht="19.5" customHeight="1">
      <c r="A2" s="7" t="s">
        <v>249</v>
      </c>
      <c r="B2" s="7"/>
      <c r="C2" s="7"/>
      <c r="D2" s="7"/>
      <c r="E2" s="7"/>
    </row>
    <row r="3" spans="1:5" ht="18" customHeight="1">
      <c r="A3" s="4" t="str">
        <f>HYPERLINK("#INICIO!A1","◀ INICIO")</f>
        <v>◀ INICIO</v>
      </c>
      <c r="B3" s="4"/>
      <c r="C3" s="4" t="str">
        <f>HYPERLINK("#CATALOGO!A1","◀ COMPONENTES")</f>
        <v>◀ COMPONENTES</v>
      </c>
      <c r="D3" s="4"/>
      <c r="E3" s="19"/>
    </row>
    <row r="5" spans="1:5" ht="15" customHeight="1">
      <c r="A5" s="10" t="s">
        <v>4</v>
      </c>
      <c r="B5" s="10" t="s">
        <v>6</v>
      </c>
      <c r="C5" s="10" t="s">
        <v>250</v>
      </c>
      <c r="D5" s="10" t="s">
        <v>251</v>
      </c>
      <c r="E5" s="10" t="s">
        <v>14</v>
      </c>
    </row>
    <row r="6" spans="1:5" ht="42" customHeight="1">
      <c r="A6" s="13" t="s">
        <v>159</v>
      </c>
      <c r="B6" s="13" t="s">
        <v>7</v>
      </c>
      <c r="C6" s="13" t="s">
        <v>252</v>
      </c>
      <c r="D6" s="13" t="s">
        <v>253</v>
      </c>
      <c r="E6" s="13" t="s">
        <v>254</v>
      </c>
    </row>
    <row r="7" spans="1:5" ht="42" customHeight="1">
      <c r="A7" s="13" t="s">
        <v>159</v>
      </c>
      <c r="B7" s="13" t="s">
        <v>7</v>
      </c>
      <c r="C7" s="13" t="s">
        <v>255</v>
      </c>
      <c r="D7" s="13" t="s">
        <v>256</v>
      </c>
      <c r="E7" s="13" t="s">
        <v>254</v>
      </c>
    </row>
    <row r="8" spans="1:5" ht="42" customHeight="1">
      <c r="A8" s="13" t="s">
        <v>159</v>
      </c>
      <c r="B8" s="13" t="s">
        <v>7</v>
      </c>
      <c r="C8" s="13" t="s">
        <v>257</v>
      </c>
      <c r="D8" s="13" t="s">
        <v>258</v>
      </c>
      <c r="E8" s="13" t="s">
        <v>254</v>
      </c>
    </row>
    <row r="9" spans="1:5" ht="42" customHeight="1">
      <c r="A9" s="13" t="s">
        <v>159</v>
      </c>
      <c r="B9" s="13" t="s">
        <v>7</v>
      </c>
      <c r="C9" s="13" t="s">
        <v>259</v>
      </c>
      <c r="D9" s="13" t="s">
        <v>260</v>
      </c>
      <c r="E9" s="13" t="s">
        <v>254</v>
      </c>
    </row>
    <row r="10" spans="1:5" ht="42" customHeight="1">
      <c r="A10" s="13" t="s">
        <v>159</v>
      </c>
      <c r="B10" s="13" t="s">
        <v>7</v>
      </c>
      <c r="C10" s="13" t="s">
        <v>261</v>
      </c>
      <c r="D10" s="13" t="s">
        <v>262</v>
      </c>
      <c r="E10" s="13" t="s">
        <v>254</v>
      </c>
    </row>
    <row r="11" spans="1:5" ht="60">
      <c r="A11" s="13" t="s">
        <v>5</v>
      </c>
      <c r="B11" s="13" t="s">
        <v>263</v>
      </c>
      <c r="C11" s="13" t="s">
        <v>264</v>
      </c>
      <c r="D11" s="13" t="s">
        <v>265</v>
      </c>
      <c r="E11" s="13" t="s">
        <v>254</v>
      </c>
    </row>
  </sheetData>
  <mergeCells count="4">
    <mergeCell ref="A1:E1"/>
    <mergeCell ref="A2:E2"/>
    <mergeCell ref="A3:B3"/>
    <mergeCell ref="C3:D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INICIO</vt:lpstr>
      <vt:lpstr>CATALOGO</vt:lpstr>
      <vt:lpstr>FLUJO</vt:lpstr>
      <vt:lpstr>CONEXIONES</vt:lpstr>
      <vt:lpstr>LICENCIA</vt:lpstr>
      <vt:lpstr>VERIFICACION</vt:lpstr>
      <vt:lpstr>PRUEBAS</vt:lpstr>
      <vt:lpstr>FUENTES</vt:lpstr>
      <vt:lpstr>CONFIG</vt:lpstr>
      <vt:lpstr>CHANGELOG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Daniel</cp:lastModifiedBy>
  <cp:revision>0</cp:revision>
  <dcterms:created xsi:type="dcterms:W3CDTF">2026-07-24T23:07:14Z</dcterms:created>
  <dcterms:modified xsi:type="dcterms:W3CDTF">2026-08-17T21:11:07Z</dcterms:modified>
  <dc:language>en-US</dc:language>
</cp:coreProperties>
</file>
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x15ac="http://schemas.microsoft.com/office/spreadsheetml/2010/11/ac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calcf="http://schemas.microsoft.com/office/spreadsheetml/2018/calcfeatures" xmlns:xcv="http://schemas.microsoft.com/office/spreadsheetml/2024/workbookCompatibilityVersion" xmlns:r="http://schemas.openxmlformats.org/officeDocument/2006/relationships" xmlns:x15="http://schemas.microsoft.com/office/spreadsheetml/2010/11/main" mc:Ignorable="x15 xr xr6 xr10 xr2">
  <fileVersion appName="xl" lastEdited="7" lowestEdited="7" rupBuild="24334"/>
  <workbookPr showInkAnnotation="0"/>
  <mc:AlternateContent>
    <mc:Choice Requires="x15">
      <x15ac:absPath url="C:\Users\Daniel\Downloads\EXCELS PARA VENDER\Fase 1 — Motores básicos 1-10-12-36-16-9\"/>
    </mc:Choice>
  </mc:AlternateContent>
  <xr:revisionPtr revIDLastSave="0" documentId="8_{27F9DA1B-4EC6-49B2-A2DF-447807F7220F}" xr6:coauthVersionLast="47" xr6:coauthVersionMax="47" xr10:uidLastSave="{00000000-0000-0000-0000-000000000000}"/>
  <bookViews>
    <workbookView xWindow="-120" yWindow="-120" windowWidth="29040" windowHeight="15840" tabRatio="500" activeTab="5" xr2:uid="{00000000-000D-0000-FFFF-FFFF00000000}"/>
  </bookViews>
  <sheets>
    <sheet name="INICIO" sheetId="1" r:id="rId1"/>
    <sheet name="DATOS" sheetId="2" r:id="rId2"/>
    <sheet name="CALCULOS" sheetId="3" r:id="rId3"/>
    <sheet name="RESULTADOS" sheetId="4" r:id="rId4"/>
    <sheet name="FUENTES" sheetId="5" r:id="rId5"/>
    <sheet name="PRUEBAS" sheetId="6" r:id="rId6"/>
    <sheet name="CONFIG" sheetId="7" r:id="rId7"/>
    <sheet name="CHANGELOG" sheetId="8" r:id="rId8"/>
  </sheets>
  <definedNames>
    <definedName name="BIV_MAX">CONFIG!$B$20</definedName>
    <definedName name="BIV_MIN">CONFIG!$B$19</definedName>
    <definedName name="c_Clase">CALCULOS!$B$28</definedName>
    <definedName name="c_Gate">CALCULOS!$B$15</definedName>
    <definedName name="c_InTab">CALCULOS!$B$9</definedName>
    <definedName name="c_Key">CALCULOS!$B$8</definedName>
    <definedName name="c_L">CALCULOS!$B$10</definedName>
    <definedName name="c_M">CALCULOS!$B$11</definedName>
    <definedName name="c_pct">CALCULOS!$B$26</definedName>
    <definedName name="c_pctTxt">CALCULOS!$B$27</definedName>
    <definedName name="c_S">CALCULOS!$B$12</definedName>
    <definedName name="c_SD2n">CALCULOS!$B$21</definedName>
    <definedName name="c_SD2p">CALCULOS!$B$19</definedName>
    <definedName name="c_SD3n">CALCULOS!$B$22</definedName>
    <definedName name="c_SD3p">CALCULOS!$B$20</definedName>
    <definedName name="c_z">CALCULOS!$B$23</definedName>
    <definedName name="c_zraw">CALCULOS!$B$18</definedName>
    <definedName name="General">CONFIG!$B$9</definedName>
    <definedName name="in_EdadMeses">DATOS!$B$12</definedName>
    <definedName name="in_Eval">DATOS!$B$14</definedName>
    <definedName name="in_Fecha">DATOS!$B$8</definedName>
    <definedName name="in_ID">DATOS!$B$7</definedName>
    <definedName name="in_Indicador">DATOS!$B$11</definedName>
    <definedName name="in_Medida">DATOS!$B$13</definedName>
    <definedName name="in_Obs">DATOS!$B$15</definedName>
    <definedName name="in_Pac">DATOS!$B$9</definedName>
    <definedName name="in_Sexo">DATOS!$B$10</definedName>
    <definedName name="LISTA_IND">CONFIG!$A$31:$A$31</definedName>
    <definedName name="LMS_KEY">CONFIG!$G$39:$G$160</definedName>
    <definedName name="LMS_L">CONFIG!$D$39:$D$160</definedName>
    <definedName name="LMS_M">CONFIG!$E$39:$E$160</definedName>
    <definedName name="LMS_S">CONFIG!$F$39:$F$160</definedName>
    <definedName name="MED_MAX">CONFIG!$B$13</definedName>
    <definedName name="MED_MIN">CONFIG!$B$12</definedName>
    <definedName name="MES_MAX">CONFIG!$B$11</definedName>
    <definedName name="MES_MIN">CONFIG!$B$10</definedName>
    <definedName name="SEXOS">CONFIG!$A$26:$A$27</definedName>
    <definedName name="SINO">CONFIG!$A$34:$A$35</definedName>
    <definedName name="TOL_KG">CONFIG!$B$22</definedName>
    <definedName name="TOL_Z">CONFIG!$B$21</definedName>
    <definedName name="Z_DEF">CONFIG!$B$15</definedName>
    <definedName name="Z_LIM">CONFIG!$B$18</definedName>
    <definedName name="Z_SEV">CONFIG!$B$14</definedName>
    <definedName name="Z_SUP1">CONFIG!$B$16</definedName>
    <definedName name="Z_SUP2">CONFIG!$B$17</definedName>
  </definedNames>
  <calcPr calcId="191029" iterateDelta="1E-4"/>
  <extLst>
    <ext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{D14903EA-33C4-47F7-8F05-3474C54BE107}">
      <xcv:version setVersion="1"/>
    </ext>
  </extLst>
</workbook>
</file>

<file path=xl/calcChain.xml><?xml version="1.0" encoding="utf-8"?>
<calcChain xmlns="http://schemas.openxmlformats.org/spreadsheetml/2006/main">
  <c r="B3" i="4" l="1"/>
  <c r="B3" i="2"/>
  <c r="B4" i="1"/>
  <c r="E3" i="4"/>
  <c r="H4" i="1"/>
  <c r="A3" i="4"/>
  <c r="A3" i="3"/>
  <c r="A3" i="8"/>
  <c r="A3" i="7"/>
  <c r="A4" i="6"/>
  <c r="A4" i="5"/>
  <c r="B3" i="3"/>
  <c r="D3" i="2"/>
  <c r="A3" i="2"/>
  <c r="N4" i="1"/>
  <c r="L4" i="1"/>
  <c r="J4" i="1"/>
  <c r="F4" i="1"/>
  <c r="D4" i="1"/>
  <c r="A4" i="1"/>
  <c r="C63" i="6" l="1"/>
  <c r="E63" i="6" s="1"/>
  <c r="E57" i="6"/>
  <c r="F57" i="6" s="1"/>
  <c r="E56" i="6"/>
  <c r="F56" i="6" s="1"/>
  <c r="E55" i="6"/>
  <c r="F55" i="6" s="1"/>
  <c r="E54" i="6"/>
  <c r="F54" i="6" s="1"/>
  <c r="E53" i="6"/>
  <c r="F53" i="6" s="1"/>
  <c r="E52" i="6"/>
  <c r="F52" i="6" s="1"/>
  <c r="E51" i="6"/>
  <c r="F51" i="6" s="1"/>
  <c r="E50" i="6"/>
  <c r="F50" i="6" s="1"/>
  <c r="I46" i="6"/>
  <c r="J46" i="6" s="1"/>
  <c r="G46" i="6"/>
  <c r="G45" i="6"/>
  <c r="I45" i="6" s="1"/>
  <c r="J45" i="6" s="1"/>
  <c r="I44" i="6"/>
  <c r="J44" i="6" s="1"/>
  <c r="G44" i="6"/>
  <c r="E40" i="6"/>
  <c r="D40" i="6"/>
  <c r="E39" i="6"/>
  <c r="D39" i="6"/>
  <c r="E38" i="6"/>
  <c r="D38" i="6"/>
  <c r="E37" i="6"/>
  <c r="D37" i="6"/>
  <c r="E36" i="6"/>
  <c r="D36" i="6"/>
  <c r="E35" i="6"/>
  <c r="D35" i="6"/>
  <c r="C31" i="6"/>
  <c r="E31" i="6" s="1"/>
  <c r="F31" i="6" s="1"/>
  <c r="E30" i="6"/>
  <c r="F30" i="6" s="1"/>
  <c r="C30" i="6"/>
  <c r="C29" i="6"/>
  <c r="E29" i="6" s="1"/>
  <c r="F29" i="6" s="1"/>
  <c r="E28" i="6"/>
  <c r="F28" i="6" s="1"/>
  <c r="C28" i="6"/>
  <c r="C27" i="6"/>
  <c r="E27" i="6" s="1"/>
  <c r="F27" i="6" s="1"/>
  <c r="E26" i="6"/>
  <c r="F26" i="6" s="1"/>
  <c r="C26" i="6"/>
  <c r="G22" i="6"/>
  <c r="I22" i="6" s="1"/>
  <c r="J22" i="6" s="1"/>
  <c r="I21" i="6"/>
  <c r="J21" i="6" s="1"/>
  <c r="G21" i="6"/>
  <c r="G20" i="6"/>
  <c r="I20" i="6" s="1"/>
  <c r="J20" i="6" s="1"/>
  <c r="I19" i="6"/>
  <c r="J19" i="6" s="1"/>
  <c r="G19" i="6"/>
  <c r="G18" i="6"/>
  <c r="I18" i="6" s="1"/>
  <c r="J18" i="6" s="1"/>
  <c r="I17" i="6"/>
  <c r="J17" i="6" s="1"/>
  <c r="G17" i="6"/>
  <c r="G13" i="6"/>
  <c r="I13" i="6" s="1"/>
  <c r="J13" i="6" s="1"/>
  <c r="I12" i="6"/>
  <c r="J12" i="6" s="1"/>
  <c r="G12" i="6"/>
  <c r="G11" i="6"/>
  <c r="I11" i="6" s="1"/>
  <c r="J11" i="6" s="1"/>
  <c r="I10" i="6"/>
  <c r="J10" i="6" s="1"/>
  <c r="G10" i="6"/>
  <c r="G9" i="6"/>
  <c r="I9" i="6" s="1"/>
  <c r="J9" i="6" s="1"/>
  <c r="I8" i="6"/>
  <c r="J8" i="6" s="1"/>
  <c r="G8" i="6"/>
  <c r="B39" i="4"/>
  <c r="B31" i="4"/>
  <c r="B12" i="4"/>
  <c r="B11" i="4"/>
  <c r="B10" i="4"/>
  <c r="B9" i="4"/>
  <c r="B8" i="4"/>
  <c r="B7" i="4"/>
  <c r="B6" i="4"/>
  <c r="B36" i="3"/>
  <c r="B8" i="3"/>
  <c r="B9" i="3" l="1"/>
  <c r="B10" i="3" l="1"/>
  <c r="B20" i="4" s="1"/>
  <c r="B15" i="3"/>
  <c r="B31" i="3"/>
  <c r="B34" i="4" s="1"/>
  <c r="B11" i="3"/>
  <c r="B12" i="3"/>
  <c r="D70" i="6" l="1"/>
  <c r="D69" i="6"/>
  <c r="D67" i="6"/>
  <c r="B27" i="4"/>
  <c r="B19" i="4"/>
  <c r="B28" i="4"/>
  <c r="B22" i="3"/>
  <c r="B24" i="4" s="1"/>
  <c r="B18" i="3"/>
  <c r="B23" i="3" s="1"/>
  <c r="B21" i="3"/>
  <c r="B19" i="3"/>
  <c r="B26" i="4"/>
  <c r="B13" i="4"/>
  <c r="B32" i="3"/>
  <c r="B35" i="4" s="1"/>
  <c r="B20" i="3"/>
  <c r="B30" i="4" s="1"/>
  <c r="D68" i="6" l="1"/>
  <c r="B34" i="3"/>
  <c r="B37" i="4" s="1"/>
  <c r="B28" i="3"/>
  <c r="B18" i="4" s="1"/>
  <c r="C67" i="6"/>
  <c r="E67" i="6" s="1"/>
  <c r="F67" i="6" s="1"/>
  <c r="B16" i="4"/>
  <c r="B33" i="3"/>
  <c r="B36" i="4" s="1"/>
  <c r="B35" i="3"/>
  <c r="B26" i="3"/>
  <c r="C68" i="6" s="1"/>
  <c r="E68" i="6" s="1"/>
  <c r="F68" i="6" s="1"/>
  <c r="B29" i="4"/>
  <c r="C69" i="6"/>
  <c r="E69" i="6" s="1"/>
  <c r="F69" i="6" s="1"/>
  <c r="B25" i="4"/>
  <c r="C70" i="6"/>
  <c r="E70" i="6" s="1"/>
  <c r="F70" i="6" s="1"/>
  <c r="B27" i="3" l="1"/>
  <c r="B17" i="4" s="1"/>
  <c r="C62" i="6" s="1"/>
  <c r="E62" i="6" s="1"/>
  <c r="B38" i="4"/>
  <c r="C61" i="6" l="1"/>
  <c r="E61" i="6" s="1"/>
  <c r="C75" i="6"/>
  <c r="C76" i="6" s="1"/>
  <c r="B77" i="6" l="1"/>
</calcChain>
</file>

<file path=xl/sharedStrings.xml><?xml version="1.0" encoding="utf-8"?>
<sst xmlns="http://schemas.openxmlformats.org/spreadsheetml/2006/main" count="946" uniqueCount="545">
  <si>
    <t>NUTRIMETRÍA  ·  NMX-9</t>
  </si>
  <si>
    <t>Calculadora de percentiles OMS · versión 1.0</t>
  </si>
  <si>
    <t>Código del producto</t>
  </si>
  <si>
    <t>NMX-9</t>
  </si>
  <si>
    <t>Versión</t>
  </si>
  <si>
    <t>1.0</t>
  </si>
  <si>
    <t>Fecha</t>
  </si>
  <si>
    <t>2026-07-14</t>
  </si>
  <si>
    <t>Método</t>
  </si>
  <si>
    <t>LMS · WHO Child Growth Standards</t>
  </si>
  <si>
    <t>Indicador incluido</t>
  </si>
  <si>
    <t>Peso para la edad (0–60 meses)</t>
  </si>
  <si>
    <t>Formato</t>
  </si>
  <si>
    <t>.xlsx sin macros · Microsoft 365 y Excel 2021</t>
  </si>
  <si>
    <t>Responsable</t>
  </si>
  <si>
    <t>Equipo Nutrimetría (completar por el titular)</t>
  </si>
  <si>
    <t>AVISO DE ALCANCE — LÉALO ANTES DE USAR</t>
  </si>
  <si>
    <t>•</t>
  </si>
  <si>
    <t>EXACTITUD MATEMÁTICA ≠ VALIDACIÓN CLÍNICA. Este archivo NO reemplaza la evaluación pediátrica.</t>
  </si>
  <si>
    <t>APLICA A: niñas y niños de 0 a 60 meses (peso para la edad).</t>
  </si>
  <si>
    <t>La edad se ingresa en MESES CUMPLIDOS (entero). Si no está en la tabla, el cálculo se bloquea.</t>
  </si>
  <si>
    <t>Un percentil es una foto puntual; lo relevante es el SEGUIMIENTO del canal de crecimiento.</t>
  </si>
  <si>
    <t>El peso para la edad no distingue exceso de grasa: para exceso, use peso/talla e IMC para la edad.</t>
  </si>
  <si>
    <t>Los percentiles solo se definen para |z| ≤ 3; fuera de ese rango se informa el z-score.</t>
  </si>
  <si>
    <t>CÓMO SE CALCULA</t>
  </si>
  <si>
    <t>▸</t>
  </si>
  <si>
    <t>Se buscan L, M y S en la tabla OMS según sexo y mes cumplido.</t>
  </si>
  <si>
    <t>z = ((X/M)^L − 1)/(L·S) si L≠0 · z = ln(X/M)/S si L=0.</t>
  </si>
  <si>
    <t>Para |z|&gt;3, la OMS fija la desviación a la distancia entre ±2 y ±3 SD.</t>
  </si>
  <si>
    <t>Percentil = Φ(z) (función normal estándar).</t>
  </si>
  <si>
    <t>Clasificación por cortes de z: muy bajo / bajo / adecuado / elevado / muy elevado.</t>
  </si>
  <si>
    <t>Datos de entrada · un niño o niña por evaluación</t>
  </si>
  <si>
    <t>LEYENDA · Celdas ARENA con texto AZUL = editables. Grises = calculadas. La edad va en MESES CUMPLIDOS (entero, 0 a 60).</t>
  </si>
  <si>
    <t>► Indicador incluido: peso para la edad (0–60 meses). Otros indicadores se pueden añadir en CONFIG.</t>
  </si>
  <si>
    <t>Campo</t>
  </si>
  <si>
    <t>Valor</t>
  </si>
  <si>
    <t>Unidad</t>
  </si>
  <si>
    <t>Validación</t>
  </si>
  <si>
    <t>Ayuda</t>
  </si>
  <si>
    <t>Identificador de la evaluación</t>
  </si>
  <si>
    <t>NMX-2026-0009</t>
  </si>
  <si>
    <t>—</t>
  </si>
  <si>
    <t>Texto libre</t>
  </si>
  <si>
    <t>Código interno.</t>
  </si>
  <si>
    <t>fecha</t>
  </si>
  <si>
    <t>dd/mm/aaaa.</t>
  </si>
  <si>
    <t>Nombre o código del paciente</t>
  </si>
  <si>
    <t>PAC-0091</t>
  </si>
  <si>
    <t>Prefiera un CÓDIGO si comparte el archivo.</t>
  </si>
  <si>
    <t>Sexo</t>
  </si>
  <si>
    <t>Niña</t>
  </si>
  <si>
    <t>Lista: Niño / Niña</t>
  </si>
  <si>
    <t>Tablas OMS separadas por sexo.</t>
  </si>
  <si>
    <t>Indicador</t>
  </si>
  <si>
    <t>Peso para la edad</t>
  </si>
  <si>
    <t>Lista (CONFIG C3)</t>
  </si>
  <si>
    <t>Por ahora, peso para la edad 0–60 meses.</t>
  </si>
  <si>
    <t>Edad</t>
  </si>
  <si>
    <t>meses</t>
  </si>
  <si>
    <t>Entero 0 a 60</t>
  </si>
  <si>
    <t>Meses CUMPLIDOS.</t>
  </si>
  <si>
    <t>Medida (peso)</t>
  </si>
  <si>
    <t>kg</t>
  </si>
  <si>
    <t>Entre 0,5 y 60</t>
  </si>
  <si>
    <t>Balanza calibrada, sin ropa.</t>
  </si>
  <si>
    <t>Evaluador</t>
  </si>
  <si>
    <t>EVAL-01</t>
  </si>
  <si>
    <t>Para trazabilidad.</t>
  </si>
  <si>
    <t>Observaciones</t>
  </si>
  <si>
    <t>Contexto, condición del niño, etc.</t>
  </si>
  <si>
    <t>Motor · método LMS de la OMS con ajuste para |z| &gt; 3</t>
  </si>
  <si>
    <t>z = ((X/M)^L − 1)/(L·S) si L≠0 · z = ln(X/M)/S si L=0. Percentil = Φ(z). Para |z|&gt;3 la OMS fija la desviación a la distancia entre ±2 y ±3 SD (los percentiles solo se definen para |z| ≤ 3).</t>
  </si>
  <si>
    <t>BLOQUE 0 · BÚSQUEDA DE COEFICIENTES LMS</t>
  </si>
  <si>
    <t>Variable</t>
  </si>
  <si>
    <t>Fórmula / cómo se obtiene</t>
  </si>
  <si>
    <t>Clave de búsqueda</t>
  </si>
  <si>
    <t>sexo &amp; "-" &amp; mes</t>
  </si>
  <si>
    <t>¿Edad en la tabla?</t>
  </si>
  <si>
    <t>Verifica que exista la fila oficial</t>
  </si>
  <si>
    <t>L (lambda)</t>
  </si>
  <si>
    <t>Potencia de Box-Cox</t>
  </si>
  <si>
    <t>M (mediana)</t>
  </si>
  <si>
    <t>Mediana de referencia</t>
  </si>
  <si>
    <t>S (coef. variación)</t>
  </si>
  <si>
    <t>Coeficiente de variación</t>
  </si>
  <si>
    <t>BLOQUE 1 · COMPUERTA</t>
  </si>
  <si>
    <t>¿Cálculo habilitado?</t>
  </si>
  <si>
    <t>Exige fila en la tabla, medida válida y edad entera</t>
  </si>
  <si>
    <t>BLOQUE 2 · Z-SCORE Y LÍNEAS DE REFERENCIA</t>
  </si>
  <si>
    <t>z sin ajustar</t>
  </si>
  <si>
    <t>z</t>
  </si>
  <si>
    <t>Fórmula LMS</t>
  </si>
  <si>
    <t>+2 SD (peso)</t>
  </si>
  <si>
    <t>M(1+L·S·2)^(1/L)</t>
  </si>
  <si>
    <t>+3 SD (peso)</t>
  </si>
  <si>
    <t>M(1+L·S·3)^(1/L)</t>
  </si>
  <si>
    <t>−2 SD (peso)</t>
  </si>
  <si>
    <t>M(1+L·S·(−2))^(1/L)</t>
  </si>
  <si>
    <t>−3 SD (peso)</t>
  </si>
  <si>
    <t>M(1+L·S·(−3))^(1/L)</t>
  </si>
  <si>
    <t>z (ajustado OMS)</t>
  </si>
  <si>
    <t>Fuera de ±3 SD, desviación fija</t>
  </si>
  <si>
    <t>BLOQUE 3 · PERCENTIL Y CLASIFICACIÓN</t>
  </si>
  <si>
    <t>Percentil</t>
  </si>
  <si>
    <t>Φ(z) · solo válido para |z| ≤ 3</t>
  </si>
  <si>
    <t>Percentil (texto)</t>
  </si>
  <si>
    <t>La OMS restringe el percentil a |z| ≤ 3</t>
  </si>
  <si>
    <t>Clasificación (peso/edad)</t>
  </si>
  <si>
    <t>Cortes OMS/MINSAL para peso/edad</t>
  </si>
  <si>
    <t>BLOQUE 4 · ADVERTENCIAS</t>
  </si>
  <si>
    <t>Edad no está en la tabla</t>
  </si>
  <si>
    <t>Cálculo bloqueado</t>
  </si>
  <si>
    <t>Valor biológicamente implausible</t>
  </si>
  <si>
    <t>Percentil fuera de rango OMS</t>
  </si>
  <si>
    <t>Peso elevado: usar otro indicador</t>
  </si>
  <si>
    <t>Recordatorio metodológico</t>
  </si>
  <si>
    <t>Informe de percentil OMS · peso para la edad</t>
  </si>
  <si>
    <t>IDENTIFICACIÓN</t>
  </si>
  <si>
    <t>Identificador</t>
  </si>
  <si>
    <t>Paciente</t>
  </si>
  <si>
    <t>Edad · medida</t>
  </si>
  <si>
    <t>Estado del cálculo</t>
  </si>
  <si>
    <t>RESULTADO</t>
  </si>
  <si>
    <t>Puntuación z</t>
  </si>
  <si>
    <t>Clasificación</t>
  </si>
  <si>
    <t>Mediana de referencia (M)</t>
  </si>
  <si>
    <t>L / S</t>
  </si>
  <si>
    <t>PESO FRENTE A LAS LÍNEAS DE REFERENCIA DE LA OMS</t>
  </si>
  <si>
    <t>Línea</t>
  </si>
  <si>
    <t>Peso (kg)</t>
  </si>
  <si>
    <t>−3 SD</t>
  </si>
  <si>
    <t>−2 SD</t>
  </si>
  <si>
    <t>−1 SD</t>
  </si>
  <si>
    <t>Mediana</t>
  </si>
  <si>
    <t>+1 SD</t>
  </si>
  <si>
    <t>+2 SD</t>
  </si>
  <si>
    <t>+3 SD</t>
  </si>
  <si>
    <t>Este niño/a</t>
  </si>
  <si>
    <t>ADVERTENCIAS</t>
  </si>
  <si>
    <t>Edad fuera de la tabla</t>
  </si>
  <si>
    <t>Valor implausible (BIV)</t>
  </si>
  <si>
    <t>Percentil fuera de rango</t>
  </si>
  <si>
    <t>Usar otro indicador</t>
  </si>
  <si>
    <t>Recordatorio</t>
  </si>
  <si>
    <t>EXACTITUD MATEMÁTICA ≠ VALIDACIÓN CLÍNICA. Los coeficientes LMS son los oficiales de la OMS, pero este archivo NO reemplaza la evaluación pediátrica. Un percentil es una foto; lo que importa clínicamente es el SEGUIMIENTO del canal de crecimiento en el tiempo. El peso para la edad no distingue exceso de grasa de mayor masa.</t>
  </si>
  <si>
    <t>Trazabilidad · estándares de crecimiento de la OMS y método LMS</t>
  </si>
  <si>
    <t>NIVEL A = documento/tabla oficial de la OMS · B = publicación primaria del método · C = fuente secundaria. Los coeficientes LMS son datos oficiales de la OMS (hechos publicados). EXACTITUD ≠ VALIDACIÓN CLÍNICA.</t>
  </si>
  <si>
    <t>Ecuación o dato</t>
  </si>
  <si>
    <t>Autor u organización</t>
  </si>
  <si>
    <t>Año</t>
  </si>
  <si>
    <t>Población / base</t>
  </si>
  <si>
    <t>Fórmula / valor</t>
  </si>
  <si>
    <t>Unidades</t>
  </si>
  <si>
    <t>Limitaciones</t>
  </si>
  <si>
    <t>DOI o fuente</t>
  </si>
  <si>
    <t>Fecha cotejo</t>
  </si>
  <si>
    <t>Licencia / condiciones</t>
  </si>
  <si>
    <t>Nivel</t>
  </si>
  <si>
    <t>Tablas LMS · peso para la edad</t>
  </si>
  <si>
    <t>OMS — WHO Child Growth Standards</t>
  </si>
  <si>
    <t>2006</t>
  </si>
  <si>
    <t>Estudio Multicéntrico (MGRS): 8440 niños de 6 países, alimentados según recomendaciones</t>
  </si>
  <si>
    <t>Coeficientes L, M, S por sexo y mes (0–60)</t>
  </si>
  <si>
    <t>kg; adimensional</t>
  </si>
  <si>
    <t>Estándar 0–5 años; para 5–19 usar la referencia 2007 (no incluida en esta versión).</t>
  </si>
  <si>
    <t>who.int · child-growth-standards (WFA)</t>
  </si>
  <si>
    <t>2026-07-16</t>
  </si>
  <si>
    <t>Tablas oficiales de la OMS de acceso público (uso con atribución).</t>
  </si>
  <si>
    <t>A</t>
  </si>
  <si>
    <t>Método LMS</t>
  </si>
  <si>
    <t>Cole TJ, Green PJ — Statistics in Medicine 11:1305-1319</t>
  </si>
  <si>
    <t>1992</t>
  </si>
  <si>
    <t>Método de suavizado de curvas de centiles</t>
  </si>
  <si>
    <t>z = ((X/M)^L − 1)/(L·S) ; L=0: z = ln(X/M)/S</t>
  </si>
  <si>
    <t>adimensional</t>
  </si>
  <si>
    <t>Asume distribución Box-Cox normal; se restringe a |z|≤3 en los indicadores de la OMS.</t>
  </si>
  <si>
    <t>10.1002/sim.4780111005</t>
  </si>
  <si>
    <t>Artículo con derechos de autor; solo se usa la ecuación.</t>
  </si>
  <si>
    <t>B</t>
  </si>
  <si>
    <t>Restricción y ajuste más allá de ±3 SD</t>
  </si>
  <si>
    <t>OMS — Computation of centiles and z-scores</t>
  </si>
  <si>
    <t>2006/2007</t>
  </si>
  <si>
    <t>Documentación técnica de la OMS</t>
  </si>
  <si>
    <t>Fuera de ±3 SD, la desviación se fija a la distancia entre ±2 y ±3 SD</t>
  </si>
  <si>
    <t>kg; z</t>
  </si>
  <si>
    <t>Los percentiles solo se definen para |z|≤3 (0,135 a 99,865).</t>
  </si>
  <si>
    <t>who.int · computation.pdf</t>
  </si>
  <si>
    <t>Documento oficial de la OMS de acceso público.</t>
  </si>
  <si>
    <t>Percentil desde z</t>
  </si>
  <si>
    <t>Función de distribución normal estándar Φ</t>
  </si>
  <si>
    <t>clásico</t>
  </si>
  <si>
    <t>Estadística estándar</t>
  </si>
  <si>
    <t>percentil = Φ(z) ; p.ej. z=1,645 → percentil 95</t>
  </si>
  <si>
    <t>Válido dentro del rango de la referencia (|z|≤3).</t>
  </si>
  <si>
    <t>Normal estándar</t>
  </si>
  <si>
    <t>Dominio público.</t>
  </si>
  <si>
    <t>Cortes de clasificación (peso/edad)</t>
  </si>
  <si>
    <t>OMS / MINSAL (Chile)</t>
  </si>
  <si>
    <t>vigente</t>
  </si>
  <si>
    <t>Puntos de corte de z para tamizaje nutricional</t>
  </si>
  <si>
    <t>&lt;−3 muy bajo · −3 a &lt;−2 bajo · −2 a +1 adecuado · +1 a +2 elevado · &gt;+2 muy elevado</t>
  </si>
  <si>
    <t>El peso para la edad no distingue exceso de grasa; confirmar con peso/talla e IMC.</t>
  </si>
  <si>
    <t>OMS/MINSAL</t>
  </si>
  <si>
    <t>Criterios oficiales de acceso público.</t>
  </si>
  <si>
    <t>EXTENSIBILIDAD: esta versión incrusta la tabla de PESO PARA LA EDAD (0–60 meses). Para añadir talla/edad, IMC/edad o peso/talla, descargue las tablas LMS oficiales de la OMS y péguelas en CONFIG (C5) respetando las columnas indicador · sexo · mes · L · M · S · clave.</t>
  </si>
  <si>
    <t>Banco de verificación · el recuento se calcula solo en el RESUMEN</t>
  </si>
  <si>
    <t>REGLA: el valor ESPERADO no lee el CONFIG que usa el motor; se reconstruye con la fórmula LMS y con los L,M,S publicados escritos de forma explícita, o son valores publicados por la OMS (líneas de ±SD). Si alguien corrompe un coeficiente, estas pruebas FALLAN.</t>
  </si>
  <si>
    <t>BLOQUE A · EXACTITUD DEL Z-SCORE (fórmula LMS con L,M,S publicados) · ±0,001</t>
  </si>
  <si>
    <t>ID</t>
  </si>
  <si>
    <t>Descripción</t>
  </si>
  <si>
    <t>L</t>
  </si>
  <si>
    <t>M</t>
  </si>
  <si>
    <t>S</t>
  </si>
  <si>
    <t>Peso</t>
  </si>
  <si>
    <t>Obtenido</t>
  </si>
  <si>
    <t>Esperado</t>
  </si>
  <si>
    <t>Dif.</t>
  </si>
  <si>
    <t>Estado</t>
  </si>
  <si>
    <t>A01</t>
  </si>
  <si>
    <t>Niña 6m · mediana</t>
  </si>
  <si>
    <t>A02</t>
  </si>
  <si>
    <t>Niña 6m · 7,6 kg</t>
  </si>
  <si>
    <t>A03</t>
  </si>
  <si>
    <t>Niño 0m · 3,3464</t>
  </si>
  <si>
    <t>A04</t>
  </si>
  <si>
    <t>Niño 12m · 10 kg</t>
  </si>
  <si>
    <t>A05</t>
  </si>
  <si>
    <t>Niña 24m · 11 kg</t>
  </si>
  <si>
    <t>A06</t>
  </si>
  <si>
    <t>Niño 60m · 20 kg</t>
  </si>
  <si>
    <t>BLOQUE B · LÍNEAS ±SD RECONSTRUIDAS vs VALOR PUBLICADO POR LA OMS (±0,05 kg)</t>
  </si>
  <si>
    <t>k(SD)</t>
  </si>
  <si>
    <t>OMS publicado</t>
  </si>
  <si>
    <t>B01</t>
  </si>
  <si>
    <t>Niño 0m −2SD</t>
  </si>
  <si>
    <t>B02</t>
  </si>
  <si>
    <t>Niño 0m +2SD</t>
  </si>
  <si>
    <t>B03</t>
  </si>
  <si>
    <t>Niña 6m +1SD</t>
  </si>
  <si>
    <t>B04</t>
  </si>
  <si>
    <t>Niña 6m −2SD</t>
  </si>
  <si>
    <t>B05</t>
  </si>
  <si>
    <t>Niño 24m +3SD</t>
  </si>
  <si>
    <t>B06</t>
  </si>
  <si>
    <t>Niña 60m −3SD</t>
  </si>
  <si>
    <t>BLOQUE C · PERCENTIL DESDE Z (normal estándar) · ±0,001</t>
  </si>
  <si>
    <t>C01</t>
  </si>
  <si>
    <t>C02</t>
  </si>
  <si>
    <t>C03</t>
  </si>
  <si>
    <t>C04</t>
  </si>
  <si>
    <t>C05</t>
  </si>
  <si>
    <t>C06</t>
  </si>
  <si>
    <t>BLOQUE D · CLASIFICACIÓN POR CORTES DE Z</t>
  </si>
  <si>
    <t>D01</t>
  </si>
  <si>
    <t>Muy bajo peso para la edad</t>
  </si>
  <si>
    <t>D02</t>
  </si>
  <si>
    <t>Bajo peso para la edad</t>
  </si>
  <si>
    <t>D03</t>
  </si>
  <si>
    <t>Peso adecuado para la edad</t>
  </si>
  <si>
    <t>D04</t>
  </si>
  <si>
    <t>Peso elevado — evaluar peso/talla e IMC</t>
  </si>
  <si>
    <t>D05</t>
  </si>
  <si>
    <t>Peso muy elevado — evaluar peso/talla e IMC</t>
  </si>
  <si>
    <t>D06</t>
  </si>
  <si>
    <t>BLOQUE E · AJUSTE OMS PARA |z|&gt;3 · ±0,001</t>
  </si>
  <si>
    <t>z obt</t>
  </si>
  <si>
    <t>z esp</t>
  </si>
  <si>
    <t>E01</t>
  </si>
  <si>
    <t>Niño 0m 6 kg (&gt;+3SD)</t>
  </si>
  <si>
    <t>E02</t>
  </si>
  <si>
    <t>Niña 6m 4,5 kg (&lt;−3SD)</t>
  </si>
  <si>
    <t>E03</t>
  </si>
  <si>
    <t>Niño 24m 20 kg (&gt;+3SD)</t>
  </si>
  <si>
    <t>BLOQUE F · VALIDACIONES: vacíos, texto, fuera de rango</t>
  </si>
  <si>
    <t>Escenario</t>
  </si>
  <si>
    <t>Entrada</t>
  </si>
  <si>
    <t>Comportamiento esperado</t>
  </si>
  <si>
    <t>Comportamiento obtenido</t>
  </si>
  <si>
    <t>F01</t>
  </si>
  <si>
    <t>Edad 72 meses (fuera)</t>
  </si>
  <si>
    <t>72</t>
  </si>
  <si>
    <t>ERROR: edad fuera de la tabla</t>
  </si>
  <si>
    <t>F02</t>
  </si>
  <si>
    <t>Edad no entera (6,5)</t>
  </si>
  <si>
    <t>6.5</t>
  </si>
  <si>
    <t>F03</t>
  </si>
  <si>
    <t>Edad textual</t>
  </si>
  <si>
    <t>seis</t>
  </si>
  <si>
    <t>ERROR: edad no numérica</t>
  </si>
  <si>
    <t>F04</t>
  </si>
  <si>
    <t>Peso negativo</t>
  </si>
  <si>
    <t>-3</t>
  </si>
  <si>
    <t>ERROR: medida fuera de rango</t>
  </si>
  <si>
    <t>F05</t>
  </si>
  <si>
    <t>Peso 0,2 kg</t>
  </si>
  <si>
    <t>0.2</t>
  </si>
  <si>
    <t>F06</t>
  </si>
  <si>
    <t>Peso textual</t>
  </si>
  <si>
    <t>tres</t>
  </si>
  <si>
    <t>ERROR: medida no numérica</t>
  </si>
  <si>
    <t>F07</t>
  </si>
  <si>
    <t>z = −7 → BIV</t>
  </si>
  <si>
    <t>-7</t>
  </si>
  <si>
    <t>BIV</t>
  </si>
  <si>
    <t>F08</t>
  </si>
  <si>
    <t>z = 1 → OK</t>
  </si>
  <si>
    <t>1</t>
  </si>
  <si>
    <t>OK</t>
  </si>
  <si>
    <t>BLOQUE G · INTEGRIDAD: cero errores de Excel</t>
  </si>
  <si>
    <t>Rango verificado</t>
  </si>
  <si>
    <t>Nº errores</t>
  </si>
  <si>
    <t>G01</t>
  </si>
  <si>
    <t>CALCULOS!B7:B36</t>
  </si>
  <si>
    <t>G02</t>
  </si>
  <si>
    <t>RESULTADOS!B6:B40</t>
  </si>
  <si>
    <t>G03</t>
  </si>
  <si>
    <t>CONFIG!D34:F155</t>
  </si>
  <si>
    <t>BLOQUE H · COTEJO CON EL MOTOR (caso vivo de DATOS)</t>
  </si>
  <si>
    <t>Verificación</t>
  </si>
  <si>
    <t>Obtenido (motor)</t>
  </si>
  <si>
    <t>Esperado (literal)</t>
  </si>
  <si>
    <t>H01</t>
  </si>
  <si>
    <t>z del caso vivo</t>
  </si>
  <si>
    <t>H02</t>
  </si>
  <si>
    <t>Percentil del caso vivo</t>
  </si>
  <si>
    <t>H03</t>
  </si>
  <si>
    <t>+2 SD del caso vivo</t>
  </si>
  <si>
    <t>H04</t>
  </si>
  <si>
    <t>−2 SD del caso vivo</t>
  </si>
  <si>
    <t>RESUMEN DEL BANCO DE PRUEBAS</t>
  </si>
  <si>
    <t>Casos totales</t>
  </si>
  <si>
    <t>Aprobados</t>
  </si>
  <si>
    <t>Fallidos</t>
  </si>
  <si>
    <t>ESTADO GLOBAL</t>
  </si>
  <si>
    <t>Parámetros, cortes y tablas LMS oficiales de la OMS · versión 1.0</t>
  </si>
  <si>
    <t>Los coeficientes LMS provienen de las tablas oficiales de la OMS (peso para la edad, 0–60 meses). Están fijos y NO deben editarse: son datos publicados. Los cortes de clasificación sí son parámetros. Para añadir otros indicadores (talla/edad, IMC/edad), pegue las filas oficiales bajo la tabla, respetando las columnas.</t>
  </si>
  <si>
    <t>C1 · PARÁMETROS, LÍMITES Y CORTES DE CLASIFICACIÓN</t>
  </si>
  <si>
    <t>Parámetro</t>
  </si>
  <si>
    <t>Tipo</t>
  </si>
  <si>
    <t>Nota / fuente</t>
  </si>
  <si>
    <t>Idioma</t>
  </si>
  <si>
    <t>Español (es-CL)</t>
  </si>
  <si>
    <t>Interfaz</t>
  </si>
  <si>
    <t>Versión de las fuentes</t>
  </si>
  <si>
    <t>2026-07 · v1.0</t>
  </si>
  <si>
    <t>OMS · Child Growth Standards</t>
  </si>
  <si>
    <t>Edad mínima (meses)</t>
  </si>
  <si>
    <t>IMPOSIBLE</t>
  </si>
  <si>
    <t>Alcance de la tabla incrustada</t>
  </si>
  <si>
    <t>Edad máxima (meses)</t>
  </si>
  <si>
    <t>Peso/edad 0–60 meses (OMS 2006)</t>
  </si>
  <si>
    <t>Medida mínima plausible</t>
  </si>
  <si>
    <t>Guarda del peso</t>
  </si>
  <si>
    <t>Medida máxima plausible</t>
  </si>
  <si>
    <t>Corte z · déficit severo</t>
  </si>
  <si>
    <t>Corte</t>
  </si>
  <si>
    <t>z &lt; −3 → muy bajo peso</t>
  </si>
  <si>
    <t>Corte z · déficit</t>
  </si>
  <si>
    <t>−3 ≤ z &lt; −2 → bajo peso</t>
  </si>
  <si>
    <t>Corte z · superior 1</t>
  </si>
  <si>
    <t>+1 &lt; z ≤ +2 → elevado</t>
  </si>
  <si>
    <t>Corte z · superior 2</t>
  </si>
  <si>
    <t>z &gt; +2 → muy elevado</t>
  </si>
  <si>
    <t>Límite de percentil OMS</t>
  </si>
  <si>
    <t>Regla</t>
  </si>
  <si>
    <t>Los percentiles solo se definen para |z| ≤ 3</t>
  </si>
  <si>
    <t>BIV · z mínimo (peso/edad)</t>
  </si>
  <si>
    <t>Bandera</t>
  </si>
  <si>
    <t>Valor biológicamente implausible si z &lt; −6</t>
  </si>
  <si>
    <t>BIV · z máximo (peso/edad)</t>
  </si>
  <si>
    <t>Valor biológicamente implausible si z &gt; 5</t>
  </si>
  <si>
    <t>Tolerancia de pruebas · z</t>
  </si>
  <si>
    <t>Umbral</t>
  </si>
  <si>
    <t>Diferencia máxima de z en el banco de pruebas</t>
  </si>
  <si>
    <t>Tolerancia de pruebas · kg</t>
  </si>
  <si>
    <t>Para las líneas de ±SD</t>
  </si>
  <si>
    <t>C2 · SEXOS</t>
  </si>
  <si>
    <t>Nota</t>
  </si>
  <si>
    <t>Niño</t>
  </si>
  <si>
    <t>Tablas de la OMS para varones</t>
  </si>
  <si>
    <t>Tablas de la OMS para mujeres</t>
  </si>
  <si>
    <t>C3 · INDICADORES DISPONIBLES</t>
  </si>
  <si>
    <t>Rango</t>
  </si>
  <si>
    <t>0–60 meses (OMS 2006)</t>
  </si>
  <si>
    <t>C4 · LISTA SÍ / NO</t>
  </si>
  <si>
    <t>Sí</t>
  </si>
  <si>
    <t>No</t>
  </si>
  <si>
    <t>C5 · TABLA LMS OFICIAL DE LA OMS · PESO PARA LA EDAD (0–60 meses) · NO EDITAR</t>
  </si>
  <si>
    <t>Mes</t>
  </si>
  <si>
    <t>Clave</t>
  </si>
  <si>
    <t>Niño-0</t>
  </si>
  <si>
    <t>Niño-1</t>
  </si>
  <si>
    <t>Niño-2</t>
  </si>
  <si>
    <t>Niño-3</t>
  </si>
  <si>
    <t>Niño-4</t>
  </si>
  <si>
    <t>Niño-5</t>
  </si>
  <si>
    <t>Niño-6</t>
  </si>
  <si>
    <t>Niño-7</t>
  </si>
  <si>
    <t>Niño-8</t>
  </si>
  <si>
    <t>Niño-9</t>
  </si>
  <si>
    <t>Niño-10</t>
  </si>
  <si>
    <t>Niño-11</t>
  </si>
  <si>
    <t>Niño-12</t>
  </si>
  <si>
    <t>Niño-13</t>
  </si>
  <si>
    <t>Niño-14</t>
  </si>
  <si>
    <t>Niño-15</t>
  </si>
  <si>
    <t>Niño-16</t>
  </si>
  <si>
    <t>Niño-17</t>
  </si>
  <si>
    <t>Niño-18</t>
  </si>
  <si>
    <t>Niño-19</t>
  </si>
  <si>
    <t>Niño-20</t>
  </si>
  <si>
    <t>Niño-21</t>
  </si>
  <si>
    <t>Niño-22</t>
  </si>
  <si>
    <t>Niño-23</t>
  </si>
  <si>
    <t>Niño-24</t>
  </si>
  <si>
    <t>Niño-25</t>
  </si>
  <si>
    <t>Niño-26</t>
  </si>
  <si>
    <t>Niño-27</t>
  </si>
  <si>
    <t>Niño-28</t>
  </si>
  <si>
    <t>Niño-29</t>
  </si>
  <si>
    <t>Niño-30</t>
  </si>
  <si>
    <t>Niño-31</t>
  </si>
  <si>
    <t>Niño-32</t>
  </si>
  <si>
    <t>Niño-33</t>
  </si>
  <si>
    <t>Niño-34</t>
  </si>
  <si>
    <t>Niño-35</t>
  </si>
  <si>
    <t>Niño-36</t>
  </si>
  <si>
    <t>Niño-37</t>
  </si>
  <si>
    <t>Niño-38</t>
  </si>
  <si>
    <t>Niño-39</t>
  </si>
  <si>
    <t>Niño-40</t>
  </si>
  <si>
    <t>Niño-41</t>
  </si>
  <si>
    <t>Niño-42</t>
  </si>
  <si>
    <t>Niño-43</t>
  </si>
  <si>
    <t>Niño-44</t>
  </si>
  <si>
    <t>Niño-45</t>
  </si>
  <si>
    <t>Niño-46</t>
  </si>
  <si>
    <t>Niño-47</t>
  </si>
  <si>
    <t>Niño-48</t>
  </si>
  <si>
    <t>Niño-49</t>
  </si>
  <si>
    <t>Niño-50</t>
  </si>
  <si>
    <t>Niño-51</t>
  </si>
  <si>
    <t>Niño-52</t>
  </si>
  <si>
    <t>Niño-53</t>
  </si>
  <si>
    <t>Niño-54</t>
  </si>
  <si>
    <t>Niño-55</t>
  </si>
  <si>
    <t>Niño-56</t>
  </si>
  <si>
    <t>Niño-57</t>
  </si>
  <si>
    <t>Niño-58</t>
  </si>
  <si>
    <t>Niño-59</t>
  </si>
  <si>
    <t>Niño-60</t>
  </si>
  <si>
    <t>Niña-0</t>
  </si>
  <si>
    <t>Niña-1</t>
  </si>
  <si>
    <t>Niña-2</t>
  </si>
  <si>
    <t>Niña-3</t>
  </si>
  <si>
    <t>Niña-4</t>
  </si>
  <si>
    <t>Niña-5</t>
  </si>
  <si>
    <t>Niña-6</t>
  </si>
  <si>
    <t>Niña-7</t>
  </si>
  <si>
    <t>Niña-8</t>
  </si>
  <si>
    <t>Niña-9</t>
  </si>
  <si>
    <t>Niña-10</t>
  </si>
  <si>
    <t>Niña-11</t>
  </si>
  <si>
    <t>Niña-12</t>
  </si>
  <si>
    <t>Niña-13</t>
  </si>
  <si>
    <t>Niña-14</t>
  </si>
  <si>
    <t>Niña-15</t>
  </si>
  <si>
    <t>Niña-16</t>
  </si>
  <si>
    <t>Niña-17</t>
  </si>
  <si>
    <t>Niña-18</t>
  </si>
  <si>
    <t>Niña-19</t>
  </si>
  <si>
    <t>Niña-20</t>
  </si>
  <si>
    <t>Niña-21</t>
  </si>
  <si>
    <t>Niña-22</t>
  </si>
  <si>
    <t>Niña-23</t>
  </si>
  <si>
    <t>Niña-24</t>
  </si>
  <si>
    <t>Niña-25</t>
  </si>
  <si>
    <t>Niña-26</t>
  </si>
  <si>
    <t>Niña-27</t>
  </si>
  <si>
    <t>Niña-28</t>
  </si>
  <si>
    <t>Niña-29</t>
  </si>
  <si>
    <t>Niña-30</t>
  </si>
  <si>
    <t>Niña-31</t>
  </si>
  <si>
    <t>Niña-32</t>
  </si>
  <si>
    <t>Niña-33</t>
  </si>
  <si>
    <t>Niña-34</t>
  </si>
  <si>
    <t>Niña-35</t>
  </si>
  <si>
    <t>Niña-36</t>
  </si>
  <si>
    <t>Niña-37</t>
  </si>
  <si>
    <t>Niña-38</t>
  </si>
  <si>
    <t>Niña-39</t>
  </si>
  <si>
    <t>Niña-40</t>
  </si>
  <si>
    <t>Niña-41</t>
  </si>
  <si>
    <t>Niña-42</t>
  </si>
  <si>
    <t>Niña-43</t>
  </si>
  <si>
    <t>Niña-44</t>
  </si>
  <si>
    <t>Niña-45</t>
  </si>
  <si>
    <t>Niña-46</t>
  </si>
  <si>
    <t>Niña-47</t>
  </si>
  <si>
    <t>Niña-48</t>
  </si>
  <si>
    <t>Niña-49</t>
  </si>
  <si>
    <t>Niña-50</t>
  </si>
  <si>
    <t>Niña-51</t>
  </si>
  <si>
    <t>Niña-52</t>
  </si>
  <si>
    <t>Niña-53</t>
  </si>
  <si>
    <t>Niña-54</t>
  </si>
  <si>
    <t>Niña-55</t>
  </si>
  <si>
    <t>Niña-56</t>
  </si>
  <si>
    <t>Niña-57</t>
  </si>
  <si>
    <t>Niña-58</t>
  </si>
  <si>
    <t>Niña-59</t>
  </si>
  <si>
    <t>Niña-60</t>
  </si>
  <si>
    <t>Historial de versiones</t>
  </si>
  <si>
    <t>Cambio</t>
  </si>
  <si>
    <t>Motivo</t>
  </si>
  <si>
    <t>Versión inicial. Motor LMS de la OMS con tablas oficiales de peso para la edad (0–60 meses, ambos sexos), ajuste para |z|&gt;3, percentil, clasificación por cortes y gráfico frente a las líneas de ±SD.</t>
  </si>
  <si>
    <t>Primera entrega del producto 9.</t>
  </si>
  <si>
    <t>Equipo Nutrimetría</t>
  </si>
  <si>
    <t>Banco de pruebas que coteja el z-score y las líneas de ±SD contra los valores publicados por la OMS, además de validaciones e integridad. Valores esperados independientes del CONFIG.</t>
  </si>
  <si>
    <t>Control de calidad.</t>
  </si>
  <si>
    <t>Ingresar datos</t>
  </si>
  <si>
    <t>Auditar operaciones</t>
  </si>
  <si>
    <t>Ver resumen</t>
  </si>
  <si>
    <t>Revisar PAL</t>
  </si>
  <si>
    <t>Consultar evidencia</t>
  </si>
  <si>
    <t>Ver QA</t>
  </si>
  <si>
    <t>Ajustes y límites</t>
  </si>
  <si>
    <t>Registro de versiones y cambios</t>
  </si>
  <si>
    <t>Navegación — use las pestañas inferiores del libro</t>
  </si>
  <si>
    <t>PROPÓSITO Y ALCANCE</t>
  </si>
  <si>
    <t>FLUJO DE USO</t>
  </si>
  <si>
    <t>Propósito principal</t>
  </si>
  <si>
    <t>Automatizar el cálculo exacto del Z-score y percentiles de crecimiento, eliminando el error humano en la lectura visual de las gráficas de la OMS.</t>
  </si>
  <si>
    <t>Alcance poblacional</t>
  </si>
  <si>
    <t>Restricciones de uso</t>
  </si>
  <si>
    <t>Evaluación transversal del indicador "Peso para la edad" exclusivamente para pacientes pediátricos de 0 a 60 meses cumplidos.</t>
  </si>
  <si>
    <t>Es una herramienta de apoyo analítico. El diagnóstico requiere evaluar la velocidad de crecimiento en el tiempo y no solo un percentil aislado.</t>
  </si>
  <si>
    <t>1. Ingreso de datos</t>
  </si>
  <si>
    <t>2. Motor y validación</t>
  </si>
  <si>
    <t>3. Auditoría interna</t>
  </si>
  <si>
    <t>4. Emisión de informe</t>
  </si>
  <si>
    <t>Diríjase a la hoja DATOS e ingrese el sexo, la edad (estrictamente en meses enteros) y el peso (kg) en las celdas de color arena con texto azul.</t>
  </si>
  <si>
    <t>De forma automática, en la hoja CÁLCULOS, el sistema buscará los coeficientes LMS y verificará que los datos ingresados no sean biológicamente imposibles.</t>
  </si>
  <si>
    <t>Vaya a la hoja CÁLCULOS y revise que la compuerta indique "Cálculo habilitado: SÍ", comprobando que no existan advertencias de datos extremos u omisiones.</t>
  </si>
  <si>
    <t>Finalmente, en la hoja RESULTADOS, consulte el puntaje Z ajustado, el percentil exacto (si aplica) y la clasificación nutricional oficial asignada al paciente.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</si>
</sst>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0000"/>
    <numFmt numFmtId="166" formatCode="0.000"/>
    <numFmt numFmtId="167" formatCode="0.0%"/>
    <numFmt numFmtId="168" formatCode="0.0"/>
  </numFmts>
  <fonts count="4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sz val="10"/>
      <color rgb="FF1A1A1A"/>
      <name val="Arial"/>
      <charset val="1"/>
    </font>
    <font>
      <b/>
      <sz val="10"/>
      <color rgb="FF1A1A1A"/>
      <name val="Arial"/>
      <charset val="1"/>
    </font>
    <font>
      <b/>
      <sz val="10"/>
      <color rgb="FFFFFFFF"/>
      <name val="Arial"/>
      <charset val="1"/>
    </font>
    <font>
      <sz val="9"/>
      <color rgb="FF5A6B70"/>
      <name val="Arial"/>
      <charset val="1"/>
    </font>
    <font>
      <sz val="10"/>
      <color rgb="FF0000CC"/>
      <name val="Arial"/>
      <charset val="1"/>
    </font>
    <font>
      <sz val="10"/>
      <color rgb="FF5A6B70"/>
      <name val="Arial"/>
      <charset val="1"/>
    </font>
    <font>
      <b/>
      <sz val="11"/>
      <color rgb="FFFFFFFF"/>
      <name val="Arial"/>
      <charset val="1"/>
    </font>
    <font>
      <sz val="10"/>
      <color rgb="FFB45309"/>
      <name val="Arial"/>
      <charset val="1"/>
    </font>
    <font>
      <b/>
      <sz val="9"/>
      <color rgb="FF1A1A1A"/>
      <name val="Arial"/>
      <charset val="1"/>
    </font>
    <font>
      <sz val="9"/>
      <color rgb="FF1A1A1A"/>
      <name val="Arial"/>
      <charset val="1"/>
    </font>
    <font>
      <b/>
      <sz val="9"/>
      <color rgb="FF1C6B72"/>
      <name val="Arial"/>
      <charset val="1"/>
    </font>
    <font>
      <b/>
      <sz val="9"/>
      <color rgb="FFFFFFFF"/>
      <name val="Arial"/>
      <charset val="1"/>
    </font>
    <font>
      <sz val="8"/>
      <color rgb="FF5A6B70"/>
      <name val="Arial"/>
      <charset val="1"/>
    </font>
    <font>
      <sz val="8"/>
      <color rgb="FF1A1A1A"/>
      <name val="Arial"/>
      <charset val="1"/>
    </font>
    <font>
      <u/>
      <sz val="11"/>
      <color theme="10"/>
      <name val="Calibri"/>
      <family val="2"/>
      <charset val="1"/>
    </font>
    <font>
      <b/>
      <sz val="14"/>
      <color rgb="FFFFFFFF"/>
      <name val="Arial"/>
      <family val="2"/>
    </font>
    <font>
      <b/>
      <sz val="12"/>
      <color rgb="FFFFFFFF"/>
      <name val="Arial"/>
      <family val="2"/>
    </font>
    <font>
      <b/>
      <sz val="20"/>
      <color rgb="FFFFFFFF"/>
      <name val="Arial"/>
      <family val="2"/>
    </font>
    <font>
      <sz val="11"/>
      <name val="Carlito"/>
    </font>
    <font>
      <b/>
      <sz val="12"/>
      <color rgb="FF155E6C"/>
      <name val="Aptos"/>
    </font>
    <font>
      <b/>
      <sz val="10"/>
      <name val="Arial"/>
      <family val="2"/>
    </font>
    <font>
      <b/>
      <sz val="11"/>
      <name val="Arial"/>
      <family val="2"/>
    </font>
    <font>
      <sz val="14"/>
      <name val="Calibri"/>
      <family val="2"/>
      <scheme val="minor"/>
    </font>
    <font>
      <sz val="11"/>
      <color rgb="FF1A1A1A"/>
      <name val="Arial"/>
      <family val="2"/>
    </font>
    <font>
      <b/>
      <sz val="11"/>
      <color rgb="FF1A1A1A"/>
      <name val="Arial"/>
      <family val="2"/>
    </font>
    <font>
      <b/>
      <sz val="10"/>
      <color rgb="FF1A1A1A"/>
      <name val="Arial"/>
      <family val="2"/>
    </font>
    <font>
      <b/>
      <sz val="10"/>
      <color rgb="FF0000CC"/>
      <name val="Arial"/>
      <family val="2"/>
    </font>
    <font>
      <b/>
      <sz val="9"/>
      <color rgb="FF5A6B70"/>
      <name val="Arial"/>
      <family val="2"/>
    </font>
    <font>
      <b/>
      <sz val="9"/>
      <name val="Arial"/>
      <family val="2"/>
    </font>
    <font>
      <b/>
      <sz val="9"/>
      <color rgb="FFB45309"/>
      <name val="Arial"/>
      <family val="2"/>
    </font>
    <font>
      <b/>
      <u/>
      <sz val="16"/>
      <color rgb="FFFFFFFF"/>
      <name val="Arial"/>
      <family val="2"/>
    </font>
    <font>
      <b/>
      <sz val="16"/>
      <color rgb="FFFFFFFF"/>
      <name val="Arial"/>
      <family val="2"/>
    </font>
    <font>
      <b/>
      <sz val="14"/>
      <name val="Calibri"/>
      <family val="2"/>
      <scheme val="minor"/>
    </font>
    <font>
      <b/>
      <sz val="14"/>
      <color theme="1"/>
      <name val="Calibri"/>
      <family val="2"/>
    </font>
    <font>
      <u/>
      <sz val="11"/>
      <color theme="0"/>
      <name val="Calibri"/>
      <family val="2"/>
      <charset val="1"/>
    </font>
    <font>
      <b/>
      <sz val="10"/>
      <color theme="0"/>
      <name val="Aptos"/>
    </font>
    <font>
      <b/>
      <sz val="11"/>
      <color theme="0"/>
      <name val="Calibri"/>
      <family val="2"/>
      <charset val="1"/>
    </font>
    <font>
      <b/>
      <sz val="11"/>
      <color rgb="FF155E6C"/>
      <name val="Aptos"/>
    </font>
    <font>
      <b/>
      <sz val="11"/>
      <color theme="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0F3B44"/>
        <bgColor rgb="FF003300"/>
      </patternFill>
    </fill>
    <fill>
      <patternFill patternType="solid">
        <fgColor rgb="FF1C6B72"/>
        <bgColor rgb="FF008080"/>
      </patternFill>
    </fill>
    <fill>
      <patternFill patternType="solid">
        <fgColor rgb="FFFBE4D5"/>
        <bgColor rgb="FFFFF6D8"/>
      </patternFill>
    </fill>
    <fill>
      <patternFill patternType="solid">
        <fgColor rgb="FFE7E0F5"/>
        <bgColor rgb="FFDCE8EA"/>
      </patternFill>
    </fill>
    <fill>
      <patternFill patternType="solid">
        <fgColor rgb="FFDCE8EA"/>
        <bgColor rgb="FFDFF0E3"/>
      </patternFill>
    </fill>
    <fill>
      <patternFill patternType="solid">
        <fgColor rgb="FFFFF6D8"/>
        <bgColor rgb="FFF4F6F7"/>
      </patternFill>
    </fill>
    <fill>
      <patternFill patternType="solid">
        <fgColor rgb="FFF4F6F7"/>
        <bgColor rgb="FFFFFFFF"/>
      </patternFill>
    </fill>
    <fill>
      <patternFill patternType="solid">
        <fgColor rgb="FFDFF0E3"/>
        <bgColor rgb="FFDCE8EA"/>
      </patternFill>
    </fill>
    <fill>
      <patternFill patternType="solid">
        <fgColor rgb="FFFBE4D5"/>
        <bgColor rgb="FFF8D7DA"/>
      </patternFill>
    </fill>
    <fill>
      <patternFill patternType="solid">
        <fgColor rgb="FF17324D"/>
      </patternFill>
    </fill>
    <fill>
      <patternFill patternType="solid">
        <fgColor rgb="FFDCEFF1"/>
      </patternFill>
    </fill>
  </fills>
  <borders count="16">
    <border>
      <left/>
      <right/>
      <top/>
      <bottom/>
      <diagonal/>
    </border>
    <border>
      <left style="thin">
        <color rgb="FFC7D2D6"/>
      </left>
      <right style="thin">
        <color rgb="FFC7D2D6"/>
      </right>
      <top style="thin">
        <color rgb="FFC7D2D6"/>
      </top>
      <bottom style="thin">
        <color rgb="FFC7D2D6"/>
      </bottom>
      <diagonal/>
    </border>
    <border>
      <left/>
      <right/>
      <top/>
      <bottom style="thin">
        <color rgb="FFC7D2D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C7D2D6"/>
      </left>
      <right style="thin">
        <color rgb="FFC7D2D6"/>
      </right>
      <top style="thin">
        <color rgb="FFC7D2D6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rgb="FFC7D2D6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6" fillId="0" borderId="0" applyNumberFormat="0" applyFill="0" applyBorder="0" applyAlignment="0" applyProtection="0"/>
    <xf numFmtId="0" fontId="20" fillId="0" borderId="0"/>
  </cellStyleXfs>
  <cellXfs count="135">
    <xf numFmtId="0" fontId="0" fillId="0" borderId="0" xfId="0"/>
    <xf numFmtId="0" fontId="0" fillId="0" borderId="0" xfId="0" applyAlignment="1"/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1" fontId="6" fillId="7" borderId="1" xfId="0" applyNumberFormat="1" applyFont="1" applyFill="1" applyBorder="1" applyAlignment="1">
      <alignment horizontal="center" vertical="center"/>
    </xf>
    <xf numFmtId="2" fontId="6" fillId="7" borderId="1" xfId="0" applyNumberFormat="1" applyFont="1" applyFill="1" applyBorder="1" applyAlignment="1">
      <alignment horizontal="center" vertical="center"/>
    </xf>
    <xf numFmtId="0" fontId="8" fillId="3" borderId="0" xfId="0" applyFont="1" applyFill="1" applyAlignment="1">
      <alignment horizontal="left" vertical="center"/>
    </xf>
    <xf numFmtId="0" fontId="2" fillId="8" borderId="1" xfId="0" applyFont="1" applyFill="1" applyBorder="1" applyAlignment="1">
      <alignment horizontal="center" vertical="center"/>
    </xf>
    <xf numFmtId="164" fontId="2" fillId="8" borderId="1" xfId="0" applyNumberFormat="1" applyFont="1" applyFill="1" applyBorder="1" applyAlignment="1">
      <alignment horizontal="center" vertical="center"/>
    </xf>
    <xf numFmtId="165" fontId="2" fillId="8" borderId="1" xfId="0" applyNumberFormat="1" applyFont="1" applyFill="1" applyBorder="1" applyAlignment="1">
      <alignment horizontal="center" vertical="center"/>
    </xf>
    <xf numFmtId="166" fontId="2" fillId="8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2" fillId="8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13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168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7" fontId="2" fillId="8" borderId="1" xfId="0" applyNumberFormat="1" applyFont="1" applyFill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0" fontId="11" fillId="8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168" fontId="6" fillId="7" borderId="1" xfId="0" applyNumberFormat="1" applyFont="1" applyFill="1" applyBorder="1" applyAlignment="1">
      <alignment horizontal="center" vertical="center"/>
    </xf>
    <xf numFmtId="164" fontId="6" fillId="7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64" fontId="15" fillId="0" borderId="1" xfId="0" applyNumberFormat="1" applyFont="1" applyBorder="1" applyAlignment="1">
      <alignment horizontal="center" vertical="center"/>
    </xf>
    <xf numFmtId="165" fontId="15" fillId="0" borderId="1" xfId="0" applyNumberFormat="1" applyFont="1" applyBorder="1" applyAlignment="1">
      <alignment horizontal="center" vertical="center"/>
    </xf>
    <xf numFmtId="0" fontId="0" fillId="0" borderId="0" xfId="0" applyAlignment="1"/>
    <xf numFmtId="0" fontId="21" fillId="12" borderId="3" xfId="0" applyFont="1" applyFill="1" applyBorder="1" applyAlignment="1">
      <alignment horizontal="center" vertical="center"/>
    </xf>
    <xf numFmtId="0" fontId="25" fillId="4" borderId="1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left" vertical="center"/>
    </xf>
    <xf numFmtId="0" fontId="27" fillId="0" borderId="3" xfId="0" applyFont="1" applyBorder="1" applyAlignment="1">
      <alignment horizontal="left" vertical="center"/>
    </xf>
    <xf numFmtId="0" fontId="28" fillId="7" borderId="3" xfId="0" applyFont="1" applyFill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30" fillId="0" borderId="3" xfId="0" applyFont="1" applyBorder="1" applyAlignment="1">
      <alignment horizontal="left" vertical="center" wrapText="1"/>
    </xf>
    <xf numFmtId="14" fontId="28" fillId="7" borderId="3" xfId="0" applyNumberFormat="1" applyFont="1" applyFill="1" applyBorder="1" applyAlignment="1">
      <alignment horizontal="center" vertical="center"/>
    </xf>
    <xf numFmtId="1" fontId="28" fillId="7" borderId="3" xfId="0" applyNumberFormat="1" applyFont="1" applyFill="1" applyBorder="1" applyAlignment="1">
      <alignment horizontal="center" vertical="center"/>
    </xf>
    <xf numFmtId="2" fontId="28" fillId="7" borderId="3" xfId="0" applyNumberFormat="1" applyFont="1" applyFill="1" applyBorder="1" applyAlignment="1">
      <alignment horizontal="center" vertical="center"/>
    </xf>
    <xf numFmtId="0" fontId="0" fillId="0" borderId="3" xfId="0" applyBorder="1" applyAlignment="1"/>
    <xf numFmtId="0" fontId="26" fillId="5" borderId="3" xfId="0" applyFont="1" applyFill="1" applyBorder="1" applyAlignment="1">
      <alignment horizontal="center" vertical="center"/>
    </xf>
    <xf numFmtId="0" fontId="35" fillId="0" borderId="3" xfId="0" applyFont="1" applyBorder="1" applyAlignment="1">
      <alignment horizontal="left"/>
    </xf>
    <xf numFmtId="0" fontId="23" fillId="5" borderId="3" xfId="0" applyFont="1" applyFill="1" applyBorder="1" applyAlignment="1">
      <alignment horizontal="left" vertical="center" wrapText="1"/>
    </xf>
    <xf numFmtId="0" fontId="38" fillId="11" borderId="9" xfId="1" applyFont="1" applyFill="1" applyBorder="1" applyAlignment="1">
      <alignment horizontal="center" vertical="center" wrapText="1"/>
    </xf>
    <xf numFmtId="0" fontId="39" fillId="12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166" fontId="2" fillId="8" borderId="3" xfId="0" applyNumberFormat="1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 wrapText="1"/>
    </xf>
    <xf numFmtId="164" fontId="2" fillId="9" borderId="3" xfId="0" applyNumberFormat="1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3" fillId="6" borderId="3" xfId="0" applyFont="1" applyFill="1" applyBorder="1" applyAlignment="1">
      <alignment horizontal="left" vertical="center"/>
    </xf>
    <xf numFmtId="167" fontId="2" fillId="9" borderId="3" xfId="0" applyNumberFormat="1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2" fillId="6" borderId="3" xfId="0" applyFont="1" applyFill="1" applyBorder="1" applyAlignment="1">
      <alignment horizontal="left" vertical="center"/>
    </xf>
    <xf numFmtId="0" fontId="27" fillId="6" borderId="3" xfId="0" applyFont="1" applyFill="1" applyBorder="1" applyAlignment="1">
      <alignment horizontal="left" vertical="center"/>
    </xf>
    <xf numFmtId="0" fontId="22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2" fontId="3" fillId="9" borderId="3" xfId="0" applyNumberFormat="1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2" fontId="2" fillId="8" borderId="3" xfId="0" applyNumberFormat="1" applyFont="1" applyFill="1" applyBorder="1" applyAlignment="1">
      <alignment horizontal="center" vertical="center"/>
    </xf>
    <xf numFmtId="2" fontId="2" fillId="8" borderId="3" xfId="0" applyNumberFormat="1" applyFont="1" applyFill="1" applyBorder="1" applyAlignment="1">
      <alignment horizontal="left" vertical="center"/>
    </xf>
    <xf numFmtId="2" fontId="3" fillId="9" borderId="3" xfId="0" applyNumberFormat="1" applyFont="1" applyFill="1" applyBorder="1" applyAlignment="1">
      <alignment horizontal="left" vertical="center"/>
    </xf>
    <xf numFmtId="0" fontId="40" fillId="11" borderId="9" xfId="1" applyFont="1" applyFill="1" applyBorder="1" applyAlignment="1">
      <alignment horizontal="center" vertical="center" wrapText="1"/>
    </xf>
    <xf numFmtId="0" fontId="40" fillId="0" borderId="0" xfId="0" applyFont="1" applyAlignment="1"/>
    <xf numFmtId="0" fontId="36" fillId="0" borderId="0" xfId="0" applyFont="1" applyAlignment="1"/>
    <xf numFmtId="164" fontId="2" fillId="8" borderId="3" xfId="0" applyNumberFormat="1" applyFont="1" applyFill="1" applyBorder="1" applyAlignment="1">
      <alignment horizontal="center" vertical="center"/>
    </xf>
    <xf numFmtId="165" fontId="2" fillId="8" borderId="3" xfId="0" applyNumberFormat="1" applyFont="1" applyFill="1" applyBorder="1" applyAlignment="1">
      <alignment horizontal="center" vertical="center"/>
    </xf>
    <xf numFmtId="0" fontId="19" fillId="2" borderId="15" xfId="0" applyFont="1" applyFill="1" applyBorder="1" applyAlignment="1">
      <alignment vertical="center"/>
    </xf>
    <xf numFmtId="0" fontId="33" fillId="3" borderId="4" xfId="0" applyFont="1" applyFill="1" applyBorder="1" applyAlignment="1">
      <alignment vertical="center"/>
    </xf>
    <xf numFmtId="0" fontId="33" fillId="3" borderId="5" xfId="0" applyFont="1" applyFill="1" applyBorder="1" applyAlignment="1">
      <alignment vertical="center"/>
    </xf>
    <xf numFmtId="0" fontId="33" fillId="3" borderId="6" xfId="0" applyFont="1" applyFill="1" applyBorder="1" applyAlignment="1">
      <alignment vertical="center"/>
    </xf>
    <xf numFmtId="0" fontId="32" fillId="3" borderId="4" xfId="0" applyFont="1" applyFill="1" applyBorder="1" applyAlignment="1">
      <alignment vertical="center"/>
    </xf>
    <xf numFmtId="0" fontId="32" fillId="3" borderId="5" xfId="0" applyFont="1" applyFill="1" applyBorder="1" applyAlignment="1">
      <alignment vertical="center"/>
    </xf>
    <xf numFmtId="0" fontId="32" fillId="3" borderId="6" xfId="0" applyFont="1" applyFill="1" applyBorder="1" applyAlignment="1">
      <alignment vertical="center"/>
    </xf>
    <xf numFmtId="0" fontId="39" fillId="12" borderId="3" xfId="0" applyFont="1" applyFill="1" applyBorder="1" applyAlignment="1">
      <alignment horizontal="center" vertical="center" wrapText="1"/>
    </xf>
    <xf numFmtId="0" fontId="39" fillId="12" borderId="4" xfId="0" applyFont="1" applyFill="1" applyBorder="1" applyAlignment="1">
      <alignment horizontal="center" vertical="center" wrapText="1"/>
    </xf>
    <xf numFmtId="0" fontId="39" fillId="12" borderId="6" xfId="0" applyFont="1" applyFill="1" applyBorder="1" applyAlignment="1">
      <alignment horizontal="center" vertical="center" wrapText="1"/>
    </xf>
    <xf numFmtId="0" fontId="23" fillId="5" borderId="3" xfId="0" applyFont="1" applyFill="1" applyBorder="1" applyAlignment="1">
      <alignment horizontal="left" vertical="center" wrapText="1"/>
    </xf>
    <xf numFmtId="0" fontId="38" fillId="11" borderId="10" xfId="1" applyFont="1" applyFill="1" applyBorder="1" applyAlignment="1">
      <alignment horizontal="center" vertical="center" wrapText="1"/>
    </xf>
    <xf numFmtId="0" fontId="37" fillId="11" borderId="11" xfId="0" applyFont="1" applyFill="1" applyBorder="1" applyAlignment="1">
      <alignment horizontal="center" vertical="center" wrapText="1"/>
    </xf>
    <xf numFmtId="0" fontId="38" fillId="11" borderId="9" xfId="1" applyFont="1" applyFill="1" applyBorder="1" applyAlignment="1">
      <alignment horizontal="center" vertical="center" wrapText="1"/>
    </xf>
    <xf numFmtId="0" fontId="37" fillId="11" borderId="9" xfId="0" applyFont="1" applyFill="1" applyBorder="1" applyAlignment="1">
      <alignment horizontal="center" vertical="center" wrapText="1"/>
    </xf>
    <xf numFmtId="0" fontId="18" fillId="3" borderId="7" xfId="0" applyFont="1" applyFill="1" applyBorder="1" applyAlignment="1">
      <alignment horizontal="left" vertical="center"/>
    </xf>
    <xf numFmtId="0" fontId="18" fillId="3" borderId="0" xfId="0" applyFont="1" applyFill="1" applyBorder="1" applyAlignment="1">
      <alignment horizontal="left" vertical="center"/>
    </xf>
    <xf numFmtId="0" fontId="18" fillId="3" borderId="4" xfId="0" applyFont="1" applyFill="1" applyBorder="1" applyAlignment="1">
      <alignment vertical="center"/>
    </xf>
    <xf numFmtId="0" fontId="18" fillId="3" borderId="5" xfId="0" applyFont="1" applyFill="1" applyBorder="1" applyAlignment="1">
      <alignment vertical="center"/>
    </xf>
    <xf numFmtId="0" fontId="18" fillId="3" borderId="6" xfId="0" applyFont="1" applyFill="1" applyBorder="1" applyAlignment="1">
      <alignment vertical="center"/>
    </xf>
    <xf numFmtId="0" fontId="26" fillId="10" borderId="3" xfId="0" applyFont="1" applyFill="1" applyBorder="1" applyAlignment="1">
      <alignment vertical="center" wrapText="1"/>
    </xf>
    <xf numFmtId="0" fontId="26" fillId="5" borderId="3" xfId="0" applyFont="1" applyFill="1" applyBorder="1" applyAlignment="1">
      <alignment horizontal="left" vertical="center" wrapText="1"/>
    </xf>
    <xf numFmtId="0" fontId="18" fillId="3" borderId="0" xfId="0" applyFont="1" applyFill="1" applyAlignment="1">
      <alignment horizontal="left" vertical="center"/>
    </xf>
    <xf numFmtId="0" fontId="34" fillId="0" borderId="3" xfId="2" applyFont="1" applyBorder="1" applyAlignment="1">
      <alignment vertical="center" wrapText="1"/>
    </xf>
    <xf numFmtId="0" fontId="24" fillId="0" borderId="3" xfId="2" applyFont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29" fillId="5" borderId="0" xfId="0" applyFont="1" applyFill="1" applyBorder="1" applyAlignment="1">
      <alignment horizontal="left" vertical="center" wrapText="1"/>
    </xf>
    <xf numFmtId="0" fontId="31" fillId="0" borderId="0" xfId="0" applyFont="1" applyBorder="1" applyAlignment="1">
      <alignment horizontal="left" vertical="center"/>
    </xf>
    <xf numFmtId="0" fontId="40" fillId="11" borderId="12" xfId="1" applyFont="1" applyFill="1" applyBorder="1" applyAlignment="1">
      <alignment horizontal="center" vertical="center" wrapText="1"/>
    </xf>
    <xf numFmtId="0" fontId="40" fillId="11" borderId="13" xfId="1" applyFont="1" applyFill="1" applyBorder="1" applyAlignment="1">
      <alignment horizontal="center" vertical="center" wrapText="1"/>
    </xf>
    <xf numFmtId="0" fontId="40" fillId="11" borderId="0" xfId="1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left" vertical="center" wrapText="1"/>
    </xf>
    <xf numFmtId="0" fontId="5" fillId="5" borderId="0" xfId="0" applyFont="1" applyFill="1" applyBorder="1" applyAlignment="1">
      <alignment horizontal="left" vertical="center" wrapText="1"/>
    </xf>
    <xf numFmtId="0" fontId="10" fillId="4" borderId="3" xfId="0" applyFont="1" applyFill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2" fillId="8" borderId="3" xfId="0" applyFont="1" applyFill="1" applyBorder="1" applyAlignment="1">
      <alignment horizontal="left" vertical="center"/>
    </xf>
    <xf numFmtId="14" fontId="2" fillId="8" borderId="3" xfId="0" applyNumberFormat="1" applyFont="1" applyFill="1" applyBorder="1" applyAlignment="1">
      <alignment horizontal="left" vertical="center"/>
    </xf>
    <xf numFmtId="0" fontId="40" fillId="11" borderId="14" xfId="1" applyFont="1" applyFill="1" applyBorder="1" applyAlignment="1">
      <alignment horizontal="center" vertical="center" wrapText="1"/>
    </xf>
    <xf numFmtId="0" fontId="40" fillId="11" borderId="2" xfId="1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</cellXfs>
  <cellStyles count="3">
    <cellStyle name="Hipervínculo" xfId="1" builtinId="8"/>
    <cellStyle name="Normal" xfId="0" builtinId="0"/>
    <cellStyle name="Normal 2" xfId="2" xr:uid="{83FD42C5-1A10-4494-BC51-557E9DF64EAA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C6B72"/>
      <rgbColor rgb="FFB3B3B3"/>
      <rgbColor rgb="FF4F81BD"/>
      <rgbColor rgb="FF9999FF"/>
      <rgbColor rgb="FF993366"/>
      <rgbColor rgb="FFFFF6D8"/>
      <rgbColor rgb="FFDCE8EA"/>
      <rgbColor rgb="FF660066"/>
      <rgbColor rgb="FFFF8080"/>
      <rgbColor rgb="FF0066CC"/>
      <rgbColor rgb="FFC7D2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7"/>
      <rgbColor rgb="FFDFF0E3"/>
      <rgbColor rgb="FFE7E0F5"/>
      <rgbColor rgb="FFD9D9D9"/>
      <rgbColor rgb="FFFF99CC"/>
      <rgbColor rgb="FFCC99FF"/>
      <rgbColor rgb="FFFBE4D5"/>
      <rgbColor rgb="FF3366FF"/>
      <rgbColor rgb="FF33CCCC"/>
      <rgbColor rgb="FF99CC00"/>
      <rgbColor rgb="FFFFCC00"/>
      <rgbColor rgb="FFFF9900"/>
      <rgbColor rgb="FFFF6600"/>
      <rgbColor rgb="FF5A6B70"/>
      <rgbColor rgb="FF969696"/>
      <rgbColor rgb="FF0F3B44"/>
      <rgbColor rgb="FF339966"/>
      <rgbColor rgb="FF003300"/>
      <rgbColor rgb="FF333300"/>
      <rgbColor rgb="FFB45309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L" sz="1800" b="1" strike="noStrike" spc="-1">
                <a:solidFill>
                  <a:srgbClr val="000000"/>
                </a:solidFill>
                <a:latin typeface="Calibri"/>
              </a:rPr>
              <a:t>Peso vs líneas de referencia OMS (kg)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RESULTADOS!$B$23</c:f>
              <c:strCache>
                <c:ptCount val="1"/>
                <c:pt idx="0">
                  <c:v>Peso (kg)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L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RESULTADOS!$A$24:$A$31</c:f>
              <c:strCache>
                <c:ptCount val="8"/>
                <c:pt idx="0">
                  <c:v>−3 SD</c:v>
                </c:pt>
                <c:pt idx="1">
                  <c:v>−2 SD</c:v>
                </c:pt>
                <c:pt idx="2">
                  <c:v>−1 SD</c:v>
                </c:pt>
                <c:pt idx="3">
                  <c:v>Mediana</c:v>
                </c:pt>
                <c:pt idx="4">
                  <c:v>+1 SD</c:v>
                </c:pt>
                <c:pt idx="5">
                  <c:v>+2 SD</c:v>
                </c:pt>
                <c:pt idx="6">
                  <c:v>+3 SD</c:v>
                </c:pt>
                <c:pt idx="7">
                  <c:v>Este niño/a</c:v>
                </c:pt>
              </c:strCache>
            </c:strRef>
          </c:cat>
          <c:val>
            <c:numRef>
              <c:f>RESULTADOS!$B$24:$B$31</c:f>
              <c:numCache>
                <c:formatCode>0.00</c:formatCode>
                <c:ptCount val="8"/>
                <c:pt idx="0">
                  <c:v>5.0851196815867663</c:v>
                </c:pt>
                <c:pt idx="1">
                  <c:v>5.7293834056673658</c:v>
                </c:pt>
                <c:pt idx="2">
                  <c:v>6.4622842214464535</c:v>
                </c:pt>
                <c:pt idx="3">
                  <c:v>7.2969999999999997</c:v>
                </c:pt>
                <c:pt idx="4">
                  <c:v>8.24881683336198</c:v>
                </c:pt>
                <c:pt idx="5">
                  <c:v>9.3354906247679423</c:v>
                </c:pt>
                <c:pt idx="6">
                  <c:v>10.577674949811007</c:v>
                </c:pt>
                <c:pt idx="7">
                  <c:v>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DD-4840-A876-8E3C3395FA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13050"/>
        <c:axId val="20014970"/>
      </c:barChart>
      <c:catAx>
        <c:axId val="681305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20014970"/>
        <c:crosses val="autoZero"/>
        <c:auto val="1"/>
        <c:lblAlgn val="ctr"/>
        <c:lblOffset val="100"/>
        <c:noMultiLvlLbl val="0"/>
      </c:catAx>
      <c:valAx>
        <c:axId val="2001497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681305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314325</xdr:colOff>
      <xdr:row>17</xdr:row>
      <xdr:rowOff>76200</xdr:rowOff>
    </xdr:from>
    <xdr:to>
      <xdr:col>16</xdr:col>
      <xdr:colOff>66675</xdr:colOff>
      <xdr:row>37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xmlns:r="http://schemas.openxmlformats.org/officeDocument/2006/relationships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000-000000000000}">
  <sheetPr>
    <tabColor rgb="FF0F3B44"/>
  </sheetPr>
  <dimension ref="A1:O39"/>
  <sheetViews>
    <sheetView showGridLines="0" zoomScale="85" zoomScaleNormal="85" workbookViewId="0">
      <selection activeCell="B12" sqref="B12:H12"/>
    </sheetView>
  </sheetViews>
  <sheetFormatPr baseColWidth="10" defaultColWidth="8.7109375" defaultRowHeight="15"/>
  <cols>
    <col min="1" max="1" width="37.5703125" style="1" customWidth="1"/>
    <col min="2" max="2" width="24.5703125" style="1" customWidth="1"/>
    <col min="3" max="3" width="14.7109375" customWidth="1"/>
    <col min="4" max="4" width="16" customWidth="1"/>
    <col min="5" max="5" width="20" customWidth="1"/>
    <col min="6" max="6" width="19.140625" customWidth="1"/>
    <col min="7" max="7" width="16" customWidth="1"/>
    <col min="8" max="8" width="11.7109375" customWidth="1"/>
    <col min="10" max="10" width="14.42578125" customWidth="1"/>
    <col min="11" max="11" width="15.28515625" customWidth="1"/>
    <col min="12" max="12" width="13.7109375" customWidth="1"/>
    <col min="14" max="14" width="13.7109375" bestFit="1" customWidth="1"/>
    <col min="15" max="15" width="12" bestFit="1" customWidth="1"/>
    <col min="16" max="16" width="16.7109375" bestFit="1" customWidth="1"/>
  </cols>
  <sheetData>
    <row r="1" spans="1:15" ht="25.5" customHeight="1">
      <c r="A1" s="87" t="s">
        <v>0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</row>
    <row r="2" spans="1:15" ht="30.75" customHeight="1">
      <c r="A2" s="88" t="s">
        <v>1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90"/>
    </row>
    <row r="3" spans="1:15" ht="27" customHeight="1">
      <c r="A3" s="91" t="s">
        <v>528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3"/>
    </row>
    <row r="4" spans="1:15" ht="24" customHeight="1">
      <c r="A4" s="60" t="str">
        <f>HYPERLINK("#DATOS!A1","▶  DATOS")</f>
        <v>▶  DATOS</v>
      </c>
      <c r="B4" s="100" t="str">
        <f>HYPERLINK("#CALCULOS!A1","▶  CALCULOS")</f>
        <v>▶  CALCULOS</v>
      </c>
      <c r="C4" s="101"/>
      <c r="D4" s="100" t="str">
        <f>HYPERLINK("#RESULTADOS!A1","▶  RESULTADOS")</f>
        <v>▶  RESULTADOS</v>
      </c>
      <c r="E4" s="101"/>
      <c r="F4" s="100" t="str">
        <f>HYPERLINK("#PRUEBAS!A1","▶  PRUEBAS")</f>
        <v>▶  PRUEBAS</v>
      </c>
      <c r="G4" s="101"/>
      <c r="H4" s="98" t="str">
        <f>HYPERLINK("#FUENTES!A1","▶  FUENTES")</f>
        <v>▶  FUENTES</v>
      </c>
      <c r="I4" s="99"/>
      <c r="J4" s="98" t="str">
        <f>HYPERLINK("#PRUEBAS!A1","▶  PRUEBAS")</f>
        <v>▶  PRUEBAS</v>
      </c>
      <c r="K4" s="99"/>
      <c r="L4" s="98" t="str">
        <f>HYPERLINK("#CONFIG!A1","▶  CONFIG")</f>
        <v>▶  CONFIG</v>
      </c>
      <c r="M4" s="99"/>
      <c r="N4" s="98" t="str">
        <f>HYPERLINK("#CHANGELOG!A1","▶  CHANGELOG")</f>
        <v>▶  CHANGELOG</v>
      </c>
      <c r="O4" s="99"/>
    </row>
    <row r="5" spans="1:15" ht="26.25" customHeight="1">
      <c r="A5" s="61" t="s">
        <v>520</v>
      </c>
      <c r="B5" s="94" t="s">
        <v>521</v>
      </c>
      <c r="C5" s="94"/>
      <c r="D5" s="94" t="s">
        <v>522</v>
      </c>
      <c r="E5" s="94"/>
      <c r="F5" s="94" t="inlineStr">
        <is>
          <t>Control de calidad</t>
        </is>
      </c>
      <c r="G5" s="94"/>
      <c r="H5" s="95" t="s">
        <v>524</v>
      </c>
      <c r="I5" s="96"/>
      <c r="J5" s="95" t="s">
        <v>525</v>
      </c>
      <c r="K5" s="96"/>
      <c r="L5" s="95" t="s">
        <v>526</v>
      </c>
      <c r="M5" s="96"/>
      <c r="N5" s="95" t="s">
        <v>527</v>
      </c>
      <c r="O5" s="96"/>
    </row>
    <row r="6" spans="1:15" ht="15" customHeight="1">
      <c r="A6" s="59" t="s">
        <v>2</v>
      </c>
      <c r="B6" s="97" t="s">
        <v>3</v>
      </c>
      <c r="C6" s="97"/>
      <c r="D6" s="97"/>
      <c r="E6" s="97"/>
      <c r="F6" s="97"/>
      <c r="G6" s="97"/>
      <c r="H6" s="97"/>
    </row>
    <row r="7" spans="1:15" ht="15" customHeight="1">
      <c r="A7" s="59" t="s">
        <v>4</v>
      </c>
      <c r="B7" s="97" t="s">
        <v>5</v>
      </c>
      <c r="C7" s="97"/>
      <c r="D7" s="97"/>
      <c r="E7" s="97"/>
      <c r="F7" s="97"/>
      <c r="G7" s="97"/>
      <c r="H7" s="97"/>
    </row>
    <row r="8" spans="1:15" ht="15" customHeight="1">
      <c r="A8" s="59" t="s">
        <v>6</v>
      </c>
      <c r="B8" s="97" t="s">
        <v>7</v>
      </c>
      <c r="C8" s="97"/>
      <c r="D8" s="97"/>
      <c r="E8" s="97"/>
      <c r="F8" s="97"/>
      <c r="G8" s="97"/>
      <c r="H8" s="97"/>
    </row>
    <row r="9" spans="1:15" ht="15" customHeight="1">
      <c r="A9" s="59" t="s">
        <v>8</v>
      </c>
      <c r="B9" s="97" t="s">
        <v>9</v>
      </c>
      <c r="C9" s="97"/>
      <c r="D9" s="97"/>
      <c r="E9" s="97"/>
      <c r="F9" s="97"/>
      <c r="G9" s="97"/>
      <c r="H9" s="97"/>
    </row>
    <row r="10" spans="1:15" ht="15" customHeight="1">
      <c r="A10" s="59" t="s">
        <v>10</v>
      </c>
      <c r="B10" s="97" t="s">
        <v>11</v>
      </c>
      <c r="C10" s="97"/>
      <c r="D10" s="97"/>
      <c r="E10" s="97"/>
      <c r="F10" s="97"/>
      <c r="G10" s="97"/>
      <c r="H10" s="97"/>
    </row>
    <row r="11" spans="1:15" ht="15" customHeight="1">
      <c r="A11" s="59" t="s">
        <v>12</v>
      </c>
      <c r="B11" s="97" t="s">
        <v>13</v>
      </c>
      <c r="C11" s="97"/>
      <c r="D11" s="97"/>
      <c r="E11" s="97"/>
      <c r="F11" s="97"/>
      <c r="G11" s="97"/>
      <c r="H11" s="97"/>
    </row>
    <row r="12" spans="1:15" ht="15" customHeight="1">
      <c r="A12" s="59" t="s">
        <v>14</v>
      </c>
      <c r="B12" s="97" t="s">
        <v>15</v>
      </c>
      <c r="C12" s="97"/>
      <c r="D12" s="97"/>
      <c r="E12" s="97"/>
      <c r="F12" s="97"/>
      <c r="G12" s="97"/>
      <c r="H12" s="97"/>
    </row>
    <row r="13" spans="1:15" ht="28.5" customHeight="1">
      <c r="A13" s="102" t="s">
        <v>16</v>
      </c>
      <c r="B13" s="103"/>
      <c r="C13" s="103"/>
      <c r="D13" s="103"/>
      <c r="E13" s="103"/>
      <c r="F13" s="103"/>
      <c r="G13" s="103"/>
      <c r="H13" s="103"/>
    </row>
    <row r="14" spans="1:15" ht="27.75" customHeight="1">
      <c r="A14" s="47" t="s">
        <v>17</v>
      </c>
      <c r="B14" s="107" t="s">
        <v>18</v>
      </c>
      <c r="C14" s="107"/>
      <c r="D14" s="107"/>
      <c r="E14" s="107"/>
      <c r="F14" s="107"/>
      <c r="G14" s="107"/>
      <c r="H14" s="107"/>
    </row>
    <row r="15" spans="1:15" ht="25.5" customHeight="1">
      <c r="A15" s="47" t="s">
        <v>17</v>
      </c>
      <c r="B15" s="107" t="s">
        <v>19</v>
      </c>
      <c r="C15" s="107"/>
      <c r="D15" s="107"/>
      <c r="E15" s="107"/>
      <c r="F15" s="107"/>
      <c r="G15" s="107"/>
      <c r="H15" s="107"/>
    </row>
    <row r="16" spans="1:15" ht="25.5" customHeight="1">
      <c r="A16" s="47" t="s">
        <v>17</v>
      </c>
      <c r="B16" s="107" t="s">
        <v>20</v>
      </c>
      <c r="C16" s="107"/>
      <c r="D16" s="107"/>
      <c r="E16" s="107"/>
      <c r="F16" s="107"/>
      <c r="G16" s="107"/>
      <c r="H16" s="107"/>
    </row>
    <row r="17" spans="1:8" ht="25.5" customHeight="1">
      <c r="A17" s="47" t="s">
        <v>17</v>
      </c>
      <c r="B17" s="107" t="s">
        <v>21</v>
      </c>
      <c r="C17" s="107"/>
      <c r="D17" s="107"/>
      <c r="E17" s="107"/>
      <c r="F17" s="107"/>
      <c r="G17" s="107"/>
      <c r="H17" s="107"/>
    </row>
    <row r="18" spans="1:8" ht="25.5" customHeight="1">
      <c r="A18" s="47" t="s">
        <v>17</v>
      </c>
      <c r="B18" s="107" t="s">
        <v>22</v>
      </c>
      <c r="C18" s="107"/>
      <c r="D18" s="107"/>
      <c r="E18" s="107"/>
      <c r="F18" s="107"/>
      <c r="G18" s="107"/>
      <c r="H18" s="107"/>
    </row>
    <row r="19" spans="1:8" ht="39.75" customHeight="1">
      <c r="A19" s="47" t="s">
        <v>17</v>
      </c>
      <c r="B19" s="107" t="s">
        <v>23</v>
      </c>
      <c r="C19" s="107"/>
      <c r="D19" s="107"/>
      <c r="E19" s="107"/>
      <c r="F19" s="107"/>
      <c r="G19" s="107"/>
      <c r="H19" s="107"/>
    </row>
    <row r="20" spans="1:8" ht="25.5" customHeight="1">
      <c r="A20" s="104" t="s">
        <v>529</v>
      </c>
      <c r="B20" s="105"/>
      <c r="C20" s="105"/>
      <c r="D20" s="105"/>
      <c r="E20" s="105"/>
      <c r="F20" s="105"/>
      <c r="G20" s="105"/>
      <c r="H20" s="106"/>
    </row>
    <row r="21" spans="1:8" ht="42" customHeight="1">
      <c r="A21" s="58" t="s">
        <v>531</v>
      </c>
      <c r="B21" s="110" t="s">
        <v>532</v>
      </c>
      <c r="C21" s="110"/>
      <c r="D21" s="110"/>
      <c r="E21" s="110"/>
      <c r="F21" s="110"/>
      <c r="G21" s="110"/>
      <c r="H21" s="110"/>
    </row>
    <row r="22" spans="1:8" ht="35.25" customHeight="1">
      <c r="A22" s="58" t="s">
        <v>533</v>
      </c>
      <c r="B22" s="110" t="s">
        <v>535</v>
      </c>
      <c r="C22" s="110"/>
      <c r="D22" s="110"/>
      <c r="E22" s="110"/>
      <c r="F22" s="110"/>
      <c r="G22" s="110"/>
      <c r="H22" s="110"/>
    </row>
    <row r="23" spans="1:8" ht="40.5" customHeight="1">
      <c r="A23" s="58" t="s">
        <v>534</v>
      </c>
      <c r="B23" s="110" t="s">
        <v>536</v>
      </c>
      <c r="C23" s="110"/>
      <c r="D23" s="110"/>
      <c r="E23" s="110"/>
      <c r="F23" s="110"/>
      <c r="G23" s="110"/>
      <c r="H23" s="110"/>
    </row>
    <row r="24" spans="1:8" ht="24" customHeight="1">
      <c r="A24" s="109" t="s">
        <v>530</v>
      </c>
      <c r="B24" s="109"/>
      <c r="C24" s="109"/>
      <c r="D24" s="109"/>
      <c r="E24" s="109"/>
      <c r="F24" s="109"/>
      <c r="G24" s="109"/>
      <c r="H24" s="109"/>
    </row>
    <row r="25" spans="1:8" ht="38.25" customHeight="1">
      <c r="A25" s="46" t="s">
        <v>537</v>
      </c>
      <c r="B25" s="111" t="s">
        <v>541</v>
      </c>
      <c r="C25" s="111"/>
      <c r="D25" s="111"/>
      <c r="E25" s="111"/>
      <c r="F25" s="111"/>
      <c r="G25" s="111"/>
      <c r="H25" s="111"/>
    </row>
    <row r="26" spans="1:8" ht="37.5" customHeight="1">
      <c r="A26" s="46" t="s">
        <v>538</v>
      </c>
      <c r="B26" s="111" t="s">
        <v>542</v>
      </c>
      <c r="C26" s="111"/>
      <c r="D26" s="111"/>
      <c r="E26" s="111"/>
      <c r="F26" s="111"/>
      <c r="G26" s="111"/>
      <c r="H26" s="111"/>
    </row>
    <row r="27" spans="1:8" ht="40.5" customHeight="1">
      <c r="A27" s="46" t="s">
        <v>539</v>
      </c>
      <c r="B27" s="111" t="s">
        <v>543</v>
      </c>
      <c r="C27" s="111"/>
      <c r="D27" s="111"/>
      <c r="E27" s="111"/>
      <c r="F27" s="111"/>
      <c r="G27" s="111"/>
      <c r="H27" s="111"/>
    </row>
    <row r="28" spans="1:8" ht="42" customHeight="1">
      <c r="A28" s="46" t="s">
        <v>540</v>
      </c>
      <c r="B28" s="111" t="s">
        <v>544</v>
      </c>
      <c r="C28" s="111"/>
      <c r="D28" s="111"/>
      <c r="E28" s="111"/>
      <c r="F28" s="111"/>
      <c r="G28" s="111"/>
      <c r="H28" s="111"/>
    </row>
    <row r="29" spans="1:8" ht="25.5" customHeight="1">
      <c r="A29" s="109" t="s">
        <v>24</v>
      </c>
      <c r="B29" s="109"/>
      <c r="C29" s="109"/>
      <c r="D29" s="109"/>
      <c r="E29" s="109"/>
      <c r="F29" s="109"/>
      <c r="G29" s="109"/>
      <c r="H29" s="109"/>
    </row>
    <row r="30" spans="1:8" ht="24" customHeight="1">
      <c r="A30" s="57" t="s">
        <v>25</v>
      </c>
      <c r="B30" s="108" t="s">
        <v>26</v>
      </c>
      <c r="C30" s="108"/>
      <c r="D30" s="108"/>
      <c r="E30" s="108"/>
      <c r="F30" s="108"/>
      <c r="G30" s="108"/>
      <c r="H30" s="108"/>
    </row>
    <row r="31" spans="1:8" ht="24" customHeight="1">
      <c r="A31" s="57" t="s">
        <v>25</v>
      </c>
      <c r="B31" s="108" t="s">
        <v>27</v>
      </c>
      <c r="C31" s="108"/>
      <c r="D31" s="108"/>
      <c r="E31" s="108"/>
      <c r="F31" s="108"/>
      <c r="G31" s="108"/>
      <c r="H31" s="108"/>
    </row>
    <row r="32" spans="1:8" ht="20.25" customHeight="1">
      <c r="A32" s="57" t="s">
        <v>25</v>
      </c>
      <c r="B32" s="108" t="s">
        <v>28</v>
      </c>
      <c r="C32" s="108"/>
      <c r="D32" s="108"/>
      <c r="E32" s="108"/>
      <c r="F32" s="108"/>
      <c r="G32" s="108"/>
      <c r="H32" s="108"/>
    </row>
    <row r="33" spans="1:8" ht="24" customHeight="1">
      <c r="A33" s="57" t="s">
        <v>25</v>
      </c>
      <c r="B33" s="108" t="s">
        <v>29</v>
      </c>
      <c r="C33" s="108"/>
      <c r="D33" s="108"/>
      <c r="E33" s="108"/>
      <c r="F33" s="108"/>
      <c r="G33" s="108"/>
      <c r="H33" s="108"/>
    </row>
    <row r="34" spans="1:8" ht="18.75" customHeight="1">
      <c r="A34" s="57" t="s">
        <v>25</v>
      </c>
      <c r="B34" s="108" t="s">
        <v>30</v>
      </c>
      <c r="C34" s="108"/>
      <c r="D34" s="108"/>
      <c r="E34" s="108"/>
      <c r="F34" s="108"/>
      <c r="G34" s="108"/>
      <c r="H34" s="108"/>
    </row>
    <row r="35" spans="1:8" ht="15" customHeight="1"/>
    <row r="36" spans="1:8" ht="15" customHeight="1"/>
    <row r="37" spans="1:8" ht="15" customHeight="1">
      <c r="A37"/>
      <c r="B37"/>
    </row>
    <row r="38" spans="1:8">
      <c r="A38"/>
      <c r="B38"/>
    </row>
    <row r="39" spans="1:8">
      <c r="A39"/>
      <c r="B39"/>
    </row>
  </sheetData>
  <sheetProtection algorithmName="SHA-512" hashValue="JFFEAANZjpw7boeIHH1v88lcs9fVpR0TQAOXnuTd1av7UksB5Nor2OSN+ebv38PJhUqEYeQdukzOr9QkF6QdeA==" saltValue="K30ZS5pY8pb0ONkXeQTXNA==" spinCount="100000" sheet="1" objects="1" scenarios="1"/>
  <mergeCells count="46">
    <mergeCell ref="A29:H29"/>
    <mergeCell ref="A24:H24"/>
    <mergeCell ref="B21:H21"/>
    <mergeCell ref="B22:H22"/>
    <mergeCell ref="B23:H23"/>
    <mergeCell ref="B25:H25"/>
    <mergeCell ref="B26:H26"/>
    <mergeCell ref="B27:H27"/>
    <mergeCell ref="B28:H28"/>
    <mergeCell ref="B30:H30"/>
    <mergeCell ref="B31:H31"/>
    <mergeCell ref="B32:H32"/>
    <mergeCell ref="B33:H33"/>
    <mergeCell ref="B34:H34"/>
    <mergeCell ref="A13:H13"/>
    <mergeCell ref="A20:H20"/>
    <mergeCell ref="B14:H14"/>
    <mergeCell ref="B15:H15"/>
    <mergeCell ref="B16:H16"/>
    <mergeCell ref="B17:H17"/>
    <mergeCell ref="B18:H18"/>
    <mergeCell ref="B19:H19"/>
    <mergeCell ref="B8:H8"/>
    <mergeCell ref="B9:H9"/>
    <mergeCell ref="B10:H10"/>
    <mergeCell ref="B11:H11"/>
    <mergeCell ref="B12:H12"/>
    <mergeCell ref="B6:H6"/>
    <mergeCell ref="B7:H7"/>
    <mergeCell ref="N5:O5"/>
    <mergeCell ref="J4:K4"/>
    <mergeCell ref="L4:M4"/>
    <mergeCell ref="N4:O4"/>
    <mergeCell ref="B4:C4"/>
    <mergeCell ref="D4:E4"/>
    <mergeCell ref="F4:G4"/>
    <mergeCell ref="H4:I4"/>
    <mergeCell ref="B5:C5"/>
    <mergeCell ref="A1:O1"/>
    <mergeCell ref="A2:O2"/>
    <mergeCell ref="A3:O3"/>
    <mergeCell ref="D5:E5"/>
    <mergeCell ref="F5:G5"/>
    <mergeCell ref="H5:I5"/>
    <mergeCell ref="J5:K5"/>
    <mergeCell ref="L5:M5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C6B72"/>
  </sheetPr>
  <dimension ref="A1:E15"/>
  <sheetViews>
    <sheetView showGridLines="0" zoomScaleNormal="100" workbookViewId="0">
      <pane ySplit="6" topLeftCell="A7" activePane="bottomLeft" state="frozen"/>
      <selection activeCell="L21" sqref="L21"/>
      <selection pane="bottomLeft" activeCell="B13" sqref="B13"/>
    </sheetView>
  </sheetViews>
  <sheetFormatPr baseColWidth="10" defaultColWidth="8.7109375" defaultRowHeight="15"/>
  <cols>
    <col min="1" max="1" width="38" style="1" customWidth="1"/>
    <col min="2" max="2" width="30" style="1" customWidth="1"/>
    <col min="3" max="3" width="12" style="1" customWidth="1"/>
    <col min="4" max="4" width="26" style="1" customWidth="1"/>
    <col min="5" max="5" width="50" style="1" customWidth="1"/>
  </cols>
  <sheetData>
    <row r="1" spans="1:5" ht="25.5" customHeight="1">
      <c r="A1" s="112" t="s">
        <v>0</v>
      </c>
      <c r="B1" s="112"/>
      <c r="C1" s="112"/>
      <c r="D1" s="112"/>
      <c r="E1" s="112"/>
    </row>
    <row r="2" spans="1:5" ht="15" customHeight="1">
      <c r="A2" s="113" t="s">
        <v>31</v>
      </c>
      <c r="B2" s="113"/>
      <c r="C2" s="113"/>
      <c r="D2" s="113"/>
      <c r="E2" s="113"/>
    </row>
    <row r="3" spans="1:5" ht="15" customHeight="1">
      <c r="A3" s="60" t="str">
        <f>HYPERLINK("#INICIO!A1","◀ INICIO")</f>
        <v>◀ INICIO</v>
      </c>
      <c r="B3" s="116" t="str">
        <f>HYPERLINK("#CALCULOS!A1","▶  CALCULOS")</f>
        <v>▶  CALCULOS</v>
      </c>
      <c r="C3" s="117"/>
      <c r="D3" s="116" t="str">
        <f>HYPERLINK("#RESULTADOS!A1","▶ RESULTADOS")</f>
        <v>▶ RESULTADOS</v>
      </c>
      <c r="E3" s="117"/>
    </row>
    <row r="4" spans="1:5" ht="19.5" customHeight="1">
      <c r="A4" s="114" t="s">
        <v>32</v>
      </c>
      <c r="B4" s="114"/>
      <c r="C4" s="114"/>
      <c r="D4" s="114"/>
      <c r="E4" s="114"/>
    </row>
    <row r="5" spans="1:5" ht="15" customHeight="1">
      <c r="A5" s="115" t="s">
        <v>33</v>
      </c>
      <c r="B5" s="115"/>
      <c r="C5" s="115"/>
      <c r="D5" s="115"/>
      <c r="E5" s="115"/>
    </row>
    <row r="6" spans="1:5" ht="15" customHeight="1">
      <c r="A6" s="48" t="s">
        <v>34</v>
      </c>
      <c r="B6" s="48" t="s">
        <v>35</v>
      </c>
      <c r="C6" s="48" t="s">
        <v>36</v>
      </c>
      <c r="D6" s="48" t="s">
        <v>37</v>
      </c>
      <c r="E6" s="48" t="s">
        <v>38</v>
      </c>
    </row>
    <row r="7" spans="1:5" ht="15" customHeight="1">
      <c r="A7" s="49" t="s">
        <v>39</v>
      </c>
      <c r="B7" s="50" t="s">
        <v>40</v>
      </c>
      <c r="C7" s="51" t="s">
        <v>41</v>
      </c>
      <c r="D7" s="52" t="s">
        <v>42</v>
      </c>
      <c r="E7" s="52" t="s">
        <v>43</v>
      </c>
    </row>
    <row r="8" spans="1:5" ht="15" customHeight="1">
      <c r="A8" s="49" t="s">
        <v>6</v>
      </c>
      <c r="B8" s="53">
        <v>46217</v>
      </c>
      <c r="C8" s="51" t="s">
        <v>44</v>
      </c>
      <c r="D8" s="52" t="s">
        <v>6</v>
      </c>
      <c r="E8" s="52" t="s">
        <v>45</v>
      </c>
    </row>
    <row r="9" spans="1:5" ht="15" customHeight="1">
      <c r="A9" s="49" t="s">
        <v>46</v>
      </c>
      <c r="B9" s="50" t="s">
        <v>47</v>
      </c>
      <c r="C9" s="51" t="s">
        <v>41</v>
      </c>
      <c r="D9" s="52" t="s">
        <v>42</v>
      </c>
      <c r="E9" s="52" t="s">
        <v>48</v>
      </c>
    </row>
    <row r="10" spans="1:5" ht="15" customHeight="1">
      <c r="A10" s="49" t="s">
        <v>49</v>
      </c>
      <c r="B10" s="50" t="s">
        <v>50</v>
      </c>
      <c r="C10" s="51" t="s">
        <v>41</v>
      </c>
      <c r="D10" s="52" t="s">
        <v>51</v>
      </c>
      <c r="E10" s="52" t="s">
        <v>52</v>
      </c>
    </row>
    <row r="11" spans="1:5" ht="15" customHeight="1">
      <c r="A11" s="49" t="s">
        <v>53</v>
      </c>
      <c r="B11" s="50" t="s">
        <v>54</v>
      </c>
      <c r="C11" s="51" t="s">
        <v>41</v>
      </c>
      <c r="D11" s="52" t="s">
        <v>55</v>
      </c>
      <c r="E11" s="52" t="s">
        <v>56</v>
      </c>
    </row>
    <row r="12" spans="1:5" ht="15" customHeight="1">
      <c r="A12" s="49" t="s">
        <v>57</v>
      </c>
      <c r="B12" s="54">
        <v>6</v>
      </c>
      <c r="C12" s="51" t="s">
        <v>58</v>
      </c>
      <c r="D12" s="52" t="s">
        <v>59</v>
      </c>
      <c r="E12" s="52" t="s">
        <v>60</v>
      </c>
    </row>
    <row r="13" spans="1:5" ht="15" customHeight="1">
      <c r="A13" s="49" t="s">
        <v>61</v>
      </c>
      <c r="B13" s="55">
        <v>7.6</v>
      </c>
      <c r="C13" s="51" t="s">
        <v>62</v>
      </c>
      <c r="D13" s="52" t="s">
        <v>63</v>
      </c>
      <c r="E13" s="52" t="s">
        <v>64</v>
      </c>
    </row>
    <row r="14" spans="1:5" ht="15" customHeight="1">
      <c r="A14" s="49" t="s">
        <v>65</v>
      </c>
      <c r="B14" s="50" t="s">
        <v>66</v>
      </c>
      <c r="C14" s="51" t="s">
        <v>41</v>
      </c>
      <c r="D14" s="52" t="s">
        <v>42</v>
      </c>
      <c r="E14" s="52" t="s">
        <v>67</v>
      </c>
    </row>
    <row r="15" spans="1:5" ht="15" customHeight="1">
      <c r="A15" s="49" t="s">
        <v>68</v>
      </c>
      <c r="B15" s="50"/>
      <c r="C15" s="51" t="s">
        <v>41</v>
      </c>
      <c r="D15" s="52" t="s">
        <v>42</v>
      </c>
      <c r="E15" s="52" t="s">
        <v>69</v>
      </c>
    </row>
  </sheetData>
  <sheetProtection algorithmName="SHA-512" hashValue="Mt/AWNZz3jJPd3LZwKdMrhZ+otCWDm2gp22/BPySk43DE/STNTOy+N0AyBDSXScNm+o1oxteNFRNcL0ZOppgfQ==" saltValue="Sad/DCRRUnOVSzXUba5c6w==" spinCount="100000" sheet="1" objects="1" scenarios="1"/>
  <protectedRanges>
    <protectedRange sqref="B7:B15" name="Rango1"/>
  </protectedRanges>
  <mergeCells count="6">
    <mergeCell ref="A1:E1"/>
    <mergeCell ref="A2:E2"/>
    <mergeCell ref="A4:E4"/>
    <mergeCell ref="A5:E5"/>
    <mergeCell ref="B3:C3"/>
    <mergeCell ref="D3:E3"/>
  </mergeCells>
  <dataValidations count="4">
    <dataValidation type="list" allowBlank="1" sqref="B10" xr:uid="{00000000-0002-0000-0100-000000000000}">
      <formula1>SEXOS</formula1>
      <formula2>0</formula2>
    </dataValidation>
    <dataValidation type="list" allowBlank="1" sqref="B11" xr:uid="{00000000-0002-0000-0100-000001000000}">
      <formula1>LISTA_IND</formula1>
      <formula2>0</formula2>
    </dataValidation>
    <dataValidation type="decimal" allowBlank="1" sqref="B12" xr:uid="{00000000-0002-0000-0100-000002000000}">
      <formula1>MES_MIN</formula1>
      <formula2>MES_MAX</formula2>
    </dataValidation>
    <dataValidation type="decimal" allowBlank="1" sqref="B13" xr:uid="{00000000-0002-0000-0100-000003000000}">
      <formula1>MED_MIN</formula1>
      <formula2>MED_MAX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C6B72"/>
  </sheetPr>
  <dimension ref="A1:E36"/>
  <sheetViews>
    <sheetView showGridLines="0" zoomScaleNormal="100" workbookViewId="0">
      <pane ySplit="5" topLeftCell="A18" activePane="bottomLeft" state="frozen"/>
      <selection activeCell="L21" sqref="L21"/>
      <selection pane="bottomLeft" activeCell="D11" sqref="D11"/>
    </sheetView>
  </sheetViews>
  <sheetFormatPr baseColWidth="10" defaultColWidth="8.7109375" defaultRowHeight="15"/>
  <cols>
    <col min="1" max="1" width="44" style="1" customWidth="1"/>
    <col min="2" max="2" width="22" style="1" customWidth="1"/>
    <col min="3" max="3" width="12" style="1" customWidth="1"/>
    <col min="4" max="4" width="50" style="1" customWidth="1"/>
  </cols>
  <sheetData>
    <row r="1" spans="1:5" ht="25.5" customHeight="1">
      <c r="A1" s="112" t="s">
        <v>0</v>
      </c>
      <c r="B1" s="112"/>
      <c r="C1" s="112"/>
      <c r="D1" s="112"/>
      <c r="E1" s="112"/>
    </row>
    <row r="2" spans="1:5" ht="15" customHeight="1">
      <c r="A2" s="113" t="s">
        <v>70</v>
      </c>
      <c r="B2" s="113"/>
      <c r="C2" s="113"/>
      <c r="D2" s="113"/>
      <c r="E2" s="113"/>
    </row>
    <row r="3" spans="1:5" ht="15" customHeight="1">
      <c r="A3" s="82" t="str">
        <f>HYPERLINK("#DATOS!A1","◀ DATOS")</f>
        <v>◀ DATOS</v>
      </c>
      <c r="B3" s="116" t="str">
        <f>HYPERLINK("#RESULTADOS!A1","▶ RESULTADOS")</f>
        <v>▶ RESULTADOS</v>
      </c>
      <c r="C3" s="118"/>
      <c r="D3" s="117"/>
    </row>
    <row r="4" spans="1:5" ht="27.75" customHeight="1">
      <c r="A4" s="120" t="s">
        <v>71</v>
      </c>
      <c r="B4" s="120"/>
      <c r="C4" s="120"/>
      <c r="D4" s="120"/>
    </row>
    <row r="6" spans="1:5" ht="15" customHeight="1">
      <c r="A6" s="11" t="s">
        <v>72</v>
      </c>
      <c r="B6" s="4"/>
      <c r="C6" s="4"/>
      <c r="D6" s="4"/>
    </row>
    <row r="7" spans="1:5" ht="15" customHeight="1">
      <c r="A7" s="69" t="s">
        <v>73</v>
      </c>
      <c r="B7" s="69" t="s">
        <v>35</v>
      </c>
      <c r="C7" s="69" t="s">
        <v>36</v>
      </c>
      <c r="D7" s="69" t="s">
        <v>74</v>
      </c>
    </row>
    <row r="8" spans="1:5" ht="15" customHeight="1">
      <c r="A8" s="62" t="s">
        <v>75</v>
      </c>
      <c r="B8" s="71" t="str">
        <f>IF(AND(COUNTIF(SEXOS,in_Sexo)&gt;0,ISNUMBER(in_EdadMeses)),in_Sexo&amp;"-"&amp;INT(in_EdadMeses),"ND")</f>
        <v>Niña-6</v>
      </c>
      <c r="C8" s="64" t="s">
        <v>41</v>
      </c>
      <c r="D8" s="65" t="s">
        <v>76</v>
      </c>
    </row>
    <row r="9" spans="1:5" ht="15" customHeight="1">
      <c r="A9" s="62" t="s">
        <v>77</v>
      </c>
      <c r="B9" s="71" t="str">
        <f>IF(c_Key="ND","NO",IF(COUNTIF(LMS_KEY,c_Key)&gt;0,"SÍ","NO"))</f>
        <v>SÍ</v>
      </c>
      <c r="C9" s="64" t="s">
        <v>41</v>
      </c>
      <c r="D9" s="65" t="s">
        <v>78</v>
      </c>
    </row>
    <row r="10" spans="1:5" ht="15" customHeight="1">
      <c r="A10" s="62" t="s">
        <v>79</v>
      </c>
      <c r="B10" s="85">
        <f>IF(c_InTab="SÍ",INDEX(LMS_L,MATCH(c_Key,LMS_KEY,0)),"ND")</f>
        <v>-7.5600000000000001E-2</v>
      </c>
      <c r="C10" s="64" t="s">
        <v>41</v>
      </c>
      <c r="D10" s="65" t="s">
        <v>80</v>
      </c>
    </row>
    <row r="11" spans="1:5" ht="15" customHeight="1">
      <c r="A11" s="62" t="s">
        <v>81</v>
      </c>
      <c r="B11" s="85">
        <f>IF(c_InTab="SÍ",INDEX(LMS_M,MATCH(c_Key,LMS_KEY,0)),"ND")</f>
        <v>7.2969999999999997</v>
      </c>
      <c r="C11" s="64" t="s">
        <v>62</v>
      </c>
      <c r="D11" s="65" t="s">
        <v>82</v>
      </c>
    </row>
    <row r="12" spans="1:5" ht="15" customHeight="1">
      <c r="A12" s="62" t="s">
        <v>83</v>
      </c>
      <c r="B12" s="86">
        <f>IF(c_InTab="SÍ",INDEX(LMS_S,MATCH(c_Key,LMS_KEY,0)),"ND")</f>
        <v>0.12204</v>
      </c>
      <c r="C12" s="64" t="s">
        <v>41</v>
      </c>
      <c r="D12" s="65" t="s">
        <v>84</v>
      </c>
    </row>
    <row r="13" spans="1:5" ht="15" customHeight="1">
      <c r="A13" s="67" t="s">
        <v>85</v>
      </c>
      <c r="B13" s="68"/>
      <c r="C13" s="68"/>
      <c r="D13" s="68"/>
    </row>
    <row r="14" spans="1:5" ht="15" customHeight="1">
      <c r="A14" s="69" t="s">
        <v>73</v>
      </c>
      <c r="B14" s="69" t="s">
        <v>35</v>
      </c>
      <c r="C14" s="69" t="s">
        <v>36</v>
      </c>
      <c r="D14" s="69" t="s">
        <v>74</v>
      </c>
    </row>
    <row r="15" spans="1:5" ht="15" customHeight="1">
      <c r="A15" s="62" t="s">
        <v>86</v>
      </c>
      <c r="B15" s="72" t="str">
        <f>IF(AND(c_InTab="SÍ",ISNUMBER(in_Medida),in_Medida&gt;=MED_MIN,in_Medida&lt;=MED_MAX,in_EdadMeses=INT(in_EdadMeses)),"SÍ","NO")</f>
        <v>SÍ</v>
      </c>
      <c r="C15" s="64" t="s">
        <v>41</v>
      </c>
      <c r="D15" s="65" t="s">
        <v>87</v>
      </c>
    </row>
    <row r="16" spans="1:5" ht="15" customHeight="1">
      <c r="A16" s="67" t="s">
        <v>88</v>
      </c>
      <c r="B16" s="68"/>
      <c r="C16" s="68"/>
      <c r="D16" s="68"/>
    </row>
    <row r="17" spans="1:4" ht="15" customHeight="1">
      <c r="A17" s="69" t="s">
        <v>73</v>
      </c>
      <c r="B17" s="69" t="s">
        <v>35</v>
      </c>
      <c r="C17" s="69" t="s">
        <v>36</v>
      </c>
      <c r="D17" s="69" t="s">
        <v>74</v>
      </c>
    </row>
    <row r="18" spans="1:4" ht="15" customHeight="1">
      <c r="A18" s="62" t="s">
        <v>89</v>
      </c>
      <c r="B18" s="85">
        <f>IF(c_Gate="SÍ",IF(c_L=0,LN(in_Medida/c_M)/c_S,((in_Medida/c_M)^c_L-1)/(c_L*c_S)),"ND")</f>
        <v>0.33286166510291076</v>
      </c>
      <c r="C18" s="64" t="s">
        <v>90</v>
      </c>
      <c r="D18" s="65" t="s">
        <v>91</v>
      </c>
    </row>
    <row r="19" spans="1:4" ht="15" customHeight="1">
      <c r="A19" s="62" t="s">
        <v>92</v>
      </c>
      <c r="B19" s="63">
        <f>IF(c_Gate="SÍ",IF(c_L=0,c_M*EXP(c_S*2),c_M*(1+c_L*c_S*2)^(1/c_L)),"ND")</f>
        <v>9.3354906247679423</v>
      </c>
      <c r="C19" s="64" t="s">
        <v>62</v>
      </c>
      <c r="D19" s="65" t="s">
        <v>93</v>
      </c>
    </row>
    <row r="20" spans="1:4" ht="15" customHeight="1">
      <c r="A20" s="62" t="s">
        <v>94</v>
      </c>
      <c r="B20" s="63">
        <f>IF(c_Gate="SÍ",IF(c_L=0,c_M*EXP(c_S*3),c_M*(1+c_L*c_S*3)^(1/c_L)),"ND")</f>
        <v>10.577674949811007</v>
      </c>
      <c r="C20" s="64" t="s">
        <v>62</v>
      </c>
      <c r="D20" s="65" t="s">
        <v>95</v>
      </c>
    </row>
    <row r="21" spans="1:4" ht="15" customHeight="1">
      <c r="A21" s="49" t="s">
        <v>96</v>
      </c>
      <c r="B21" s="63">
        <f>IF(c_Gate="SÍ",IF(c_L=0,c_M*EXP(c_S*-2),c_M*(1+c_L*c_S*-2)^(1/c_L)),"ND")</f>
        <v>5.7293834056673658</v>
      </c>
      <c r="C21" s="64" t="s">
        <v>62</v>
      </c>
      <c r="D21" s="65" t="s">
        <v>97</v>
      </c>
    </row>
    <row r="22" spans="1:4" ht="15" customHeight="1">
      <c r="A22" s="49" t="s">
        <v>98</v>
      </c>
      <c r="B22" s="63">
        <f>IF(c_Gate="SÍ",IF(c_L=0,c_M*EXP(c_S*-3),c_M*(1+c_L*c_S*-3)^(1/c_L)),"ND")</f>
        <v>5.0851196815867663</v>
      </c>
      <c r="C22" s="64" t="s">
        <v>62</v>
      </c>
      <c r="D22" s="65" t="s">
        <v>99</v>
      </c>
    </row>
    <row r="23" spans="1:4" ht="15" customHeight="1">
      <c r="A23" s="49" t="s">
        <v>100</v>
      </c>
      <c r="B23" s="66">
        <f>IF(ISNUMBER(c_zraw),IF(c_zraw&gt;3,3+(in_Medida-c_SD3p)/(c_SD3p-c_SD2p),IF(c_zraw&lt;-3,-3+(in_Medida-c_SD3n)/(c_SD2n-c_SD3n),c_zraw)),"ND")</f>
        <v>0.33286166510291076</v>
      </c>
      <c r="C23" s="64" t="s">
        <v>90</v>
      </c>
      <c r="D23" s="65" t="s">
        <v>101</v>
      </c>
    </row>
    <row r="24" spans="1:4" ht="15" customHeight="1">
      <c r="A24" s="67" t="s">
        <v>102</v>
      </c>
      <c r="B24" s="68"/>
      <c r="C24" s="68"/>
      <c r="D24" s="68"/>
    </row>
    <row r="25" spans="1:4" ht="15" customHeight="1">
      <c r="A25" s="74" t="s">
        <v>73</v>
      </c>
      <c r="B25" s="69" t="s">
        <v>35</v>
      </c>
      <c r="C25" s="69" t="s">
        <v>36</v>
      </c>
      <c r="D25" s="69" t="s">
        <v>74</v>
      </c>
    </row>
    <row r="26" spans="1:4" ht="15" customHeight="1">
      <c r="A26" s="49" t="s">
        <v>103</v>
      </c>
      <c r="B26" s="70">
        <f>IF(ISNUMBER(c_z),NORMSDIST(c_z),"ND")</f>
        <v>0.63038064615210776</v>
      </c>
      <c r="C26" s="64" t="s">
        <v>41</v>
      </c>
      <c r="D26" s="65" t="s">
        <v>104</v>
      </c>
    </row>
    <row r="27" spans="1:4" ht="15" customHeight="1">
      <c r="A27" s="49" t="s">
        <v>105</v>
      </c>
      <c r="B27" s="71" t="str">
        <f>IF(ISNUMBER(c_z),IF(c_z&gt;Z_LIM,"&gt; 99,9 (fuera de rango)",IF(c_z&lt;-Z_LIM,"&lt; 0,1 (fuera de rango)",TEXT(c_pct,"0.0%"))),"ND")</f>
        <v>63%</v>
      </c>
      <c r="C27" s="64" t="s">
        <v>41</v>
      </c>
      <c r="D27" s="65" t="s">
        <v>106</v>
      </c>
    </row>
    <row r="28" spans="1:4" ht="15" customHeight="1">
      <c r="A28" s="49" t="s">
        <v>107</v>
      </c>
      <c r="B28" s="72" t="str">
        <f>IF(ISNUMBER(c_z),IF(c_z&lt;Z_SEV,"Muy bajo peso para la edad",IF(c_z&lt;Z_DEF,"Bajo peso para la edad",IF(c_z&lt;=Z_SUP1,"Peso adecuado para la edad",IF(c_z&lt;=Z_SUP2,"Peso elevado — evaluar peso/talla e IMC","Peso muy elevado — evaluar peso/talla e IMC")))),"ND")</f>
        <v>Peso adecuado para la edad</v>
      </c>
      <c r="C28" s="64" t="s">
        <v>41</v>
      </c>
      <c r="D28" s="65" t="s">
        <v>108</v>
      </c>
    </row>
    <row r="29" spans="1:4" ht="15" customHeight="1">
      <c r="A29" s="67" t="s">
        <v>109</v>
      </c>
      <c r="B29" s="68"/>
      <c r="C29" s="68"/>
      <c r="D29" s="68"/>
    </row>
    <row r="30" spans="1:4" ht="15" customHeight="1">
      <c r="A30" s="73" t="s">
        <v>73</v>
      </c>
      <c r="B30" s="69" t="s">
        <v>35</v>
      </c>
      <c r="C30" s="69" t="s">
        <v>36</v>
      </c>
      <c r="D30" s="69" t="s">
        <v>74</v>
      </c>
    </row>
    <row r="31" spans="1:4" ht="15" customHeight="1">
      <c r="A31" s="75" t="s">
        <v>110</v>
      </c>
      <c r="B31" s="119" t="str">
        <f>IF(c_InTab="SÍ","—","La edad en meses no está en la tabla LMS incrustada (0–60). Pegue la fila oficial en CONFIG o corrija la edad.")</f>
        <v>—</v>
      </c>
      <c r="C31" s="119"/>
      <c r="D31" s="119"/>
    </row>
    <row r="32" spans="1:4" ht="15" customHeight="1">
      <c r="A32" s="75" t="s">
        <v>111</v>
      </c>
      <c r="B32" s="119" t="str">
        <f>IF(OR(c_Gate="SÍ",c_InTab="NO"),"—","Revise la medida o la edad: el cálculo está bloqueado.")</f>
        <v>—</v>
      </c>
      <c r="C32" s="119"/>
      <c r="D32" s="119"/>
    </row>
    <row r="33" spans="1:4" ht="15" customHeight="1">
      <c r="A33" s="75" t="s">
        <v>112</v>
      </c>
      <c r="B33" s="119" t="str">
        <f>IF(ISNUMBER(c_z),IF(OR(c_z&lt;BIV_MIN,c_z&gt;BIV_MAX),"z fuera del rango plausible de la OMS (BIV): verifique la medición y la edad.","—"),"—")</f>
        <v>—</v>
      </c>
      <c r="C33" s="119"/>
      <c r="D33" s="119"/>
    </row>
    <row r="34" spans="1:4" ht="15" customHeight="1">
      <c r="A34" s="75" t="s">
        <v>113</v>
      </c>
      <c r="B34" s="119" t="str">
        <f>IF(ISNUMBER(c_z),IF(ABS(c_z)&gt;Z_LIM,"El percentil no se define para |z|&gt;3; use el z-score y las líneas de ±SD para interpretar.","—"),"—")</f>
        <v>—</v>
      </c>
      <c r="C34" s="119"/>
      <c r="D34" s="119"/>
    </row>
    <row r="35" spans="1:4" ht="15" customHeight="1">
      <c r="A35" s="75" t="s">
        <v>114</v>
      </c>
      <c r="B35" s="119" t="str">
        <f>IF(ISNUMBER(c_z),IF(c_z&gt;Z_SUP1,"El peso para la edad no distingue exceso de grasa: confirme con peso/talla e IMC para la edad.","—"),"—")</f>
        <v>—</v>
      </c>
      <c r="C35" s="119"/>
      <c r="D35" s="119"/>
    </row>
    <row r="36" spans="1:4" ht="23.25" customHeight="1">
      <c r="A36" s="75" t="s">
        <v>115</v>
      </c>
      <c r="B36" s="119" t="str">
        <f>"Exactitud matemática ≠ validación clínica. El percentil describe la posición en la referencia OMS; no reemplaza la evaluación pediátrica ni el seguimiento del canal de crecimiento."</f>
        <v>Exactitud matemática ≠ validación clínica. El percentil describe la posición en la referencia OMS; no reemplaza la evaluación pediátrica ni el seguimiento del canal de crecimiento.</v>
      </c>
      <c r="C36" s="119"/>
      <c r="D36" s="119"/>
    </row>
  </sheetData>
  <sheetProtection algorithmName="SHA-512" hashValue="WAltJJCAFLHrgKoQaExC+hGjrcHMK5C7U9Kqq1RBwNfaYdc06zpHlMQiC64BXHPq+ymNM881qWxvZd+LYlHY0g==" saltValue="1e41nuQAt6wDB+QpCKa+qw==" spinCount="100000" sheet="1" objects="1" scenarios="1"/>
  <mergeCells count="10">
    <mergeCell ref="B3:D3"/>
    <mergeCell ref="A1:E1"/>
    <mergeCell ref="A2:E2"/>
    <mergeCell ref="B35:D35"/>
    <mergeCell ref="B36:D36"/>
    <mergeCell ref="A4:D4"/>
    <mergeCell ref="B31:D31"/>
    <mergeCell ref="B32:D32"/>
    <mergeCell ref="B33:D33"/>
    <mergeCell ref="B34:D3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C6B72"/>
  </sheetPr>
  <dimension ref="A1:H41"/>
  <sheetViews>
    <sheetView showGridLines="0" topLeftCell="A21" zoomScaleNormal="100" workbookViewId="0">
      <selection activeCell="C49" sqref="C49"/>
    </sheetView>
  </sheetViews>
  <sheetFormatPr baseColWidth="10" defaultColWidth="8.7109375" defaultRowHeight="15"/>
  <cols>
    <col min="1" max="1" width="34" style="1" customWidth="1"/>
    <col min="2" max="2" width="22" style="1" customWidth="1"/>
    <col min="3" max="3" width="16" style="1" customWidth="1"/>
    <col min="4" max="4" width="18" style="1" customWidth="1"/>
    <col min="5" max="6" width="16" style="1" customWidth="1"/>
  </cols>
  <sheetData>
    <row r="1" spans="1:8" ht="25.5" customHeight="1">
      <c r="A1" s="112" t="s">
        <v>0</v>
      </c>
      <c r="B1" s="112"/>
      <c r="C1" s="112"/>
      <c r="D1" s="112"/>
      <c r="E1" s="112"/>
      <c r="F1" s="112"/>
      <c r="G1" s="112"/>
      <c r="H1" s="112"/>
    </row>
    <row r="2" spans="1:8" ht="15" customHeight="1">
      <c r="A2" s="113" t="s">
        <v>116</v>
      </c>
      <c r="B2" s="113"/>
      <c r="C2" s="113"/>
      <c r="D2" s="113"/>
      <c r="E2" s="113"/>
      <c r="F2" s="113"/>
      <c r="G2" s="113"/>
      <c r="H2" s="113"/>
    </row>
    <row r="3" spans="1:8" ht="15" customHeight="1">
      <c r="A3" s="82" t="str">
        <f>HYPERLINK("#DATOS!A1","◀ DATOS")</f>
        <v>◀ DATOS</v>
      </c>
      <c r="B3" s="116" t="str">
        <f>HYPERLINK("#CALCULOS!A1","▶  CALCULOS")</f>
        <v>▶  CALCULOS</v>
      </c>
      <c r="C3" s="118"/>
      <c r="D3" s="117"/>
      <c r="E3" s="116" t="str">
        <f>HYPERLINK("#FUENTES!A1","▶  FUENTES")</f>
        <v>▶  FUENTES</v>
      </c>
      <c r="F3" s="117"/>
    </row>
    <row r="5" spans="1:8" ht="15" customHeight="1">
      <c r="A5" s="67" t="s">
        <v>117</v>
      </c>
      <c r="B5" s="68"/>
      <c r="C5" s="68"/>
      <c r="D5" s="68"/>
      <c r="E5" s="68"/>
      <c r="F5" s="68"/>
    </row>
    <row r="6" spans="1:8" ht="15" customHeight="1">
      <c r="A6" s="62" t="s">
        <v>118</v>
      </c>
      <c r="B6" s="124" t="str">
        <f>in_ID</f>
        <v>NMX-2026-0009</v>
      </c>
      <c r="C6" s="124"/>
      <c r="D6" s="124"/>
      <c r="E6" s="124"/>
      <c r="F6" s="124"/>
    </row>
    <row r="7" spans="1:8" ht="15" customHeight="1">
      <c r="A7" s="62" t="s">
        <v>6</v>
      </c>
      <c r="B7" s="125">
        <f>in_Fecha</f>
        <v>46217</v>
      </c>
      <c r="C7" s="125"/>
      <c r="D7" s="125"/>
      <c r="E7" s="125"/>
      <c r="F7" s="125"/>
    </row>
    <row r="8" spans="1:8" ht="15" customHeight="1">
      <c r="A8" s="62" t="s">
        <v>119</v>
      </c>
      <c r="B8" s="124" t="str">
        <f>in_Pac</f>
        <v>PAC-0091</v>
      </c>
      <c r="C8" s="124"/>
      <c r="D8" s="124"/>
      <c r="E8" s="124"/>
      <c r="F8" s="124"/>
    </row>
    <row r="9" spans="1:8" ht="15" customHeight="1">
      <c r="A9" s="62" t="s">
        <v>65</v>
      </c>
      <c r="B9" s="124" t="str">
        <f>in_Eval</f>
        <v>EVAL-01</v>
      </c>
      <c r="C9" s="124"/>
      <c r="D9" s="124"/>
      <c r="E9" s="124"/>
      <c r="F9" s="124"/>
    </row>
    <row r="10" spans="1:8" ht="15" customHeight="1">
      <c r="A10" s="62" t="s">
        <v>49</v>
      </c>
      <c r="B10" s="124" t="str">
        <f>in_Sexo</f>
        <v>Niña</v>
      </c>
      <c r="C10" s="124"/>
      <c r="D10" s="124"/>
      <c r="E10" s="124"/>
      <c r="F10" s="124"/>
    </row>
    <row r="11" spans="1:8" ht="15" customHeight="1">
      <c r="A11" s="62" t="s">
        <v>53</v>
      </c>
      <c r="B11" s="124" t="str">
        <f>in_Indicador</f>
        <v>Peso para la edad</v>
      </c>
      <c r="C11" s="124"/>
      <c r="D11" s="124"/>
      <c r="E11" s="124"/>
      <c r="F11" s="124"/>
    </row>
    <row r="12" spans="1:8" ht="15" customHeight="1">
      <c r="A12" s="62" t="s">
        <v>120</v>
      </c>
      <c r="B12" s="124" t="str">
        <f>IF(ISNUMBER(in_EdadMeses),in_EdadMeses&amp;" meses","(?)")&amp;" · "&amp;IF(ISNUMBER(in_Medida),ROUND(in_Medida,2)&amp;" kg","(?)")</f>
        <v>6 meses · 7,6 kg</v>
      </c>
      <c r="C12" s="124"/>
      <c r="D12" s="124"/>
      <c r="E12" s="124"/>
      <c r="F12" s="124"/>
    </row>
    <row r="13" spans="1:8" ht="15" customHeight="1">
      <c r="A13" s="62" t="s">
        <v>121</v>
      </c>
      <c r="B13" s="124" t="str">
        <f>IF(c_Gate="SÍ","HABILITADO","BLOQUEADO — revise edad/medida")</f>
        <v>HABILITADO</v>
      </c>
      <c r="C13" s="124"/>
      <c r="D13" s="124"/>
      <c r="E13" s="124"/>
      <c r="F13" s="124"/>
    </row>
    <row r="14" spans="1:8">
      <c r="A14" s="56"/>
      <c r="B14" s="56"/>
      <c r="C14" s="56"/>
      <c r="D14" s="56"/>
      <c r="E14" s="56"/>
      <c r="F14" s="56"/>
    </row>
    <row r="15" spans="1:8" ht="15" customHeight="1">
      <c r="A15" s="67" t="s">
        <v>122</v>
      </c>
      <c r="B15" s="68"/>
      <c r="C15" s="68"/>
      <c r="D15" s="68"/>
      <c r="E15" s="68"/>
      <c r="F15" s="68"/>
    </row>
    <row r="16" spans="1:8" ht="15" customHeight="1">
      <c r="A16" s="76" t="s">
        <v>123</v>
      </c>
      <c r="B16" s="77">
        <f>c_z</f>
        <v>0.33286166510291076</v>
      </c>
      <c r="C16" s="123"/>
      <c r="D16" s="123"/>
      <c r="E16" s="123"/>
      <c r="F16" s="123"/>
    </row>
    <row r="17" spans="1:6" ht="15" customHeight="1">
      <c r="A17" s="76" t="s">
        <v>103</v>
      </c>
      <c r="B17" s="78" t="str">
        <f>c_pctTxt</f>
        <v>63%</v>
      </c>
      <c r="C17" s="123"/>
      <c r="D17" s="123"/>
      <c r="E17" s="123"/>
      <c r="F17" s="123"/>
    </row>
    <row r="18" spans="1:6" ht="15" customHeight="1">
      <c r="A18" s="76" t="s">
        <v>124</v>
      </c>
      <c r="B18" s="78" t="str">
        <f>c_Clase</f>
        <v>Peso adecuado para la edad</v>
      </c>
      <c r="C18" s="123"/>
      <c r="D18" s="123"/>
      <c r="E18" s="123"/>
      <c r="F18" s="123"/>
    </row>
    <row r="19" spans="1:6" ht="15" customHeight="1">
      <c r="A19" s="62" t="s">
        <v>125</v>
      </c>
      <c r="B19" s="79">
        <f>c_M</f>
        <v>7.2969999999999997</v>
      </c>
      <c r="C19" s="122" t="s">
        <v>62</v>
      </c>
      <c r="D19" s="122"/>
      <c r="E19" s="122"/>
      <c r="F19" s="122"/>
    </row>
    <row r="20" spans="1:6" ht="15" customHeight="1">
      <c r="A20" s="62" t="s">
        <v>126</v>
      </c>
      <c r="B20" s="71" t="str">
        <f>IF(ISNUMBER(c_L),TEXT(c_L,"0.0000")&amp;" / "&amp;TEXT(c_S,"0.00000"),"ND")</f>
        <v>00.000 / 000.000</v>
      </c>
      <c r="C20" s="123"/>
      <c r="D20" s="123"/>
      <c r="E20" s="123"/>
      <c r="F20" s="123"/>
    </row>
    <row r="21" spans="1:6">
      <c r="A21" s="56"/>
      <c r="B21" s="56"/>
      <c r="C21" s="56"/>
      <c r="D21" s="56"/>
      <c r="E21" s="56"/>
      <c r="F21" s="56"/>
    </row>
    <row r="22" spans="1:6" ht="15" customHeight="1">
      <c r="A22" s="67" t="s">
        <v>127</v>
      </c>
      <c r="B22" s="68"/>
      <c r="C22" s="68"/>
      <c r="D22" s="68"/>
      <c r="E22" s="68"/>
      <c r="F22" s="68"/>
    </row>
    <row r="23" spans="1:6" ht="15" customHeight="1">
      <c r="A23" s="69" t="s">
        <v>128</v>
      </c>
      <c r="B23" s="69" t="s">
        <v>129</v>
      </c>
      <c r="C23" s="56"/>
      <c r="D23" s="56"/>
      <c r="E23" s="56"/>
      <c r="F23" s="56"/>
    </row>
    <row r="24" spans="1:6" ht="15" customHeight="1">
      <c r="A24" s="62" t="s">
        <v>130</v>
      </c>
      <c r="B24" s="80">
        <f>IF(ISNUMBER(c_SD3n),c_SD3n,0)</f>
        <v>5.0851196815867663</v>
      </c>
      <c r="C24" s="56"/>
      <c r="D24" s="56"/>
      <c r="E24" s="56"/>
      <c r="F24" s="56"/>
    </row>
    <row r="25" spans="1:6" ht="15" customHeight="1">
      <c r="A25" s="62" t="s">
        <v>131</v>
      </c>
      <c r="B25" s="80">
        <f>IF(ISNUMBER(c_SD2n),c_SD2n,0)</f>
        <v>5.7293834056673658</v>
      </c>
      <c r="C25" s="56"/>
      <c r="D25" s="56"/>
      <c r="E25" s="56"/>
      <c r="F25" s="56"/>
    </row>
    <row r="26" spans="1:6" ht="15" customHeight="1">
      <c r="A26" s="62" t="s">
        <v>132</v>
      </c>
      <c r="B26" s="80">
        <f>IF(c_Gate="SÍ",c_M*(1+c_L*c_S*-1)^(1/c_L),0)</f>
        <v>6.4622842214464535</v>
      </c>
      <c r="C26" s="56"/>
      <c r="D26" s="56"/>
      <c r="E26" s="56"/>
      <c r="F26" s="56"/>
    </row>
    <row r="27" spans="1:6" ht="15" customHeight="1">
      <c r="A27" s="62" t="s">
        <v>133</v>
      </c>
      <c r="B27" s="80">
        <f>IF(ISNUMBER(c_M),c_M,0)</f>
        <v>7.2969999999999997</v>
      </c>
      <c r="C27" s="56"/>
      <c r="D27" s="56"/>
      <c r="E27" s="56"/>
      <c r="F27" s="56"/>
    </row>
    <row r="28" spans="1:6" ht="15" customHeight="1">
      <c r="A28" s="62" t="s">
        <v>134</v>
      </c>
      <c r="B28" s="80">
        <f>IF(c_Gate="SÍ",c_M*(1+c_L*c_S*1)^(1/c_L),0)</f>
        <v>8.24881683336198</v>
      </c>
      <c r="C28" s="56"/>
      <c r="D28" s="56"/>
      <c r="E28" s="56"/>
      <c r="F28" s="56"/>
    </row>
    <row r="29" spans="1:6" ht="15" customHeight="1">
      <c r="A29" s="62" t="s">
        <v>135</v>
      </c>
      <c r="B29" s="80">
        <f>IF(ISNUMBER(c_SD2p),c_SD2p,0)</f>
        <v>9.3354906247679423</v>
      </c>
      <c r="C29" s="56"/>
      <c r="D29" s="56"/>
      <c r="E29" s="56"/>
      <c r="F29" s="56"/>
    </row>
    <row r="30" spans="1:6" ht="15" customHeight="1">
      <c r="A30" s="62" t="s">
        <v>136</v>
      </c>
      <c r="B30" s="80">
        <f>IF(ISNUMBER(c_SD3p),c_SD3p,0)</f>
        <v>10.577674949811007</v>
      </c>
      <c r="C30" s="56"/>
      <c r="D30" s="56"/>
      <c r="E30" s="56"/>
      <c r="F30" s="56"/>
    </row>
    <row r="31" spans="1:6" ht="15" customHeight="1">
      <c r="A31" s="76" t="s">
        <v>137</v>
      </c>
      <c r="B31" s="81">
        <f>IF(ISNUMBER(in_Medida),in_Medida,0)</f>
        <v>7.6</v>
      </c>
      <c r="C31" s="56"/>
      <c r="D31" s="56"/>
      <c r="E31" s="56"/>
      <c r="F31" s="56"/>
    </row>
    <row r="32" spans="1:6">
      <c r="A32" s="56"/>
      <c r="B32" s="56"/>
      <c r="C32" s="56"/>
      <c r="D32" s="56"/>
      <c r="E32" s="56"/>
      <c r="F32" s="56"/>
    </row>
    <row r="33" spans="1:6" ht="15" customHeight="1">
      <c r="A33" s="67" t="s">
        <v>138</v>
      </c>
      <c r="B33" s="68"/>
      <c r="C33" s="68"/>
      <c r="D33" s="68"/>
      <c r="E33" s="68"/>
      <c r="F33" s="68"/>
    </row>
    <row r="34" spans="1:6" ht="15" customHeight="1">
      <c r="A34" s="62" t="s">
        <v>139</v>
      </c>
      <c r="B34" s="119" t="str">
        <f>CALCULOS!B31</f>
        <v>—</v>
      </c>
      <c r="C34" s="119"/>
      <c r="D34" s="119"/>
      <c r="E34" s="119"/>
      <c r="F34" s="119"/>
    </row>
    <row r="35" spans="1:6" ht="15" customHeight="1">
      <c r="A35" s="62" t="s">
        <v>111</v>
      </c>
      <c r="B35" s="119" t="str">
        <f>CALCULOS!B32</f>
        <v>—</v>
      </c>
      <c r="C35" s="119"/>
      <c r="D35" s="119"/>
      <c r="E35" s="119"/>
      <c r="F35" s="119"/>
    </row>
    <row r="36" spans="1:6" ht="15" customHeight="1">
      <c r="A36" s="62" t="s">
        <v>140</v>
      </c>
      <c r="B36" s="119" t="str">
        <f>CALCULOS!B33</f>
        <v>—</v>
      </c>
      <c r="C36" s="119"/>
      <c r="D36" s="119"/>
      <c r="E36" s="119"/>
      <c r="F36" s="119"/>
    </row>
    <row r="37" spans="1:6" ht="15" customHeight="1">
      <c r="A37" s="62" t="s">
        <v>141</v>
      </c>
      <c r="B37" s="119" t="str">
        <f>CALCULOS!B34</f>
        <v>—</v>
      </c>
      <c r="C37" s="119"/>
      <c r="D37" s="119"/>
      <c r="E37" s="119"/>
      <c r="F37" s="119"/>
    </row>
    <row r="38" spans="1:6" ht="15" customHeight="1">
      <c r="A38" s="62" t="s">
        <v>142</v>
      </c>
      <c r="B38" s="119" t="str">
        <f>CALCULOS!B35</f>
        <v>—</v>
      </c>
      <c r="C38" s="119"/>
      <c r="D38" s="119"/>
      <c r="E38" s="119"/>
      <c r="F38" s="119"/>
    </row>
    <row r="39" spans="1:6" ht="23.25" customHeight="1">
      <c r="A39" s="62" t="s">
        <v>143</v>
      </c>
      <c r="B39" s="119" t="str">
        <f>CALCULOS!B36</f>
        <v>Exactitud matemática ≠ validación clínica. El percentil describe la posición en la referencia OMS; no reemplaza la evaluación pediátrica ni el seguimiento del canal de crecimiento.</v>
      </c>
      <c r="C39" s="119"/>
      <c r="D39" s="119"/>
      <c r="E39" s="119"/>
      <c r="F39" s="119"/>
    </row>
    <row r="40" spans="1:6">
      <c r="A40" s="56"/>
      <c r="B40" s="56"/>
      <c r="C40" s="56"/>
      <c r="D40" s="56"/>
      <c r="E40" s="56"/>
      <c r="F40" s="56"/>
    </row>
    <row r="41" spans="1:6" ht="43.5" customHeight="1">
      <c r="A41" s="121" t="s">
        <v>144</v>
      </c>
      <c r="B41" s="121"/>
      <c r="C41" s="121"/>
      <c r="D41" s="121"/>
      <c r="E41" s="121"/>
      <c r="F41" s="121"/>
    </row>
  </sheetData>
  <sheetProtection algorithmName="SHA-512" hashValue="wPKMRzV6KlKDzeBo4PnFOGYQ50j4lbU229nTDhVOulGIYqD4KCI1dqBvI5ZADGB+J7Uyuuk56qfqbZuDaxgLqw==" saltValue="SBEkecMdXhhGOkiGF8mpiw==" spinCount="100000" sheet="1" objects="1" scenarios="1"/>
  <mergeCells count="24">
    <mergeCell ref="A1:H1"/>
    <mergeCell ref="E3:F3"/>
    <mergeCell ref="B3:D3"/>
    <mergeCell ref="A2:H2"/>
    <mergeCell ref="B6:F6"/>
    <mergeCell ref="B7:F7"/>
    <mergeCell ref="B8:F8"/>
    <mergeCell ref="B9:F9"/>
    <mergeCell ref="B10:F10"/>
    <mergeCell ref="B11:F11"/>
    <mergeCell ref="B12:F12"/>
    <mergeCell ref="B13:F13"/>
    <mergeCell ref="C16:F16"/>
    <mergeCell ref="C17:F17"/>
    <mergeCell ref="C18:F18"/>
    <mergeCell ref="B37:F37"/>
    <mergeCell ref="B38:F38"/>
    <mergeCell ref="B39:F39"/>
    <mergeCell ref="A41:F41"/>
    <mergeCell ref="C19:F19"/>
    <mergeCell ref="C20:F20"/>
    <mergeCell ref="B34:F34"/>
    <mergeCell ref="B35:F35"/>
    <mergeCell ref="B36:F3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A6B70"/>
  </sheetPr>
  <dimension ref="A1:K12"/>
  <sheetViews>
    <sheetView showGridLines="0" zoomScaleNormal="100" workbookViewId="0">
      <pane ySplit="5" topLeftCell="A6" activePane="bottomLeft" state="frozen"/>
      <selection activeCell="L21" sqref="L21"/>
      <selection pane="bottomLeft" activeCell="A4" sqref="A4:D4"/>
    </sheetView>
  </sheetViews>
  <sheetFormatPr baseColWidth="10" defaultColWidth="8.7109375" defaultRowHeight="15"/>
  <cols>
    <col min="1" max="1" width="26" style="1" customWidth="1"/>
    <col min="2" max="2" width="30" style="1" customWidth="1"/>
    <col min="3" max="3" width="10" style="1" customWidth="1"/>
    <col min="4" max="4" width="30" style="1" customWidth="1"/>
    <col min="5" max="5" width="34" style="1" customWidth="1"/>
    <col min="6" max="6" width="12" style="1" customWidth="1"/>
    <col min="7" max="7" width="34" style="1" customWidth="1"/>
    <col min="8" max="8" width="24" style="1" customWidth="1"/>
    <col min="9" max="9" width="12" style="1" customWidth="1"/>
    <col min="10" max="10" width="30" style="1" customWidth="1"/>
    <col min="11" max="11" width="8" style="1" customWidth="1"/>
  </cols>
  <sheetData>
    <row r="1" spans="1:11" ht="25.5" customHeight="1">
      <c r="A1" s="112" t="s">
        <v>0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</row>
    <row r="2" spans="1:11" ht="15" customHeight="1">
      <c r="A2" s="113" t="s">
        <v>145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</row>
    <row r="3" spans="1:11" ht="33.75" customHeight="1">
      <c r="A3" s="120" t="s">
        <v>146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</row>
    <row r="4" spans="1:11" ht="15" customHeight="1">
      <c r="A4" s="126" t="str">
        <f>HYPERLINK("#INICIO!A1","◀ INICIO")</f>
        <v>◀ INICIO</v>
      </c>
      <c r="B4" s="127"/>
      <c r="C4" s="127"/>
      <c r="D4" s="127"/>
    </row>
    <row r="5" spans="1:11" ht="15" customHeight="1">
      <c r="A5" s="18" t="s">
        <v>147</v>
      </c>
      <c r="B5" s="18" t="s">
        <v>148</v>
      </c>
      <c r="C5" s="18" t="s">
        <v>149</v>
      </c>
      <c r="D5" s="18" t="s">
        <v>150</v>
      </c>
      <c r="E5" s="18" t="s">
        <v>151</v>
      </c>
      <c r="F5" s="18" t="s">
        <v>152</v>
      </c>
      <c r="G5" s="18" t="s">
        <v>153</v>
      </c>
      <c r="H5" s="18" t="s">
        <v>154</v>
      </c>
      <c r="I5" s="18" t="s">
        <v>155</v>
      </c>
      <c r="J5" s="18" t="s">
        <v>156</v>
      </c>
      <c r="K5" s="18" t="s">
        <v>157</v>
      </c>
    </row>
    <row r="6" spans="1:11" ht="57.75" customHeight="1">
      <c r="A6" s="19" t="s">
        <v>158</v>
      </c>
      <c r="B6" s="19" t="s">
        <v>159</v>
      </c>
      <c r="C6" s="19" t="s">
        <v>160</v>
      </c>
      <c r="D6" s="19" t="s">
        <v>161</v>
      </c>
      <c r="E6" s="19" t="s">
        <v>162</v>
      </c>
      <c r="F6" s="19" t="s">
        <v>163</v>
      </c>
      <c r="G6" s="19" t="s">
        <v>164</v>
      </c>
      <c r="H6" s="19" t="s">
        <v>165</v>
      </c>
      <c r="I6" s="19" t="s">
        <v>166</v>
      </c>
      <c r="J6" s="19" t="s">
        <v>167</v>
      </c>
      <c r="K6" s="20" t="s">
        <v>168</v>
      </c>
    </row>
    <row r="7" spans="1:11" ht="57.75" customHeight="1">
      <c r="A7" s="19" t="s">
        <v>169</v>
      </c>
      <c r="B7" s="19" t="s">
        <v>170</v>
      </c>
      <c r="C7" s="19" t="s">
        <v>171</v>
      </c>
      <c r="D7" s="19" t="s">
        <v>172</v>
      </c>
      <c r="E7" s="19" t="s">
        <v>173</v>
      </c>
      <c r="F7" s="19" t="s">
        <v>174</v>
      </c>
      <c r="G7" s="19" t="s">
        <v>175</v>
      </c>
      <c r="H7" s="19" t="s">
        <v>176</v>
      </c>
      <c r="I7" s="19" t="s">
        <v>166</v>
      </c>
      <c r="J7" s="19" t="s">
        <v>177</v>
      </c>
      <c r="K7" s="20" t="s">
        <v>178</v>
      </c>
    </row>
    <row r="8" spans="1:11" ht="57.75" customHeight="1">
      <c r="A8" s="19" t="s">
        <v>179</v>
      </c>
      <c r="B8" s="19" t="s">
        <v>180</v>
      </c>
      <c r="C8" s="19" t="s">
        <v>181</v>
      </c>
      <c r="D8" s="19" t="s">
        <v>182</v>
      </c>
      <c r="E8" s="19" t="s">
        <v>183</v>
      </c>
      <c r="F8" s="19" t="s">
        <v>184</v>
      </c>
      <c r="G8" s="19" t="s">
        <v>185</v>
      </c>
      <c r="H8" s="19" t="s">
        <v>186</v>
      </c>
      <c r="I8" s="19" t="s">
        <v>166</v>
      </c>
      <c r="J8" s="19" t="s">
        <v>187</v>
      </c>
      <c r="K8" s="20" t="s">
        <v>168</v>
      </c>
    </row>
    <row r="9" spans="1:11" ht="57.75" customHeight="1">
      <c r="A9" s="19" t="s">
        <v>188</v>
      </c>
      <c r="B9" s="19" t="s">
        <v>189</v>
      </c>
      <c r="C9" s="19" t="s">
        <v>190</v>
      </c>
      <c r="D9" s="19" t="s">
        <v>191</v>
      </c>
      <c r="E9" s="19" t="s">
        <v>192</v>
      </c>
      <c r="F9" s="19" t="s">
        <v>41</v>
      </c>
      <c r="G9" s="19" t="s">
        <v>193</v>
      </c>
      <c r="H9" s="19" t="s">
        <v>194</v>
      </c>
      <c r="I9" s="19" t="s">
        <v>166</v>
      </c>
      <c r="J9" s="19" t="s">
        <v>195</v>
      </c>
      <c r="K9" s="20" t="s">
        <v>168</v>
      </c>
    </row>
    <row r="10" spans="1:11" ht="57.75" customHeight="1">
      <c r="A10" s="19" t="s">
        <v>196</v>
      </c>
      <c r="B10" s="19" t="s">
        <v>197</v>
      </c>
      <c r="C10" s="19" t="s">
        <v>198</v>
      </c>
      <c r="D10" s="19" t="s">
        <v>199</v>
      </c>
      <c r="E10" s="19" t="s">
        <v>200</v>
      </c>
      <c r="F10" s="19" t="s">
        <v>90</v>
      </c>
      <c r="G10" s="19" t="s">
        <v>201</v>
      </c>
      <c r="H10" s="19" t="s">
        <v>202</v>
      </c>
      <c r="I10" s="19" t="s">
        <v>166</v>
      </c>
      <c r="J10" s="19" t="s">
        <v>203</v>
      </c>
      <c r="K10" s="20" t="s">
        <v>168</v>
      </c>
    </row>
    <row r="12" spans="1:11" ht="33.75" customHeight="1">
      <c r="A12" s="120" t="s">
        <v>204</v>
      </c>
      <c r="B12" s="120"/>
      <c r="C12" s="120"/>
      <c r="D12" s="120"/>
      <c r="E12" s="120"/>
      <c r="F12" s="120"/>
      <c r="G12" s="120"/>
      <c r="H12" s="120"/>
      <c r="I12" s="120"/>
      <c r="J12" s="120"/>
      <c r="K12" s="120"/>
    </row>
  </sheetData>
  <sheetProtection algorithmName="SHA-512" hashValue="ilcJubX5Gc3fHB35jFf4/2tC2TVIUJ7Xf5JaLqTvddMypchZwglhH+mX8++AdbsnGJ7x4AkbaP8JfRyg90zagA==" saltValue="T0OcpAg+cLK82wYZSrXzfA==" spinCount="100000" sheet="1" objects="1" scenarios="1"/>
  <mergeCells count="5">
    <mergeCell ref="A3:K3"/>
    <mergeCell ref="A12:K12"/>
    <mergeCell ref="A4:D4"/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A6B70"/>
  </sheetPr>
  <dimension ref="A1:M77"/>
  <sheetViews>
    <sheetView showGridLines="0" tabSelected="1" zoomScaleNormal="100" workbookViewId="0">
      <pane ySplit="5" topLeftCell="A6" activePane="bottomLeft" state="frozen"/>
      <selection activeCell="L21" sqref="L21"/>
      <selection pane="bottomLeft" activeCell="A4" sqref="A4:E4"/>
    </sheetView>
  </sheetViews>
  <sheetFormatPr baseColWidth="10" defaultColWidth="8.7109375" defaultRowHeight="15"/>
  <cols>
    <col min="1" max="1" width="6" style="1" customWidth="1"/>
    <col min="2" max="2" width="34" style="1" customWidth="1"/>
    <col min="3" max="5" width="9" style="1" customWidth="1"/>
    <col min="6" max="6" width="10" style="1" customWidth="1"/>
    <col min="7" max="8" width="12" style="1" customWidth="1"/>
    <col min="9" max="9" width="10" style="1" customWidth="1"/>
    <col min="10" max="12" width="11" style="1" customWidth="1"/>
    <col min="13" max="13" width="10" style="1" customWidth="1"/>
  </cols>
  <sheetData>
    <row r="1" spans="1:13" ht="25.5" customHeight="1">
      <c r="A1" s="129" t="s">
        <v>0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1"/>
    </row>
    <row r="2" spans="1:13" ht="15" customHeight="1">
      <c r="A2" s="132" t="s">
        <v>205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4"/>
    </row>
    <row r="3" spans="1:13" ht="33.75" customHeight="1">
      <c r="A3" s="120" t="s">
        <v>206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</row>
    <row r="4" spans="1:13" ht="15" customHeight="1">
      <c r="A4" s="116" t="str">
        <f>HYPERLINK("#INICIO!A1","◀ INICIO")</f>
        <v>◀ INICIO</v>
      </c>
      <c r="B4" s="118"/>
      <c r="C4" s="118"/>
      <c r="D4" s="118"/>
      <c r="E4" s="118"/>
    </row>
    <row r="6" spans="1:13" ht="15" customHeight="1">
      <c r="A6" s="5" t="s">
        <v>207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</row>
    <row r="7" spans="1:13" ht="15" customHeight="1">
      <c r="A7" s="22" t="s">
        <v>208</v>
      </c>
      <c r="B7" s="22" t="s">
        <v>209</v>
      </c>
      <c r="C7" s="22" t="s">
        <v>210</v>
      </c>
      <c r="D7" s="22" t="s">
        <v>211</v>
      </c>
      <c r="E7" s="22" t="s">
        <v>212</v>
      </c>
      <c r="F7" s="22" t="s">
        <v>213</v>
      </c>
      <c r="G7" s="22" t="s">
        <v>214</v>
      </c>
      <c r="H7" s="22" t="s">
        <v>215</v>
      </c>
      <c r="I7" s="22" t="s">
        <v>216</v>
      </c>
      <c r="J7" s="22" t="s">
        <v>217</v>
      </c>
      <c r="K7" s="22"/>
      <c r="L7" s="22"/>
      <c r="M7" s="22"/>
    </row>
    <row r="8" spans="1:13" ht="15" customHeight="1">
      <c r="A8" s="23" t="s">
        <v>218</v>
      </c>
      <c r="B8" s="24" t="s">
        <v>219</v>
      </c>
      <c r="C8" s="25">
        <v>-7.5600000000000001E-2</v>
      </c>
      <c r="D8" s="25">
        <v>7.2969999999999997</v>
      </c>
      <c r="E8" s="26">
        <v>0.12204</v>
      </c>
      <c r="F8" s="27">
        <v>7.2969999999999997</v>
      </c>
      <c r="G8" s="13">
        <f t="shared" ref="G8:G13" si="0">IF(C8=0,LN(F8/D8)/E8,((F8/D8)^C8-1)/(C8*E8))</f>
        <v>0</v>
      </c>
      <c r="H8" s="25">
        <v>0</v>
      </c>
      <c r="I8" s="14">
        <f t="shared" ref="I8:I13" si="1">G8-H8</f>
        <v>0</v>
      </c>
      <c r="J8" s="28" t="str">
        <f t="shared" ref="J8:J13" si="2">IF(ABS(I8)&lt;=TOL_Z,"APROBADO","FALLIDO")</f>
        <v>APROBADO</v>
      </c>
      <c r="K8" s="3"/>
      <c r="L8" s="3"/>
      <c r="M8" s="3"/>
    </row>
    <row r="9" spans="1:13" ht="15" customHeight="1">
      <c r="A9" s="23" t="s">
        <v>220</v>
      </c>
      <c r="B9" s="24" t="s">
        <v>221</v>
      </c>
      <c r="C9" s="25">
        <v>-7.5600000000000001E-2</v>
      </c>
      <c r="D9" s="25">
        <v>7.2969999999999997</v>
      </c>
      <c r="E9" s="26">
        <v>0.12204</v>
      </c>
      <c r="F9" s="27">
        <v>7.6</v>
      </c>
      <c r="G9" s="13">
        <f t="shared" si="0"/>
        <v>0.33286166510291076</v>
      </c>
      <c r="H9" s="25">
        <v>0.33286199999999999</v>
      </c>
      <c r="I9" s="14">
        <f t="shared" si="1"/>
        <v>-3.3489708922695982E-7</v>
      </c>
      <c r="J9" s="28" t="str">
        <f t="shared" si="2"/>
        <v>APROBADO</v>
      </c>
      <c r="K9" s="3"/>
      <c r="L9" s="3"/>
      <c r="M9" s="3"/>
    </row>
    <row r="10" spans="1:13" ht="15" customHeight="1">
      <c r="A10" s="23" t="s">
        <v>222</v>
      </c>
      <c r="B10" s="24" t="s">
        <v>223</v>
      </c>
      <c r="C10" s="25">
        <v>0.34870000000000001</v>
      </c>
      <c r="D10" s="25">
        <v>3.3464</v>
      </c>
      <c r="E10" s="26">
        <v>0.14602000000000001</v>
      </c>
      <c r="F10" s="27">
        <v>3.3464</v>
      </c>
      <c r="G10" s="13">
        <f t="shared" si="0"/>
        <v>0</v>
      </c>
      <c r="H10" s="25">
        <v>0</v>
      </c>
      <c r="I10" s="14">
        <f t="shared" si="1"/>
        <v>0</v>
      </c>
      <c r="J10" s="28" t="str">
        <f t="shared" si="2"/>
        <v>APROBADO</v>
      </c>
      <c r="K10" s="3"/>
      <c r="L10" s="3"/>
      <c r="M10" s="3"/>
    </row>
    <row r="11" spans="1:13" ht="15" customHeight="1">
      <c r="A11" s="23" t="s">
        <v>224</v>
      </c>
      <c r="B11" s="24" t="s">
        <v>225</v>
      </c>
      <c r="C11" s="25">
        <v>6.4399999999999999E-2</v>
      </c>
      <c r="D11" s="25">
        <v>9.6478999999999999</v>
      </c>
      <c r="E11" s="26">
        <v>0.10925</v>
      </c>
      <c r="F11" s="27">
        <v>10</v>
      </c>
      <c r="G11" s="13">
        <f t="shared" si="0"/>
        <v>0.32847800420720202</v>
      </c>
      <c r="H11" s="25">
        <v>0.32847799999999999</v>
      </c>
      <c r="I11" s="14">
        <f t="shared" si="1"/>
        <v>4.2072020312033942E-9</v>
      </c>
      <c r="J11" s="28" t="str">
        <f t="shared" si="2"/>
        <v>APROBADO</v>
      </c>
      <c r="K11" s="3"/>
      <c r="L11" s="3"/>
      <c r="M11" s="3"/>
    </row>
    <row r="12" spans="1:13" ht="15" customHeight="1">
      <c r="A12" s="23" t="s">
        <v>226</v>
      </c>
      <c r="B12" s="24" t="s">
        <v>227</v>
      </c>
      <c r="C12" s="25">
        <v>-0.29409999999999997</v>
      </c>
      <c r="D12" s="25">
        <v>11.477499999999999</v>
      </c>
      <c r="E12" s="26">
        <v>0.1239</v>
      </c>
      <c r="F12" s="27">
        <v>11</v>
      </c>
      <c r="G12" s="13">
        <f t="shared" si="0"/>
        <v>-0.34511670340895056</v>
      </c>
      <c r="H12" s="25">
        <v>-0.34511700000000001</v>
      </c>
      <c r="I12" s="14">
        <f t="shared" si="1"/>
        <v>2.9659104944235182E-7</v>
      </c>
      <c r="J12" s="28" t="str">
        <f t="shared" si="2"/>
        <v>APROBADO</v>
      </c>
      <c r="K12" s="3"/>
      <c r="L12" s="3"/>
      <c r="M12" s="3"/>
    </row>
    <row r="13" spans="1:13" ht="15" customHeight="1">
      <c r="A13" s="23" t="s">
        <v>228</v>
      </c>
      <c r="B13" s="24" t="s">
        <v>229</v>
      </c>
      <c r="C13" s="25">
        <v>-0.15060000000000001</v>
      </c>
      <c r="D13" s="25">
        <v>18.336600000000001</v>
      </c>
      <c r="E13" s="26">
        <v>0.13517000000000001</v>
      </c>
      <c r="F13" s="27">
        <v>20</v>
      </c>
      <c r="G13" s="13">
        <f t="shared" si="0"/>
        <v>0.63821791354319657</v>
      </c>
      <c r="H13" s="25">
        <v>0.63821799999999995</v>
      </c>
      <c r="I13" s="14">
        <f t="shared" si="1"/>
        <v>-8.6456803383150316E-8</v>
      </c>
      <c r="J13" s="28" t="str">
        <f t="shared" si="2"/>
        <v>APROBADO</v>
      </c>
      <c r="K13" s="3"/>
      <c r="L13" s="3"/>
      <c r="M13" s="3"/>
    </row>
    <row r="15" spans="1:13" ht="15" customHeight="1">
      <c r="A15" s="5" t="s">
        <v>230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</row>
    <row r="16" spans="1:13" ht="21.75" customHeight="1">
      <c r="A16" s="22" t="s">
        <v>208</v>
      </c>
      <c r="B16" s="22" t="s">
        <v>209</v>
      </c>
      <c r="C16" s="22" t="s">
        <v>210</v>
      </c>
      <c r="D16" s="22" t="s">
        <v>211</v>
      </c>
      <c r="E16" s="22" t="s">
        <v>212</v>
      </c>
      <c r="F16" s="22" t="s">
        <v>231</v>
      </c>
      <c r="G16" s="22" t="s">
        <v>214</v>
      </c>
      <c r="H16" s="22" t="s">
        <v>232</v>
      </c>
      <c r="I16" s="22" t="s">
        <v>216</v>
      </c>
      <c r="J16" s="22" t="s">
        <v>217</v>
      </c>
      <c r="K16" s="22"/>
      <c r="L16" s="22"/>
      <c r="M16" s="22"/>
    </row>
    <row r="17" spans="1:13" ht="15" customHeight="1">
      <c r="A17" s="23" t="s">
        <v>233</v>
      </c>
      <c r="B17" s="24" t="s">
        <v>234</v>
      </c>
      <c r="C17" s="25">
        <v>0.34870000000000001</v>
      </c>
      <c r="D17" s="25">
        <v>3.3464</v>
      </c>
      <c r="E17" s="26">
        <v>0.14602000000000001</v>
      </c>
      <c r="F17" s="23">
        <v>-2</v>
      </c>
      <c r="G17" s="17">
        <f t="shared" ref="G17:G22" si="3">IF(C17=0,D17*EXP(E17*F17),D17*(1+C17*E17*F17)^(1/C17))</f>
        <v>2.4593124390190941</v>
      </c>
      <c r="H17" s="29">
        <v>2.5</v>
      </c>
      <c r="I17" s="15">
        <f t="shared" ref="I17:I22" si="4">G17-H17</f>
        <v>-4.0687560980905868E-2</v>
      </c>
      <c r="J17" s="28" t="str">
        <f t="shared" ref="J17:J22" si="5">IF(ABS(I17)&lt;=TOL_KG,"APROBADO","FALLIDO")</f>
        <v>APROBADO</v>
      </c>
      <c r="K17" s="3"/>
      <c r="L17" s="3"/>
      <c r="M17" s="3"/>
    </row>
    <row r="18" spans="1:13" ht="15" customHeight="1">
      <c r="A18" s="23" t="s">
        <v>235</v>
      </c>
      <c r="B18" s="24" t="s">
        <v>236</v>
      </c>
      <c r="C18" s="25">
        <v>0.34870000000000001</v>
      </c>
      <c r="D18" s="25">
        <v>3.3464</v>
      </c>
      <c r="E18" s="26">
        <v>0.14602000000000001</v>
      </c>
      <c r="F18" s="23">
        <v>2</v>
      </c>
      <c r="G18" s="17">
        <f t="shared" si="3"/>
        <v>4.4193538006956192</v>
      </c>
      <c r="H18" s="29">
        <v>4.4000000000000004</v>
      </c>
      <c r="I18" s="15">
        <f t="shared" si="4"/>
        <v>1.9353800695618872E-2</v>
      </c>
      <c r="J18" s="28" t="str">
        <f t="shared" si="5"/>
        <v>APROBADO</v>
      </c>
      <c r="K18" s="3"/>
      <c r="L18" s="3"/>
      <c r="M18" s="3"/>
    </row>
    <row r="19" spans="1:13" ht="15" customHeight="1">
      <c r="A19" s="23" t="s">
        <v>237</v>
      </c>
      <c r="B19" s="24" t="s">
        <v>238</v>
      </c>
      <c r="C19" s="25">
        <v>-7.5600000000000001E-2</v>
      </c>
      <c r="D19" s="25">
        <v>7.2969999999999997</v>
      </c>
      <c r="E19" s="26">
        <v>0.12204</v>
      </c>
      <c r="F19" s="23">
        <v>1</v>
      </c>
      <c r="G19" s="17">
        <f t="shared" si="3"/>
        <v>8.24881683336198</v>
      </c>
      <c r="H19" s="29">
        <v>8.1999999999999993</v>
      </c>
      <c r="I19" s="15">
        <f t="shared" si="4"/>
        <v>4.8816833361980727E-2</v>
      </c>
      <c r="J19" s="28" t="str">
        <f t="shared" si="5"/>
        <v>APROBADO</v>
      </c>
      <c r="K19" s="3"/>
      <c r="L19" s="3"/>
      <c r="M19" s="3"/>
    </row>
    <row r="20" spans="1:13" ht="15" customHeight="1">
      <c r="A20" s="23" t="s">
        <v>239</v>
      </c>
      <c r="B20" s="24" t="s">
        <v>240</v>
      </c>
      <c r="C20" s="25">
        <v>-7.5600000000000001E-2</v>
      </c>
      <c r="D20" s="25">
        <v>7.2969999999999997</v>
      </c>
      <c r="E20" s="26">
        <v>0.12204</v>
      </c>
      <c r="F20" s="23">
        <v>-2</v>
      </c>
      <c r="G20" s="17">
        <f t="shared" si="3"/>
        <v>5.7293834056673658</v>
      </c>
      <c r="H20" s="29">
        <v>5.7</v>
      </c>
      <c r="I20" s="15">
        <f t="shared" si="4"/>
        <v>2.9383405667365636E-2</v>
      </c>
      <c r="J20" s="28" t="str">
        <f t="shared" si="5"/>
        <v>APROBADO</v>
      </c>
      <c r="K20" s="3"/>
      <c r="L20" s="3"/>
      <c r="M20" s="3"/>
    </row>
    <row r="21" spans="1:13" ht="15" customHeight="1">
      <c r="A21" s="23" t="s">
        <v>241</v>
      </c>
      <c r="B21" s="24" t="s">
        <v>242</v>
      </c>
      <c r="C21" s="25">
        <v>-1.37E-2</v>
      </c>
      <c r="D21" s="25">
        <v>12.1515</v>
      </c>
      <c r="E21" s="26">
        <v>0.11426</v>
      </c>
      <c r="F21" s="23">
        <v>3</v>
      </c>
      <c r="G21" s="17">
        <f t="shared" si="3"/>
        <v>17.133575361413573</v>
      </c>
      <c r="H21" s="29">
        <v>17.100000000000001</v>
      </c>
      <c r="I21" s="15">
        <f t="shared" si="4"/>
        <v>3.3575361413571869E-2</v>
      </c>
      <c r="J21" s="28" t="str">
        <f t="shared" si="5"/>
        <v>APROBADO</v>
      </c>
      <c r="K21" s="3"/>
      <c r="L21" s="3"/>
      <c r="M21" s="3"/>
    </row>
    <row r="22" spans="1:13" ht="15" customHeight="1">
      <c r="A22" s="23" t="s">
        <v>243</v>
      </c>
      <c r="B22" s="24" t="s">
        <v>244</v>
      </c>
      <c r="C22" s="25">
        <v>-0.3518</v>
      </c>
      <c r="D22" s="25">
        <v>18.2193</v>
      </c>
      <c r="E22" s="26">
        <v>0.14821000000000001</v>
      </c>
      <c r="F22" s="23">
        <v>-3</v>
      </c>
      <c r="G22" s="17">
        <f t="shared" si="3"/>
        <v>12.053778193525471</v>
      </c>
      <c r="H22" s="29">
        <v>12.1</v>
      </c>
      <c r="I22" s="15">
        <f t="shared" si="4"/>
        <v>-4.6221806474529004E-2</v>
      </c>
      <c r="J22" s="28" t="str">
        <f t="shared" si="5"/>
        <v>APROBADO</v>
      </c>
      <c r="K22" s="3"/>
      <c r="L22" s="3"/>
      <c r="M22" s="3"/>
    </row>
    <row r="24" spans="1:13" ht="15" customHeight="1">
      <c r="A24" s="5" t="s">
        <v>245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</row>
    <row r="25" spans="1:13" ht="15" customHeight="1">
      <c r="A25" s="22" t="s">
        <v>208</v>
      </c>
      <c r="B25" s="22" t="s">
        <v>90</v>
      </c>
      <c r="C25" s="22" t="s">
        <v>214</v>
      </c>
      <c r="D25" s="22" t="s">
        <v>215</v>
      </c>
      <c r="E25" s="22" t="s">
        <v>216</v>
      </c>
      <c r="F25" s="22" t="s">
        <v>217</v>
      </c>
      <c r="G25" s="22"/>
      <c r="H25" s="22"/>
      <c r="I25" s="22"/>
      <c r="J25" s="22"/>
      <c r="K25" s="22"/>
      <c r="L25" s="22"/>
      <c r="M25" s="22"/>
    </row>
    <row r="26" spans="1:13" ht="15" customHeight="1">
      <c r="A26" s="23" t="s">
        <v>246</v>
      </c>
      <c r="B26" s="30">
        <v>0</v>
      </c>
      <c r="C26" s="31">
        <f t="shared" ref="C26:C31" si="6">NORMSDIST(B26)</f>
        <v>0.5</v>
      </c>
      <c r="D26" s="32">
        <v>0.5</v>
      </c>
      <c r="E26" s="14">
        <f t="shared" ref="E26:E31" si="7">C26-D26</f>
        <v>0</v>
      </c>
      <c r="F26" s="28" t="str">
        <f t="shared" ref="F26:F31" si="8">IF(ABS(E26)&lt;=TOL_Z,"APROBADO","FALLIDO")</f>
        <v>APROBADO</v>
      </c>
      <c r="G26" s="3"/>
      <c r="H26" s="3"/>
      <c r="I26" s="3"/>
      <c r="J26" s="3"/>
      <c r="K26" s="3"/>
      <c r="L26" s="3"/>
      <c r="M26" s="3"/>
    </row>
    <row r="27" spans="1:13" ht="15" customHeight="1">
      <c r="A27" s="23" t="s">
        <v>247</v>
      </c>
      <c r="B27" s="30">
        <v>1.645</v>
      </c>
      <c r="C27" s="31">
        <f t="shared" si="6"/>
        <v>0.95001509446087862</v>
      </c>
      <c r="D27" s="32">
        <v>0.95001500000000005</v>
      </c>
      <c r="E27" s="14">
        <f t="shared" si="7"/>
        <v>9.4460878563573658E-8</v>
      </c>
      <c r="F27" s="28" t="str">
        <f t="shared" si="8"/>
        <v>APROBADO</v>
      </c>
      <c r="G27" s="3"/>
      <c r="H27" s="3"/>
      <c r="I27" s="3"/>
      <c r="J27" s="3"/>
      <c r="K27" s="3"/>
      <c r="L27" s="3"/>
      <c r="M27" s="3"/>
    </row>
    <row r="28" spans="1:13" ht="15" customHeight="1">
      <c r="A28" s="23" t="s">
        <v>248</v>
      </c>
      <c r="B28" s="30">
        <v>-1.881</v>
      </c>
      <c r="C28" s="31">
        <f t="shared" si="6"/>
        <v>2.9985959421269873E-2</v>
      </c>
      <c r="D28" s="32">
        <v>2.9985999999999999E-2</v>
      </c>
      <c r="E28" s="14">
        <f t="shared" si="7"/>
        <v>-4.0578730126084039E-8</v>
      </c>
      <c r="F28" s="28" t="str">
        <f t="shared" si="8"/>
        <v>APROBADO</v>
      </c>
      <c r="G28" s="3"/>
      <c r="H28" s="3"/>
      <c r="I28" s="3"/>
      <c r="J28" s="3"/>
      <c r="K28" s="3"/>
      <c r="L28" s="3"/>
      <c r="M28" s="3"/>
    </row>
    <row r="29" spans="1:13" ht="15" customHeight="1">
      <c r="A29" s="23" t="s">
        <v>249</v>
      </c>
      <c r="B29" s="30">
        <v>1.036</v>
      </c>
      <c r="C29" s="31">
        <f t="shared" si="6"/>
        <v>0.84989892874172257</v>
      </c>
      <c r="D29" s="32">
        <v>0.84989899999999996</v>
      </c>
      <c r="E29" s="14">
        <f t="shared" si="7"/>
        <v>-7.1258277389851798E-8</v>
      </c>
      <c r="F29" s="28" t="str">
        <f t="shared" si="8"/>
        <v>APROBADO</v>
      </c>
      <c r="G29" s="3"/>
      <c r="H29" s="3"/>
      <c r="I29" s="3"/>
      <c r="J29" s="3"/>
      <c r="K29" s="3"/>
      <c r="L29" s="3"/>
      <c r="M29" s="3"/>
    </row>
    <row r="30" spans="1:13" ht="15" customHeight="1">
      <c r="A30" s="23" t="s">
        <v>250</v>
      </c>
      <c r="B30" s="30">
        <v>-2</v>
      </c>
      <c r="C30" s="31">
        <f t="shared" si="6"/>
        <v>2.2750131948179191E-2</v>
      </c>
      <c r="D30" s="32">
        <v>2.2749999999999999E-2</v>
      </c>
      <c r="E30" s="14">
        <f t="shared" si="7"/>
        <v>1.3194817919184865E-7</v>
      </c>
      <c r="F30" s="28" t="str">
        <f t="shared" si="8"/>
        <v>APROBADO</v>
      </c>
      <c r="G30" s="3"/>
      <c r="H30" s="3"/>
      <c r="I30" s="3"/>
      <c r="J30" s="3"/>
      <c r="K30" s="3"/>
      <c r="L30" s="3"/>
      <c r="M30" s="3"/>
    </row>
    <row r="31" spans="1:13" ht="15" customHeight="1">
      <c r="A31" s="23" t="s">
        <v>251</v>
      </c>
      <c r="B31" s="30">
        <v>0.33285999999999999</v>
      </c>
      <c r="C31" s="31">
        <f t="shared" si="6"/>
        <v>0.63038001767128882</v>
      </c>
      <c r="D31" s="32">
        <v>0.63038000000000005</v>
      </c>
      <c r="E31" s="14">
        <f t="shared" si="7"/>
        <v>1.7671288765619408E-8</v>
      </c>
      <c r="F31" s="28" t="str">
        <f t="shared" si="8"/>
        <v>APROBADO</v>
      </c>
      <c r="G31" s="3"/>
      <c r="H31" s="3"/>
      <c r="I31" s="3"/>
      <c r="J31" s="3"/>
      <c r="K31" s="3"/>
      <c r="L31" s="3"/>
      <c r="M31" s="3"/>
    </row>
    <row r="33" spans="1:13" ht="15" customHeight="1">
      <c r="A33" s="5" t="s">
        <v>252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</row>
    <row r="34" spans="1:13" ht="15" customHeight="1">
      <c r="A34" s="22" t="s">
        <v>208</v>
      </c>
      <c r="B34" s="22" t="s">
        <v>90</v>
      </c>
      <c r="C34" s="22" t="s">
        <v>215</v>
      </c>
      <c r="D34" s="22" t="s">
        <v>214</v>
      </c>
      <c r="E34" s="22" t="s">
        <v>217</v>
      </c>
      <c r="F34" s="22"/>
      <c r="G34" s="22"/>
      <c r="H34" s="22"/>
      <c r="I34" s="22"/>
      <c r="J34" s="22"/>
      <c r="K34" s="22"/>
      <c r="L34" s="22"/>
      <c r="M34" s="22"/>
    </row>
    <row r="35" spans="1:13" ht="15" customHeight="1">
      <c r="A35" s="23" t="s">
        <v>253</v>
      </c>
      <c r="B35" s="27">
        <v>-3.5</v>
      </c>
      <c r="C35" s="24" t="s">
        <v>254</v>
      </c>
      <c r="D35" s="33" t="str">
        <f t="shared" ref="D35:D40" si="9">IF(B35&lt;-3,"Muy bajo peso para la edad",IF(B35&lt;-2,"Bajo peso para la edad",IF(B35&lt;=1,"Peso adecuado para la edad",IF(B35&lt;=2,"Peso elevado — evaluar peso/talla e IMC","Peso muy elevado — evaluar peso/talla e IMC"))))</f>
        <v>Muy bajo peso para la edad</v>
      </c>
      <c r="E35" s="28" t="str">
        <f t="shared" ref="E35:E40" si="10">IF(D35=C35,"APROBADO","FALLIDO")</f>
        <v>APROBADO</v>
      </c>
      <c r="F35" s="3"/>
      <c r="G35" s="3"/>
      <c r="H35" s="3"/>
      <c r="I35" s="3"/>
      <c r="J35" s="3"/>
      <c r="K35" s="3"/>
      <c r="L35" s="3"/>
      <c r="M35" s="3"/>
    </row>
    <row r="36" spans="1:13" ht="15" customHeight="1">
      <c r="A36" s="23" t="s">
        <v>255</v>
      </c>
      <c r="B36" s="27">
        <v>-2.5</v>
      </c>
      <c r="C36" s="24" t="s">
        <v>256</v>
      </c>
      <c r="D36" s="33" t="str">
        <f t="shared" si="9"/>
        <v>Bajo peso para la edad</v>
      </c>
      <c r="E36" s="28" t="str">
        <f t="shared" si="10"/>
        <v>APROBADO</v>
      </c>
      <c r="F36" s="3"/>
      <c r="G36" s="3"/>
      <c r="H36" s="3"/>
      <c r="I36" s="3"/>
      <c r="J36" s="3"/>
      <c r="K36" s="3"/>
      <c r="L36" s="3"/>
      <c r="M36" s="3"/>
    </row>
    <row r="37" spans="1:13" ht="15" customHeight="1">
      <c r="A37" s="23" t="s">
        <v>257</v>
      </c>
      <c r="B37" s="27">
        <v>0.33</v>
      </c>
      <c r="C37" s="24" t="s">
        <v>258</v>
      </c>
      <c r="D37" s="33" t="str">
        <f t="shared" si="9"/>
        <v>Peso adecuado para la edad</v>
      </c>
      <c r="E37" s="28" t="str">
        <f t="shared" si="10"/>
        <v>APROBADO</v>
      </c>
      <c r="F37" s="3"/>
      <c r="G37" s="3"/>
      <c r="H37" s="3"/>
      <c r="I37" s="3"/>
      <c r="J37" s="3"/>
      <c r="K37" s="3"/>
      <c r="L37" s="3"/>
      <c r="M37" s="3"/>
    </row>
    <row r="38" spans="1:13" ht="15" customHeight="1">
      <c r="A38" s="23" t="s">
        <v>259</v>
      </c>
      <c r="B38" s="27">
        <v>1.5</v>
      </c>
      <c r="C38" s="24" t="s">
        <v>260</v>
      </c>
      <c r="D38" s="33" t="str">
        <f t="shared" si="9"/>
        <v>Peso elevado — evaluar peso/talla e IMC</v>
      </c>
      <c r="E38" s="28" t="str">
        <f t="shared" si="10"/>
        <v>APROBADO</v>
      </c>
      <c r="F38" s="3"/>
      <c r="G38" s="3"/>
      <c r="H38" s="3"/>
      <c r="I38" s="3"/>
      <c r="J38" s="3"/>
      <c r="K38" s="3"/>
      <c r="L38" s="3"/>
      <c r="M38" s="3"/>
    </row>
    <row r="39" spans="1:13" ht="15" customHeight="1">
      <c r="A39" s="23" t="s">
        <v>261</v>
      </c>
      <c r="B39" s="27">
        <v>2.5</v>
      </c>
      <c r="C39" s="24" t="s">
        <v>262</v>
      </c>
      <c r="D39" s="33" t="str">
        <f t="shared" si="9"/>
        <v>Peso muy elevado — evaluar peso/talla e IMC</v>
      </c>
      <c r="E39" s="28" t="str">
        <f t="shared" si="10"/>
        <v>APROBADO</v>
      </c>
      <c r="F39" s="3"/>
      <c r="G39" s="3"/>
      <c r="H39" s="3"/>
      <c r="I39" s="3"/>
      <c r="J39" s="3"/>
      <c r="K39" s="3"/>
      <c r="L39" s="3"/>
      <c r="M39" s="3"/>
    </row>
    <row r="40" spans="1:13" ht="15" customHeight="1">
      <c r="A40" s="23" t="s">
        <v>263</v>
      </c>
      <c r="B40" s="27">
        <v>1</v>
      </c>
      <c r="C40" s="24" t="s">
        <v>258</v>
      </c>
      <c r="D40" s="33" t="str">
        <f t="shared" si="9"/>
        <v>Peso adecuado para la edad</v>
      </c>
      <c r="E40" s="28" t="str">
        <f t="shared" si="10"/>
        <v>APROBADO</v>
      </c>
      <c r="F40" s="3"/>
      <c r="G40" s="3"/>
      <c r="H40" s="3"/>
      <c r="I40" s="3"/>
      <c r="J40" s="3"/>
      <c r="K40" s="3"/>
      <c r="L40" s="3"/>
      <c r="M40" s="3"/>
    </row>
    <row r="42" spans="1:13" ht="15" customHeight="1">
      <c r="A42" s="5" t="s">
        <v>264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</row>
    <row r="43" spans="1:13" ht="15" customHeight="1">
      <c r="A43" s="22" t="s">
        <v>208</v>
      </c>
      <c r="B43" s="22" t="s">
        <v>209</v>
      </c>
      <c r="C43" s="22" t="s">
        <v>210</v>
      </c>
      <c r="D43" s="22" t="s">
        <v>211</v>
      </c>
      <c r="E43" s="22" t="s">
        <v>212</v>
      </c>
      <c r="F43" s="22" t="s">
        <v>213</v>
      </c>
      <c r="G43" s="22" t="s">
        <v>265</v>
      </c>
      <c r="H43" s="22" t="s">
        <v>266</v>
      </c>
      <c r="I43" s="22" t="s">
        <v>216</v>
      </c>
      <c r="J43" s="22" t="s">
        <v>217</v>
      </c>
      <c r="K43" s="22"/>
      <c r="L43" s="22"/>
      <c r="M43" s="22"/>
    </row>
    <row r="44" spans="1:13" ht="15" customHeight="1">
      <c r="A44" s="23" t="s">
        <v>267</v>
      </c>
      <c r="B44" s="24" t="s">
        <v>268</v>
      </c>
      <c r="C44" s="25">
        <v>0.34870000000000001</v>
      </c>
      <c r="D44" s="25">
        <v>3.3464</v>
      </c>
      <c r="E44" s="26">
        <v>0.14602000000000001</v>
      </c>
      <c r="F44" s="27">
        <v>6</v>
      </c>
      <c r="G44" s="13">
        <f>IF(((F44/D44)^C44-1)/(C44*E44)&gt;3,3+(F44-D44*(1+C44*E44*3)^(1/C44))/(D44*(1+C44*E44*3)^(1/C44)-D44*(1+C44*E44*2)^(1/C44)),IF(((F44/D44)^C44-1)/(C44*E44)&lt;-3,-3+(F44-D44*(1+C44*E44*-3)^(1/C44))/(D44*(1+C44*E44*-2)^(1/C44)-D44*(1+C44*E44*-3)^(1/C44)),((F44/D44)^C44-1)/(C44*E44)))</f>
        <v>4.5857742852071119</v>
      </c>
      <c r="H44" s="25">
        <v>4.5857739999999998</v>
      </c>
      <c r="I44" s="14">
        <f>G44-H44</f>
        <v>2.8520711214952144E-7</v>
      </c>
      <c r="J44" s="28" t="str">
        <f>IF(ABS(I44)&lt;=TOL_Z,"APROBADO","FALLIDO")</f>
        <v>APROBADO</v>
      </c>
      <c r="K44" s="3"/>
      <c r="L44" s="3"/>
      <c r="M44" s="3"/>
    </row>
    <row r="45" spans="1:13" ht="15" customHeight="1">
      <c r="A45" s="23" t="s">
        <v>269</v>
      </c>
      <c r="B45" s="24" t="s">
        <v>270</v>
      </c>
      <c r="C45" s="25">
        <v>-7.5600000000000001E-2</v>
      </c>
      <c r="D45" s="25">
        <v>7.2969999999999997</v>
      </c>
      <c r="E45" s="26">
        <v>0.12204</v>
      </c>
      <c r="F45" s="27">
        <v>4.5</v>
      </c>
      <c r="G45" s="13">
        <f>IF(((F45/D45)^C45-1)/(C45*E45)&gt;3,3+(F45-D45*(1+C45*E45*3)^(1/C45))/(D45*(1+C45*E45*3)^(1/C45)-D45*(1+C45*E45*2)^(1/C45)),IF(((F45/D45)^C45-1)/(C45*E45)&lt;-3,-3+(F45-D45*(1+C45*E45*-3)^(1/C45))/(D45*(1+C45*E45*-2)^(1/C45)-D45*(1+C45*E45*-3)^(1/C45)),((F45/D45)^C45-1)/(C45*E45)))</f>
        <v>-3.9081990180678958</v>
      </c>
      <c r="H45" s="25">
        <v>-3.9081990000000002</v>
      </c>
      <c r="I45" s="14">
        <f>G45-H45</f>
        <v>-1.8067895624085395E-8</v>
      </c>
      <c r="J45" s="28" t="str">
        <f>IF(ABS(I45)&lt;=TOL_Z,"APROBADO","FALLIDO")</f>
        <v>APROBADO</v>
      </c>
      <c r="K45" s="3"/>
      <c r="L45" s="3"/>
      <c r="M45" s="3"/>
    </row>
    <row r="46" spans="1:13" ht="15" customHeight="1">
      <c r="A46" s="23" t="s">
        <v>271</v>
      </c>
      <c r="B46" s="24" t="s">
        <v>272</v>
      </c>
      <c r="C46" s="25">
        <v>-1.37E-2</v>
      </c>
      <c r="D46" s="25">
        <v>12.1515</v>
      </c>
      <c r="E46" s="26">
        <v>0.11426</v>
      </c>
      <c r="F46" s="27">
        <v>20</v>
      </c>
      <c r="G46" s="13">
        <f>IF(((F46/D46)^C46-1)/(C46*E46)&gt;3,3+(F46-D46*(1+C46*E46*3)^(1/C46))/(D46*(1+C46*E46*3)^(1/C46)-D46*(1+C46*E46*2)^(1/C46)),IF(((F46/D46)^C46-1)/(C46*E46)&lt;-3,-3+(F46-D46*(1+C46*E46*-3)^(1/C46))/(D46*(1+C46*E46*-2)^(1/C46)-D46*(1+C46*E46*-3)^(1/C46)),((F46/D46)^C46-1)/(C46*E46)))</f>
        <v>4.5437108760499552</v>
      </c>
      <c r="H46" s="25">
        <v>4.5437110000000001</v>
      </c>
      <c r="I46" s="14">
        <f>G46-H46</f>
        <v>-1.2395004489462735E-7</v>
      </c>
      <c r="J46" s="28" t="str">
        <f>IF(ABS(I46)&lt;=TOL_Z,"APROBADO","FALLIDO")</f>
        <v>APROBADO</v>
      </c>
      <c r="K46" s="3"/>
      <c r="L46" s="3"/>
      <c r="M46" s="3"/>
    </row>
    <row r="48" spans="1:13" ht="15" customHeight="1">
      <c r="A48" s="5" t="s">
        <v>273</v>
      </c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</row>
    <row r="49" spans="1:13" ht="32.25" customHeight="1">
      <c r="A49" s="22" t="s">
        <v>208</v>
      </c>
      <c r="B49" s="22" t="s">
        <v>274</v>
      </c>
      <c r="C49" s="22" t="s">
        <v>275</v>
      </c>
      <c r="D49" s="22" t="s">
        <v>276</v>
      </c>
      <c r="E49" s="22" t="s">
        <v>277</v>
      </c>
      <c r="F49" s="22" t="s">
        <v>217</v>
      </c>
      <c r="G49" s="22"/>
      <c r="H49" s="22"/>
      <c r="I49" s="22"/>
      <c r="J49" s="22"/>
      <c r="K49" s="22"/>
      <c r="L49" s="22"/>
      <c r="M49" s="22"/>
    </row>
    <row r="50" spans="1:13" ht="15" customHeight="1">
      <c r="A50" s="23" t="s">
        <v>278</v>
      </c>
      <c r="B50" s="24" t="s">
        <v>279</v>
      </c>
      <c r="C50" s="34" t="s">
        <v>280</v>
      </c>
      <c r="D50" s="24" t="s">
        <v>281</v>
      </c>
      <c r="E50" s="33" t="str">
        <f>IF(NOT(ISNUMBER(72)),"ERROR: edad no numérica",IF(AND(72&gt;=0,72&lt;=60,72=INT(72)),"OK","ERROR: edad fuera de la tabla"))</f>
        <v>ERROR: edad fuera de la tabla</v>
      </c>
      <c r="F50" s="28" t="str">
        <f t="shared" ref="F50:F57" si="11">IF(E50=D50,"APROBADO","FALLIDO")</f>
        <v>APROBADO</v>
      </c>
      <c r="G50" s="3"/>
      <c r="H50" s="3"/>
      <c r="I50" s="3"/>
      <c r="J50" s="3"/>
      <c r="K50" s="3"/>
      <c r="L50" s="3"/>
      <c r="M50" s="3"/>
    </row>
    <row r="51" spans="1:13" ht="15" customHeight="1">
      <c r="A51" s="23" t="s">
        <v>282</v>
      </c>
      <c r="B51" s="24" t="s">
        <v>283</v>
      </c>
      <c r="C51" s="34" t="s">
        <v>284</v>
      </c>
      <c r="D51" s="24" t="s">
        <v>281</v>
      </c>
      <c r="E51" s="33" t="str">
        <f>IF(NOT(ISNUMBER(6.5)),"ERROR: edad no numérica",IF(AND(6.5&gt;=0,6.5&lt;=60,6.5=INT(6.5)),"OK","ERROR: edad fuera de la tabla"))</f>
        <v>ERROR: edad fuera de la tabla</v>
      </c>
      <c r="F51" s="28" t="str">
        <f t="shared" si="11"/>
        <v>APROBADO</v>
      </c>
      <c r="G51" s="3"/>
      <c r="H51" s="3"/>
      <c r="I51" s="3"/>
      <c r="J51" s="3"/>
      <c r="K51" s="3"/>
      <c r="L51" s="3"/>
      <c r="M51" s="3"/>
    </row>
    <row r="52" spans="1:13" ht="15" customHeight="1">
      <c r="A52" s="23" t="s">
        <v>285</v>
      </c>
      <c r="B52" s="24" t="s">
        <v>286</v>
      </c>
      <c r="C52" s="34" t="s">
        <v>287</v>
      </c>
      <c r="D52" s="24" t="s">
        <v>288</v>
      </c>
      <c r="E52" s="33" t="str">
        <f>IF(NOT(ISNUMBER("seis")),"ERROR: edad no numérica",IF(AND("seis"&gt;=0,"seis"&lt;=60,"seis"=INT("seis")),"OK","ERROR: edad fuera de la tabla"))</f>
        <v>ERROR: edad no numérica</v>
      </c>
      <c r="F52" s="28" t="str">
        <f t="shared" si="11"/>
        <v>APROBADO</v>
      </c>
      <c r="G52" s="3"/>
      <c r="H52" s="3"/>
      <c r="I52" s="3"/>
      <c r="J52" s="3"/>
      <c r="K52" s="3"/>
      <c r="L52" s="3"/>
      <c r="M52" s="3"/>
    </row>
    <row r="53" spans="1:13" ht="15" customHeight="1">
      <c r="A53" s="23" t="s">
        <v>289</v>
      </c>
      <c r="B53" s="24" t="s">
        <v>290</v>
      </c>
      <c r="C53" s="34" t="s">
        <v>291</v>
      </c>
      <c r="D53" s="24" t="s">
        <v>292</v>
      </c>
      <c r="E53" s="33" t="str">
        <f>IF(NOT(ISNUMBER(-3)),"ERROR: medida no numérica",IF(AND(-3&gt;=0.5,-3&lt;=60),"OK","ERROR: medida fuera de rango"))</f>
        <v>ERROR: medida fuera de rango</v>
      </c>
      <c r="F53" s="28" t="str">
        <f t="shared" si="11"/>
        <v>APROBADO</v>
      </c>
      <c r="G53" s="3"/>
      <c r="H53" s="3"/>
      <c r="I53" s="3"/>
      <c r="J53" s="3"/>
      <c r="K53" s="3"/>
      <c r="L53" s="3"/>
      <c r="M53" s="3"/>
    </row>
    <row r="54" spans="1:13" ht="15" customHeight="1">
      <c r="A54" s="23" t="s">
        <v>293</v>
      </c>
      <c r="B54" s="24" t="s">
        <v>294</v>
      </c>
      <c r="C54" s="34" t="s">
        <v>295</v>
      </c>
      <c r="D54" s="24" t="s">
        <v>292</v>
      </c>
      <c r="E54" s="33" t="str">
        <f>IF(NOT(ISNUMBER(0.2)),"ERROR: medida no numérica",IF(AND(0.2&gt;=0.5,0.2&lt;=60),"OK","ERROR: medida fuera de rango"))</f>
        <v>ERROR: medida fuera de rango</v>
      </c>
      <c r="F54" s="28" t="str">
        <f t="shared" si="11"/>
        <v>APROBADO</v>
      </c>
      <c r="G54" s="3"/>
      <c r="H54" s="3"/>
      <c r="I54" s="3"/>
      <c r="J54" s="3"/>
      <c r="K54" s="3"/>
      <c r="L54" s="3"/>
      <c r="M54" s="3"/>
    </row>
    <row r="55" spans="1:13" ht="15" customHeight="1">
      <c r="A55" s="23" t="s">
        <v>296</v>
      </c>
      <c r="B55" s="24" t="s">
        <v>297</v>
      </c>
      <c r="C55" s="34" t="s">
        <v>298</v>
      </c>
      <c r="D55" s="24" t="s">
        <v>299</v>
      </c>
      <c r="E55" s="33" t="str">
        <f>IF(NOT(ISNUMBER("tres")),"ERROR: medida no numérica",IF(AND("tres"&gt;=0.5,"tres"&lt;=60),"OK","ERROR: medida fuera de rango"))</f>
        <v>ERROR: medida no numérica</v>
      </c>
      <c r="F55" s="28" t="str">
        <f t="shared" si="11"/>
        <v>APROBADO</v>
      </c>
      <c r="G55" s="3"/>
      <c r="H55" s="3"/>
      <c r="I55" s="3"/>
      <c r="J55" s="3"/>
      <c r="K55" s="3"/>
      <c r="L55" s="3"/>
      <c r="M55" s="3"/>
    </row>
    <row r="56" spans="1:13" ht="15" customHeight="1">
      <c r="A56" s="23" t="s">
        <v>300</v>
      </c>
      <c r="B56" s="24" t="s">
        <v>301</v>
      </c>
      <c r="C56" s="34" t="s">
        <v>302</v>
      </c>
      <c r="D56" s="24" t="s">
        <v>303</v>
      </c>
      <c r="E56" s="33" t="str">
        <f>IF(OR(-7&lt;-6,-7&gt;5),"BIV","OK")</f>
        <v>BIV</v>
      </c>
      <c r="F56" s="28" t="str">
        <f t="shared" si="11"/>
        <v>APROBADO</v>
      </c>
      <c r="G56" s="3"/>
      <c r="H56" s="3"/>
      <c r="I56" s="3"/>
      <c r="J56" s="3"/>
      <c r="K56" s="3"/>
      <c r="L56" s="3"/>
      <c r="M56" s="3"/>
    </row>
    <row r="57" spans="1:13" ht="15" customHeight="1">
      <c r="A57" s="23" t="s">
        <v>304</v>
      </c>
      <c r="B57" s="24" t="s">
        <v>305</v>
      </c>
      <c r="C57" s="34" t="s">
        <v>306</v>
      </c>
      <c r="D57" s="24" t="s">
        <v>307</v>
      </c>
      <c r="E57" s="33" t="str">
        <f>IF(OR(1&lt;-6,1&gt;5),"BIV","OK")</f>
        <v>OK</v>
      </c>
      <c r="F57" s="28" t="str">
        <f t="shared" si="11"/>
        <v>APROBADO</v>
      </c>
      <c r="G57" s="3"/>
      <c r="H57" s="3"/>
      <c r="I57" s="3"/>
      <c r="J57" s="3"/>
      <c r="K57" s="3"/>
      <c r="L57" s="3"/>
      <c r="M57" s="3"/>
    </row>
    <row r="59" spans="1:13" ht="15" customHeight="1">
      <c r="A59" s="5" t="s">
        <v>308</v>
      </c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</row>
    <row r="60" spans="1:13" ht="15" customHeight="1">
      <c r="A60" s="22" t="s">
        <v>208</v>
      </c>
      <c r="B60" s="22" t="s">
        <v>309</v>
      </c>
      <c r="C60" s="22" t="s">
        <v>310</v>
      </c>
      <c r="D60" s="22" t="s">
        <v>215</v>
      </c>
      <c r="E60" s="22" t="s">
        <v>217</v>
      </c>
      <c r="F60" s="22"/>
      <c r="G60" s="22"/>
      <c r="H60" s="22"/>
      <c r="I60" s="22"/>
      <c r="J60" s="22"/>
      <c r="K60" s="22"/>
      <c r="L60" s="22"/>
      <c r="M60" s="22"/>
    </row>
    <row r="61" spans="1:13" ht="15" customHeight="1">
      <c r="A61" s="23" t="s">
        <v>311</v>
      </c>
      <c r="B61" s="24" t="s">
        <v>312</v>
      </c>
      <c r="C61" s="12">
        <f>SUMPRODUCT(--ISERROR(CALCULOS!B7:B36))</f>
        <v>0</v>
      </c>
      <c r="D61" s="23">
        <v>0</v>
      </c>
      <c r="E61" s="28" t="str">
        <f>IF(C61=D61,"APROBADO","FALLIDO")</f>
        <v>APROBADO</v>
      </c>
      <c r="F61" s="3"/>
      <c r="G61" s="3"/>
      <c r="H61" s="3"/>
      <c r="I61" s="3"/>
      <c r="J61" s="3"/>
      <c r="K61" s="3"/>
      <c r="L61" s="3"/>
      <c r="M61" s="3"/>
    </row>
    <row r="62" spans="1:13" ht="15" customHeight="1">
      <c r="A62" s="23" t="s">
        <v>313</v>
      </c>
      <c r="B62" s="24" t="s">
        <v>314</v>
      </c>
      <c r="C62" s="12">
        <f>SUMPRODUCT(--ISERROR(RESULTADOS!B6:B40))</f>
        <v>0</v>
      </c>
      <c r="D62" s="23">
        <v>0</v>
      </c>
      <c r="E62" s="28" t="str">
        <f>IF(C62=D62,"APROBADO","FALLIDO")</f>
        <v>APROBADO</v>
      </c>
      <c r="F62" s="3"/>
      <c r="G62" s="3"/>
      <c r="H62" s="3"/>
      <c r="I62" s="3"/>
      <c r="J62" s="3"/>
      <c r="K62" s="3"/>
      <c r="L62" s="3"/>
      <c r="M62" s="3"/>
    </row>
    <row r="63" spans="1:13" ht="15" customHeight="1">
      <c r="A63" s="23" t="s">
        <v>315</v>
      </c>
      <c r="B63" s="24" t="s">
        <v>316</v>
      </c>
      <c r="C63" s="12">
        <f>SUMPRODUCT(--ISERROR(CONFIG!D34:F155))</f>
        <v>0</v>
      </c>
      <c r="D63" s="23">
        <v>0</v>
      </c>
      <c r="E63" s="28" t="str">
        <f>IF(C63=D63,"APROBADO","FALLIDO")</f>
        <v>APROBADO</v>
      </c>
      <c r="F63" s="3"/>
      <c r="G63" s="3"/>
      <c r="H63" s="3"/>
      <c r="I63" s="3"/>
      <c r="J63" s="3"/>
      <c r="K63" s="3"/>
      <c r="L63" s="3"/>
      <c r="M63" s="3"/>
    </row>
    <row r="65" spans="1:13" ht="15" customHeight="1">
      <c r="A65" s="5" t="s">
        <v>317</v>
      </c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</row>
    <row r="66" spans="1:13" ht="21.75" customHeight="1">
      <c r="A66" s="22" t="s">
        <v>208</v>
      </c>
      <c r="B66" s="22" t="s">
        <v>318</v>
      </c>
      <c r="C66" s="22" t="s">
        <v>319</v>
      </c>
      <c r="D66" s="22" t="s">
        <v>320</v>
      </c>
      <c r="E66" s="22" t="s">
        <v>216</v>
      </c>
      <c r="F66" s="22" t="s">
        <v>217</v>
      </c>
      <c r="G66" s="22"/>
      <c r="H66" s="22"/>
      <c r="I66" s="22"/>
      <c r="J66" s="22"/>
      <c r="K66" s="22"/>
      <c r="L66" s="22"/>
      <c r="M66" s="22"/>
    </row>
    <row r="67" spans="1:13" ht="15" customHeight="1">
      <c r="A67" s="23" t="s">
        <v>321</v>
      </c>
      <c r="B67" s="24" t="s">
        <v>322</v>
      </c>
      <c r="C67" s="13">
        <f>c_z</f>
        <v>0.33286166510291076</v>
      </c>
      <c r="D67" s="13">
        <f>((in_Medida/c_M)^c_L-1)/(c_L*c_S)</f>
        <v>0.33286166510291076</v>
      </c>
      <c r="E67" s="14">
        <f>C67-D67</f>
        <v>0</v>
      </c>
      <c r="F67" s="28" t="str">
        <f>IF(ABS(E67)&lt;=TOL_Z,"APROBADO","FALLIDO")</f>
        <v>APROBADO</v>
      </c>
      <c r="G67" s="3"/>
      <c r="H67" s="3"/>
      <c r="I67" s="3"/>
      <c r="J67" s="3"/>
      <c r="K67" s="3"/>
      <c r="L67" s="3"/>
      <c r="M67" s="3"/>
    </row>
    <row r="68" spans="1:13" ht="15" customHeight="1">
      <c r="A68" s="23" t="s">
        <v>323</v>
      </c>
      <c r="B68" s="24" t="s">
        <v>324</v>
      </c>
      <c r="C68" s="31">
        <f>c_pct</f>
        <v>0.63038064615210776</v>
      </c>
      <c r="D68" s="31">
        <f>NORMSDIST(c_z)</f>
        <v>0.63038064615210776</v>
      </c>
      <c r="E68" s="14">
        <f>C68-D68</f>
        <v>0</v>
      </c>
      <c r="F68" s="28" t="str">
        <f>IF(ABS(E68)&lt;=TOL_Z,"APROBADO","FALLIDO")</f>
        <v>APROBADO</v>
      </c>
      <c r="G68" s="3"/>
      <c r="H68" s="3"/>
      <c r="I68" s="3"/>
      <c r="J68" s="3"/>
      <c r="K68" s="3"/>
      <c r="L68" s="3"/>
      <c r="M68" s="3"/>
    </row>
    <row r="69" spans="1:13" ht="15" customHeight="1">
      <c r="A69" s="23" t="s">
        <v>325</v>
      </c>
      <c r="B69" s="24" t="s">
        <v>326</v>
      </c>
      <c r="C69" s="15">
        <f>c_SD2p</f>
        <v>9.3354906247679423</v>
      </c>
      <c r="D69" s="15">
        <f>c_M*(1+c_L*c_S*2)^(1/c_L)</f>
        <v>9.3354906247679423</v>
      </c>
      <c r="E69" s="14">
        <f>C69-D69</f>
        <v>0</v>
      </c>
      <c r="F69" s="28" t="str">
        <f>IF(ABS(E69)&lt;=TOL_KG,"APROBADO","FALLIDO")</f>
        <v>APROBADO</v>
      </c>
      <c r="G69" s="3"/>
      <c r="H69" s="3"/>
      <c r="I69" s="3"/>
      <c r="J69" s="3"/>
      <c r="K69" s="3"/>
      <c r="L69" s="3"/>
      <c r="M69" s="3"/>
    </row>
    <row r="70" spans="1:13" ht="15" customHeight="1">
      <c r="A70" s="23" t="s">
        <v>327</v>
      </c>
      <c r="B70" s="24" t="s">
        <v>328</v>
      </c>
      <c r="C70" s="15">
        <f>c_SD2n</f>
        <v>5.7293834056673658</v>
      </c>
      <c r="D70" s="15">
        <f>c_M*(1+c_L*c_S*-2)^(1/c_L)</f>
        <v>5.7293834056673658</v>
      </c>
      <c r="E70" s="14">
        <f>C70-D70</f>
        <v>0</v>
      </c>
      <c r="F70" s="28" t="str">
        <f>IF(ABS(E70)&lt;=TOL_KG,"APROBADO","FALLIDO")</f>
        <v>APROBADO</v>
      </c>
      <c r="G70" s="3"/>
      <c r="H70" s="3"/>
      <c r="I70" s="3"/>
      <c r="J70" s="3"/>
      <c r="K70" s="3"/>
      <c r="L70" s="3"/>
      <c r="M70" s="3"/>
    </row>
    <row r="73" spans="1:13" ht="15" customHeight="1">
      <c r="A73" s="5" t="s">
        <v>329</v>
      </c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</row>
    <row r="74" spans="1:13" ht="15" customHeight="1">
      <c r="A74" s="3" t="s">
        <v>330</v>
      </c>
      <c r="C74" s="35">
        <v>42</v>
      </c>
    </row>
    <row r="75" spans="1:13" ht="15" customHeight="1">
      <c r="A75" s="3" t="s">
        <v>331</v>
      </c>
      <c r="C75" s="35">
        <f>IF(J8="APROBADO",1,0)+IF(J9="APROBADO",1,0)+IF(J10="APROBADO",1,0)+IF(J11="APROBADO",1,0)+IF(J12="APROBADO",1,0)+IF(J13="APROBADO",1,0)+IF(J17="APROBADO",1,0)+IF(J18="APROBADO",1,0)+IF(J19="APROBADO",1,0)+IF(J20="APROBADO",1,0)+IF(J21="APROBADO",1,0)+IF(J22="APROBADO",1,0)+IF(F26="APROBADO",1,0)+IF(F27="APROBADO",1,0)+IF(F28="APROBADO",1,0)+IF(F29="APROBADO",1,0)+IF(F30="APROBADO",1,0)+IF(F31="APROBADO",1,0)+IF(E35="APROBADO",1,0)+IF(E36="APROBADO",1,0)+IF(E37="APROBADO",1,0)+IF(E38="APROBADO",1,0)+IF(E39="APROBADO",1,0)+IF(E40="APROBADO",1,0)+IF(J44="APROBADO",1,0)+IF(J45="APROBADO",1,0)+IF(J46="APROBADO",1,0)+IF(F50="APROBADO",1,0)+IF(F51="APROBADO",1,0)+IF(F52="APROBADO",1,0)+IF(F53="APROBADO",1,0)+IF(F54="APROBADO",1,0)+IF(F55="APROBADO",1,0)+IF(F56="APROBADO",1,0)+IF(F57="APROBADO",1,0)+IF(E61="APROBADO",1,0)+IF(E62="APROBADO",1,0)+IF(E63="APROBADO",1,0)+IF(F67="APROBADO",1,0)+IF(F68="APROBADO",1,0)+IF(F69="APROBADO",1,0)+IF(F70="APROBADO",1,0)</f>
        <v>42</v>
      </c>
    </row>
    <row r="76" spans="1:13" ht="15" customHeight="1">
      <c r="A76" s="3" t="s">
        <v>332</v>
      </c>
      <c r="C76" s="35">
        <f>42-C75</f>
        <v>0</v>
      </c>
    </row>
    <row r="77" spans="1:13" ht="15" customHeight="1">
      <c r="A77" s="2" t="s">
        <v>333</v>
      </c>
      <c r="B77" s="128" t="str">
        <f>IF(C75=42,"TODAS LAS PRUEBAS APROBADAS","HAY PRUEBAS FALLIDAS — REVISAR")</f>
        <v>TODAS LAS PRUEBAS APROBADAS</v>
      </c>
      <c r="C77" s="128"/>
      <c r="D77" s="128"/>
      <c r="E77" s="128"/>
      <c r="F77" s="128"/>
    </row>
  </sheetData>
  <sheetProtection algorithmName="SHA-512" hashValue="k151x9bi39hyT38W6eelI5JESbSIYxW9L5usfCc0jHQs7nOWAL4mLs1DWDBjCTfFWbiXzIFaSJmqKbsPHYQmBg==" saltValue="iNME0EG0xsD/JlBbLD07tw==" spinCount="100000" sheet="1" objects="1" scenarios="1"/>
  <mergeCells count="5">
    <mergeCell ref="A3:M3"/>
    <mergeCell ref="B77:F77"/>
    <mergeCell ref="A4:E4"/>
    <mergeCell ref="A1:M1"/>
    <mergeCell ref="A2:M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A6B70"/>
  </sheetPr>
  <dimension ref="A1:G160"/>
  <sheetViews>
    <sheetView showGridLines="0" zoomScaleNormal="100" workbookViewId="0">
      <pane ySplit="5" topLeftCell="A6" activePane="bottomLeft" state="frozen"/>
      <selection activeCell="L21" sqref="L21"/>
      <selection pane="bottomLeft" activeCell="E19" sqref="E19"/>
    </sheetView>
  </sheetViews>
  <sheetFormatPr baseColWidth="10" defaultColWidth="8.7109375" defaultRowHeight="15"/>
  <cols>
    <col min="1" max="1" width="46" style="1" customWidth="1"/>
    <col min="2" max="2" width="18" style="1" customWidth="1"/>
    <col min="3" max="3" width="12" style="1" customWidth="1"/>
    <col min="4" max="4" width="14" style="1" customWidth="1"/>
    <col min="5" max="5" width="40" style="1" customWidth="1"/>
  </cols>
  <sheetData>
    <row r="1" spans="1:6" ht="25.5" customHeight="1">
      <c r="A1" s="112" t="s">
        <v>0</v>
      </c>
      <c r="B1" s="112"/>
      <c r="C1" s="112"/>
      <c r="D1" s="112"/>
      <c r="E1" s="112"/>
      <c r="F1" s="112"/>
    </row>
    <row r="2" spans="1:6" ht="15" customHeight="1">
      <c r="A2" s="113" t="s">
        <v>334</v>
      </c>
      <c r="B2" s="113"/>
      <c r="C2" s="113"/>
      <c r="D2" s="113"/>
      <c r="E2" s="113"/>
      <c r="F2" s="113"/>
    </row>
    <row r="3" spans="1:6" ht="15" customHeight="1">
      <c r="A3" s="116" t="str">
        <f>HYPERLINK("#INICIO!A1","◀ INICIO")</f>
        <v>◀ INICIO</v>
      </c>
      <c r="B3" s="118"/>
      <c r="C3" s="118"/>
      <c r="D3" s="83"/>
      <c r="E3" s="45"/>
    </row>
    <row r="4" spans="1:6" ht="42" customHeight="1">
      <c r="A4" s="120" t="s">
        <v>335</v>
      </c>
      <c r="B4" s="120"/>
      <c r="C4" s="120"/>
      <c r="D4" s="120"/>
      <c r="E4" s="120"/>
    </row>
    <row r="6" spans="1:6" ht="15" customHeight="1">
      <c r="A6" s="11" t="s">
        <v>336</v>
      </c>
      <c r="B6" s="4"/>
      <c r="C6" s="4"/>
      <c r="D6" s="4"/>
      <c r="E6" s="4"/>
    </row>
    <row r="7" spans="1:6" ht="15" customHeight="1">
      <c r="A7" s="5" t="s">
        <v>337</v>
      </c>
      <c r="B7" s="5" t="s">
        <v>35</v>
      </c>
      <c r="C7" s="5" t="s">
        <v>36</v>
      </c>
      <c r="D7" s="5" t="s">
        <v>338</v>
      </c>
      <c r="E7" s="5" t="s">
        <v>339</v>
      </c>
    </row>
    <row r="8" spans="1:6" ht="15" customHeight="1">
      <c r="A8" s="3" t="s">
        <v>340</v>
      </c>
      <c r="B8" s="6" t="s">
        <v>341</v>
      </c>
      <c r="C8" s="7" t="s">
        <v>41</v>
      </c>
      <c r="D8" s="16" t="s">
        <v>41</v>
      </c>
      <c r="E8" s="8" t="s">
        <v>342</v>
      </c>
    </row>
    <row r="9" spans="1:6" ht="15" customHeight="1">
      <c r="A9" s="3" t="s">
        <v>343</v>
      </c>
      <c r="B9" s="6" t="s">
        <v>344</v>
      </c>
      <c r="C9" s="7" t="s">
        <v>41</v>
      </c>
      <c r="D9" s="16" t="s">
        <v>41</v>
      </c>
      <c r="E9" s="8" t="s">
        <v>345</v>
      </c>
    </row>
    <row r="10" spans="1:6" ht="15" customHeight="1">
      <c r="A10" s="3" t="s">
        <v>346</v>
      </c>
      <c r="B10" s="9">
        <v>0</v>
      </c>
      <c r="C10" s="7" t="s">
        <v>58</v>
      </c>
      <c r="D10" s="16" t="s">
        <v>347</v>
      </c>
      <c r="E10" s="8" t="s">
        <v>348</v>
      </c>
    </row>
    <row r="11" spans="1:6" ht="15" customHeight="1">
      <c r="A11" s="3" t="s">
        <v>349</v>
      </c>
      <c r="B11" s="9">
        <v>60</v>
      </c>
      <c r="C11" s="7" t="s">
        <v>58</v>
      </c>
      <c r="D11" s="16" t="s">
        <v>347</v>
      </c>
      <c r="E11" s="8" t="s">
        <v>350</v>
      </c>
    </row>
    <row r="12" spans="1:6" ht="15" customHeight="1">
      <c r="A12" s="3" t="s">
        <v>351</v>
      </c>
      <c r="B12" s="36">
        <v>0.5</v>
      </c>
      <c r="C12" s="7" t="s">
        <v>62</v>
      </c>
      <c r="D12" s="16" t="s">
        <v>347</v>
      </c>
      <c r="E12" s="8" t="s">
        <v>352</v>
      </c>
    </row>
    <row r="13" spans="1:6" ht="15" customHeight="1">
      <c r="A13" s="3" t="s">
        <v>353</v>
      </c>
      <c r="B13" s="9">
        <v>60</v>
      </c>
      <c r="C13" s="7" t="s">
        <v>62</v>
      </c>
      <c r="D13" s="16" t="s">
        <v>347</v>
      </c>
      <c r="E13" s="8" t="s">
        <v>352</v>
      </c>
    </row>
    <row r="14" spans="1:6" ht="15" customHeight="1">
      <c r="A14" s="3" t="s">
        <v>354</v>
      </c>
      <c r="B14" s="9">
        <v>-3</v>
      </c>
      <c r="C14" s="7" t="s">
        <v>90</v>
      </c>
      <c r="D14" s="16" t="s">
        <v>355</v>
      </c>
      <c r="E14" s="8" t="s">
        <v>356</v>
      </c>
    </row>
    <row r="15" spans="1:6" ht="15" customHeight="1">
      <c r="A15" s="3" t="s">
        <v>357</v>
      </c>
      <c r="B15" s="9">
        <v>-2</v>
      </c>
      <c r="C15" s="7" t="s">
        <v>90</v>
      </c>
      <c r="D15" s="16" t="s">
        <v>355</v>
      </c>
      <c r="E15" s="8" t="s">
        <v>358</v>
      </c>
    </row>
    <row r="16" spans="1:6" ht="15" customHeight="1">
      <c r="A16" s="3" t="s">
        <v>359</v>
      </c>
      <c r="B16" s="9">
        <v>1</v>
      </c>
      <c r="C16" s="7" t="s">
        <v>90</v>
      </c>
      <c r="D16" s="16" t="s">
        <v>355</v>
      </c>
      <c r="E16" s="8" t="s">
        <v>360</v>
      </c>
    </row>
    <row r="17" spans="1:5" ht="15" customHeight="1">
      <c r="A17" s="3" t="s">
        <v>361</v>
      </c>
      <c r="B17" s="9">
        <v>2</v>
      </c>
      <c r="C17" s="7" t="s">
        <v>90</v>
      </c>
      <c r="D17" s="16" t="s">
        <v>355</v>
      </c>
      <c r="E17" s="8" t="s">
        <v>362</v>
      </c>
    </row>
    <row r="18" spans="1:5" ht="15" customHeight="1">
      <c r="A18" s="3" t="s">
        <v>363</v>
      </c>
      <c r="B18" s="9">
        <v>3</v>
      </c>
      <c r="C18" s="7" t="s">
        <v>90</v>
      </c>
      <c r="D18" s="16" t="s">
        <v>364</v>
      </c>
      <c r="E18" s="8" t="s">
        <v>365</v>
      </c>
    </row>
    <row r="19" spans="1:5" ht="15" customHeight="1">
      <c r="A19" s="3" t="s">
        <v>366</v>
      </c>
      <c r="B19" s="9">
        <v>-6</v>
      </c>
      <c r="C19" s="7" t="s">
        <v>90</v>
      </c>
      <c r="D19" s="16" t="s">
        <v>367</v>
      </c>
      <c r="E19" s="8" t="s">
        <v>368</v>
      </c>
    </row>
    <row r="20" spans="1:5" ht="15" customHeight="1">
      <c r="A20" s="3" t="s">
        <v>369</v>
      </c>
      <c r="B20" s="9">
        <v>5</v>
      </c>
      <c r="C20" s="7" t="s">
        <v>90</v>
      </c>
      <c r="D20" s="16" t="s">
        <v>367</v>
      </c>
      <c r="E20" s="8" t="s">
        <v>370</v>
      </c>
    </row>
    <row r="21" spans="1:5" ht="15" customHeight="1">
      <c r="A21" s="3" t="s">
        <v>371</v>
      </c>
      <c r="B21" s="37">
        <v>1E-3</v>
      </c>
      <c r="C21" s="7" t="s">
        <v>90</v>
      </c>
      <c r="D21" s="16" t="s">
        <v>372</v>
      </c>
      <c r="E21" s="8" t="s">
        <v>373</v>
      </c>
    </row>
    <row r="22" spans="1:5" ht="15" customHeight="1">
      <c r="A22" s="3" t="s">
        <v>374</v>
      </c>
      <c r="B22" s="10">
        <v>0.05</v>
      </c>
      <c r="C22" s="7" t="s">
        <v>62</v>
      </c>
      <c r="D22" s="16" t="s">
        <v>372</v>
      </c>
      <c r="E22" s="8" t="s">
        <v>375</v>
      </c>
    </row>
    <row r="24" spans="1:5" ht="15" customHeight="1">
      <c r="A24" s="11" t="s">
        <v>376</v>
      </c>
      <c r="B24" s="4"/>
    </row>
    <row r="25" spans="1:5" ht="15" customHeight="1">
      <c r="A25" s="5" t="s">
        <v>35</v>
      </c>
      <c r="B25" s="5" t="s">
        <v>377</v>
      </c>
    </row>
    <row r="26" spans="1:5" ht="15" customHeight="1">
      <c r="A26" s="3" t="s">
        <v>378</v>
      </c>
      <c r="B26" s="38" t="s">
        <v>379</v>
      </c>
    </row>
    <row r="27" spans="1:5" ht="15" customHeight="1">
      <c r="A27" s="3" t="s">
        <v>50</v>
      </c>
      <c r="B27" s="38" t="s">
        <v>380</v>
      </c>
    </row>
    <row r="29" spans="1:5" ht="15" customHeight="1">
      <c r="A29" s="11" t="s">
        <v>381</v>
      </c>
      <c r="B29" s="4"/>
    </row>
    <row r="30" spans="1:5" ht="15" customHeight="1">
      <c r="A30" s="5" t="s">
        <v>53</v>
      </c>
      <c r="B30" s="5" t="s">
        <v>382</v>
      </c>
    </row>
    <row r="31" spans="1:5" ht="15" customHeight="1">
      <c r="A31" s="3" t="s">
        <v>54</v>
      </c>
      <c r="B31" s="38" t="s">
        <v>383</v>
      </c>
    </row>
    <row r="33" spans="1:7" ht="15" customHeight="1">
      <c r="A33" s="11" t="s">
        <v>384</v>
      </c>
    </row>
    <row r="34" spans="1:7" ht="15" customHeight="1">
      <c r="A34" s="3" t="s">
        <v>385</v>
      </c>
    </row>
    <row r="35" spans="1:7" ht="15" customHeight="1">
      <c r="A35" s="3" t="s">
        <v>386</v>
      </c>
    </row>
    <row r="37" spans="1:7" ht="15" customHeight="1">
      <c r="A37" s="11" t="s">
        <v>387</v>
      </c>
      <c r="B37" s="4"/>
      <c r="C37" s="4"/>
      <c r="D37" s="4"/>
      <c r="E37" s="4"/>
      <c r="F37" s="4"/>
      <c r="G37" s="4"/>
    </row>
    <row r="38" spans="1:7" ht="15" customHeight="1">
      <c r="A38" s="39" t="s">
        <v>53</v>
      </c>
      <c r="B38" s="39" t="s">
        <v>49</v>
      </c>
      <c r="C38" s="39" t="s">
        <v>388</v>
      </c>
      <c r="D38" s="39" t="s">
        <v>210</v>
      </c>
      <c r="E38" s="39" t="s">
        <v>211</v>
      </c>
      <c r="F38" s="39" t="s">
        <v>212</v>
      </c>
      <c r="G38" s="39" t="s">
        <v>389</v>
      </c>
    </row>
    <row r="39" spans="1:7" ht="15" customHeight="1">
      <c r="A39" s="40" t="s">
        <v>54</v>
      </c>
      <c r="B39" s="41" t="s">
        <v>378</v>
      </c>
      <c r="C39" s="42">
        <v>0</v>
      </c>
      <c r="D39" s="43">
        <v>0.34870000000000001</v>
      </c>
      <c r="E39" s="43">
        <v>3.3464</v>
      </c>
      <c r="F39" s="44">
        <v>0.14602000000000001</v>
      </c>
      <c r="G39" s="41" t="s">
        <v>390</v>
      </c>
    </row>
    <row r="40" spans="1:7" ht="15" customHeight="1">
      <c r="A40" s="40" t="s">
        <v>54</v>
      </c>
      <c r="B40" s="41" t="s">
        <v>378</v>
      </c>
      <c r="C40" s="42">
        <v>1</v>
      </c>
      <c r="D40" s="43">
        <v>0.22969999999999999</v>
      </c>
      <c r="E40" s="43">
        <v>4.4709000000000003</v>
      </c>
      <c r="F40" s="44">
        <v>0.13395000000000001</v>
      </c>
      <c r="G40" s="41" t="s">
        <v>391</v>
      </c>
    </row>
    <row r="41" spans="1:7" ht="15" customHeight="1">
      <c r="A41" s="40" t="s">
        <v>54</v>
      </c>
      <c r="B41" s="41" t="s">
        <v>378</v>
      </c>
      <c r="C41" s="42">
        <v>2</v>
      </c>
      <c r="D41" s="43">
        <v>0.19700000000000001</v>
      </c>
      <c r="E41" s="43">
        <v>5.5674999999999999</v>
      </c>
      <c r="F41" s="44">
        <v>0.12385</v>
      </c>
      <c r="G41" s="41" t="s">
        <v>392</v>
      </c>
    </row>
    <row r="42" spans="1:7" ht="15" customHeight="1">
      <c r="A42" s="40" t="s">
        <v>54</v>
      </c>
      <c r="B42" s="41" t="s">
        <v>378</v>
      </c>
      <c r="C42" s="42">
        <v>3</v>
      </c>
      <c r="D42" s="43">
        <v>0.17380000000000001</v>
      </c>
      <c r="E42" s="43">
        <v>6.3761999999999999</v>
      </c>
      <c r="F42" s="44">
        <v>0.11727</v>
      </c>
      <c r="G42" s="41" t="s">
        <v>393</v>
      </c>
    </row>
    <row r="43" spans="1:7" ht="15" customHeight="1">
      <c r="A43" s="40" t="s">
        <v>54</v>
      </c>
      <c r="B43" s="41" t="s">
        <v>378</v>
      </c>
      <c r="C43" s="42">
        <v>4</v>
      </c>
      <c r="D43" s="43">
        <v>0.15529999999999999</v>
      </c>
      <c r="E43" s="43">
        <v>7.0023</v>
      </c>
      <c r="F43" s="44">
        <v>0.11316</v>
      </c>
      <c r="G43" s="41" t="s">
        <v>394</v>
      </c>
    </row>
    <row r="44" spans="1:7" ht="15" customHeight="1">
      <c r="A44" s="40" t="s">
        <v>54</v>
      </c>
      <c r="B44" s="41" t="s">
        <v>378</v>
      </c>
      <c r="C44" s="42">
        <v>5</v>
      </c>
      <c r="D44" s="43">
        <v>0.13950000000000001</v>
      </c>
      <c r="E44" s="43">
        <v>7.5105000000000004</v>
      </c>
      <c r="F44" s="44">
        <v>0.1108</v>
      </c>
      <c r="G44" s="41" t="s">
        <v>395</v>
      </c>
    </row>
    <row r="45" spans="1:7" ht="15" customHeight="1">
      <c r="A45" s="40" t="s">
        <v>54</v>
      </c>
      <c r="B45" s="41" t="s">
        <v>378</v>
      </c>
      <c r="C45" s="42">
        <v>6</v>
      </c>
      <c r="D45" s="43">
        <v>0.12570000000000001</v>
      </c>
      <c r="E45" s="43">
        <v>7.9340000000000002</v>
      </c>
      <c r="F45" s="44">
        <v>0.10958</v>
      </c>
      <c r="G45" s="41" t="s">
        <v>396</v>
      </c>
    </row>
    <row r="46" spans="1:7" ht="15" customHeight="1">
      <c r="A46" s="40" t="s">
        <v>54</v>
      </c>
      <c r="B46" s="41" t="s">
        <v>378</v>
      </c>
      <c r="C46" s="42">
        <v>7</v>
      </c>
      <c r="D46" s="43">
        <v>0.1134</v>
      </c>
      <c r="E46" s="43">
        <v>8.2970000000000006</v>
      </c>
      <c r="F46" s="44">
        <v>0.10902000000000001</v>
      </c>
      <c r="G46" s="41" t="s">
        <v>397</v>
      </c>
    </row>
    <row r="47" spans="1:7" ht="15" customHeight="1">
      <c r="A47" s="40" t="s">
        <v>54</v>
      </c>
      <c r="B47" s="41" t="s">
        <v>378</v>
      </c>
      <c r="C47" s="42">
        <v>8</v>
      </c>
      <c r="D47" s="43">
        <v>0.1021</v>
      </c>
      <c r="E47" s="43">
        <v>8.6151</v>
      </c>
      <c r="F47" s="44">
        <v>0.10882</v>
      </c>
      <c r="G47" s="41" t="s">
        <v>398</v>
      </c>
    </row>
    <row r="48" spans="1:7" ht="15" customHeight="1">
      <c r="A48" s="40" t="s">
        <v>54</v>
      </c>
      <c r="B48" s="41" t="s">
        <v>378</v>
      </c>
      <c r="C48" s="42">
        <v>9</v>
      </c>
      <c r="D48" s="43">
        <v>9.1700000000000004E-2</v>
      </c>
      <c r="E48" s="43">
        <v>8.9014000000000006</v>
      </c>
      <c r="F48" s="44">
        <v>0.10881</v>
      </c>
      <c r="G48" s="41" t="s">
        <v>399</v>
      </c>
    </row>
    <row r="49" spans="1:7" ht="15" customHeight="1">
      <c r="A49" s="40" t="s">
        <v>54</v>
      </c>
      <c r="B49" s="41" t="s">
        <v>378</v>
      </c>
      <c r="C49" s="42">
        <v>10</v>
      </c>
      <c r="D49" s="43">
        <v>8.2000000000000003E-2</v>
      </c>
      <c r="E49" s="43">
        <v>9.1648999999999994</v>
      </c>
      <c r="F49" s="44">
        <v>0.10891000000000001</v>
      </c>
      <c r="G49" s="41" t="s">
        <v>400</v>
      </c>
    </row>
    <row r="50" spans="1:7" ht="15" customHeight="1">
      <c r="A50" s="40" t="s">
        <v>54</v>
      </c>
      <c r="B50" s="41" t="s">
        <v>378</v>
      </c>
      <c r="C50" s="42">
        <v>11</v>
      </c>
      <c r="D50" s="43">
        <v>7.2999999999999995E-2</v>
      </c>
      <c r="E50" s="43">
        <v>9.4122000000000003</v>
      </c>
      <c r="F50" s="44">
        <v>0.10906</v>
      </c>
      <c r="G50" s="41" t="s">
        <v>401</v>
      </c>
    </row>
    <row r="51" spans="1:7" ht="15" customHeight="1">
      <c r="A51" s="40" t="s">
        <v>54</v>
      </c>
      <c r="B51" s="41" t="s">
        <v>378</v>
      </c>
      <c r="C51" s="42">
        <v>12</v>
      </c>
      <c r="D51" s="43">
        <v>6.4399999999999999E-2</v>
      </c>
      <c r="E51" s="43">
        <v>9.6478999999999999</v>
      </c>
      <c r="F51" s="44">
        <v>0.10925</v>
      </c>
      <c r="G51" s="41" t="s">
        <v>402</v>
      </c>
    </row>
    <row r="52" spans="1:7" ht="15" customHeight="1">
      <c r="A52" s="40" t="s">
        <v>54</v>
      </c>
      <c r="B52" s="41" t="s">
        <v>378</v>
      </c>
      <c r="C52" s="42">
        <v>13</v>
      </c>
      <c r="D52" s="43">
        <v>5.6300000000000003E-2</v>
      </c>
      <c r="E52" s="43">
        <v>9.8749000000000002</v>
      </c>
      <c r="F52" s="44">
        <v>0.10949</v>
      </c>
      <c r="G52" s="41" t="s">
        <v>403</v>
      </c>
    </row>
    <row r="53" spans="1:7" ht="15" customHeight="1">
      <c r="A53" s="40" t="s">
        <v>54</v>
      </c>
      <c r="B53" s="41" t="s">
        <v>378</v>
      </c>
      <c r="C53" s="42">
        <v>14</v>
      </c>
      <c r="D53" s="43">
        <v>4.87E-2</v>
      </c>
      <c r="E53" s="43">
        <v>10.0953</v>
      </c>
      <c r="F53" s="44">
        <v>0.10976</v>
      </c>
      <c r="G53" s="41" t="s">
        <v>404</v>
      </c>
    </row>
    <row r="54" spans="1:7" ht="15" customHeight="1">
      <c r="A54" s="40" t="s">
        <v>54</v>
      </c>
      <c r="B54" s="41" t="s">
        <v>378</v>
      </c>
      <c r="C54" s="42">
        <v>15</v>
      </c>
      <c r="D54" s="43">
        <v>4.1300000000000003E-2</v>
      </c>
      <c r="E54" s="43">
        <v>10.3108</v>
      </c>
      <c r="F54" s="44">
        <v>0.11007</v>
      </c>
      <c r="G54" s="41" t="s">
        <v>405</v>
      </c>
    </row>
    <row r="55" spans="1:7" ht="15" customHeight="1">
      <c r="A55" s="40" t="s">
        <v>54</v>
      </c>
      <c r="B55" s="41" t="s">
        <v>378</v>
      </c>
      <c r="C55" s="42">
        <v>16</v>
      </c>
      <c r="D55" s="43">
        <v>3.4299999999999997E-2</v>
      </c>
      <c r="E55" s="43">
        <v>10.5228</v>
      </c>
      <c r="F55" s="44">
        <v>0.11040999999999999</v>
      </c>
      <c r="G55" s="41" t="s">
        <v>406</v>
      </c>
    </row>
    <row r="56" spans="1:7" ht="15" customHeight="1">
      <c r="A56" s="40" t="s">
        <v>54</v>
      </c>
      <c r="B56" s="41" t="s">
        <v>378</v>
      </c>
      <c r="C56" s="42">
        <v>17</v>
      </c>
      <c r="D56" s="43">
        <v>2.75E-2</v>
      </c>
      <c r="E56" s="43">
        <v>10.7319</v>
      </c>
      <c r="F56" s="44">
        <v>0.11079</v>
      </c>
      <c r="G56" s="41" t="s">
        <v>407</v>
      </c>
    </row>
    <row r="57" spans="1:7" ht="15" customHeight="1">
      <c r="A57" s="40" t="s">
        <v>54</v>
      </c>
      <c r="B57" s="41" t="s">
        <v>378</v>
      </c>
      <c r="C57" s="42">
        <v>18</v>
      </c>
      <c r="D57" s="43">
        <v>2.1100000000000001E-2</v>
      </c>
      <c r="E57" s="43">
        <v>10.938499999999999</v>
      </c>
      <c r="F57" s="44">
        <v>0.11119</v>
      </c>
      <c r="G57" s="41" t="s">
        <v>408</v>
      </c>
    </row>
    <row r="58" spans="1:7" ht="15" customHeight="1">
      <c r="A58" s="40" t="s">
        <v>54</v>
      </c>
      <c r="B58" s="41" t="s">
        <v>378</v>
      </c>
      <c r="C58" s="42">
        <v>19</v>
      </c>
      <c r="D58" s="43">
        <v>1.4800000000000001E-2</v>
      </c>
      <c r="E58" s="43">
        <v>11.143000000000001</v>
      </c>
      <c r="F58" s="44">
        <v>0.11164</v>
      </c>
      <c r="G58" s="41" t="s">
        <v>409</v>
      </c>
    </row>
    <row r="59" spans="1:7" ht="15" customHeight="1">
      <c r="A59" s="40" t="s">
        <v>54</v>
      </c>
      <c r="B59" s="41" t="s">
        <v>378</v>
      </c>
      <c r="C59" s="42">
        <v>20</v>
      </c>
      <c r="D59" s="43">
        <v>8.6999999999999994E-3</v>
      </c>
      <c r="E59" s="43">
        <v>11.3462</v>
      </c>
      <c r="F59" s="44">
        <v>0.11211</v>
      </c>
      <c r="G59" s="41" t="s">
        <v>410</v>
      </c>
    </row>
    <row r="60" spans="1:7" ht="15" customHeight="1">
      <c r="A60" s="40" t="s">
        <v>54</v>
      </c>
      <c r="B60" s="41" t="s">
        <v>378</v>
      </c>
      <c r="C60" s="42">
        <v>21</v>
      </c>
      <c r="D60" s="43">
        <v>2.8999999999999998E-3</v>
      </c>
      <c r="E60" s="43">
        <v>11.5486</v>
      </c>
      <c r="F60" s="44">
        <v>0.11261</v>
      </c>
      <c r="G60" s="41" t="s">
        <v>411</v>
      </c>
    </row>
    <row r="61" spans="1:7" ht="15" customHeight="1">
      <c r="A61" s="40" t="s">
        <v>54</v>
      </c>
      <c r="B61" s="41" t="s">
        <v>378</v>
      </c>
      <c r="C61" s="42">
        <v>22</v>
      </c>
      <c r="D61" s="43">
        <v>-2.8E-3</v>
      </c>
      <c r="E61" s="43">
        <v>11.750400000000001</v>
      </c>
      <c r="F61" s="44">
        <v>0.11314</v>
      </c>
      <c r="G61" s="41" t="s">
        <v>412</v>
      </c>
    </row>
    <row r="62" spans="1:7" ht="15" customHeight="1">
      <c r="A62" s="40" t="s">
        <v>54</v>
      </c>
      <c r="B62" s="41" t="s">
        <v>378</v>
      </c>
      <c r="C62" s="42">
        <v>23</v>
      </c>
      <c r="D62" s="43">
        <v>-8.3000000000000001E-3</v>
      </c>
      <c r="E62" s="43">
        <v>11.9514</v>
      </c>
      <c r="F62" s="44">
        <v>0.11369</v>
      </c>
      <c r="G62" s="41" t="s">
        <v>413</v>
      </c>
    </row>
    <row r="63" spans="1:7" ht="15" customHeight="1">
      <c r="A63" s="40" t="s">
        <v>54</v>
      </c>
      <c r="B63" s="41" t="s">
        <v>378</v>
      </c>
      <c r="C63" s="42">
        <v>24</v>
      </c>
      <c r="D63" s="43">
        <v>-1.37E-2</v>
      </c>
      <c r="E63" s="43">
        <v>12.1515</v>
      </c>
      <c r="F63" s="44">
        <v>0.11426</v>
      </c>
      <c r="G63" s="41" t="s">
        <v>414</v>
      </c>
    </row>
    <row r="64" spans="1:7" ht="15" customHeight="1">
      <c r="A64" s="40" t="s">
        <v>54</v>
      </c>
      <c r="B64" s="41" t="s">
        <v>378</v>
      </c>
      <c r="C64" s="42">
        <v>25</v>
      </c>
      <c r="D64" s="43">
        <v>-1.89E-2</v>
      </c>
      <c r="E64" s="43">
        <v>12.350199999999999</v>
      </c>
      <c r="F64" s="44">
        <v>0.11484999999999999</v>
      </c>
      <c r="G64" s="41" t="s">
        <v>415</v>
      </c>
    </row>
    <row r="65" spans="1:7" ht="15" customHeight="1">
      <c r="A65" s="40" t="s">
        <v>54</v>
      </c>
      <c r="B65" s="41" t="s">
        <v>378</v>
      </c>
      <c r="C65" s="42">
        <v>26</v>
      </c>
      <c r="D65" s="43">
        <v>-2.4E-2</v>
      </c>
      <c r="E65" s="43">
        <v>12.5466</v>
      </c>
      <c r="F65" s="44">
        <v>0.11544</v>
      </c>
      <c r="G65" s="41" t="s">
        <v>416</v>
      </c>
    </row>
    <row r="66" spans="1:7" ht="15" customHeight="1">
      <c r="A66" s="40" t="s">
        <v>54</v>
      </c>
      <c r="B66" s="41" t="s">
        <v>378</v>
      </c>
      <c r="C66" s="42">
        <v>27</v>
      </c>
      <c r="D66" s="43">
        <v>-2.8899999999999999E-2</v>
      </c>
      <c r="E66" s="43">
        <v>12.7401</v>
      </c>
      <c r="F66" s="44">
        <v>0.11604</v>
      </c>
      <c r="G66" s="41" t="s">
        <v>417</v>
      </c>
    </row>
    <row r="67" spans="1:7" ht="15" customHeight="1">
      <c r="A67" s="40" t="s">
        <v>54</v>
      </c>
      <c r="B67" s="41" t="s">
        <v>378</v>
      </c>
      <c r="C67" s="42">
        <v>28</v>
      </c>
      <c r="D67" s="43">
        <v>-3.3700000000000001E-2</v>
      </c>
      <c r="E67" s="43">
        <v>12.930300000000001</v>
      </c>
      <c r="F67" s="44">
        <v>0.11663999999999999</v>
      </c>
      <c r="G67" s="41" t="s">
        <v>418</v>
      </c>
    </row>
    <row r="68" spans="1:7" ht="15" customHeight="1">
      <c r="A68" s="40" t="s">
        <v>54</v>
      </c>
      <c r="B68" s="41" t="s">
        <v>378</v>
      </c>
      <c r="C68" s="42">
        <v>29</v>
      </c>
      <c r="D68" s="43">
        <v>-3.85E-2</v>
      </c>
      <c r="E68" s="43">
        <v>13.116899999999999</v>
      </c>
      <c r="F68" s="44">
        <v>0.11723</v>
      </c>
      <c r="G68" s="41" t="s">
        <v>419</v>
      </c>
    </row>
    <row r="69" spans="1:7" ht="15" customHeight="1">
      <c r="A69" s="40" t="s">
        <v>54</v>
      </c>
      <c r="B69" s="41" t="s">
        <v>378</v>
      </c>
      <c r="C69" s="42">
        <v>30</v>
      </c>
      <c r="D69" s="43">
        <v>-4.3099999999999999E-2</v>
      </c>
      <c r="E69" s="43">
        <v>13.3</v>
      </c>
      <c r="F69" s="44">
        <v>0.11781</v>
      </c>
      <c r="G69" s="41" t="s">
        <v>420</v>
      </c>
    </row>
    <row r="70" spans="1:7" ht="15" customHeight="1">
      <c r="A70" s="40" t="s">
        <v>54</v>
      </c>
      <c r="B70" s="41" t="s">
        <v>378</v>
      </c>
      <c r="C70" s="42">
        <v>31</v>
      </c>
      <c r="D70" s="43">
        <v>-4.7600000000000003E-2</v>
      </c>
      <c r="E70" s="43">
        <v>13.479799999999999</v>
      </c>
      <c r="F70" s="44">
        <v>0.11839</v>
      </c>
      <c r="G70" s="41" t="s">
        <v>421</v>
      </c>
    </row>
    <row r="71" spans="1:7" ht="15" customHeight="1">
      <c r="A71" s="40" t="s">
        <v>54</v>
      </c>
      <c r="B71" s="41" t="s">
        <v>378</v>
      </c>
      <c r="C71" s="42">
        <v>32</v>
      </c>
      <c r="D71" s="43">
        <v>-5.1999999999999998E-2</v>
      </c>
      <c r="E71" s="43">
        <v>13.656700000000001</v>
      </c>
      <c r="F71" s="44">
        <v>0.11896</v>
      </c>
      <c r="G71" s="41" t="s">
        <v>422</v>
      </c>
    </row>
    <row r="72" spans="1:7" ht="15" customHeight="1">
      <c r="A72" s="40" t="s">
        <v>54</v>
      </c>
      <c r="B72" s="41" t="s">
        <v>378</v>
      </c>
      <c r="C72" s="42">
        <v>33</v>
      </c>
      <c r="D72" s="43">
        <v>-5.6399999999999999E-2</v>
      </c>
      <c r="E72" s="43">
        <v>13.8309</v>
      </c>
      <c r="F72" s="44">
        <v>0.11953</v>
      </c>
      <c r="G72" s="41" t="s">
        <v>423</v>
      </c>
    </row>
    <row r="73" spans="1:7" ht="15" customHeight="1">
      <c r="A73" s="40" t="s">
        <v>54</v>
      </c>
      <c r="B73" s="41" t="s">
        <v>378</v>
      </c>
      <c r="C73" s="42">
        <v>34</v>
      </c>
      <c r="D73" s="43">
        <v>-6.0600000000000001E-2</v>
      </c>
      <c r="E73" s="43">
        <v>14.0031</v>
      </c>
      <c r="F73" s="44">
        <v>0.12008000000000001</v>
      </c>
      <c r="G73" s="41" t="s">
        <v>424</v>
      </c>
    </row>
    <row r="74" spans="1:7" ht="15" customHeight="1">
      <c r="A74" s="40" t="s">
        <v>54</v>
      </c>
      <c r="B74" s="41" t="s">
        <v>378</v>
      </c>
      <c r="C74" s="42">
        <v>35</v>
      </c>
      <c r="D74" s="43">
        <v>-6.4799999999999996E-2</v>
      </c>
      <c r="E74" s="43">
        <v>14.1736</v>
      </c>
      <c r="F74" s="44">
        <v>0.12062</v>
      </c>
      <c r="G74" s="41" t="s">
        <v>425</v>
      </c>
    </row>
    <row r="75" spans="1:7" ht="15" customHeight="1">
      <c r="A75" s="40" t="s">
        <v>54</v>
      </c>
      <c r="B75" s="41" t="s">
        <v>378</v>
      </c>
      <c r="C75" s="42">
        <v>36</v>
      </c>
      <c r="D75" s="43">
        <v>-6.8900000000000003E-2</v>
      </c>
      <c r="E75" s="43">
        <v>14.3429</v>
      </c>
      <c r="F75" s="44">
        <v>0.12116</v>
      </c>
      <c r="G75" s="41" t="s">
        <v>426</v>
      </c>
    </row>
    <row r="76" spans="1:7" ht="15" customHeight="1">
      <c r="A76" s="40" t="s">
        <v>54</v>
      </c>
      <c r="B76" s="41" t="s">
        <v>378</v>
      </c>
      <c r="C76" s="42">
        <v>37</v>
      </c>
      <c r="D76" s="43">
        <v>-7.2900000000000006E-2</v>
      </c>
      <c r="E76" s="43">
        <v>14.5113</v>
      </c>
      <c r="F76" s="44">
        <v>0.12168</v>
      </c>
      <c r="G76" s="41" t="s">
        <v>427</v>
      </c>
    </row>
    <row r="77" spans="1:7" ht="15" customHeight="1">
      <c r="A77" s="40" t="s">
        <v>54</v>
      </c>
      <c r="B77" s="41" t="s">
        <v>378</v>
      </c>
      <c r="C77" s="42">
        <v>38</v>
      </c>
      <c r="D77" s="43">
        <v>-7.6899999999999996E-2</v>
      </c>
      <c r="E77" s="43">
        <v>14.6791</v>
      </c>
      <c r="F77" s="44">
        <v>0.1222</v>
      </c>
      <c r="G77" s="41" t="s">
        <v>428</v>
      </c>
    </row>
    <row r="78" spans="1:7" ht="15" customHeight="1">
      <c r="A78" s="40" t="s">
        <v>54</v>
      </c>
      <c r="B78" s="41" t="s">
        <v>378</v>
      </c>
      <c r="C78" s="42">
        <v>39</v>
      </c>
      <c r="D78" s="43">
        <v>-8.0799999999999997E-2</v>
      </c>
      <c r="E78" s="43">
        <v>14.8466</v>
      </c>
      <c r="F78" s="44">
        <v>0.12271</v>
      </c>
      <c r="G78" s="41" t="s">
        <v>429</v>
      </c>
    </row>
    <row r="79" spans="1:7" ht="15" customHeight="1">
      <c r="A79" s="40" t="s">
        <v>54</v>
      </c>
      <c r="B79" s="41" t="s">
        <v>378</v>
      </c>
      <c r="C79" s="42">
        <v>40</v>
      </c>
      <c r="D79" s="43">
        <v>-8.4599999999999995E-2</v>
      </c>
      <c r="E79" s="43">
        <v>15.013999999999999</v>
      </c>
      <c r="F79" s="44">
        <v>0.12322</v>
      </c>
      <c r="G79" s="41" t="s">
        <v>430</v>
      </c>
    </row>
    <row r="80" spans="1:7" ht="15" customHeight="1">
      <c r="A80" s="40" t="s">
        <v>54</v>
      </c>
      <c r="B80" s="41" t="s">
        <v>378</v>
      </c>
      <c r="C80" s="42">
        <v>41</v>
      </c>
      <c r="D80" s="43">
        <v>-8.8300000000000003E-2</v>
      </c>
      <c r="E80" s="43">
        <v>15.1813</v>
      </c>
      <c r="F80" s="44">
        <v>0.12373000000000001</v>
      </c>
      <c r="G80" s="41" t="s">
        <v>431</v>
      </c>
    </row>
    <row r="81" spans="1:7" ht="15" customHeight="1">
      <c r="A81" s="40" t="s">
        <v>54</v>
      </c>
      <c r="B81" s="41" t="s">
        <v>378</v>
      </c>
      <c r="C81" s="42">
        <v>42</v>
      </c>
      <c r="D81" s="43">
        <v>-9.1999999999999998E-2</v>
      </c>
      <c r="E81" s="43">
        <v>15.348599999999999</v>
      </c>
      <c r="F81" s="44">
        <v>0.12425</v>
      </c>
      <c r="G81" s="41" t="s">
        <v>432</v>
      </c>
    </row>
    <row r="82" spans="1:7" ht="15" customHeight="1">
      <c r="A82" s="40" t="s">
        <v>54</v>
      </c>
      <c r="B82" s="41" t="s">
        <v>378</v>
      </c>
      <c r="C82" s="42">
        <v>43</v>
      </c>
      <c r="D82" s="43">
        <v>-9.5699999999999993E-2</v>
      </c>
      <c r="E82" s="43">
        <v>15.5158</v>
      </c>
      <c r="F82" s="44">
        <v>0.12478</v>
      </c>
      <c r="G82" s="41" t="s">
        <v>433</v>
      </c>
    </row>
    <row r="83" spans="1:7" ht="15" customHeight="1">
      <c r="A83" s="40" t="s">
        <v>54</v>
      </c>
      <c r="B83" s="41" t="s">
        <v>378</v>
      </c>
      <c r="C83" s="42">
        <v>44</v>
      </c>
      <c r="D83" s="43">
        <v>-9.9299999999999999E-2</v>
      </c>
      <c r="E83" s="43">
        <v>15.6828</v>
      </c>
      <c r="F83" s="44">
        <v>0.12531</v>
      </c>
      <c r="G83" s="41" t="s">
        <v>434</v>
      </c>
    </row>
    <row r="84" spans="1:7" ht="15" customHeight="1">
      <c r="A84" s="40" t="s">
        <v>54</v>
      </c>
      <c r="B84" s="41" t="s">
        <v>378</v>
      </c>
      <c r="C84" s="42">
        <v>45</v>
      </c>
      <c r="D84" s="43">
        <v>-0.1028</v>
      </c>
      <c r="E84" s="43">
        <v>15.8497</v>
      </c>
      <c r="F84" s="44">
        <v>0.12586</v>
      </c>
      <c r="G84" s="41" t="s">
        <v>435</v>
      </c>
    </row>
    <row r="85" spans="1:7" ht="15" customHeight="1">
      <c r="A85" s="40" t="s">
        <v>54</v>
      </c>
      <c r="B85" s="41" t="s">
        <v>378</v>
      </c>
      <c r="C85" s="42">
        <v>46</v>
      </c>
      <c r="D85" s="43">
        <v>-0.10630000000000001</v>
      </c>
      <c r="E85" s="43">
        <v>16.016300000000001</v>
      </c>
      <c r="F85" s="44">
        <v>0.12642999999999999</v>
      </c>
      <c r="G85" s="41" t="s">
        <v>436</v>
      </c>
    </row>
    <row r="86" spans="1:7" ht="15" customHeight="1">
      <c r="A86" s="40" t="s">
        <v>54</v>
      </c>
      <c r="B86" s="41" t="s">
        <v>378</v>
      </c>
      <c r="C86" s="42">
        <v>47</v>
      </c>
      <c r="D86" s="43">
        <v>-0.10970000000000001</v>
      </c>
      <c r="E86" s="43">
        <v>16.182700000000001</v>
      </c>
      <c r="F86" s="44">
        <v>0.127</v>
      </c>
      <c r="G86" s="41" t="s">
        <v>437</v>
      </c>
    </row>
    <row r="87" spans="1:7" ht="15" customHeight="1">
      <c r="A87" s="40" t="s">
        <v>54</v>
      </c>
      <c r="B87" s="41" t="s">
        <v>378</v>
      </c>
      <c r="C87" s="42">
        <v>48</v>
      </c>
      <c r="D87" s="43">
        <v>-0.11310000000000001</v>
      </c>
      <c r="E87" s="43">
        <v>16.3489</v>
      </c>
      <c r="F87" s="44">
        <v>0.12759000000000001</v>
      </c>
      <c r="G87" s="41" t="s">
        <v>438</v>
      </c>
    </row>
    <row r="88" spans="1:7" ht="15" customHeight="1">
      <c r="A88" s="40" t="s">
        <v>54</v>
      </c>
      <c r="B88" s="41" t="s">
        <v>378</v>
      </c>
      <c r="C88" s="42">
        <v>49</v>
      </c>
      <c r="D88" s="43">
        <v>-0.11650000000000001</v>
      </c>
      <c r="E88" s="43">
        <v>16.515000000000001</v>
      </c>
      <c r="F88" s="44">
        <v>0.12819</v>
      </c>
      <c r="G88" s="41" t="s">
        <v>439</v>
      </c>
    </row>
    <row r="89" spans="1:7" ht="15" customHeight="1">
      <c r="A89" s="40" t="s">
        <v>54</v>
      </c>
      <c r="B89" s="41" t="s">
        <v>378</v>
      </c>
      <c r="C89" s="42">
        <v>50</v>
      </c>
      <c r="D89" s="43">
        <v>-0.1198</v>
      </c>
      <c r="E89" s="43">
        <v>16.681100000000001</v>
      </c>
      <c r="F89" s="44">
        <v>0.1288</v>
      </c>
      <c r="G89" s="41" t="s">
        <v>440</v>
      </c>
    </row>
    <row r="90" spans="1:7" ht="15" customHeight="1">
      <c r="A90" s="40" t="s">
        <v>54</v>
      </c>
      <c r="B90" s="41" t="s">
        <v>378</v>
      </c>
      <c r="C90" s="42">
        <v>51</v>
      </c>
      <c r="D90" s="43">
        <v>-0.123</v>
      </c>
      <c r="E90" s="43">
        <v>16.847100000000001</v>
      </c>
      <c r="F90" s="44">
        <v>0.12942999999999999</v>
      </c>
      <c r="G90" s="41" t="s">
        <v>441</v>
      </c>
    </row>
    <row r="91" spans="1:7" ht="15" customHeight="1">
      <c r="A91" s="40" t="s">
        <v>54</v>
      </c>
      <c r="B91" s="41" t="s">
        <v>378</v>
      </c>
      <c r="C91" s="42">
        <v>52</v>
      </c>
      <c r="D91" s="43">
        <v>-0.12620000000000001</v>
      </c>
      <c r="E91" s="43">
        <v>17.013200000000001</v>
      </c>
      <c r="F91" s="44">
        <v>0.13005</v>
      </c>
      <c r="G91" s="41" t="s">
        <v>442</v>
      </c>
    </row>
    <row r="92" spans="1:7" ht="15" customHeight="1">
      <c r="A92" s="40" t="s">
        <v>54</v>
      </c>
      <c r="B92" s="41" t="s">
        <v>378</v>
      </c>
      <c r="C92" s="42">
        <v>53</v>
      </c>
      <c r="D92" s="43">
        <v>-0.12939999999999999</v>
      </c>
      <c r="E92" s="43">
        <v>17.179200000000002</v>
      </c>
      <c r="F92" s="44">
        <v>0.13069</v>
      </c>
      <c r="G92" s="41" t="s">
        <v>443</v>
      </c>
    </row>
    <row r="93" spans="1:7" ht="15" customHeight="1">
      <c r="A93" s="40" t="s">
        <v>54</v>
      </c>
      <c r="B93" s="41" t="s">
        <v>378</v>
      </c>
      <c r="C93" s="42">
        <v>54</v>
      </c>
      <c r="D93" s="43">
        <v>-0.13250000000000001</v>
      </c>
      <c r="E93" s="43">
        <v>17.345199999999998</v>
      </c>
      <c r="F93" s="44">
        <v>0.13133</v>
      </c>
      <c r="G93" s="41" t="s">
        <v>444</v>
      </c>
    </row>
    <row r="94" spans="1:7" ht="15" customHeight="1">
      <c r="A94" s="40" t="s">
        <v>54</v>
      </c>
      <c r="B94" s="41" t="s">
        <v>378</v>
      </c>
      <c r="C94" s="42">
        <v>55</v>
      </c>
      <c r="D94" s="43">
        <v>-0.1356</v>
      </c>
      <c r="E94" s="43">
        <v>17.511099999999999</v>
      </c>
      <c r="F94" s="44">
        <v>0.13197</v>
      </c>
      <c r="G94" s="41" t="s">
        <v>445</v>
      </c>
    </row>
    <row r="95" spans="1:7" ht="15" customHeight="1">
      <c r="A95" s="40" t="s">
        <v>54</v>
      </c>
      <c r="B95" s="41" t="s">
        <v>378</v>
      </c>
      <c r="C95" s="42">
        <v>56</v>
      </c>
      <c r="D95" s="43">
        <v>-0.13869999999999999</v>
      </c>
      <c r="E95" s="43">
        <v>17.6768</v>
      </c>
      <c r="F95" s="44">
        <v>0.13261000000000001</v>
      </c>
      <c r="G95" s="41" t="s">
        <v>446</v>
      </c>
    </row>
    <row r="96" spans="1:7" ht="15" customHeight="1">
      <c r="A96" s="40" t="s">
        <v>54</v>
      </c>
      <c r="B96" s="41" t="s">
        <v>378</v>
      </c>
      <c r="C96" s="42">
        <v>57</v>
      </c>
      <c r="D96" s="43">
        <v>-0.14169999999999999</v>
      </c>
      <c r="E96" s="43">
        <v>17.842199999999998</v>
      </c>
      <c r="F96" s="44">
        <v>0.13325000000000001</v>
      </c>
      <c r="G96" s="41" t="s">
        <v>447</v>
      </c>
    </row>
    <row r="97" spans="1:7" ht="15" customHeight="1">
      <c r="A97" s="40" t="s">
        <v>54</v>
      </c>
      <c r="B97" s="41" t="s">
        <v>378</v>
      </c>
      <c r="C97" s="42">
        <v>58</v>
      </c>
      <c r="D97" s="43">
        <v>-0.1447</v>
      </c>
      <c r="E97" s="43">
        <v>18.007300000000001</v>
      </c>
      <c r="F97" s="44">
        <v>0.13389000000000001</v>
      </c>
      <c r="G97" s="41" t="s">
        <v>448</v>
      </c>
    </row>
    <row r="98" spans="1:7" ht="15" customHeight="1">
      <c r="A98" s="40" t="s">
        <v>54</v>
      </c>
      <c r="B98" s="41" t="s">
        <v>378</v>
      </c>
      <c r="C98" s="42">
        <v>59</v>
      </c>
      <c r="D98" s="43">
        <v>-0.1477</v>
      </c>
      <c r="E98" s="43">
        <v>18.1722</v>
      </c>
      <c r="F98" s="44">
        <v>0.13453000000000001</v>
      </c>
      <c r="G98" s="41" t="s">
        <v>449</v>
      </c>
    </row>
    <row r="99" spans="1:7" ht="15" customHeight="1">
      <c r="A99" s="40" t="s">
        <v>54</v>
      </c>
      <c r="B99" s="41" t="s">
        <v>378</v>
      </c>
      <c r="C99" s="42">
        <v>60</v>
      </c>
      <c r="D99" s="43">
        <v>-0.15060000000000001</v>
      </c>
      <c r="E99" s="43">
        <v>18.336600000000001</v>
      </c>
      <c r="F99" s="44">
        <v>0.13517000000000001</v>
      </c>
      <c r="G99" s="41" t="s">
        <v>450</v>
      </c>
    </row>
    <row r="100" spans="1:7" ht="15" customHeight="1">
      <c r="A100" s="40" t="s">
        <v>54</v>
      </c>
      <c r="B100" s="41" t="s">
        <v>50</v>
      </c>
      <c r="C100" s="42">
        <v>0</v>
      </c>
      <c r="D100" s="43">
        <v>0.38090000000000002</v>
      </c>
      <c r="E100" s="43">
        <v>3.2322000000000002</v>
      </c>
      <c r="F100" s="44">
        <v>0.14171</v>
      </c>
      <c r="G100" s="41" t="s">
        <v>451</v>
      </c>
    </row>
    <row r="101" spans="1:7" ht="15" customHeight="1">
      <c r="A101" s="40" t="s">
        <v>54</v>
      </c>
      <c r="B101" s="41" t="s">
        <v>50</v>
      </c>
      <c r="C101" s="42">
        <v>1</v>
      </c>
      <c r="D101" s="43">
        <v>0.1714</v>
      </c>
      <c r="E101" s="43">
        <v>4.1872999999999996</v>
      </c>
      <c r="F101" s="44">
        <v>0.13724</v>
      </c>
      <c r="G101" s="41" t="s">
        <v>452</v>
      </c>
    </row>
    <row r="102" spans="1:7" ht="15" customHeight="1">
      <c r="A102" s="40" t="s">
        <v>54</v>
      </c>
      <c r="B102" s="41" t="s">
        <v>50</v>
      </c>
      <c r="C102" s="42">
        <v>2</v>
      </c>
      <c r="D102" s="43">
        <v>9.6199999999999994E-2</v>
      </c>
      <c r="E102" s="43">
        <v>5.1281999999999996</v>
      </c>
      <c r="F102" s="44">
        <v>0.13</v>
      </c>
      <c r="G102" s="41" t="s">
        <v>453</v>
      </c>
    </row>
    <row r="103" spans="1:7" ht="15" customHeight="1">
      <c r="A103" s="40" t="s">
        <v>54</v>
      </c>
      <c r="B103" s="41" t="s">
        <v>50</v>
      </c>
      <c r="C103" s="42">
        <v>3</v>
      </c>
      <c r="D103" s="43">
        <v>4.02E-2</v>
      </c>
      <c r="E103" s="43">
        <v>5.8457999999999997</v>
      </c>
      <c r="F103" s="44">
        <v>0.12619</v>
      </c>
      <c r="G103" s="41" t="s">
        <v>454</v>
      </c>
    </row>
    <row r="104" spans="1:7" ht="15" customHeight="1">
      <c r="A104" s="40" t="s">
        <v>54</v>
      </c>
      <c r="B104" s="41" t="s">
        <v>50</v>
      </c>
      <c r="C104" s="42">
        <v>4</v>
      </c>
      <c r="D104" s="43">
        <v>-5.0000000000000001E-3</v>
      </c>
      <c r="E104" s="43">
        <v>6.4237000000000002</v>
      </c>
      <c r="F104" s="44">
        <v>0.12402000000000001</v>
      </c>
      <c r="G104" s="41" t="s">
        <v>455</v>
      </c>
    </row>
    <row r="105" spans="1:7" ht="15" customHeight="1">
      <c r="A105" s="40" t="s">
        <v>54</v>
      </c>
      <c r="B105" s="41" t="s">
        <v>50</v>
      </c>
      <c r="C105" s="42">
        <v>5</v>
      </c>
      <c r="D105" s="43">
        <v>-4.2999999999999997E-2</v>
      </c>
      <c r="E105" s="43">
        <v>6.8985000000000003</v>
      </c>
      <c r="F105" s="44">
        <v>0.12274</v>
      </c>
      <c r="G105" s="41" t="s">
        <v>456</v>
      </c>
    </row>
    <row r="106" spans="1:7" ht="15" customHeight="1">
      <c r="A106" s="40" t="s">
        <v>54</v>
      </c>
      <c r="B106" s="41" t="s">
        <v>50</v>
      </c>
      <c r="C106" s="42">
        <v>6</v>
      </c>
      <c r="D106" s="43">
        <v>-7.5600000000000001E-2</v>
      </c>
      <c r="E106" s="43">
        <v>7.2969999999999997</v>
      </c>
      <c r="F106" s="44">
        <v>0.12204</v>
      </c>
      <c r="G106" s="41" t="s">
        <v>457</v>
      </c>
    </row>
    <row r="107" spans="1:7" ht="15" customHeight="1">
      <c r="A107" s="40" t="s">
        <v>54</v>
      </c>
      <c r="B107" s="41" t="s">
        <v>50</v>
      </c>
      <c r="C107" s="42">
        <v>7</v>
      </c>
      <c r="D107" s="43">
        <v>-0.10390000000000001</v>
      </c>
      <c r="E107" s="43">
        <v>7.6421999999999999</v>
      </c>
      <c r="F107" s="44">
        <v>0.12178</v>
      </c>
      <c r="G107" s="41" t="s">
        <v>458</v>
      </c>
    </row>
    <row r="108" spans="1:7" ht="15" customHeight="1">
      <c r="A108" s="40" t="s">
        <v>54</v>
      </c>
      <c r="B108" s="41" t="s">
        <v>50</v>
      </c>
      <c r="C108" s="42">
        <v>8</v>
      </c>
      <c r="D108" s="43">
        <v>-0.1288</v>
      </c>
      <c r="E108" s="43">
        <v>7.9486999999999997</v>
      </c>
      <c r="F108" s="44">
        <v>0.12181</v>
      </c>
      <c r="G108" s="41" t="s">
        <v>459</v>
      </c>
    </row>
    <row r="109" spans="1:7" ht="15" customHeight="1">
      <c r="A109" s="40" t="s">
        <v>54</v>
      </c>
      <c r="B109" s="41" t="s">
        <v>50</v>
      </c>
      <c r="C109" s="42">
        <v>9</v>
      </c>
      <c r="D109" s="43">
        <v>-0.1507</v>
      </c>
      <c r="E109" s="43">
        <v>8.2254000000000005</v>
      </c>
      <c r="F109" s="44">
        <v>0.12199</v>
      </c>
      <c r="G109" s="41" t="s">
        <v>460</v>
      </c>
    </row>
    <row r="110" spans="1:7" ht="15" customHeight="1">
      <c r="A110" s="40" t="s">
        <v>54</v>
      </c>
      <c r="B110" s="41" t="s">
        <v>50</v>
      </c>
      <c r="C110" s="42">
        <v>10</v>
      </c>
      <c r="D110" s="43">
        <v>-0.17</v>
      </c>
      <c r="E110" s="43">
        <v>8.48</v>
      </c>
      <c r="F110" s="44">
        <v>0.12223000000000001</v>
      </c>
      <c r="G110" s="41" t="s">
        <v>461</v>
      </c>
    </row>
    <row r="111" spans="1:7" ht="15" customHeight="1">
      <c r="A111" s="40" t="s">
        <v>54</v>
      </c>
      <c r="B111" s="41" t="s">
        <v>50</v>
      </c>
      <c r="C111" s="42">
        <v>11</v>
      </c>
      <c r="D111" s="43">
        <v>-0.18720000000000001</v>
      </c>
      <c r="E111" s="43">
        <v>8.7192000000000007</v>
      </c>
      <c r="F111" s="44">
        <v>0.12247</v>
      </c>
      <c r="G111" s="41" t="s">
        <v>462</v>
      </c>
    </row>
    <row r="112" spans="1:7" ht="15" customHeight="1">
      <c r="A112" s="40" t="s">
        <v>54</v>
      </c>
      <c r="B112" s="41" t="s">
        <v>50</v>
      </c>
      <c r="C112" s="42">
        <v>12</v>
      </c>
      <c r="D112" s="43">
        <v>-0.2024</v>
      </c>
      <c r="E112" s="43">
        <v>8.9481000000000002</v>
      </c>
      <c r="F112" s="44">
        <v>0.12268</v>
      </c>
      <c r="G112" s="41" t="s">
        <v>463</v>
      </c>
    </row>
    <row r="113" spans="1:7" ht="15" customHeight="1">
      <c r="A113" s="40" t="s">
        <v>54</v>
      </c>
      <c r="B113" s="41" t="s">
        <v>50</v>
      </c>
      <c r="C113" s="42">
        <v>13</v>
      </c>
      <c r="D113" s="43">
        <v>-0.21579999999999999</v>
      </c>
      <c r="E113" s="43">
        <v>9.1699000000000002</v>
      </c>
      <c r="F113" s="44">
        <v>0.12282999999999999</v>
      </c>
      <c r="G113" s="41" t="s">
        <v>464</v>
      </c>
    </row>
    <row r="114" spans="1:7" ht="15" customHeight="1">
      <c r="A114" s="40" t="s">
        <v>54</v>
      </c>
      <c r="B114" s="41" t="s">
        <v>50</v>
      </c>
      <c r="C114" s="42">
        <v>14</v>
      </c>
      <c r="D114" s="43">
        <v>-0.2278</v>
      </c>
      <c r="E114" s="43">
        <v>9.3870000000000005</v>
      </c>
      <c r="F114" s="44">
        <v>0.12293999999999999</v>
      </c>
      <c r="G114" s="41" t="s">
        <v>465</v>
      </c>
    </row>
    <row r="115" spans="1:7" ht="15" customHeight="1">
      <c r="A115" s="40" t="s">
        <v>54</v>
      </c>
      <c r="B115" s="41" t="s">
        <v>50</v>
      </c>
      <c r="C115" s="42">
        <v>15</v>
      </c>
      <c r="D115" s="43">
        <v>-0.2384</v>
      </c>
      <c r="E115" s="43">
        <v>9.6007999999999996</v>
      </c>
      <c r="F115" s="44">
        <v>0.12299</v>
      </c>
      <c r="G115" s="41" t="s">
        <v>466</v>
      </c>
    </row>
    <row r="116" spans="1:7" ht="15" customHeight="1">
      <c r="A116" s="40" t="s">
        <v>54</v>
      </c>
      <c r="B116" s="41" t="s">
        <v>50</v>
      </c>
      <c r="C116" s="42">
        <v>16</v>
      </c>
      <c r="D116" s="43">
        <v>-0.24779999999999999</v>
      </c>
      <c r="E116" s="43">
        <v>9.8124000000000002</v>
      </c>
      <c r="F116" s="44">
        <v>0.12303</v>
      </c>
      <c r="G116" s="41" t="s">
        <v>467</v>
      </c>
    </row>
    <row r="117" spans="1:7" ht="15" customHeight="1">
      <c r="A117" s="40" t="s">
        <v>54</v>
      </c>
      <c r="B117" s="41" t="s">
        <v>50</v>
      </c>
      <c r="C117" s="42">
        <v>17</v>
      </c>
      <c r="D117" s="43">
        <v>-0.25619999999999998</v>
      </c>
      <c r="E117" s="43">
        <v>10.022600000000001</v>
      </c>
      <c r="F117" s="44">
        <v>0.12306</v>
      </c>
      <c r="G117" s="41" t="s">
        <v>468</v>
      </c>
    </row>
    <row r="118" spans="1:7" ht="15" customHeight="1">
      <c r="A118" s="40" t="s">
        <v>54</v>
      </c>
      <c r="B118" s="41" t="s">
        <v>50</v>
      </c>
      <c r="C118" s="42">
        <v>18</v>
      </c>
      <c r="D118" s="43">
        <v>-0.26369999999999999</v>
      </c>
      <c r="E118" s="43">
        <v>10.2315</v>
      </c>
      <c r="F118" s="44">
        <v>0.12309</v>
      </c>
      <c r="G118" s="41" t="s">
        <v>469</v>
      </c>
    </row>
    <row r="119" spans="1:7" ht="15" customHeight="1">
      <c r="A119" s="40" t="s">
        <v>54</v>
      </c>
      <c r="B119" s="41" t="s">
        <v>50</v>
      </c>
      <c r="C119" s="42">
        <v>19</v>
      </c>
      <c r="D119" s="43">
        <v>-0.27029999999999998</v>
      </c>
      <c r="E119" s="43">
        <v>10.439299999999999</v>
      </c>
      <c r="F119" s="44">
        <v>0.12315</v>
      </c>
      <c r="G119" s="41" t="s">
        <v>470</v>
      </c>
    </row>
    <row r="120" spans="1:7" ht="15" customHeight="1">
      <c r="A120" s="40" t="s">
        <v>54</v>
      </c>
      <c r="B120" s="41" t="s">
        <v>50</v>
      </c>
      <c r="C120" s="42">
        <v>20</v>
      </c>
      <c r="D120" s="43">
        <v>-0.2762</v>
      </c>
      <c r="E120" s="43">
        <v>10.6464</v>
      </c>
      <c r="F120" s="44">
        <v>0.12323000000000001</v>
      </c>
      <c r="G120" s="41" t="s">
        <v>471</v>
      </c>
    </row>
    <row r="121" spans="1:7" ht="15" customHeight="1">
      <c r="A121" s="40" t="s">
        <v>54</v>
      </c>
      <c r="B121" s="41" t="s">
        <v>50</v>
      </c>
      <c r="C121" s="42">
        <v>21</v>
      </c>
      <c r="D121" s="43">
        <v>-0.28149999999999997</v>
      </c>
      <c r="E121" s="43">
        <v>10.853400000000001</v>
      </c>
      <c r="F121" s="44">
        <v>0.12335</v>
      </c>
      <c r="G121" s="41" t="s">
        <v>472</v>
      </c>
    </row>
    <row r="122" spans="1:7" ht="15" customHeight="1">
      <c r="A122" s="40" t="s">
        <v>54</v>
      </c>
      <c r="B122" s="41" t="s">
        <v>50</v>
      </c>
      <c r="C122" s="42">
        <v>22</v>
      </c>
      <c r="D122" s="43">
        <v>-0.28620000000000001</v>
      </c>
      <c r="E122" s="43">
        <v>11.0608</v>
      </c>
      <c r="F122" s="44">
        <v>0.1235</v>
      </c>
      <c r="G122" s="41" t="s">
        <v>473</v>
      </c>
    </row>
    <row r="123" spans="1:7" ht="15" customHeight="1">
      <c r="A123" s="40" t="s">
        <v>54</v>
      </c>
      <c r="B123" s="41" t="s">
        <v>50</v>
      </c>
      <c r="C123" s="42">
        <v>23</v>
      </c>
      <c r="D123" s="43">
        <v>-0.2903</v>
      </c>
      <c r="E123" s="43">
        <v>11.268800000000001</v>
      </c>
      <c r="F123" s="44">
        <v>0.12368999999999999</v>
      </c>
      <c r="G123" s="41" t="s">
        <v>474</v>
      </c>
    </row>
    <row r="124" spans="1:7" ht="15" customHeight="1">
      <c r="A124" s="40" t="s">
        <v>54</v>
      </c>
      <c r="B124" s="41" t="s">
        <v>50</v>
      </c>
      <c r="C124" s="42">
        <v>24</v>
      </c>
      <c r="D124" s="43">
        <v>-0.29409999999999997</v>
      </c>
      <c r="E124" s="43">
        <v>11.477499999999999</v>
      </c>
      <c r="F124" s="44">
        <v>0.1239</v>
      </c>
      <c r="G124" s="41" t="s">
        <v>475</v>
      </c>
    </row>
    <row r="125" spans="1:7" ht="15" customHeight="1">
      <c r="A125" s="40" t="s">
        <v>54</v>
      </c>
      <c r="B125" s="41" t="s">
        <v>50</v>
      </c>
      <c r="C125" s="42">
        <v>25</v>
      </c>
      <c r="D125" s="43">
        <v>-0.29749999999999999</v>
      </c>
      <c r="E125" s="43">
        <v>11.686400000000001</v>
      </c>
      <c r="F125" s="44">
        <v>0.12414</v>
      </c>
      <c r="G125" s="41" t="s">
        <v>476</v>
      </c>
    </row>
    <row r="126" spans="1:7" ht="15" customHeight="1">
      <c r="A126" s="40" t="s">
        <v>54</v>
      </c>
      <c r="B126" s="41" t="s">
        <v>50</v>
      </c>
      <c r="C126" s="42">
        <v>26</v>
      </c>
      <c r="D126" s="43">
        <v>-0.30049999999999999</v>
      </c>
      <c r="E126" s="43">
        <v>11.8947</v>
      </c>
      <c r="F126" s="44">
        <v>0.12441000000000001</v>
      </c>
      <c r="G126" s="41" t="s">
        <v>477</v>
      </c>
    </row>
    <row r="127" spans="1:7" ht="15" customHeight="1">
      <c r="A127" s="40" t="s">
        <v>54</v>
      </c>
      <c r="B127" s="41" t="s">
        <v>50</v>
      </c>
      <c r="C127" s="42">
        <v>27</v>
      </c>
      <c r="D127" s="43">
        <v>-0.30320000000000003</v>
      </c>
      <c r="E127" s="43">
        <v>12.1015</v>
      </c>
      <c r="F127" s="44">
        <v>0.12472</v>
      </c>
      <c r="G127" s="41" t="s">
        <v>478</v>
      </c>
    </row>
    <row r="128" spans="1:7" ht="15" customHeight="1">
      <c r="A128" s="40" t="s">
        <v>54</v>
      </c>
      <c r="B128" s="41" t="s">
        <v>50</v>
      </c>
      <c r="C128" s="42">
        <v>28</v>
      </c>
      <c r="D128" s="43">
        <v>-0.30570000000000003</v>
      </c>
      <c r="E128" s="43">
        <v>12.305899999999999</v>
      </c>
      <c r="F128" s="44">
        <v>0.12506</v>
      </c>
      <c r="G128" s="41" t="s">
        <v>479</v>
      </c>
    </row>
    <row r="129" spans="1:7" ht="15" customHeight="1">
      <c r="A129" s="40" t="s">
        <v>54</v>
      </c>
      <c r="B129" s="41" t="s">
        <v>50</v>
      </c>
      <c r="C129" s="42">
        <v>29</v>
      </c>
      <c r="D129" s="43">
        <v>-0.308</v>
      </c>
      <c r="E129" s="43">
        <v>12.507300000000001</v>
      </c>
      <c r="F129" s="44">
        <v>0.12545000000000001</v>
      </c>
      <c r="G129" s="41" t="s">
        <v>480</v>
      </c>
    </row>
    <row r="130" spans="1:7" ht="15" customHeight="1">
      <c r="A130" s="40" t="s">
        <v>54</v>
      </c>
      <c r="B130" s="41" t="s">
        <v>50</v>
      </c>
      <c r="C130" s="42">
        <v>30</v>
      </c>
      <c r="D130" s="43">
        <v>-0.31009999999999999</v>
      </c>
      <c r="E130" s="43">
        <v>12.705500000000001</v>
      </c>
      <c r="F130" s="44">
        <v>0.12587000000000001</v>
      </c>
      <c r="G130" s="41" t="s">
        <v>481</v>
      </c>
    </row>
    <row r="131" spans="1:7" ht="15" customHeight="1">
      <c r="A131" s="40" t="s">
        <v>54</v>
      </c>
      <c r="B131" s="41" t="s">
        <v>50</v>
      </c>
      <c r="C131" s="42">
        <v>31</v>
      </c>
      <c r="D131" s="43">
        <v>-0.312</v>
      </c>
      <c r="E131" s="43">
        <v>12.900600000000001</v>
      </c>
      <c r="F131" s="44">
        <v>0.12633</v>
      </c>
      <c r="G131" s="41" t="s">
        <v>482</v>
      </c>
    </row>
    <row r="132" spans="1:7" ht="15" customHeight="1">
      <c r="A132" s="40" t="s">
        <v>54</v>
      </c>
      <c r="B132" s="41" t="s">
        <v>50</v>
      </c>
      <c r="C132" s="42">
        <v>32</v>
      </c>
      <c r="D132" s="43">
        <v>-0.31380000000000002</v>
      </c>
      <c r="E132" s="43">
        <v>13.093</v>
      </c>
      <c r="F132" s="44">
        <v>0.12683</v>
      </c>
      <c r="G132" s="41" t="s">
        <v>483</v>
      </c>
    </row>
    <row r="133" spans="1:7" ht="15" customHeight="1">
      <c r="A133" s="40" t="s">
        <v>54</v>
      </c>
      <c r="B133" s="41" t="s">
        <v>50</v>
      </c>
      <c r="C133" s="42">
        <v>33</v>
      </c>
      <c r="D133" s="43">
        <v>-0.3155</v>
      </c>
      <c r="E133" s="43">
        <v>13.2837</v>
      </c>
      <c r="F133" s="44">
        <v>0.12737000000000001</v>
      </c>
      <c r="G133" s="41" t="s">
        <v>484</v>
      </c>
    </row>
    <row r="134" spans="1:7" ht="15" customHeight="1">
      <c r="A134" s="40" t="s">
        <v>54</v>
      </c>
      <c r="B134" s="41" t="s">
        <v>50</v>
      </c>
      <c r="C134" s="42">
        <v>34</v>
      </c>
      <c r="D134" s="43">
        <v>-0.31709999999999999</v>
      </c>
      <c r="E134" s="43">
        <v>13.473100000000001</v>
      </c>
      <c r="F134" s="44">
        <v>0.12794</v>
      </c>
      <c r="G134" s="41" t="s">
        <v>485</v>
      </c>
    </row>
    <row r="135" spans="1:7" ht="15" customHeight="1">
      <c r="A135" s="40" t="s">
        <v>54</v>
      </c>
      <c r="B135" s="41" t="s">
        <v>50</v>
      </c>
      <c r="C135" s="42">
        <v>35</v>
      </c>
      <c r="D135" s="43">
        <v>-0.31859999999999999</v>
      </c>
      <c r="E135" s="43">
        <v>13.661799999999999</v>
      </c>
      <c r="F135" s="44">
        <v>0.12855</v>
      </c>
      <c r="G135" s="41" t="s">
        <v>486</v>
      </c>
    </row>
    <row r="136" spans="1:7" ht="15" customHeight="1">
      <c r="A136" s="40" t="s">
        <v>54</v>
      </c>
      <c r="B136" s="41" t="s">
        <v>50</v>
      </c>
      <c r="C136" s="42">
        <v>36</v>
      </c>
      <c r="D136" s="43">
        <v>-0.3201</v>
      </c>
      <c r="E136" s="43">
        <v>13.850300000000001</v>
      </c>
      <c r="F136" s="44">
        <v>0.12919</v>
      </c>
      <c r="G136" s="41" t="s">
        <v>487</v>
      </c>
    </row>
    <row r="137" spans="1:7" ht="15" customHeight="1">
      <c r="A137" s="40" t="s">
        <v>54</v>
      </c>
      <c r="B137" s="41" t="s">
        <v>50</v>
      </c>
      <c r="C137" s="42">
        <v>37</v>
      </c>
      <c r="D137" s="43">
        <v>-0.3216</v>
      </c>
      <c r="E137" s="43">
        <v>14.038500000000001</v>
      </c>
      <c r="F137" s="44">
        <v>0.12988</v>
      </c>
      <c r="G137" s="41" t="s">
        <v>488</v>
      </c>
    </row>
    <row r="138" spans="1:7" ht="15" customHeight="1">
      <c r="A138" s="40" t="s">
        <v>54</v>
      </c>
      <c r="B138" s="41" t="s">
        <v>50</v>
      </c>
      <c r="C138" s="42">
        <v>38</v>
      </c>
      <c r="D138" s="43">
        <v>-0.32300000000000001</v>
      </c>
      <c r="E138" s="43">
        <v>14.2265</v>
      </c>
      <c r="F138" s="44">
        <v>0.13059000000000001</v>
      </c>
      <c r="G138" s="41" t="s">
        <v>489</v>
      </c>
    </row>
    <row r="139" spans="1:7" ht="15" customHeight="1">
      <c r="A139" s="40" t="s">
        <v>54</v>
      </c>
      <c r="B139" s="41" t="s">
        <v>50</v>
      </c>
      <c r="C139" s="42">
        <v>39</v>
      </c>
      <c r="D139" s="43">
        <v>-0.32429999999999998</v>
      </c>
      <c r="E139" s="43">
        <v>14.414</v>
      </c>
      <c r="F139" s="44">
        <v>0.13134999999999999</v>
      </c>
      <c r="G139" s="41" t="s">
        <v>490</v>
      </c>
    </row>
    <row r="140" spans="1:7" ht="15" customHeight="1">
      <c r="A140" s="40" t="s">
        <v>54</v>
      </c>
      <c r="B140" s="41" t="s">
        <v>50</v>
      </c>
      <c r="C140" s="42">
        <v>40</v>
      </c>
      <c r="D140" s="43">
        <v>-0.32569999999999999</v>
      </c>
      <c r="E140" s="43">
        <v>14.601000000000001</v>
      </c>
      <c r="F140" s="44">
        <v>0.13213</v>
      </c>
      <c r="G140" s="41" t="s">
        <v>491</v>
      </c>
    </row>
    <row r="141" spans="1:7" ht="15" customHeight="1">
      <c r="A141" s="40" t="s">
        <v>54</v>
      </c>
      <c r="B141" s="41" t="s">
        <v>50</v>
      </c>
      <c r="C141" s="42">
        <v>41</v>
      </c>
      <c r="D141" s="43">
        <v>-0.32700000000000001</v>
      </c>
      <c r="E141" s="43">
        <v>14.7873</v>
      </c>
      <c r="F141" s="44">
        <v>0.13292999999999999</v>
      </c>
      <c r="G141" s="41" t="s">
        <v>492</v>
      </c>
    </row>
    <row r="142" spans="1:7" ht="15" customHeight="1">
      <c r="A142" s="40" t="s">
        <v>54</v>
      </c>
      <c r="B142" s="41" t="s">
        <v>50</v>
      </c>
      <c r="C142" s="42">
        <v>42</v>
      </c>
      <c r="D142" s="43">
        <v>-0.32829999999999998</v>
      </c>
      <c r="E142" s="43">
        <v>14.9727</v>
      </c>
      <c r="F142" s="44">
        <v>0.13375999999999999</v>
      </c>
      <c r="G142" s="41" t="s">
        <v>493</v>
      </c>
    </row>
    <row r="143" spans="1:7" ht="15" customHeight="1">
      <c r="A143" s="40" t="s">
        <v>54</v>
      </c>
      <c r="B143" s="41" t="s">
        <v>50</v>
      </c>
      <c r="C143" s="42">
        <v>43</v>
      </c>
      <c r="D143" s="43">
        <v>-0.3296</v>
      </c>
      <c r="E143" s="43">
        <v>15.157299999999999</v>
      </c>
      <c r="F143" s="44">
        <v>0.1346</v>
      </c>
      <c r="G143" s="41" t="s">
        <v>494</v>
      </c>
    </row>
    <row r="144" spans="1:7" ht="15" customHeight="1">
      <c r="A144" s="40" t="s">
        <v>54</v>
      </c>
      <c r="B144" s="41" t="s">
        <v>50</v>
      </c>
      <c r="C144" s="42">
        <v>44</v>
      </c>
      <c r="D144" s="43">
        <v>-0.33090000000000003</v>
      </c>
      <c r="E144" s="43">
        <v>15.340999999999999</v>
      </c>
      <c r="F144" s="44">
        <v>0.13544999999999999</v>
      </c>
      <c r="G144" s="41" t="s">
        <v>495</v>
      </c>
    </row>
    <row r="145" spans="1:7" ht="15" customHeight="1">
      <c r="A145" s="40" t="s">
        <v>54</v>
      </c>
      <c r="B145" s="41" t="s">
        <v>50</v>
      </c>
      <c r="C145" s="42">
        <v>45</v>
      </c>
      <c r="D145" s="43">
        <v>-0.3322</v>
      </c>
      <c r="E145" s="43">
        <v>15.523999999999999</v>
      </c>
      <c r="F145" s="44">
        <v>0.1363</v>
      </c>
      <c r="G145" s="41" t="s">
        <v>496</v>
      </c>
    </row>
    <row r="146" spans="1:7" ht="15" customHeight="1">
      <c r="A146" s="40" t="s">
        <v>54</v>
      </c>
      <c r="B146" s="41" t="s">
        <v>50</v>
      </c>
      <c r="C146" s="42">
        <v>46</v>
      </c>
      <c r="D146" s="43">
        <v>-0.33350000000000002</v>
      </c>
      <c r="E146" s="43">
        <v>15.7064</v>
      </c>
      <c r="F146" s="44">
        <v>0.13716</v>
      </c>
      <c r="G146" s="41" t="s">
        <v>497</v>
      </c>
    </row>
    <row r="147" spans="1:7" ht="15" customHeight="1">
      <c r="A147" s="40" t="s">
        <v>54</v>
      </c>
      <c r="B147" s="41" t="s">
        <v>50</v>
      </c>
      <c r="C147" s="42">
        <v>47</v>
      </c>
      <c r="D147" s="43">
        <v>-0.33479999999999999</v>
      </c>
      <c r="E147" s="43">
        <v>15.888199999999999</v>
      </c>
      <c r="F147" s="44">
        <v>0.13800000000000001</v>
      </c>
      <c r="G147" s="41" t="s">
        <v>498</v>
      </c>
    </row>
    <row r="148" spans="1:7" ht="15" customHeight="1">
      <c r="A148" s="40" t="s">
        <v>54</v>
      </c>
      <c r="B148" s="41" t="s">
        <v>50</v>
      </c>
      <c r="C148" s="42">
        <v>48</v>
      </c>
      <c r="D148" s="43">
        <v>-0.33610000000000001</v>
      </c>
      <c r="E148" s="43">
        <v>16.069700000000001</v>
      </c>
      <c r="F148" s="44">
        <v>0.13883999999999999</v>
      </c>
      <c r="G148" s="41" t="s">
        <v>499</v>
      </c>
    </row>
    <row r="149" spans="1:7" ht="15" customHeight="1">
      <c r="A149" s="40" t="s">
        <v>54</v>
      </c>
      <c r="B149" s="41" t="s">
        <v>50</v>
      </c>
      <c r="C149" s="42">
        <v>49</v>
      </c>
      <c r="D149" s="43">
        <v>-0.33739999999999998</v>
      </c>
      <c r="E149" s="43">
        <v>16.251100000000001</v>
      </c>
      <c r="F149" s="44">
        <v>0.13968</v>
      </c>
      <c r="G149" s="41" t="s">
        <v>500</v>
      </c>
    </row>
    <row r="150" spans="1:7" ht="15" customHeight="1">
      <c r="A150" s="40" t="s">
        <v>54</v>
      </c>
      <c r="B150" s="41" t="s">
        <v>50</v>
      </c>
      <c r="C150" s="42">
        <v>50</v>
      </c>
      <c r="D150" s="43">
        <v>-0.3387</v>
      </c>
      <c r="E150" s="43">
        <v>16.432200000000002</v>
      </c>
      <c r="F150" s="44">
        <v>0.14051</v>
      </c>
      <c r="G150" s="41" t="s">
        <v>501</v>
      </c>
    </row>
    <row r="151" spans="1:7" ht="15" customHeight="1">
      <c r="A151" s="40" t="s">
        <v>54</v>
      </c>
      <c r="B151" s="41" t="s">
        <v>50</v>
      </c>
      <c r="C151" s="42">
        <v>51</v>
      </c>
      <c r="D151" s="43">
        <v>-0.34</v>
      </c>
      <c r="E151" s="43">
        <v>16.613299999999999</v>
      </c>
      <c r="F151" s="44">
        <v>0.14132</v>
      </c>
      <c r="G151" s="41" t="s">
        <v>502</v>
      </c>
    </row>
    <row r="152" spans="1:7" ht="15" customHeight="1">
      <c r="A152" s="40" t="s">
        <v>54</v>
      </c>
      <c r="B152" s="41" t="s">
        <v>50</v>
      </c>
      <c r="C152" s="42">
        <v>52</v>
      </c>
      <c r="D152" s="43">
        <v>-0.34139999999999998</v>
      </c>
      <c r="E152" s="43">
        <v>16.7942</v>
      </c>
      <c r="F152" s="44">
        <v>0.14213000000000001</v>
      </c>
      <c r="G152" s="41" t="s">
        <v>503</v>
      </c>
    </row>
    <row r="153" spans="1:7" ht="15" customHeight="1">
      <c r="A153" s="40" t="s">
        <v>54</v>
      </c>
      <c r="B153" s="41" t="s">
        <v>50</v>
      </c>
      <c r="C153" s="42">
        <v>53</v>
      </c>
      <c r="D153" s="43">
        <v>-0.3427</v>
      </c>
      <c r="E153" s="43">
        <v>16.974799999999998</v>
      </c>
      <c r="F153" s="44">
        <v>0.14293</v>
      </c>
      <c r="G153" s="41" t="s">
        <v>504</v>
      </c>
    </row>
    <row r="154" spans="1:7" ht="15" customHeight="1">
      <c r="A154" s="40" t="s">
        <v>54</v>
      </c>
      <c r="B154" s="41" t="s">
        <v>50</v>
      </c>
      <c r="C154" s="42">
        <v>54</v>
      </c>
      <c r="D154" s="43">
        <v>-0.34399999999999997</v>
      </c>
      <c r="E154" s="43">
        <v>17.155100000000001</v>
      </c>
      <c r="F154" s="44">
        <v>0.14371</v>
      </c>
      <c r="G154" s="41" t="s">
        <v>505</v>
      </c>
    </row>
    <row r="155" spans="1:7" ht="15" customHeight="1">
      <c r="A155" s="40" t="s">
        <v>54</v>
      </c>
      <c r="B155" s="41" t="s">
        <v>50</v>
      </c>
      <c r="C155" s="42">
        <v>55</v>
      </c>
      <c r="D155" s="43">
        <v>-0.3453</v>
      </c>
      <c r="E155" s="43">
        <v>17.334700000000002</v>
      </c>
      <c r="F155" s="44">
        <v>0.14448</v>
      </c>
      <c r="G155" s="41" t="s">
        <v>506</v>
      </c>
    </row>
    <row r="156" spans="1:7" ht="15" customHeight="1">
      <c r="A156" s="40" t="s">
        <v>54</v>
      </c>
      <c r="B156" s="41" t="s">
        <v>50</v>
      </c>
      <c r="C156" s="42">
        <v>56</v>
      </c>
      <c r="D156" s="43">
        <v>-0.34660000000000002</v>
      </c>
      <c r="E156" s="43">
        <v>17.5136</v>
      </c>
      <c r="F156" s="44">
        <v>0.14524999999999999</v>
      </c>
      <c r="G156" s="41" t="s">
        <v>507</v>
      </c>
    </row>
    <row r="157" spans="1:7" ht="15" customHeight="1">
      <c r="A157" s="40" t="s">
        <v>54</v>
      </c>
      <c r="B157" s="41" t="s">
        <v>50</v>
      </c>
      <c r="C157" s="42">
        <v>57</v>
      </c>
      <c r="D157" s="43">
        <v>-0.34789999999999999</v>
      </c>
      <c r="E157" s="43">
        <v>17.691600000000001</v>
      </c>
      <c r="F157" s="44">
        <v>0.14599999999999999</v>
      </c>
      <c r="G157" s="41" t="s">
        <v>508</v>
      </c>
    </row>
    <row r="158" spans="1:7" ht="15" customHeight="1">
      <c r="A158" s="40" t="s">
        <v>54</v>
      </c>
      <c r="B158" s="41" t="s">
        <v>50</v>
      </c>
      <c r="C158" s="42">
        <v>58</v>
      </c>
      <c r="D158" s="43">
        <v>-0.34920000000000001</v>
      </c>
      <c r="E158" s="43">
        <v>17.868600000000001</v>
      </c>
      <c r="F158" s="44">
        <v>0.14674999999999999</v>
      </c>
      <c r="G158" s="41" t="s">
        <v>509</v>
      </c>
    </row>
    <row r="159" spans="1:7" ht="15" customHeight="1">
      <c r="A159" s="40" t="s">
        <v>54</v>
      </c>
      <c r="B159" s="41" t="s">
        <v>50</v>
      </c>
      <c r="C159" s="42">
        <v>59</v>
      </c>
      <c r="D159" s="43">
        <v>-0.35049999999999998</v>
      </c>
      <c r="E159" s="43">
        <v>18.044499999999999</v>
      </c>
      <c r="F159" s="44">
        <v>0.14748</v>
      </c>
      <c r="G159" s="41" t="s">
        <v>510</v>
      </c>
    </row>
    <row r="160" spans="1:7" ht="15" customHeight="1">
      <c r="A160" s="40" t="s">
        <v>54</v>
      </c>
      <c r="B160" s="41" t="s">
        <v>50</v>
      </c>
      <c r="C160" s="42">
        <v>60</v>
      </c>
      <c r="D160" s="43">
        <v>-0.3518</v>
      </c>
      <c r="E160" s="43">
        <v>18.2193</v>
      </c>
      <c r="F160" s="44">
        <v>0.14821000000000001</v>
      </c>
      <c r="G160" s="41" t="s">
        <v>511</v>
      </c>
    </row>
  </sheetData>
  <sheetProtection algorithmName="SHA-512" hashValue="hFbdmy2NCrkRV8P9acJN/2X3nCXTYgs21nngOa56jDyc03TjpCpy1m0H1FlWMn9vBvl+VPHl7ce3U5UUiX85rw==" saltValue="CS8qL0zTM2Gi+KHzFiBZPA==" spinCount="100000" sheet="1" objects="1" scenarios="1"/>
  <protectedRanges>
    <protectedRange sqref="A3:C3" name="inicio config"/>
    <protectedRange sqref="B8:B22" name="valores"/>
  </protectedRanges>
  <mergeCells count="4">
    <mergeCell ref="A4:E4"/>
    <mergeCell ref="A3:C3"/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5A6B70"/>
  </sheetPr>
  <dimension ref="A1:F7"/>
  <sheetViews>
    <sheetView showGridLines="0" zoomScaleNormal="100" workbookViewId="0">
      <selection activeCell="A3" sqref="A3:C3"/>
    </sheetView>
  </sheetViews>
  <sheetFormatPr baseColWidth="10" defaultColWidth="8.7109375" defaultRowHeight="15"/>
  <cols>
    <col min="1" max="1" width="12" style="1" customWidth="1"/>
    <col min="2" max="2" width="14" style="1" customWidth="1"/>
    <col min="3" max="3" width="56" style="1" customWidth="1"/>
    <col min="4" max="4" width="40" style="1" customWidth="1"/>
    <col min="5" max="5" width="20" style="1" customWidth="1"/>
  </cols>
  <sheetData>
    <row r="1" spans="1:6" ht="25.5" customHeight="1">
      <c r="A1" s="112" t="s">
        <v>0</v>
      </c>
      <c r="B1" s="112"/>
      <c r="C1" s="112"/>
      <c r="D1" s="112"/>
      <c r="E1" s="112"/>
      <c r="F1" s="112"/>
    </row>
    <row r="2" spans="1:6" ht="15" customHeight="1">
      <c r="A2" s="113" t="s">
        <v>512</v>
      </c>
      <c r="B2" s="113"/>
      <c r="C2" s="113"/>
      <c r="D2" s="113"/>
      <c r="E2" s="113"/>
      <c r="F2" s="113"/>
    </row>
    <row r="3" spans="1:6" ht="15" customHeight="1">
      <c r="A3" s="116" t="str">
        <f>HYPERLINK("#INICIO!A1","◀ INICIO")</f>
        <v>◀ INICIO</v>
      </c>
      <c r="B3" s="118"/>
      <c r="C3" s="118"/>
      <c r="D3" s="84"/>
    </row>
    <row r="5" spans="1:6" ht="15" customHeight="1">
      <c r="A5" s="5" t="s">
        <v>4</v>
      </c>
      <c r="B5" s="5" t="s">
        <v>6</v>
      </c>
      <c r="C5" s="5" t="s">
        <v>513</v>
      </c>
      <c r="D5" s="5" t="s">
        <v>514</v>
      </c>
      <c r="E5" s="5" t="s">
        <v>14</v>
      </c>
    </row>
    <row r="6" spans="1:6" ht="55.5" customHeight="1">
      <c r="A6" s="23" t="s">
        <v>5</v>
      </c>
      <c r="B6" s="23" t="s">
        <v>7</v>
      </c>
      <c r="C6" s="19" t="s">
        <v>515</v>
      </c>
      <c r="D6" s="19" t="s">
        <v>516</v>
      </c>
      <c r="E6" s="24" t="s">
        <v>517</v>
      </c>
    </row>
    <row r="7" spans="1:6" ht="55.5" customHeight="1">
      <c r="A7" s="23" t="s">
        <v>5</v>
      </c>
      <c r="B7" s="23" t="s">
        <v>7</v>
      </c>
      <c r="C7" s="19" t="s">
        <v>518</v>
      </c>
      <c r="D7" s="19" t="s">
        <v>519</v>
      </c>
      <c r="E7" s="24" t="s">
        <v>517</v>
      </c>
    </row>
  </sheetData>
  <sheetProtection sheet="1" objects="1" scenarios="1"/>
  <protectedRanges>
    <protectedRange sqref="A3:C3" name="Rango1"/>
  </protectedRanges>
  <mergeCells count="3">
    <mergeCell ref="A3:C3"/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45</vt:i4>
      </vt:variant>
    </vt:vector>
  </HeadingPairs>
  <TitlesOfParts>
    <vt:vector size="53" baseType="lpstr">
      <vt:lpstr>INICIO</vt:lpstr>
      <vt:lpstr>DATOS</vt:lpstr>
      <vt:lpstr>CALCULOS</vt:lpstr>
      <vt:lpstr>RESULTADOS</vt:lpstr>
      <vt:lpstr>FUENTES</vt:lpstr>
      <vt:lpstr>PRUEBAS</vt:lpstr>
      <vt:lpstr>CONFIG</vt:lpstr>
      <vt:lpstr>CHANGELOG</vt:lpstr>
      <vt:lpstr>BIV_MAX</vt:lpstr>
      <vt:lpstr>BIV_MIN</vt:lpstr>
      <vt:lpstr>c_Clase</vt:lpstr>
      <vt:lpstr>c_Gate</vt:lpstr>
      <vt:lpstr>c_InTab</vt:lpstr>
      <vt:lpstr>c_Key</vt:lpstr>
      <vt:lpstr>c_L</vt:lpstr>
      <vt:lpstr>c_M</vt:lpstr>
      <vt:lpstr>c_pct</vt:lpstr>
      <vt:lpstr>c_pctTxt</vt:lpstr>
      <vt:lpstr>c_S</vt:lpstr>
      <vt:lpstr>c_SD2n</vt:lpstr>
      <vt:lpstr>c_SD2p</vt:lpstr>
      <vt:lpstr>c_SD3n</vt:lpstr>
      <vt:lpstr>c_SD3p</vt:lpstr>
      <vt:lpstr>c_z</vt:lpstr>
      <vt:lpstr>c_zraw</vt:lpstr>
      <vt:lpstr>General</vt:lpstr>
      <vt:lpstr>in_EdadMeses</vt:lpstr>
      <vt:lpstr>in_Eval</vt:lpstr>
      <vt:lpstr>in_Fecha</vt:lpstr>
      <vt:lpstr>in_ID</vt:lpstr>
      <vt:lpstr>in_Indicador</vt:lpstr>
      <vt:lpstr>in_Medida</vt:lpstr>
      <vt:lpstr>in_Obs</vt:lpstr>
      <vt:lpstr>in_Pac</vt:lpstr>
      <vt:lpstr>in_Sexo</vt:lpstr>
      <vt:lpstr>LISTA_IND</vt:lpstr>
      <vt:lpstr>LMS_KEY</vt:lpstr>
      <vt:lpstr>LMS_L</vt:lpstr>
      <vt:lpstr>LMS_M</vt:lpstr>
      <vt:lpstr>LMS_S</vt:lpstr>
      <vt:lpstr>MED_MAX</vt:lpstr>
      <vt:lpstr>MED_MIN</vt:lpstr>
      <vt:lpstr>MES_MAX</vt:lpstr>
      <vt:lpstr>MES_MIN</vt:lpstr>
      <vt:lpstr>SEXOS</vt:lpstr>
      <vt:lpstr>SINO</vt:lpstr>
      <vt:lpstr>TOL_KG</vt:lpstr>
      <vt:lpstr>TOL_Z</vt:lpstr>
      <vt:lpstr>Z_DEF</vt:lpstr>
      <vt:lpstr>Z_LIM</vt:lpstr>
      <vt:lpstr>Z_SEV</vt:lpstr>
      <vt:lpstr>Z_SUP1</vt:lpstr>
      <vt:lpstr>Z_SUP2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Daniel</cp:lastModifiedBy>
  <cp:revision>3</cp:revision>
  <dcterms:created xsi:type="dcterms:W3CDTF">2026-07-17T14:37:21Z</dcterms:created>
  <dcterms:modified xsi:type="dcterms:W3CDTF">2026-07-26T05:23:51Z</dcterms:modified>
  <dc:language>en-US</dc:language>
</cp:coreProperties>
</file>
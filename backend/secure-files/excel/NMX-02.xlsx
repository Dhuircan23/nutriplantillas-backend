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Daniel\Downloads\"/>
    </mc:Choice>
  </mc:AlternateContent>
  <xr:revisionPtr revIDLastSave="0" documentId="13_ncr:1_{26116B0D-7038-4706-8805-B8137D8B5841}" xr6:coauthVersionLast="47" xr6:coauthVersionMax="47" xr10:uidLastSave="{00000000-0000-0000-0000-000000000000}"/>
  <bookViews>
    <workbookView xWindow="-120" yWindow="-120" windowWidth="29040" windowHeight="15840" tabRatio="717" activeTab="11" xr2:uid="{00000000-000D-0000-FFFF-FFFF00000000}"/>
  </bookViews>
  <sheets>
    <sheet name="INICIO" sheetId="1" r:id="rId1"/>
    <sheet name="DATOS" sheetId="2" r:id="rId2"/>
    <sheet name="DIETOSINTESIS" sheetId="3" r:id="rId3"/>
    <sheet name="DISTRIBUCION" sheetId="4" r:id="rId4"/>
    <sheet name="SEMANA" sheetId="5" r:id="rId5"/>
    <sheet name="RESULTADOS" sheetId="6" r:id="rId6"/>
    <sheet name="FUENTES" sheetId="7" r:id="rId7"/>
    <sheet name="PRUEBAS" sheetId="8" r:id="rId8"/>
    <sheet name="CONFIG" sheetId="9" r:id="rId9"/>
    <sheet name="CHANGELOG" sheetId="10" r:id="rId10"/>
    <sheet name="BASE_ALIMENTOS" sheetId="11" r:id="rId11"/>
    <sheet name="MENU_SEMANAL" sheetId="12" r:id="rId12"/>
  </sheets>
  <definedNames>
    <definedName name="_xlnm.Print_Area" localSheetId="0">INICIO!$A$1:$L$40</definedName>
    <definedName name="b_ener">BASE_ALIMENTOS!$E$8:$E$649</definedName>
    <definedName name="b_fib">BASE_ALIMENTOS!$I$8:$I$649</definedName>
    <definedName name="b_hc">BASE_ALIMENTOS!$G$8:$G$649</definedName>
    <definedName name="b_key">BASE_ALIMENTOS!$N$8:$N$649</definedName>
    <definedName name="b_lip">BASE_ALIMENTOS!$H$8:$H$649</definedName>
    <definedName name="b_porcg">BASE_ALIMENTOS!$K$8:$K$649</definedName>
    <definedName name="b_prot">BASE_ALIMENTOS!$F$8:$F$649</definedName>
    <definedName name="fg_01">BASE_ALIMENTOS!$N$8:$N$60</definedName>
    <definedName name="fg_02">BASE_ALIMENTOS!$N$61:$N$65</definedName>
    <definedName name="fg_03">BASE_ALIMENTOS!$N$66:$N$149</definedName>
    <definedName name="fg_04">BASE_ALIMENTOS!$N$150:$N$197</definedName>
    <definedName name="fg_05">BASE_ALIMENTOS!$N$198:$N$215</definedName>
    <definedName name="fg_06">BASE_ALIMENTOS!$N$216:$N$235</definedName>
    <definedName name="fg_07">BASE_ALIMENTOS!$N$236:$N$309</definedName>
    <definedName name="fg_08">BASE_ALIMENTOS!$N$310:$N$313</definedName>
    <definedName name="fg_09">BASE_ALIMENTOS!$N$314:$N$338</definedName>
    <definedName name="fg_10">BASE_ALIMENTOS!$N$339:$N$393</definedName>
    <definedName name="fg_11">BASE_ALIMENTOS!$N$394:$N$437</definedName>
    <definedName name="fg_12">BASE_ALIMENTOS!$N$438:$N$445</definedName>
    <definedName name="fg_13">BASE_ALIMENTOS!$N$446:$N$476</definedName>
    <definedName name="fg_14">BASE_ALIMENTOS!$N$477:$N$482</definedName>
    <definedName name="fg_15">BASE_ALIMENTOS!$N$483:$N$496</definedName>
    <definedName name="fg_16">BASE_ALIMENTOS!$N$497:$N$500</definedName>
    <definedName name="fg_17">BASE_ALIMENTOS!$N$501:$N$510</definedName>
    <definedName name="fg_18">BASE_ALIMENTOS!$N$511:$N$523</definedName>
    <definedName name="fg_19">BASE_ALIMENTOS!$N$524:$N$526</definedName>
    <definedName name="fg_20">BASE_ALIMENTOS!$N$527:$N$534</definedName>
    <definedName name="fg_21">BASE_ALIMENTOS!$N$535:$N$574</definedName>
    <definedName name="fg_22">BASE_ALIMENTOS!$N$575:$N$578</definedName>
    <definedName name="fg_23">BASE_ALIMENTOS!$N$579:$N$595</definedName>
    <definedName name="fg_24">BASE_ALIMENTOS!$N$596:$N$649</definedName>
    <definedName name="fg_all">BASE_ALIMENTOS!$N$8:$N$649</definedName>
    <definedName name="grp_map">BASE_ALIMENTOS!$P$8:$Q$31</definedName>
    <definedName name="k_cho">CONFIG!$C$8</definedName>
    <definedName name="k_lip">CONFIG!$C$9</definedName>
    <definedName name="k_prot">CONFIG!$C$7</definedName>
    <definedName name="k_tol">CONFIG!$C$13</definedName>
    <definedName name="lst_eq">CONFIG!$A$17:$A$29</definedName>
    <definedName name="lst_grupos_base">BASE_ALIMENTOS!$P$8:$P$31</definedName>
    <definedName name="lst_tiempos">CONFIG!$A$34:$A$39</definedName>
    <definedName name="rng_eq">CONFIG!$A$17:$E$29</definedName>
    <definedName name="rng_macro">DATOS!$A$22:$D$24</definedName>
    <definedName name="rng_meta_dia">DATOS!$B$34:$H$34</definedName>
    <definedName name="rng_tiempos">CONFIG!$A$34:$B$39</definedName>
    <definedName name="u_inf">CONFIG!$C$10</definedName>
    <definedName name="u_rep">CONFIG!$C$12</definedName>
    <definedName name="u_sup">CONFIG!$C$11</definedName>
    <definedName name="v_meta">DATOS!$B$18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T218" i="12" l="1"/>
  <c r="S218" i="12"/>
  <c r="U218" i="12" s="1"/>
  <c r="R218" i="12"/>
  <c r="K218" i="12"/>
  <c r="J218" i="12"/>
  <c r="U217" i="12"/>
  <c r="O217" i="12" s="1"/>
  <c r="T217" i="12"/>
  <c r="S217" i="12"/>
  <c r="R217" i="12"/>
  <c r="P217" i="12"/>
  <c r="L217" i="12"/>
  <c r="Q217" i="12" s="1"/>
  <c r="K217" i="12"/>
  <c r="J217" i="12"/>
  <c r="I217" i="12"/>
  <c r="H217" i="12"/>
  <c r="M217" i="12" s="1"/>
  <c r="T216" i="12"/>
  <c r="S216" i="12"/>
  <c r="U216" i="12" s="1"/>
  <c r="R216" i="12"/>
  <c r="K216" i="12"/>
  <c r="J216" i="12"/>
  <c r="U215" i="12"/>
  <c r="O215" i="12" s="1"/>
  <c r="T215" i="12"/>
  <c r="S215" i="12"/>
  <c r="R215" i="12"/>
  <c r="P215" i="12"/>
  <c r="L215" i="12"/>
  <c r="Q215" i="12" s="1"/>
  <c r="K215" i="12"/>
  <c r="J215" i="12"/>
  <c r="I215" i="12"/>
  <c r="H215" i="12"/>
  <c r="M215" i="12" s="1"/>
  <c r="T214" i="12"/>
  <c r="S214" i="12"/>
  <c r="U214" i="12" s="1"/>
  <c r="R214" i="12"/>
  <c r="K214" i="12"/>
  <c r="J214" i="12"/>
  <c r="U213" i="12"/>
  <c r="O213" i="12" s="1"/>
  <c r="T213" i="12"/>
  <c r="S213" i="12"/>
  <c r="R213" i="12"/>
  <c r="P213" i="12"/>
  <c r="L213" i="12"/>
  <c r="Q213" i="12" s="1"/>
  <c r="K213" i="12"/>
  <c r="J213" i="12"/>
  <c r="I213" i="12"/>
  <c r="H213" i="12"/>
  <c r="M213" i="12" s="1"/>
  <c r="T212" i="12"/>
  <c r="S212" i="12"/>
  <c r="U212" i="12" s="1"/>
  <c r="R212" i="12"/>
  <c r="K212" i="12"/>
  <c r="J212" i="12"/>
  <c r="U211" i="12"/>
  <c r="O211" i="12" s="1"/>
  <c r="T211" i="12"/>
  <c r="S211" i="12"/>
  <c r="R211" i="12"/>
  <c r="P211" i="12"/>
  <c r="L211" i="12"/>
  <c r="Q211" i="12" s="1"/>
  <c r="K211" i="12"/>
  <c r="J211" i="12"/>
  <c r="I211" i="12"/>
  <c r="H211" i="12"/>
  <c r="M211" i="12" s="1"/>
  <c r="T210" i="12"/>
  <c r="S210" i="12"/>
  <c r="R210" i="12"/>
  <c r="K210" i="12"/>
  <c r="J210" i="12"/>
  <c r="U209" i="12"/>
  <c r="T209" i="12"/>
  <c r="S209" i="12"/>
  <c r="R209" i="12"/>
  <c r="Q209" i="12"/>
  <c r="L209" i="12"/>
  <c r="K209" i="12"/>
  <c r="J209" i="12"/>
  <c r="I209" i="12"/>
  <c r="H209" i="12"/>
  <c r="T208" i="12"/>
  <c r="S208" i="12"/>
  <c r="R208" i="12"/>
  <c r="K208" i="12"/>
  <c r="J208" i="12"/>
  <c r="U207" i="12"/>
  <c r="T207" i="12"/>
  <c r="S207" i="12"/>
  <c r="R207" i="12"/>
  <c r="Q207" i="12"/>
  <c r="P207" i="12"/>
  <c r="L207" i="12"/>
  <c r="K207" i="12"/>
  <c r="J207" i="12"/>
  <c r="I207" i="12"/>
  <c r="H207" i="12"/>
  <c r="T206" i="12"/>
  <c r="S206" i="12"/>
  <c r="R206" i="12"/>
  <c r="U205" i="12"/>
  <c r="T205" i="12"/>
  <c r="S205" i="12"/>
  <c r="R205" i="12"/>
  <c r="Q205" i="12"/>
  <c r="P205" i="12"/>
  <c r="M205" i="12"/>
  <c r="L205" i="12"/>
  <c r="K205" i="12"/>
  <c r="J205" i="12"/>
  <c r="I205" i="12"/>
  <c r="H205" i="12"/>
  <c r="T204" i="12"/>
  <c r="S204" i="12"/>
  <c r="R204" i="12"/>
  <c r="K204" i="12"/>
  <c r="J204" i="12"/>
  <c r="U203" i="12"/>
  <c r="T203" i="12"/>
  <c r="S203" i="12"/>
  <c r="R203" i="12"/>
  <c r="P203" i="12"/>
  <c r="L203" i="12"/>
  <c r="Q203" i="12" s="1"/>
  <c r="K203" i="12"/>
  <c r="J203" i="12"/>
  <c r="I203" i="12"/>
  <c r="H203" i="12"/>
  <c r="M203" i="12" s="1"/>
  <c r="T202" i="12"/>
  <c r="S202" i="12"/>
  <c r="R202" i="12"/>
  <c r="K202" i="12"/>
  <c r="J202" i="12"/>
  <c r="U201" i="12"/>
  <c r="T201" i="12"/>
  <c r="S201" i="12"/>
  <c r="J201" i="12" s="1"/>
  <c r="R201" i="12"/>
  <c r="Q201" i="12"/>
  <c r="L201" i="12"/>
  <c r="K201" i="12"/>
  <c r="I201" i="12"/>
  <c r="H201" i="12"/>
  <c r="T200" i="12"/>
  <c r="S200" i="12"/>
  <c r="R200" i="12"/>
  <c r="K200" i="12"/>
  <c r="U199" i="12"/>
  <c r="T199" i="12"/>
  <c r="S199" i="12"/>
  <c r="J199" i="12" s="1"/>
  <c r="R199" i="12"/>
  <c r="Q199" i="12"/>
  <c r="P199" i="12"/>
  <c r="L199" i="12"/>
  <c r="K199" i="12"/>
  <c r="I199" i="12"/>
  <c r="H199" i="12"/>
  <c r="M199" i="12" s="1"/>
  <c r="T198" i="12"/>
  <c r="S198" i="12"/>
  <c r="R198" i="12"/>
  <c r="K198" i="12"/>
  <c r="J198" i="12"/>
  <c r="U197" i="12"/>
  <c r="T197" i="12"/>
  <c r="S197" i="12"/>
  <c r="J197" i="12" s="1"/>
  <c r="R197" i="12"/>
  <c r="Q197" i="12"/>
  <c r="L197" i="12"/>
  <c r="K197" i="12"/>
  <c r="I197" i="12"/>
  <c r="H197" i="12"/>
  <c r="T196" i="12"/>
  <c r="S196" i="12"/>
  <c r="R196" i="12"/>
  <c r="U195" i="12"/>
  <c r="T195" i="12"/>
  <c r="S195" i="12"/>
  <c r="J195" i="12" s="1"/>
  <c r="R195" i="12"/>
  <c r="Q195" i="12"/>
  <c r="P195" i="12"/>
  <c r="L195" i="12"/>
  <c r="K195" i="12"/>
  <c r="I195" i="12"/>
  <c r="H195" i="12"/>
  <c r="M195" i="12" s="1"/>
  <c r="T194" i="12"/>
  <c r="S194" i="12"/>
  <c r="R194" i="12"/>
  <c r="K194" i="12"/>
  <c r="J194" i="12"/>
  <c r="U193" i="12"/>
  <c r="T193" i="12"/>
  <c r="S193" i="12"/>
  <c r="J193" i="12" s="1"/>
  <c r="R193" i="12"/>
  <c r="Q193" i="12"/>
  <c r="L193" i="12"/>
  <c r="K193" i="12"/>
  <c r="I193" i="12"/>
  <c r="H193" i="12"/>
  <c r="T192" i="12"/>
  <c r="S192" i="12"/>
  <c r="R192" i="12"/>
  <c r="K192" i="12"/>
  <c r="U191" i="12"/>
  <c r="T191" i="12"/>
  <c r="S191" i="12"/>
  <c r="J191" i="12" s="1"/>
  <c r="R191" i="12"/>
  <c r="Q191" i="12"/>
  <c r="P191" i="12"/>
  <c r="L191" i="12"/>
  <c r="K191" i="12"/>
  <c r="I191" i="12"/>
  <c r="H191" i="12"/>
  <c r="M191" i="12" s="1"/>
  <c r="T190" i="12"/>
  <c r="S190" i="12"/>
  <c r="R190" i="12"/>
  <c r="K190" i="12"/>
  <c r="J190" i="12"/>
  <c r="U189" i="12"/>
  <c r="T189" i="12"/>
  <c r="S189" i="12"/>
  <c r="J189" i="12" s="1"/>
  <c r="R189" i="12"/>
  <c r="Q189" i="12"/>
  <c r="L189" i="12"/>
  <c r="K189" i="12"/>
  <c r="I189" i="12"/>
  <c r="H189" i="12"/>
  <c r="T188" i="12"/>
  <c r="S188" i="12"/>
  <c r="R188" i="12"/>
  <c r="J188" i="12"/>
  <c r="I188" i="12"/>
  <c r="T187" i="12"/>
  <c r="S187" i="12"/>
  <c r="R187" i="12"/>
  <c r="I187" i="12"/>
  <c r="H187" i="12"/>
  <c r="T186" i="12"/>
  <c r="S186" i="12"/>
  <c r="R186" i="12"/>
  <c r="I186" i="12"/>
  <c r="U185" i="12"/>
  <c r="T185" i="12"/>
  <c r="S185" i="12"/>
  <c r="J185" i="12" s="1"/>
  <c r="R185" i="12"/>
  <c r="M185" i="12"/>
  <c r="L185" i="12"/>
  <c r="Q185" i="12" s="1"/>
  <c r="I185" i="12"/>
  <c r="H185" i="12"/>
  <c r="U184" i="12"/>
  <c r="T184" i="12"/>
  <c r="S184" i="12"/>
  <c r="R184" i="12"/>
  <c r="K184" i="12"/>
  <c r="I184" i="12"/>
  <c r="U183" i="12"/>
  <c r="T183" i="12"/>
  <c r="S183" i="12"/>
  <c r="J183" i="12" s="1"/>
  <c r="R183" i="12"/>
  <c r="Q183" i="12"/>
  <c r="P183" i="12"/>
  <c r="L183" i="12"/>
  <c r="K183" i="12"/>
  <c r="I183" i="12"/>
  <c r="H183" i="12"/>
  <c r="U182" i="12"/>
  <c r="T182" i="12"/>
  <c r="S182" i="12"/>
  <c r="R182" i="12"/>
  <c r="K182" i="12"/>
  <c r="J182" i="12"/>
  <c r="O182" i="12" s="1"/>
  <c r="I182" i="12"/>
  <c r="T181" i="12"/>
  <c r="S181" i="12"/>
  <c r="R181" i="12"/>
  <c r="L181" i="12"/>
  <c r="K181" i="12"/>
  <c r="U180" i="12"/>
  <c r="T180" i="12"/>
  <c r="S180" i="12"/>
  <c r="L180" i="12" s="1"/>
  <c r="Q180" i="12" s="1"/>
  <c r="R180" i="12"/>
  <c r="K180" i="12"/>
  <c r="J180" i="12"/>
  <c r="I180" i="12"/>
  <c r="N180" i="12" s="1"/>
  <c r="T179" i="12"/>
  <c r="S179" i="12"/>
  <c r="R179" i="12"/>
  <c r="L179" i="12"/>
  <c r="K179" i="12"/>
  <c r="H179" i="12"/>
  <c r="U178" i="12"/>
  <c r="T178" i="12"/>
  <c r="S178" i="12"/>
  <c r="L178" i="12" s="1"/>
  <c r="R178" i="12"/>
  <c r="Q178" i="12"/>
  <c r="K178" i="12"/>
  <c r="J178" i="12"/>
  <c r="I178" i="12"/>
  <c r="T177" i="12"/>
  <c r="S177" i="12"/>
  <c r="R177" i="12"/>
  <c r="L177" i="12"/>
  <c r="K177" i="12"/>
  <c r="U176" i="12"/>
  <c r="T176" i="12"/>
  <c r="S176" i="12"/>
  <c r="L176" i="12" s="1"/>
  <c r="Q176" i="12" s="1"/>
  <c r="R176" i="12"/>
  <c r="K176" i="12"/>
  <c r="J176" i="12"/>
  <c r="I176" i="12"/>
  <c r="N176" i="12" s="1"/>
  <c r="T175" i="12"/>
  <c r="S175" i="12"/>
  <c r="R175" i="12"/>
  <c r="L175" i="12"/>
  <c r="K175" i="12"/>
  <c r="H175" i="12"/>
  <c r="U174" i="12"/>
  <c r="Q174" i="12" s="1"/>
  <c r="T174" i="12"/>
  <c r="S174" i="12"/>
  <c r="L174" i="12" s="1"/>
  <c r="R174" i="12"/>
  <c r="K174" i="12"/>
  <c r="J174" i="12"/>
  <c r="I174" i="12"/>
  <c r="T173" i="12"/>
  <c r="S173" i="12"/>
  <c r="R173" i="12"/>
  <c r="L173" i="12"/>
  <c r="H173" i="12"/>
  <c r="U172" i="12"/>
  <c r="T172" i="12"/>
  <c r="S172" i="12"/>
  <c r="R172" i="12"/>
  <c r="K172" i="12"/>
  <c r="I172" i="12"/>
  <c r="U171" i="12"/>
  <c r="N171" i="12" s="1"/>
  <c r="T171" i="12"/>
  <c r="S171" i="12"/>
  <c r="J171" i="12" s="1"/>
  <c r="R171" i="12"/>
  <c r="P171" i="12"/>
  <c r="L171" i="12"/>
  <c r="Q171" i="12" s="1"/>
  <c r="K171" i="12"/>
  <c r="I171" i="12"/>
  <c r="H171" i="12"/>
  <c r="U170" i="12"/>
  <c r="T170" i="12"/>
  <c r="S170" i="12"/>
  <c r="R170" i="12"/>
  <c r="O170" i="12"/>
  <c r="K170" i="12"/>
  <c r="J170" i="12"/>
  <c r="I170" i="12"/>
  <c r="T169" i="12"/>
  <c r="S169" i="12"/>
  <c r="R169" i="12"/>
  <c r="I169" i="12"/>
  <c r="T168" i="12"/>
  <c r="S168" i="12"/>
  <c r="R168" i="12"/>
  <c r="T167" i="12"/>
  <c r="S167" i="12"/>
  <c r="J167" i="12" s="1"/>
  <c r="R167" i="12"/>
  <c r="I167" i="12"/>
  <c r="H167" i="12"/>
  <c r="T166" i="12"/>
  <c r="S166" i="12"/>
  <c r="R166" i="12"/>
  <c r="I166" i="12"/>
  <c r="U165" i="12"/>
  <c r="T165" i="12"/>
  <c r="S165" i="12"/>
  <c r="J165" i="12" s="1"/>
  <c r="R165" i="12"/>
  <c r="L165" i="12"/>
  <c r="Q165" i="12" s="1"/>
  <c r="I165" i="12"/>
  <c r="H165" i="12"/>
  <c r="U164" i="12"/>
  <c r="T164" i="12"/>
  <c r="S164" i="12"/>
  <c r="R164" i="12"/>
  <c r="K164" i="12"/>
  <c r="I164" i="12"/>
  <c r="U163" i="12"/>
  <c r="N163" i="12" s="1"/>
  <c r="T163" i="12"/>
  <c r="S163" i="12"/>
  <c r="J163" i="12" s="1"/>
  <c r="R163" i="12"/>
  <c r="P163" i="12"/>
  <c r="L163" i="12"/>
  <c r="Q163" i="12" s="1"/>
  <c r="K163" i="12"/>
  <c r="I163" i="12"/>
  <c r="H163" i="12"/>
  <c r="U162" i="12"/>
  <c r="T162" i="12"/>
  <c r="S162" i="12"/>
  <c r="R162" i="12"/>
  <c r="K162" i="12"/>
  <c r="J162" i="12"/>
  <c r="O162" i="12" s="1"/>
  <c r="I162" i="12"/>
  <c r="T161" i="12"/>
  <c r="S161" i="12"/>
  <c r="R161" i="12"/>
  <c r="T160" i="12"/>
  <c r="S160" i="12"/>
  <c r="R160" i="12"/>
  <c r="T159" i="12"/>
  <c r="S159" i="12"/>
  <c r="R159" i="12"/>
  <c r="K159" i="12"/>
  <c r="U158" i="12"/>
  <c r="T158" i="12"/>
  <c r="S158" i="12"/>
  <c r="L158" i="12" s="1"/>
  <c r="R158" i="12"/>
  <c r="Q158" i="12"/>
  <c r="K158" i="12"/>
  <c r="J158" i="12"/>
  <c r="I158" i="12"/>
  <c r="T157" i="12"/>
  <c r="S157" i="12"/>
  <c r="R157" i="12"/>
  <c r="U156" i="12"/>
  <c r="T156" i="12"/>
  <c r="S156" i="12"/>
  <c r="L156" i="12" s="1"/>
  <c r="Q156" i="12" s="1"/>
  <c r="R156" i="12"/>
  <c r="K156" i="12"/>
  <c r="J156" i="12"/>
  <c r="I156" i="12"/>
  <c r="T155" i="12"/>
  <c r="S155" i="12"/>
  <c r="R155" i="12"/>
  <c r="K155" i="12"/>
  <c r="U154" i="12"/>
  <c r="T154" i="12"/>
  <c r="S154" i="12"/>
  <c r="L154" i="12" s="1"/>
  <c r="R154" i="12"/>
  <c r="Q154" i="12"/>
  <c r="K154" i="12"/>
  <c r="J154" i="12"/>
  <c r="I154" i="12"/>
  <c r="T153" i="12"/>
  <c r="S153" i="12"/>
  <c r="R153" i="12"/>
  <c r="U152" i="12"/>
  <c r="T152" i="12"/>
  <c r="S152" i="12"/>
  <c r="L152" i="12" s="1"/>
  <c r="Q152" i="12" s="1"/>
  <c r="R152" i="12"/>
  <c r="K152" i="12"/>
  <c r="J152" i="12"/>
  <c r="I152" i="12"/>
  <c r="T151" i="12"/>
  <c r="S151" i="12"/>
  <c r="R151" i="12"/>
  <c r="K151" i="12"/>
  <c r="U150" i="12"/>
  <c r="T150" i="12"/>
  <c r="S150" i="12"/>
  <c r="L150" i="12" s="1"/>
  <c r="R150" i="12"/>
  <c r="Q150" i="12"/>
  <c r="K150" i="12"/>
  <c r="J150" i="12"/>
  <c r="I150" i="12"/>
  <c r="T149" i="12"/>
  <c r="S149" i="12"/>
  <c r="R149" i="12"/>
  <c r="U148" i="12"/>
  <c r="T148" i="12"/>
  <c r="S148" i="12"/>
  <c r="L148" i="12" s="1"/>
  <c r="Q148" i="12" s="1"/>
  <c r="R148" i="12"/>
  <c r="K148" i="12"/>
  <c r="J148" i="12"/>
  <c r="I148" i="12"/>
  <c r="T147" i="12"/>
  <c r="S147" i="12"/>
  <c r="R147" i="12"/>
  <c r="K147" i="12"/>
  <c r="U146" i="12"/>
  <c r="T146" i="12"/>
  <c r="S146" i="12"/>
  <c r="L146" i="12" s="1"/>
  <c r="R146" i="12"/>
  <c r="Q146" i="12"/>
  <c r="K146" i="12"/>
  <c r="J146" i="12"/>
  <c r="I146" i="12"/>
  <c r="T145" i="12"/>
  <c r="S145" i="12"/>
  <c r="R145" i="12"/>
  <c r="U144" i="12"/>
  <c r="T144" i="12"/>
  <c r="S144" i="12"/>
  <c r="L144" i="12" s="1"/>
  <c r="Q144" i="12" s="1"/>
  <c r="R144" i="12"/>
  <c r="K144" i="12"/>
  <c r="J144" i="12"/>
  <c r="I144" i="12"/>
  <c r="T143" i="12"/>
  <c r="S143" i="12"/>
  <c r="R143" i="12"/>
  <c r="K143" i="12"/>
  <c r="U142" i="12"/>
  <c r="T142" i="12"/>
  <c r="S142" i="12"/>
  <c r="L142" i="12" s="1"/>
  <c r="R142" i="12"/>
  <c r="Q142" i="12"/>
  <c r="K142" i="12"/>
  <c r="J142" i="12"/>
  <c r="I142" i="12"/>
  <c r="T141" i="12"/>
  <c r="S141" i="12"/>
  <c r="R141" i="12"/>
  <c r="U140" i="12"/>
  <c r="T140" i="12"/>
  <c r="S140" i="12"/>
  <c r="L140" i="12" s="1"/>
  <c r="Q140" i="12" s="1"/>
  <c r="R140" i="12"/>
  <c r="K140" i="12"/>
  <c r="J140" i="12"/>
  <c r="I140" i="12"/>
  <c r="T139" i="12"/>
  <c r="S139" i="12"/>
  <c r="R139" i="12"/>
  <c r="K139" i="12"/>
  <c r="U138" i="12"/>
  <c r="T138" i="12"/>
  <c r="S138" i="12"/>
  <c r="L138" i="12" s="1"/>
  <c r="R138" i="12"/>
  <c r="Q138" i="12"/>
  <c r="K138" i="12"/>
  <c r="J138" i="12"/>
  <c r="I138" i="12"/>
  <c r="T137" i="12"/>
  <c r="S137" i="12"/>
  <c r="R137" i="12"/>
  <c r="L137" i="12"/>
  <c r="K137" i="12"/>
  <c r="H137" i="12"/>
  <c r="U136" i="12"/>
  <c r="T136" i="12"/>
  <c r="S136" i="12"/>
  <c r="L136" i="12" s="1"/>
  <c r="Q136" i="12" s="1"/>
  <c r="R136" i="12"/>
  <c r="K136" i="12"/>
  <c r="J136" i="12"/>
  <c r="I136" i="12"/>
  <c r="N136" i="12" s="1"/>
  <c r="T135" i="12"/>
  <c r="S135" i="12"/>
  <c r="K135" i="12" s="1"/>
  <c r="R135" i="12"/>
  <c r="L135" i="12"/>
  <c r="U134" i="12"/>
  <c r="T134" i="12"/>
  <c r="S134" i="12"/>
  <c r="L134" i="12" s="1"/>
  <c r="R134" i="12"/>
  <c r="Q134" i="12"/>
  <c r="K134" i="12"/>
  <c r="J134" i="12"/>
  <c r="I134" i="12"/>
  <c r="T133" i="12"/>
  <c r="S133" i="12"/>
  <c r="R133" i="12"/>
  <c r="L133" i="12"/>
  <c r="K133" i="12"/>
  <c r="H133" i="12"/>
  <c r="U132" i="12"/>
  <c r="T132" i="12"/>
  <c r="S132" i="12"/>
  <c r="L132" i="12" s="1"/>
  <c r="Q132" i="12" s="1"/>
  <c r="R132" i="12"/>
  <c r="K132" i="12"/>
  <c r="J132" i="12"/>
  <c r="I132" i="12"/>
  <c r="N132" i="12" s="1"/>
  <c r="T131" i="12"/>
  <c r="S131" i="12"/>
  <c r="K131" i="12" s="1"/>
  <c r="R131" i="12"/>
  <c r="L131" i="12"/>
  <c r="U130" i="12"/>
  <c r="T130" i="12"/>
  <c r="S130" i="12"/>
  <c r="L130" i="12" s="1"/>
  <c r="R130" i="12"/>
  <c r="Q130" i="12"/>
  <c r="K130" i="12"/>
  <c r="J130" i="12"/>
  <c r="I130" i="12"/>
  <c r="T129" i="12"/>
  <c r="S129" i="12"/>
  <c r="R129" i="12"/>
  <c r="L129" i="12"/>
  <c r="K129" i="12"/>
  <c r="H129" i="12"/>
  <c r="U128" i="12"/>
  <c r="T128" i="12"/>
  <c r="S128" i="12"/>
  <c r="L128" i="12" s="1"/>
  <c r="Q128" i="12" s="1"/>
  <c r="R128" i="12"/>
  <c r="K128" i="12"/>
  <c r="J128" i="12"/>
  <c r="I128" i="12"/>
  <c r="N128" i="12" s="1"/>
  <c r="T127" i="12"/>
  <c r="S127" i="12"/>
  <c r="K127" i="12" s="1"/>
  <c r="R127" i="12"/>
  <c r="L127" i="12"/>
  <c r="U126" i="12"/>
  <c r="T126" i="12"/>
  <c r="S126" i="12"/>
  <c r="L126" i="12" s="1"/>
  <c r="R126" i="12"/>
  <c r="Q126" i="12"/>
  <c r="K126" i="12"/>
  <c r="J126" i="12"/>
  <c r="I126" i="12"/>
  <c r="T125" i="12"/>
  <c r="S125" i="12"/>
  <c r="R125" i="12"/>
  <c r="I125" i="12"/>
  <c r="T124" i="12"/>
  <c r="S124" i="12"/>
  <c r="R124" i="12"/>
  <c r="U123" i="12"/>
  <c r="N123" i="12" s="1"/>
  <c r="T123" i="12"/>
  <c r="S123" i="12"/>
  <c r="J123" i="12" s="1"/>
  <c r="R123" i="12"/>
  <c r="M123" i="12"/>
  <c r="L123" i="12"/>
  <c r="Q123" i="12" s="1"/>
  <c r="I123" i="12"/>
  <c r="H123" i="12"/>
  <c r="U122" i="12"/>
  <c r="T122" i="12"/>
  <c r="S122" i="12"/>
  <c r="R122" i="12"/>
  <c r="K122" i="12"/>
  <c r="I122" i="12"/>
  <c r="U121" i="12"/>
  <c r="T121" i="12"/>
  <c r="S121" i="12"/>
  <c r="J121" i="12" s="1"/>
  <c r="R121" i="12"/>
  <c r="L121" i="12"/>
  <c r="Q121" i="12" s="1"/>
  <c r="K121" i="12"/>
  <c r="I121" i="12"/>
  <c r="H121" i="12"/>
  <c r="U120" i="12"/>
  <c r="T120" i="12"/>
  <c r="S120" i="12"/>
  <c r="R120" i="12"/>
  <c r="K120" i="12"/>
  <c r="J120" i="12"/>
  <c r="I120" i="12"/>
  <c r="T119" i="12"/>
  <c r="S119" i="12"/>
  <c r="J119" i="12" s="1"/>
  <c r="R119" i="12"/>
  <c r="K119" i="12"/>
  <c r="I119" i="12"/>
  <c r="T118" i="12"/>
  <c r="S118" i="12"/>
  <c r="U118" i="12" s="1"/>
  <c r="R118" i="12"/>
  <c r="O118" i="12"/>
  <c r="J118" i="12"/>
  <c r="I118" i="12"/>
  <c r="T117" i="12"/>
  <c r="S117" i="12"/>
  <c r="R117" i="12"/>
  <c r="T116" i="12"/>
  <c r="S116" i="12"/>
  <c r="R116" i="12"/>
  <c r="I116" i="12"/>
  <c r="U115" i="12"/>
  <c r="N115" i="12" s="1"/>
  <c r="T115" i="12"/>
  <c r="S115" i="12"/>
  <c r="J115" i="12" s="1"/>
  <c r="R115" i="12"/>
  <c r="L115" i="12"/>
  <c r="Q115" i="12" s="1"/>
  <c r="I115" i="12"/>
  <c r="H115" i="12"/>
  <c r="M115" i="12" s="1"/>
  <c r="U114" i="12"/>
  <c r="T114" i="12"/>
  <c r="S114" i="12"/>
  <c r="R114" i="12"/>
  <c r="K114" i="12"/>
  <c r="I114" i="12"/>
  <c r="U113" i="12"/>
  <c r="T113" i="12"/>
  <c r="S113" i="12"/>
  <c r="J113" i="12" s="1"/>
  <c r="R113" i="12"/>
  <c r="Q113" i="12"/>
  <c r="L113" i="12"/>
  <c r="K113" i="12"/>
  <c r="I113" i="12"/>
  <c r="H113" i="12"/>
  <c r="U112" i="12"/>
  <c r="T112" i="12"/>
  <c r="S112" i="12"/>
  <c r="R112" i="12"/>
  <c r="O112" i="12"/>
  <c r="K112" i="12"/>
  <c r="J112" i="12"/>
  <c r="I112" i="12"/>
  <c r="T111" i="12"/>
  <c r="S111" i="12"/>
  <c r="R111" i="12"/>
  <c r="K111" i="12"/>
  <c r="T110" i="12"/>
  <c r="S110" i="12"/>
  <c r="R110" i="12"/>
  <c r="J110" i="12"/>
  <c r="I110" i="12"/>
  <c r="T109" i="12"/>
  <c r="S109" i="12"/>
  <c r="R109" i="12"/>
  <c r="I109" i="12"/>
  <c r="H109" i="12"/>
  <c r="T108" i="12"/>
  <c r="S108" i="12"/>
  <c r="R108" i="12"/>
  <c r="I108" i="12"/>
  <c r="U107" i="12"/>
  <c r="T107" i="12"/>
  <c r="S107" i="12"/>
  <c r="K107" i="12" s="1"/>
  <c r="R107" i="12"/>
  <c r="L107" i="12"/>
  <c r="Q107" i="12" s="1"/>
  <c r="J107" i="12"/>
  <c r="I107" i="12"/>
  <c r="H107" i="12"/>
  <c r="M107" i="12" s="1"/>
  <c r="T106" i="12"/>
  <c r="S106" i="12"/>
  <c r="R106" i="12"/>
  <c r="K106" i="12"/>
  <c r="J106" i="12"/>
  <c r="U105" i="12"/>
  <c r="T105" i="12"/>
  <c r="S105" i="12"/>
  <c r="R105" i="12"/>
  <c r="Q105" i="12"/>
  <c r="P105" i="12"/>
  <c r="L105" i="12"/>
  <c r="K105" i="12"/>
  <c r="J105" i="12"/>
  <c r="I105" i="12"/>
  <c r="H105" i="12"/>
  <c r="T104" i="12"/>
  <c r="S104" i="12"/>
  <c r="R104" i="12"/>
  <c r="U103" i="12"/>
  <c r="T103" i="12"/>
  <c r="S103" i="12"/>
  <c r="R103" i="12"/>
  <c r="Q103" i="12"/>
  <c r="P103" i="12"/>
  <c r="M103" i="12"/>
  <c r="L103" i="12"/>
  <c r="K103" i="12"/>
  <c r="J103" i="12"/>
  <c r="I103" i="12"/>
  <c r="H103" i="12"/>
  <c r="T102" i="12"/>
  <c r="S102" i="12"/>
  <c r="R102" i="12"/>
  <c r="K102" i="12"/>
  <c r="J102" i="12"/>
  <c r="U101" i="12"/>
  <c r="T101" i="12"/>
  <c r="S101" i="12"/>
  <c r="R101" i="12"/>
  <c r="P101" i="12"/>
  <c r="L101" i="12"/>
  <c r="Q101" i="12" s="1"/>
  <c r="K101" i="12"/>
  <c r="J101" i="12"/>
  <c r="I101" i="12"/>
  <c r="H101" i="12"/>
  <c r="M101" i="12" s="1"/>
  <c r="T100" i="12"/>
  <c r="S100" i="12"/>
  <c r="R100" i="12"/>
  <c r="K100" i="12"/>
  <c r="J100" i="12"/>
  <c r="U99" i="12"/>
  <c r="T99" i="12"/>
  <c r="S99" i="12"/>
  <c r="R99" i="12"/>
  <c r="Q99" i="12"/>
  <c r="L99" i="12"/>
  <c r="K99" i="12"/>
  <c r="J99" i="12"/>
  <c r="I99" i="12"/>
  <c r="H99" i="12"/>
  <c r="T98" i="12"/>
  <c r="S98" i="12"/>
  <c r="R98" i="12"/>
  <c r="K98" i="12"/>
  <c r="J98" i="12"/>
  <c r="U97" i="12"/>
  <c r="T97" i="12"/>
  <c r="S97" i="12"/>
  <c r="R97" i="12"/>
  <c r="Q97" i="12"/>
  <c r="P97" i="12"/>
  <c r="L97" i="12"/>
  <c r="K97" i="12"/>
  <c r="J97" i="12"/>
  <c r="I97" i="12"/>
  <c r="H97" i="12"/>
  <c r="T96" i="12"/>
  <c r="S96" i="12"/>
  <c r="R96" i="12"/>
  <c r="U95" i="12"/>
  <c r="T95" i="12"/>
  <c r="S95" i="12"/>
  <c r="R95" i="12"/>
  <c r="Q95" i="12"/>
  <c r="P95" i="12"/>
  <c r="M95" i="12"/>
  <c r="L95" i="12"/>
  <c r="K95" i="12"/>
  <c r="J95" i="12"/>
  <c r="I95" i="12"/>
  <c r="H95" i="12"/>
  <c r="T94" i="12"/>
  <c r="S94" i="12"/>
  <c r="R94" i="12"/>
  <c r="L94" i="12"/>
  <c r="H94" i="12"/>
  <c r="U93" i="12"/>
  <c r="T93" i="12"/>
  <c r="S93" i="12"/>
  <c r="R93" i="12"/>
  <c r="L93" i="12"/>
  <c r="K93" i="12"/>
  <c r="J93" i="12"/>
  <c r="I93" i="12"/>
  <c r="H93" i="12"/>
  <c r="T92" i="12"/>
  <c r="S92" i="12"/>
  <c r="R92" i="12"/>
  <c r="L92" i="12"/>
  <c r="K92" i="12"/>
  <c r="H92" i="12"/>
  <c r="U91" i="12"/>
  <c r="O91" i="12" s="1"/>
  <c r="T91" i="12"/>
  <c r="S91" i="12"/>
  <c r="R91" i="12"/>
  <c r="P91" i="12"/>
  <c r="L91" i="12"/>
  <c r="Q91" i="12" s="1"/>
  <c r="K91" i="12"/>
  <c r="J91" i="12"/>
  <c r="I91" i="12"/>
  <c r="H91" i="12"/>
  <c r="T90" i="12"/>
  <c r="S90" i="12"/>
  <c r="R90" i="12"/>
  <c r="L90" i="12"/>
  <c r="K90" i="12"/>
  <c r="J90" i="12"/>
  <c r="H90" i="12"/>
  <c r="U89" i="12"/>
  <c r="T89" i="12"/>
  <c r="S89" i="12"/>
  <c r="R89" i="12"/>
  <c r="P89" i="12"/>
  <c r="N89" i="12"/>
  <c r="L89" i="12"/>
  <c r="Q89" i="12" s="1"/>
  <c r="K89" i="12"/>
  <c r="J89" i="12"/>
  <c r="I89" i="12"/>
  <c r="H89" i="12"/>
  <c r="T88" i="12"/>
  <c r="S88" i="12"/>
  <c r="R88" i="12"/>
  <c r="H88" i="12"/>
  <c r="U87" i="12"/>
  <c r="T87" i="12"/>
  <c r="S87" i="12"/>
  <c r="R87" i="12"/>
  <c r="P87" i="12"/>
  <c r="M87" i="12"/>
  <c r="L87" i="12"/>
  <c r="Q87" i="12" s="1"/>
  <c r="K87" i="12"/>
  <c r="J87" i="12"/>
  <c r="I87" i="12"/>
  <c r="N87" i="12" s="1"/>
  <c r="H87" i="12"/>
  <c r="T86" i="12"/>
  <c r="S86" i="12"/>
  <c r="R86" i="12"/>
  <c r="L86" i="12"/>
  <c r="H86" i="12"/>
  <c r="U85" i="12"/>
  <c r="T85" i="12"/>
  <c r="S85" i="12"/>
  <c r="R85" i="12"/>
  <c r="L85" i="12"/>
  <c r="Q85" i="12" s="1"/>
  <c r="K85" i="12"/>
  <c r="J85" i="12"/>
  <c r="I85" i="12"/>
  <c r="H85" i="12"/>
  <c r="T84" i="12"/>
  <c r="S84" i="12"/>
  <c r="R84" i="12"/>
  <c r="L84" i="12"/>
  <c r="K84" i="12"/>
  <c r="H84" i="12"/>
  <c r="U83" i="12"/>
  <c r="O83" i="12" s="1"/>
  <c r="T83" i="12"/>
  <c r="S83" i="12"/>
  <c r="R83" i="12"/>
  <c r="P83" i="12"/>
  <c r="L83" i="12"/>
  <c r="Q83" i="12" s="1"/>
  <c r="K83" i="12"/>
  <c r="J83" i="12"/>
  <c r="I83" i="12"/>
  <c r="H83" i="12"/>
  <c r="U82" i="12"/>
  <c r="T82" i="12"/>
  <c r="S82" i="12"/>
  <c r="L82" i="12" s="1"/>
  <c r="Q82" i="12" s="1"/>
  <c r="R82" i="12"/>
  <c r="K82" i="12"/>
  <c r="J82" i="12"/>
  <c r="I82" i="12"/>
  <c r="T81" i="12"/>
  <c r="S81" i="12"/>
  <c r="K81" i="12" s="1"/>
  <c r="R81" i="12"/>
  <c r="U80" i="12"/>
  <c r="T80" i="12"/>
  <c r="S80" i="12"/>
  <c r="L80" i="12" s="1"/>
  <c r="R80" i="12"/>
  <c r="K80" i="12"/>
  <c r="J80" i="12"/>
  <c r="I80" i="12"/>
  <c r="T79" i="12"/>
  <c r="S79" i="12"/>
  <c r="R79" i="12"/>
  <c r="K79" i="12"/>
  <c r="U78" i="12"/>
  <c r="T78" i="12"/>
  <c r="S78" i="12"/>
  <c r="L78" i="12" s="1"/>
  <c r="Q78" i="12" s="1"/>
  <c r="R78" i="12"/>
  <c r="K78" i="12"/>
  <c r="J78" i="12"/>
  <c r="I78" i="12"/>
  <c r="T77" i="12"/>
  <c r="S77" i="12"/>
  <c r="K77" i="12" s="1"/>
  <c r="R77" i="12"/>
  <c r="U76" i="12"/>
  <c r="T76" i="12"/>
  <c r="S76" i="12"/>
  <c r="L76" i="12" s="1"/>
  <c r="R76" i="12"/>
  <c r="K76" i="12"/>
  <c r="J76" i="12"/>
  <c r="I76" i="12"/>
  <c r="T75" i="12"/>
  <c r="S75" i="12"/>
  <c r="R75" i="12"/>
  <c r="K75" i="12"/>
  <c r="U74" i="12"/>
  <c r="T74" i="12"/>
  <c r="S74" i="12"/>
  <c r="L74" i="12" s="1"/>
  <c r="Q74" i="12" s="1"/>
  <c r="R74" i="12"/>
  <c r="K74" i="12"/>
  <c r="J74" i="12"/>
  <c r="I74" i="12"/>
  <c r="T73" i="12"/>
  <c r="S73" i="12"/>
  <c r="K73" i="12" s="1"/>
  <c r="R73" i="12"/>
  <c r="U72" i="12"/>
  <c r="T72" i="12"/>
  <c r="S72" i="12"/>
  <c r="L72" i="12" s="1"/>
  <c r="R72" i="12"/>
  <c r="K72" i="12"/>
  <c r="J72" i="12"/>
  <c r="I72" i="12"/>
  <c r="T71" i="12"/>
  <c r="S71" i="12"/>
  <c r="R71" i="12"/>
  <c r="K71" i="12"/>
  <c r="U70" i="12"/>
  <c r="T70" i="12"/>
  <c r="S70" i="12"/>
  <c r="L70" i="12" s="1"/>
  <c r="Q70" i="12" s="1"/>
  <c r="R70" i="12"/>
  <c r="K70" i="12"/>
  <c r="J70" i="12"/>
  <c r="I70" i="12"/>
  <c r="T69" i="12"/>
  <c r="S69" i="12"/>
  <c r="K69" i="12" s="1"/>
  <c r="R69" i="12"/>
  <c r="U68" i="12"/>
  <c r="Q68" i="12" s="1"/>
  <c r="T68" i="12"/>
  <c r="S68" i="12"/>
  <c r="L68" i="12" s="1"/>
  <c r="R68" i="12"/>
  <c r="K68" i="12"/>
  <c r="J68" i="12"/>
  <c r="I68" i="12"/>
  <c r="T67" i="12"/>
  <c r="S67" i="12"/>
  <c r="R67" i="12"/>
  <c r="K67" i="12"/>
  <c r="U66" i="12"/>
  <c r="T66" i="12"/>
  <c r="S66" i="12"/>
  <c r="L66" i="12" s="1"/>
  <c r="Q66" i="12" s="1"/>
  <c r="R66" i="12"/>
  <c r="K66" i="12"/>
  <c r="J66" i="12"/>
  <c r="I66" i="12"/>
  <c r="T65" i="12"/>
  <c r="S65" i="12"/>
  <c r="K65" i="12" s="1"/>
  <c r="R65" i="12"/>
  <c r="U64" i="12"/>
  <c r="Q64" i="12" s="1"/>
  <c r="T64" i="12"/>
  <c r="S64" i="12"/>
  <c r="L64" i="12" s="1"/>
  <c r="R64" i="12"/>
  <c r="K64" i="12"/>
  <c r="J64" i="12"/>
  <c r="I64" i="12"/>
  <c r="T63" i="12"/>
  <c r="S63" i="12"/>
  <c r="R63" i="12"/>
  <c r="K63" i="12"/>
  <c r="U62" i="12"/>
  <c r="T62" i="12"/>
  <c r="S62" i="12"/>
  <c r="L62" i="12" s="1"/>
  <c r="Q62" i="12" s="1"/>
  <c r="R62" i="12"/>
  <c r="K62" i="12"/>
  <c r="J62" i="12"/>
  <c r="I62" i="12"/>
  <c r="T61" i="12"/>
  <c r="S61" i="12"/>
  <c r="K61" i="12" s="1"/>
  <c r="R61" i="12"/>
  <c r="U60" i="12"/>
  <c r="Q60" i="12" s="1"/>
  <c r="T60" i="12"/>
  <c r="S60" i="12"/>
  <c r="L60" i="12" s="1"/>
  <c r="R60" i="12"/>
  <c r="K60" i="12"/>
  <c r="J60" i="12"/>
  <c r="I60" i="12"/>
  <c r="T59" i="12"/>
  <c r="S59" i="12"/>
  <c r="R59" i="12"/>
  <c r="K59" i="12"/>
  <c r="U58" i="12"/>
  <c r="T58" i="12"/>
  <c r="S58" i="12"/>
  <c r="L58" i="12" s="1"/>
  <c r="Q58" i="12" s="1"/>
  <c r="R58" i="12"/>
  <c r="K58" i="12"/>
  <c r="J58" i="12"/>
  <c r="I58" i="12"/>
  <c r="T57" i="12"/>
  <c r="S57" i="12"/>
  <c r="R57" i="12"/>
  <c r="U56" i="12"/>
  <c r="Q56" i="12" s="1"/>
  <c r="T56" i="12"/>
  <c r="S56" i="12"/>
  <c r="L56" i="12" s="1"/>
  <c r="R56" i="12"/>
  <c r="K56" i="12"/>
  <c r="J56" i="12"/>
  <c r="I56" i="12"/>
  <c r="T55" i="12"/>
  <c r="S55" i="12"/>
  <c r="R55" i="12"/>
  <c r="K55" i="12"/>
  <c r="U54" i="12"/>
  <c r="T54" i="12"/>
  <c r="S54" i="12"/>
  <c r="L54" i="12" s="1"/>
  <c r="Q54" i="12" s="1"/>
  <c r="R54" i="12"/>
  <c r="K54" i="12"/>
  <c r="J54" i="12"/>
  <c r="I54" i="12"/>
  <c r="T53" i="12"/>
  <c r="S53" i="12"/>
  <c r="K53" i="12" s="1"/>
  <c r="R53" i="12"/>
  <c r="U52" i="12"/>
  <c r="Q52" i="12" s="1"/>
  <c r="T52" i="12"/>
  <c r="S52" i="12"/>
  <c r="L52" i="12" s="1"/>
  <c r="R52" i="12"/>
  <c r="K52" i="12"/>
  <c r="J52" i="12"/>
  <c r="I52" i="12"/>
  <c r="T51" i="12"/>
  <c r="S51" i="12"/>
  <c r="R51" i="12"/>
  <c r="K51" i="12"/>
  <c r="U50" i="12"/>
  <c r="T50" i="12"/>
  <c r="S50" i="12"/>
  <c r="L50" i="12" s="1"/>
  <c r="Q50" i="12" s="1"/>
  <c r="R50" i="12"/>
  <c r="K50" i="12"/>
  <c r="J50" i="12"/>
  <c r="I50" i="12"/>
  <c r="T49" i="12"/>
  <c r="S49" i="12"/>
  <c r="R49" i="12"/>
  <c r="U48" i="12"/>
  <c r="Q48" i="12" s="1"/>
  <c r="T48" i="12"/>
  <c r="S48" i="12"/>
  <c r="L48" i="12" s="1"/>
  <c r="R48" i="12"/>
  <c r="K48" i="12"/>
  <c r="J48" i="12"/>
  <c r="I48" i="12"/>
  <c r="T47" i="12"/>
  <c r="S47" i="12"/>
  <c r="R47" i="12"/>
  <c r="K47" i="12"/>
  <c r="U46" i="12"/>
  <c r="T46" i="12"/>
  <c r="S46" i="12"/>
  <c r="L46" i="12" s="1"/>
  <c r="Q46" i="12" s="1"/>
  <c r="R46" i="12"/>
  <c r="K46" i="12"/>
  <c r="J46" i="12"/>
  <c r="I46" i="12"/>
  <c r="T45" i="12"/>
  <c r="S45" i="12"/>
  <c r="R45" i="12"/>
  <c r="U44" i="12"/>
  <c r="Q44" i="12" s="1"/>
  <c r="T44" i="12"/>
  <c r="S44" i="12"/>
  <c r="L44" i="12" s="1"/>
  <c r="R44" i="12"/>
  <c r="K44" i="12"/>
  <c r="J44" i="12"/>
  <c r="I44" i="12"/>
  <c r="T43" i="12"/>
  <c r="T42" i="12"/>
  <c r="T41" i="12"/>
  <c r="T40" i="12"/>
  <c r="T39" i="12"/>
  <c r="T38" i="12"/>
  <c r="T37" i="12"/>
  <c r="T36" i="12"/>
  <c r="T35" i="12"/>
  <c r="T34" i="12"/>
  <c r="T33" i="12"/>
  <c r="T32" i="12"/>
  <c r="T31" i="12"/>
  <c r="T30" i="12"/>
  <c r="T29" i="12"/>
  <c r="T28" i="12"/>
  <c r="T27" i="12"/>
  <c r="T26" i="12"/>
  <c r="T25" i="12"/>
  <c r="T24" i="12"/>
  <c r="T23" i="12"/>
  <c r="T22" i="12"/>
  <c r="T21" i="12"/>
  <c r="T20" i="12"/>
  <c r="T19" i="12"/>
  <c r="T18" i="12"/>
  <c r="T17" i="12"/>
  <c r="T16" i="12"/>
  <c r="T15" i="12"/>
  <c r="T14" i="12"/>
  <c r="T13" i="12"/>
  <c r="T12" i="12"/>
  <c r="T11" i="12"/>
  <c r="T10" i="12"/>
  <c r="T9" i="12"/>
  <c r="N649" i="11"/>
  <c r="N648" i="11"/>
  <c r="N647" i="11"/>
  <c r="N646" i="11"/>
  <c r="N645" i="11"/>
  <c r="N644" i="11"/>
  <c r="N643" i="11"/>
  <c r="N642" i="11"/>
  <c r="N641" i="11"/>
  <c r="N640" i="11"/>
  <c r="N639" i="11"/>
  <c r="N638" i="11"/>
  <c r="N637" i="11"/>
  <c r="N636" i="11"/>
  <c r="N635" i="11"/>
  <c r="N634" i="11"/>
  <c r="N633" i="11"/>
  <c r="N632" i="11"/>
  <c r="N631" i="11"/>
  <c r="N630" i="11"/>
  <c r="N629" i="11"/>
  <c r="N628" i="11"/>
  <c r="N627" i="11"/>
  <c r="N626" i="11"/>
  <c r="N625" i="11"/>
  <c r="N624" i="11"/>
  <c r="N623" i="11"/>
  <c r="N622" i="11"/>
  <c r="N621" i="11"/>
  <c r="N620" i="11"/>
  <c r="N619" i="11"/>
  <c r="N618" i="11"/>
  <c r="N617" i="11"/>
  <c r="N616" i="11"/>
  <c r="N615" i="11"/>
  <c r="N614" i="11"/>
  <c r="N613" i="11"/>
  <c r="N612" i="11"/>
  <c r="N611" i="11"/>
  <c r="N610" i="11"/>
  <c r="N609" i="11"/>
  <c r="N608" i="11"/>
  <c r="N607" i="11"/>
  <c r="N606" i="11"/>
  <c r="N605" i="11"/>
  <c r="N604" i="11"/>
  <c r="N603" i="11"/>
  <c r="N602" i="11"/>
  <c r="N601" i="11"/>
  <c r="N600" i="11"/>
  <c r="N599" i="11"/>
  <c r="N598" i="11"/>
  <c r="N597" i="11"/>
  <c r="N596" i="11"/>
  <c r="N595" i="11"/>
  <c r="N594" i="11"/>
  <c r="N593" i="11"/>
  <c r="N592" i="11"/>
  <c r="N591" i="11"/>
  <c r="N590" i="11"/>
  <c r="N589" i="11"/>
  <c r="N588" i="11"/>
  <c r="N587" i="11"/>
  <c r="N586" i="11"/>
  <c r="N585" i="11"/>
  <c r="N584" i="11"/>
  <c r="N583" i="11"/>
  <c r="N582" i="11"/>
  <c r="N581" i="11"/>
  <c r="N580" i="11"/>
  <c r="N579" i="11"/>
  <c r="N578" i="11"/>
  <c r="N577" i="11"/>
  <c r="N576" i="11"/>
  <c r="N575" i="11"/>
  <c r="N574" i="11"/>
  <c r="N573" i="11"/>
  <c r="N572" i="11"/>
  <c r="N571" i="11"/>
  <c r="N570" i="11"/>
  <c r="N569" i="11"/>
  <c r="N568" i="11"/>
  <c r="N567" i="11"/>
  <c r="N566" i="11"/>
  <c r="N565" i="11"/>
  <c r="N564" i="11"/>
  <c r="N563" i="11"/>
  <c r="N562" i="11"/>
  <c r="N561" i="11"/>
  <c r="N560" i="11"/>
  <c r="N559" i="11"/>
  <c r="N558" i="11"/>
  <c r="N557" i="11"/>
  <c r="N556" i="11"/>
  <c r="N555" i="11"/>
  <c r="N554" i="11"/>
  <c r="N553" i="11"/>
  <c r="N552" i="11"/>
  <c r="N551" i="11"/>
  <c r="N550" i="11"/>
  <c r="N549" i="11"/>
  <c r="N548" i="11"/>
  <c r="N547" i="11"/>
  <c r="N546" i="11"/>
  <c r="N545" i="11"/>
  <c r="N544" i="11"/>
  <c r="N543" i="11"/>
  <c r="N542" i="11"/>
  <c r="N541" i="11"/>
  <c r="N540" i="11"/>
  <c r="N539" i="11"/>
  <c r="N538" i="11"/>
  <c r="N537" i="11"/>
  <c r="N536" i="11"/>
  <c r="N535" i="11"/>
  <c r="N534" i="11"/>
  <c r="N533" i="11"/>
  <c r="N532" i="11"/>
  <c r="N531" i="11"/>
  <c r="N530" i="11"/>
  <c r="N529" i="11"/>
  <c r="N528" i="11"/>
  <c r="N527" i="11"/>
  <c r="N526" i="11"/>
  <c r="N525" i="11"/>
  <c r="N524" i="11"/>
  <c r="N523" i="11"/>
  <c r="N522" i="11"/>
  <c r="N521" i="11"/>
  <c r="N520" i="11"/>
  <c r="N519" i="11"/>
  <c r="N518" i="11"/>
  <c r="N517" i="11"/>
  <c r="N516" i="11"/>
  <c r="N515" i="11"/>
  <c r="N514" i="11"/>
  <c r="N513" i="11"/>
  <c r="N512" i="11"/>
  <c r="N511" i="11"/>
  <c r="N510" i="11"/>
  <c r="N509" i="11"/>
  <c r="N508" i="11"/>
  <c r="N507" i="11"/>
  <c r="N506" i="11"/>
  <c r="N505" i="11"/>
  <c r="N504" i="11"/>
  <c r="N503" i="11"/>
  <c r="N502" i="11"/>
  <c r="N501" i="11"/>
  <c r="N500" i="11"/>
  <c r="N499" i="11"/>
  <c r="N498" i="11"/>
  <c r="N497" i="11"/>
  <c r="N496" i="11"/>
  <c r="N495" i="11"/>
  <c r="N494" i="11"/>
  <c r="N493" i="11"/>
  <c r="N492" i="11"/>
  <c r="N491" i="11"/>
  <c r="N490" i="11"/>
  <c r="N489" i="11"/>
  <c r="N488" i="11"/>
  <c r="N487" i="11"/>
  <c r="N486" i="11"/>
  <c r="N485" i="11"/>
  <c r="N484" i="11"/>
  <c r="N483" i="11"/>
  <c r="N482" i="11"/>
  <c r="N481" i="11"/>
  <c r="N480" i="11"/>
  <c r="N479" i="11"/>
  <c r="N478" i="11"/>
  <c r="N477" i="11"/>
  <c r="N476" i="11"/>
  <c r="N475" i="11"/>
  <c r="N474" i="11"/>
  <c r="N473" i="11"/>
  <c r="N472" i="11"/>
  <c r="N471" i="11"/>
  <c r="N470" i="11"/>
  <c r="N469" i="11"/>
  <c r="N468" i="11"/>
  <c r="N467" i="11"/>
  <c r="N466" i="11"/>
  <c r="N465" i="11"/>
  <c r="N464" i="11"/>
  <c r="N463" i="11"/>
  <c r="N462" i="11"/>
  <c r="N461" i="11"/>
  <c r="N460" i="11"/>
  <c r="N459" i="11"/>
  <c r="N458" i="11"/>
  <c r="N457" i="11"/>
  <c r="N456" i="11"/>
  <c r="N455" i="11"/>
  <c r="N454" i="11"/>
  <c r="N453" i="11"/>
  <c r="N452" i="11"/>
  <c r="N451" i="11"/>
  <c r="N450" i="11"/>
  <c r="N449" i="11"/>
  <c r="N448" i="11"/>
  <c r="N447" i="11"/>
  <c r="N446" i="11"/>
  <c r="N445" i="11"/>
  <c r="N444" i="11"/>
  <c r="N443" i="11"/>
  <c r="N442" i="11"/>
  <c r="N441" i="11"/>
  <c r="N440" i="11"/>
  <c r="N439" i="11"/>
  <c r="N438" i="11"/>
  <c r="N437" i="11"/>
  <c r="N436" i="11"/>
  <c r="N435" i="11"/>
  <c r="N434" i="11"/>
  <c r="N433" i="11"/>
  <c r="N432" i="11"/>
  <c r="N431" i="11"/>
  <c r="N430" i="11"/>
  <c r="N429" i="11"/>
  <c r="N428" i="11"/>
  <c r="N427" i="11"/>
  <c r="N426" i="11"/>
  <c r="N425" i="11"/>
  <c r="N424" i="11"/>
  <c r="N423" i="11"/>
  <c r="N422" i="11"/>
  <c r="N421" i="11"/>
  <c r="N420" i="11"/>
  <c r="N419" i="11"/>
  <c r="N418" i="11"/>
  <c r="N417" i="11"/>
  <c r="N416" i="11"/>
  <c r="N415" i="11"/>
  <c r="N414" i="11"/>
  <c r="N413" i="11"/>
  <c r="N412" i="11"/>
  <c r="N411" i="11"/>
  <c r="N410" i="11"/>
  <c r="N409" i="11"/>
  <c r="N408" i="11"/>
  <c r="N407" i="11"/>
  <c r="N406" i="11"/>
  <c r="N405" i="11"/>
  <c r="N404" i="11"/>
  <c r="N403" i="11"/>
  <c r="N402" i="11"/>
  <c r="N401" i="11"/>
  <c r="N400" i="11"/>
  <c r="N399" i="11"/>
  <c r="N398" i="11"/>
  <c r="N397" i="11"/>
  <c r="N396" i="11"/>
  <c r="N395" i="11"/>
  <c r="N394" i="11"/>
  <c r="N393" i="11"/>
  <c r="N392" i="11"/>
  <c r="N391" i="11"/>
  <c r="N390" i="11"/>
  <c r="N389" i="11"/>
  <c r="N388" i="11"/>
  <c r="N387" i="11"/>
  <c r="N386" i="11"/>
  <c r="N385" i="11"/>
  <c r="N384" i="11"/>
  <c r="N383" i="11"/>
  <c r="N382" i="11"/>
  <c r="N381" i="11"/>
  <c r="N380" i="11"/>
  <c r="N379" i="11"/>
  <c r="N378" i="11"/>
  <c r="N377" i="11"/>
  <c r="N376" i="11"/>
  <c r="N375" i="11"/>
  <c r="N374" i="11"/>
  <c r="N373" i="11"/>
  <c r="N372" i="11"/>
  <c r="N371" i="11"/>
  <c r="N370" i="11"/>
  <c r="N369" i="11"/>
  <c r="N368" i="11"/>
  <c r="N367" i="11"/>
  <c r="N366" i="11"/>
  <c r="N365" i="11"/>
  <c r="N364" i="11"/>
  <c r="N363" i="11"/>
  <c r="N362" i="11"/>
  <c r="N361" i="11"/>
  <c r="N360" i="11"/>
  <c r="N359" i="11"/>
  <c r="N358" i="11"/>
  <c r="N357" i="11"/>
  <c r="N356" i="11"/>
  <c r="N355" i="11"/>
  <c r="N354" i="11"/>
  <c r="N353" i="11"/>
  <c r="N352" i="11"/>
  <c r="N351" i="11"/>
  <c r="N350" i="11"/>
  <c r="N349" i="11"/>
  <c r="N348" i="11"/>
  <c r="N347" i="11"/>
  <c r="N346" i="11"/>
  <c r="N345" i="11"/>
  <c r="N344" i="11"/>
  <c r="N343" i="11"/>
  <c r="N342" i="11"/>
  <c r="N341" i="11"/>
  <c r="N340" i="11"/>
  <c r="N339" i="11"/>
  <c r="N338" i="11"/>
  <c r="N337" i="11"/>
  <c r="N336" i="11"/>
  <c r="N335" i="11"/>
  <c r="N334" i="11"/>
  <c r="N333" i="11"/>
  <c r="N332" i="11"/>
  <c r="N331" i="11"/>
  <c r="N330" i="11"/>
  <c r="N329" i="11"/>
  <c r="N328" i="11"/>
  <c r="N327" i="11"/>
  <c r="N326" i="11"/>
  <c r="N325" i="11"/>
  <c r="N324" i="11"/>
  <c r="N323" i="11"/>
  <c r="N322" i="11"/>
  <c r="N321" i="11"/>
  <c r="N320" i="11"/>
  <c r="N319" i="11"/>
  <c r="N318" i="11"/>
  <c r="N317" i="11"/>
  <c r="N316" i="11"/>
  <c r="N315" i="11"/>
  <c r="N314" i="11"/>
  <c r="N313" i="11"/>
  <c r="N312" i="11"/>
  <c r="N311" i="11"/>
  <c r="N310" i="11"/>
  <c r="N309" i="11"/>
  <c r="N308" i="11"/>
  <c r="N307" i="11"/>
  <c r="N306" i="11"/>
  <c r="N305" i="11"/>
  <c r="N304" i="11"/>
  <c r="N303" i="11"/>
  <c r="N302" i="11"/>
  <c r="N301" i="11"/>
  <c r="N300" i="11"/>
  <c r="N299" i="11"/>
  <c r="N298" i="11"/>
  <c r="N297" i="11"/>
  <c r="N296" i="11"/>
  <c r="N295" i="11"/>
  <c r="N294" i="11"/>
  <c r="N293" i="11"/>
  <c r="N292" i="11"/>
  <c r="N291" i="11"/>
  <c r="N290" i="11"/>
  <c r="N289" i="11"/>
  <c r="N288" i="11"/>
  <c r="N287" i="11"/>
  <c r="N286" i="11"/>
  <c r="N285" i="11"/>
  <c r="N284" i="11"/>
  <c r="N283" i="11"/>
  <c r="N282" i="11"/>
  <c r="N281" i="11"/>
  <c r="N280" i="11"/>
  <c r="N279" i="11"/>
  <c r="N278" i="11"/>
  <c r="N277" i="11"/>
  <c r="N276" i="11"/>
  <c r="N275" i="11"/>
  <c r="N274" i="11"/>
  <c r="N273" i="11"/>
  <c r="N272" i="11"/>
  <c r="N271" i="11"/>
  <c r="N270" i="11"/>
  <c r="N269" i="11"/>
  <c r="N268" i="11"/>
  <c r="N267" i="11"/>
  <c r="N266" i="11"/>
  <c r="N265" i="11"/>
  <c r="N264" i="11"/>
  <c r="N263" i="11"/>
  <c r="N262" i="11"/>
  <c r="N261" i="11"/>
  <c r="N260" i="11"/>
  <c r="N259" i="11"/>
  <c r="N258" i="11"/>
  <c r="N257" i="11"/>
  <c r="N256" i="11"/>
  <c r="N255" i="11"/>
  <c r="N254" i="11"/>
  <c r="N253" i="11"/>
  <c r="N252" i="11"/>
  <c r="N251" i="11"/>
  <c r="N250" i="11"/>
  <c r="N249" i="11"/>
  <c r="N248" i="11"/>
  <c r="N247" i="11"/>
  <c r="N246" i="11"/>
  <c r="N245" i="11"/>
  <c r="N244" i="11"/>
  <c r="N243" i="11"/>
  <c r="N242" i="11"/>
  <c r="N241" i="11"/>
  <c r="N240" i="11"/>
  <c r="N239" i="11"/>
  <c r="N238" i="11"/>
  <c r="N237" i="11"/>
  <c r="N236" i="11"/>
  <c r="N235" i="11"/>
  <c r="N234" i="11"/>
  <c r="N233" i="11"/>
  <c r="N232" i="11"/>
  <c r="N231" i="11"/>
  <c r="N230" i="11"/>
  <c r="N229" i="11"/>
  <c r="N228" i="11"/>
  <c r="N227" i="11"/>
  <c r="N226" i="11"/>
  <c r="N225" i="11"/>
  <c r="N224" i="11"/>
  <c r="N223" i="11"/>
  <c r="N222" i="11"/>
  <c r="N221" i="11"/>
  <c r="N220" i="11"/>
  <c r="N219" i="11"/>
  <c r="N218" i="11"/>
  <c r="N217" i="11"/>
  <c r="N216" i="11"/>
  <c r="N215" i="11"/>
  <c r="N214" i="11"/>
  <c r="N213" i="11"/>
  <c r="N212" i="11"/>
  <c r="N211" i="11"/>
  <c r="N210" i="11"/>
  <c r="N209" i="11"/>
  <c r="N208" i="11"/>
  <c r="N207" i="11"/>
  <c r="N206" i="11"/>
  <c r="N205" i="11"/>
  <c r="N204" i="11"/>
  <c r="N203" i="11"/>
  <c r="N202" i="11"/>
  <c r="N201" i="11"/>
  <c r="N200" i="11"/>
  <c r="N199" i="11"/>
  <c r="N198" i="11"/>
  <c r="N197" i="11"/>
  <c r="N196" i="11"/>
  <c r="N195" i="11"/>
  <c r="N194" i="11"/>
  <c r="N193" i="11"/>
  <c r="N192" i="11"/>
  <c r="N191" i="11"/>
  <c r="N190" i="11"/>
  <c r="N189" i="11"/>
  <c r="N188" i="11"/>
  <c r="N187" i="11"/>
  <c r="N186" i="11"/>
  <c r="N185" i="11"/>
  <c r="N184" i="11"/>
  <c r="N183" i="11"/>
  <c r="N182" i="11"/>
  <c r="N181" i="11"/>
  <c r="N180" i="11"/>
  <c r="N179" i="11"/>
  <c r="N178" i="11"/>
  <c r="N177" i="11"/>
  <c r="N176" i="11"/>
  <c r="N175" i="11"/>
  <c r="N174" i="11"/>
  <c r="N173" i="11"/>
  <c r="N172" i="11"/>
  <c r="N171" i="11"/>
  <c r="N170" i="11"/>
  <c r="N169" i="11"/>
  <c r="N168" i="11"/>
  <c r="N167" i="11"/>
  <c r="N166" i="11"/>
  <c r="N165" i="11"/>
  <c r="N164" i="11"/>
  <c r="N163" i="11"/>
  <c r="N162" i="11"/>
  <c r="N161" i="11"/>
  <c r="N160" i="11"/>
  <c r="N159" i="11"/>
  <c r="N158" i="11"/>
  <c r="N157" i="11"/>
  <c r="N156" i="11"/>
  <c r="N155" i="11"/>
  <c r="N154" i="11"/>
  <c r="N153" i="11"/>
  <c r="N152" i="11"/>
  <c r="N151" i="11"/>
  <c r="N150" i="11"/>
  <c r="N149" i="11"/>
  <c r="N148" i="11"/>
  <c r="N147" i="11"/>
  <c r="N146" i="11"/>
  <c r="N145" i="11"/>
  <c r="N144" i="11"/>
  <c r="N143" i="11"/>
  <c r="N142" i="11"/>
  <c r="N141" i="11"/>
  <c r="N140" i="11"/>
  <c r="N139" i="11"/>
  <c r="N138" i="11"/>
  <c r="N137" i="11"/>
  <c r="N136" i="11"/>
  <c r="N135" i="11"/>
  <c r="N134" i="11"/>
  <c r="N133" i="11"/>
  <c r="N132" i="11"/>
  <c r="N131" i="11"/>
  <c r="N130" i="11"/>
  <c r="N129" i="11"/>
  <c r="N128" i="11"/>
  <c r="N127" i="11"/>
  <c r="N126" i="11"/>
  <c r="N125" i="11"/>
  <c r="N124" i="11"/>
  <c r="N123" i="11"/>
  <c r="N122" i="11"/>
  <c r="N121" i="11"/>
  <c r="N120" i="11"/>
  <c r="N119" i="11"/>
  <c r="N118" i="11"/>
  <c r="N117" i="11"/>
  <c r="N116" i="11"/>
  <c r="N115" i="11"/>
  <c r="N114" i="11"/>
  <c r="N113" i="11"/>
  <c r="N112" i="11"/>
  <c r="N111" i="11"/>
  <c r="N110" i="11"/>
  <c r="N109" i="11"/>
  <c r="N108" i="11"/>
  <c r="N107" i="11"/>
  <c r="N106" i="11"/>
  <c r="N105" i="11"/>
  <c r="N104" i="11"/>
  <c r="N103" i="11"/>
  <c r="N102" i="11"/>
  <c r="N101" i="11"/>
  <c r="N100" i="11"/>
  <c r="N99" i="11"/>
  <c r="N98" i="11"/>
  <c r="N97" i="11"/>
  <c r="N96" i="11"/>
  <c r="N95" i="11"/>
  <c r="N94" i="11"/>
  <c r="N93" i="11"/>
  <c r="N92" i="11"/>
  <c r="N91" i="11"/>
  <c r="N90" i="11"/>
  <c r="N89" i="11"/>
  <c r="N88" i="11"/>
  <c r="N87" i="11"/>
  <c r="N86" i="11"/>
  <c r="N85" i="11"/>
  <c r="N84" i="11"/>
  <c r="N83" i="11"/>
  <c r="N82" i="11"/>
  <c r="N81" i="11"/>
  <c r="N80" i="11"/>
  <c r="N79" i="11"/>
  <c r="N78" i="11"/>
  <c r="N77" i="11"/>
  <c r="N76" i="11"/>
  <c r="N75" i="11"/>
  <c r="N74" i="11"/>
  <c r="N73" i="11"/>
  <c r="N72" i="11"/>
  <c r="N71" i="11"/>
  <c r="N70" i="11"/>
  <c r="N69" i="11"/>
  <c r="N68" i="11"/>
  <c r="N67" i="11"/>
  <c r="N66" i="11"/>
  <c r="N65" i="11"/>
  <c r="N64" i="11"/>
  <c r="N63" i="11"/>
  <c r="N62" i="11"/>
  <c r="N61" i="11"/>
  <c r="N60" i="11"/>
  <c r="N59" i="11"/>
  <c r="N58" i="11"/>
  <c r="N57" i="11"/>
  <c r="N56" i="11"/>
  <c r="N55" i="11"/>
  <c r="N54" i="11"/>
  <c r="N53" i="11"/>
  <c r="N52" i="11"/>
  <c r="N51" i="11"/>
  <c r="N50" i="11"/>
  <c r="N49" i="11"/>
  <c r="N48" i="11"/>
  <c r="N47" i="11"/>
  <c r="N46" i="11"/>
  <c r="N45" i="11"/>
  <c r="N44" i="11"/>
  <c r="N43" i="11"/>
  <c r="N42" i="11"/>
  <c r="N41" i="11"/>
  <c r="N40" i="11"/>
  <c r="N39" i="11"/>
  <c r="N38" i="11"/>
  <c r="N37" i="11"/>
  <c r="N36" i="11"/>
  <c r="N35" i="11"/>
  <c r="N34" i="11"/>
  <c r="N33" i="11"/>
  <c r="N32" i="11"/>
  <c r="N31" i="11"/>
  <c r="N30" i="11"/>
  <c r="N29" i="11"/>
  <c r="N28" i="11"/>
  <c r="N27" i="11"/>
  <c r="N26" i="11"/>
  <c r="N25" i="11"/>
  <c r="N24" i="11"/>
  <c r="N23" i="11"/>
  <c r="N22" i="11"/>
  <c r="N21" i="11"/>
  <c r="N20" i="11"/>
  <c r="N19" i="11"/>
  <c r="N18" i="11"/>
  <c r="N17" i="11"/>
  <c r="N16" i="11"/>
  <c r="N15" i="11"/>
  <c r="N14" i="11"/>
  <c r="N13" i="11"/>
  <c r="N12" i="11"/>
  <c r="N11" i="11"/>
  <c r="N10" i="11"/>
  <c r="N9" i="11"/>
  <c r="N8" i="11"/>
  <c r="B40" i="9"/>
  <c r="C42" i="8"/>
  <c r="E42" i="8" s="1"/>
  <c r="C28" i="8"/>
  <c r="E28" i="8" s="1"/>
  <c r="E27" i="8"/>
  <c r="C27" i="8"/>
  <c r="C26" i="8"/>
  <c r="E26" i="8" s="1"/>
  <c r="E25" i="8"/>
  <c r="C25" i="8"/>
  <c r="C24" i="8"/>
  <c r="E24" i="8" s="1"/>
  <c r="E23" i="8"/>
  <c r="C23" i="8"/>
  <c r="C22" i="8"/>
  <c r="E22" i="8" s="1"/>
  <c r="E21" i="8"/>
  <c r="C21" i="8"/>
  <c r="C20" i="8"/>
  <c r="E20" i="8" s="1"/>
  <c r="E19" i="8"/>
  <c r="C19" i="8"/>
  <c r="C18" i="8"/>
  <c r="E18" i="8" s="1"/>
  <c r="E17" i="8"/>
  <c r="C17" i="8"/>
  <c r="C16" i="8"/>
  <c r="E16" i="8" s="1"/>
  <c r="E15" i="8"/>
  <c r="C15" i="8"/>
  <c r="C14" i="8"/>
  <c r="E14" i="8" s="1"/>
  <c r="E13" i="8"/>
  <c r="C13" i="8"/>
  <c r="C12" i="8"/>
  <c r="E12" i="8" s="1"/>
  <c r="E11" i="8"/>
  <c r="C11" i="8"/>
  <c r="C10" i="8"/>
  <c r="E10" i="8" s="1"/>
  <c r="E9" i="8"/>
  <c r="C9" i="8"/>
  <c r="C8" i="8"/>
  <c r="E8" i="8" s="1"/>
  <c r="D27" i="6"/>
  <c r="A27" i="6"/>
  <c r="D26" i="6"/>
  <c r="A26" i="6"/>
  <c r="D25" i="6"/>
  <c r="A25" i="6"/>
  <c r="D24" i="6"/>
  <c r="A24" i="6"/>
  <c r="D23" i="6"/>
  <c r="A23" i="6"/>
  <c r="D22" i="6"/>
  <c r="A22" i="6"/>
  <c r="C18" i="6"/>
  <c r="C14" i="6"/>
  <c r="B6" i="6"/>
  <c r="H34" i="5"/>
  <c r="G34" i="5"/>
  <c r="F34" i="5"/>
  <c r="E34" i="5"/>
  <c r="D34" i="5"/>
  <c r="C34" i="5"/>
  <c r="B34" i="5"/>
  <c r="G20" i="5"/>
  <c r="C20" i="5"/>
  <c r="K19" i="5"/>
  <c r="H19" i="5"/>
  <c r="G19" i="5"/>
  <c r="F19" i="5"/>
  <c r="E19" i="5"/>
  <c r="I19" i="5" s="1"/>
  <c r="D19" i="5"/>
  <c r="C19" i="5"/>
  <c r="B19" i="5"/>
  <c r="L19" i="5" s="1"/>
  <c r="A19" i="5"/>
  <c r="K18" i="5"/>
  <c r="H18" i="5"/>
  <c r="G18" i="5"/>
  <c r="F18" i="5"/>
  <c r="E18" i="5"/>
  <c r="I18" i="5" s="1"/>
  <c r="D18" i="5"/>
  <c r="C18" i="5"/>
  <c r="B18" i="5"/>
  <c r="A18" i="5"/>
  <c r="K17" i="5"/>
  <c r="H17" i="5"/>
  <c r="G17" i="5"/>
  <c r="F17" i="5"/>
  <c r="E17" i="5"/>
  <c r="D17" i="5"/>
  <c r="C17" i="5"/>
  <c r="B17" i="5"/>
  <c r="L17" i="5" s="1"/>
  <c r="A17" i="5"/>
  <c r="K16" i="5"/>
  <c r="H16" i="5"/>
  <c r="G16" i="5"/>
  <c r="F16" i="5"/>
  <c r="E16" i="5"/>
  <c r="I16" i="5" s="1"/>
  <c r="D16" i="5"/>
  <c r="C16" i="5"/>
  <c r="B16" i="5"/>
  <c r="A16" i="5"/>
  <c r="K15" i="5"/>
  <c r="H15" i="5"/>
  <c r="G15" i="5"/>
  <c r="F15" i="5"/>
  <c r="E15" i="5"/>
  <c r="I15" i="5" s="1"/>
  <c r="D15" i="5"/>
  <c r="C15" i="5"/>
  <c r="B15" i="5"/>
  <c r="A15" i="5"/>
  <c r="K14" i="5"/>
  <c r="H14" i="5"/>
  <c r="G14" i="5"/>
  <c r="F14" i="5"/>
  <c r="E14" i="5"/>
  <c r="I14" i="5" s="1"/>
  <c r="D14" i="5"/>
  <c r="C14" i="5"/>
  <c r="B14" i="5"/>
  <c r="L14" i="5" s="1"/>
  <c r="A14" i="5"/>
  <c r="K13" i="5"/>
  <c r="H13" i="5"/>
  <c r="G13" i="5"/>
  <c r="F13" i="5"/>
  <c r="E13" i="5"/>
  <c r="I13" i="5" s="1"/>
  <c r="D13" i="5"/>
  <c r="C13" i="5"/>
  <c r="B13" i="5"/>
  <c r="A13" i="5"/>
  <c r="K12" i="5"/>
  <c r="H12" i="5"/>
  <c r="G12" i="5"/>
  <c r="F12" i="5"/>
  <c r="E12" i="5"/>
  <c r="I12" i="5" s="1"/>
  <c r="D12" i="5"/>
  <c r="C12" i="5"/>
  <c r="B12" i="5"/>
  <c r="A12" i="5"/>
  <c r="K11" i="5"/>
  <c r="H11" i="5"/>
  <c r="G11" i="5"/>
  <c r="F11" i="5"/>
  <c r="E11" i="5"/>
  <c r="I11" i="5" s="1"/>
  <c r="D11" i="5"/>
  <c r="C11" i="5"/>
  <c r="B11" i="5"/>
  <c r="A11" i="5"/>
  <c r="K10" i="5"/>
  <c r="H10" i="5"/>
  <c r="G10" i="5"/>
  <c r="F10" i="5"/>
  <c r="E10" i="5"/>
  <c r="D10" i="5"/>
  <c r="C10" i="5"/>
  <c r="B10" i="5"/>
  <c r="L10" i="5" s="1"/>
  <c r="A10" i="5"/>
  <c r="K9" i="5"/>
  <c r="H9" i="5"/>
  <c r="G9" i="5"/>
  <c r="F9" i="5"/>
  <c r="E9" i="5"/>
  <c r="I9" i="5" s="1"/>
  <c r="D9" i="5"/>
  <c r="C9" i="5"/>
  <c r="B9" i="5"/>
  <c r="A9" i="5"/>
  <c r="K8" i="5"/>
  <c r="H8" i="5"/>
  <c r="G8" i="5"/>
  <c r="F8" i="5"/>
  <c r="E8" i="5"/>
  <c r="I8" i="5" s="1"/>
  <c r="D8" i="5"/>
  <c r="C8" i="5"/>
  <c r="B8" i="5"/>
  <c r="A8" i="5"/>
  <c r="K7" i="5"/>
  <c r="H7" i="5"/>
  <c r="H20" i="5" s="1"/>
  <c r="G7" i="5"/>
  <c r="F7" i="5"/>
  <c r="F20" i="5" s="1"/>
  <c r="E7" i="5"/>
  <c r="D7" i="5"/>
  <c r="D20" i="5" s="1"/>
  <c r="C7" i="5"/>
  <c r="B7" i="5"/>
  <c r="A7" i="5"/>
  <c r="G23" i="4"/>
  <c r="F23" i="4"/>
  <c r="E23" i="4"/>
  <c r="D23" i="4"/>
  <c r="C23" i="4"/>
  <c r="B23" i="4"/>
  <c r="G21" i="4"/>
  <c r="B27" i="6" s="1"/>
  <c r="F21" i="4"/>
  <c r="B26" i="6" s="1"/>
  <c r="E21" i="4"/>
  <c r="C43" i="8" s="1"/>
  <c r="E43" i="8" s="1"/>
  <c r="D21" i="4"/>
  <c r="B24" i="6" s="1"/>
  <c r="C21" i="4"/>
  <c r="B23" i="6" s="1"/>
  <c r="B21" i="4"/>
  <c r="I20" i="4"/>
  <c r="H20" i="4"/>
  <c r="G20" i="4"/>
  <c r="F20" i="4"/>
  <c r="E20" i="4"/>
  <c r="D20" i="4"/>
  <c r="C20" i="4"/>
  <c r="B20" i="4"/>
  <c r="J19" i="4"/>
  <c r="I19" i="4"/>
  <c r="H19" i="4"/>
  <c r="A19" i="4"/>
  <c r="J18" i="4"/>
  <c r="I18" i="4"/>
  <c r="H18" i="4"/>
  <c r="A18" i="4"/>
  <c r="J17" i="4"/>
  <c r="I17" i="4"/>
  <c r="H17" i="4"/>
  <c r="A17" i="4"/>
  <c r="J16" i="4"/>
  <c r="I16" i="4"/>
  <c r="H16" i="4"/>
  <c r="A16" i="4"/>
  <c r="J15" i="4"/>
  <c r="I15" i="4"/>
  <c r="H15" i="4"/>
  <c r="A15" i="4"/>
  <c r="J14" i="4"/>
  <c r="I14" i="4"/>
  <c r="H14" i="4"/>
  <c r="A14" i="4"/>
  <c r="J13" i="4"/>
  <c r="I13" i="4"/>
  <c r="H13" i="4"/>
  <c r="A13" i="4"/>
  <c r="J12" i="4"/>
  <c r="I12" i="4"/>
  <c r="H12" i="4"/>
  <c r="A12" i="4"/>
  <c r="J11" i="4"/>
  <c r="I11" i="4"/>
  <c r="H11" i="4"/>
  <c r="A11" i="4"/>
  <c r="J10" i="4"/>
  <c r="I10" i="4"/>
  <c r="H10" i="4"/>
  <c r="A10" i="4"/>
  <c r="J9" i="4"/>
  <c r="I9" i="4"/>
  <c r="H9" i="4"/>
  <c r="A9" i="4"/>
  <c r="J8" i="4"/>
  <c r="I8" i="4"/>
  <c r="H8" i="4"/>
  <c r="A8" i="4"/>
  <c r="J7" i="4"/>
  <c r="I7" i="4"/>
  <c r="H7" i="4"/>
  <c r="A7" i="4"/>
  <c r="G6" i="4"/>
  <c r="F6" i="4"/>
  <c r="E6" i="4"/>
  <c r="D6" i="4"/>
  <c r="C6" i="4"/>
  <c r="B6" i="4"/>
  <c r="C33" i="3"/>
  <c r="C32" i="3"/>
  <c r="C31" i="3"/>
  <c r="B20" i="3"/>
  <c r="B11" i="6" s="1"/>
  <c r="F19" i="3"/>
  <c r="E19" i="3"/>
  <c r="D19" i="3"/>
  <c r="C19" i="3"/>
  <c r="A19" i="3"/>
  <c r="F18" i="3"/>
  <c r="E18" i="3"/>
  <c r="D18" i="3"/>
  <c r="C18" i="3"/>
  <c r="A18" i="3"/>
  <c r="F17" i="3"/>
  <c r="E17" i="3"/>
  <c r="D17" i="3"/>
  <c r="C17" i="3"/>
  <c r="A17" i="3"/>
  <c r="F16" i="3"/>
  <c r="E16" i="3"/>
  <c r="D16" i="3"/>
  <c r="C16" i="3"/>
  <c r="A16" i="3"/>
  <c r="F15" i="3"/>
  <c r="E15" i="3"/>
  <c r="D15" i="3"/>
  <c r="C15" i="3"/>
  <c r="A15" i="3"/>
  <c r="F14" i="3"/>
  <c r="E14" i="3"/>
  <c r="D14" i="3"/>
  <c r="C14" i="3"/>
  <c r="A14" i="3"/>
  <c r="F13" i="3"/>
  <c r="E13" i="3"/>
  <c r="D13" i="3"/>
  <c r="C13" i="3"/>
  <c r="A13" i="3"/>
  <c r="F12" i="3"/>
  <c r="E12" i="3"/>
  <c r="D12" i="3"/>
  <c r="C12" i="3"/>
  <c r="C20" i="3" s="1"/>
  <c r="A12" i="3"/>
  <c r="F11" i="3"/>
  <c r="E11" i="3"/>
  <c r="D11" i="3"/>
  <c r="C11" i="3"/>
  <c r="A11" i="3"/>
  <c r="F10" i="3"/>
  <c r="E10" i="3"/>
  <c r="D10" i="3"/>
  <c r="C10" i="3"/>
  <c r="A10" i="3"/>
  <c r="F9" i="3"/>
  <c r="E9" i="3"/>
  <c r="D9" i="3"/>
  <c r="C9" i="3"/>
  <c r="A9" i="3"/>
  <c r="F8" i="3"/>
  <c r="E8" i="3"/>
  <c r="D8" i="3"/>
  <c r="C8" i="3"/>
  <c r="A8" i="3"/>
  <c r="F7" i="3"/>
  <c r="E7" i="3"/>
  <c r="E20" i="3" s="1"/>
  <c r="B27" i="3" s="1"/>
  <c r="D7" i="3"/>
  <c r="C7" i="3"/>
  <c r="A7" i="3"/>
  <c r="H34" i="2"/>
  <c r="G34" i="2"/>
  <c r="D34" i="2"/>
  <c r="C34" i="2"/>
  <c r="B25" i="2"/>
  <c r="C25" i="2" s="1"/>
  <c r="E24" i="2"/>
  <c r="E23" i="2"/>
  <c r="E22" i="2"/>
  <c r="C22" i="2"/>
  <c r="D22" i="2" s="1"/>
  <c r="B18" i="2"/>
  <c r="C24" i="3" s="1"/>
  <c r="I34" i="5" l="1"/>
  <c r="C29" i="8"/>
  <c r="E29" i="8" s="1"/>
  <c r="C26" i="3"/>
  <c r="G18" i="3"/>
  <c r="G16" i="3"/>
  <c r="B25" i="3"/>
  <c r="C32" i="8"/>
  <c r="E32" i="8" s="1"/>
  <c r="L9" i="5"/>
  <c r="J9" i="5"/>
  <c r="F20" i="3"/>
  <c r="B33" i="3"/>
  <c r="D33" i="3" s="1"/>
  <c r="H21" i="4"/>
  <c r="B22" i="6"/>
  <c r="C41" i="8"/>
  <c r="E41" i="8" s="1"/>
  <c r="E20" i="5"/>
  <c r="I7" i="5"/>
  <c r="L8" i="5"/>
  <c r="J8" i="5"/>
  <c r="L12" i="5"/>
  <c r="J12" i="5"/>
  <c r="L16" i="5"/>
  <c r="J16" i="5"/>
  <c r="C34" i="8"/>
  <c r="E34" i="8" s="1"/>
  <c r="S42" i="12"/>
  <c r="S40" i="12"/>
  <c r="S38" i="12"/>
  <c r="S36" i="12"/>
  <c r="S34" i="12"/>
  <c r="S32" i="12"/>
  <c r="S43" i="12"/>
  <c r="S37" i="12"/>
  <c r="S30" i="12"/>
  <c r="S28" i="12"/>
  <c r="S26" i="12"/>
  <c r="S24" i="12"/>
  <c r="S22" i="12"/>
  <c r="S20" i="12"/>
  <c r="S18" i="12"/>
  <c r="S16" i="12"/>
  <c r="S14" i="12"/>
  <c r="S12" i="12"/>
  <c r="S10" i="12"/>
  <c r="B65" i="8"/>
  <c r="D65" i="8" s="1"/>
  <c r="B59" i="8"/>
  <c r="D59" i="8" s="1"/>
  <c r="S33" i="12"/>
  <c r="S27" i="12"/>
  <c r="S23" i="12"/>
  <c r="S19" i="12"/>
  <c r="S15" i="12"/>
  <c r="S9" i="12"/>
  <c r="B58" i="8"/>
  <c r="D58" i="8" s="1"/>
  <c r="S35" i="12"/>
  <c r="S41" i="12"/>
  <c r="S31" i="12"/>
  <c r="S29" i="12"/>
  <c r="S25" i="12"/>
  <c r="S21" i="12"/>
  <c r="S17" i="12"/>
  <c r="S13" i="12"/>
  <c r="S11" i="12"/>
  <c r="B64" i="8"/>
  <c r="D64" i="8" s="1"/>
  <c r="S39" i="12"/>
  <c r="J10" i="5"/>
  <c r="C16" i="6"/>
  <c r="C51" i="8" s="1"/>
  <c r="E51" i="8" s="1"/>
  <c r="C45" i="8"/>
  <c r="E45" i="8" s="1"/>
  <c r="L13" i="5"/>
  <c r="J13" i="5"/>
  <c r="D20" i="3"/>
  <c r="L7" i="5"/>
  <c r="J7" i="5"/>
  <c r="I10" i="5"/>
  <c r="L11" i="5"/>
  <c r="J11" i="5"/>
  <c r="L15" i="5"/>
  <c r="J15" i="5"/>
  <c r="B20" i="5"/>
  <c r="C36" i="8"/>
  <c r="E36" i="8" s="1"/>
  <c r="J14" i="5"/>
  <c r="I17" i="5"/>
  <c r="L18" i="5"/>
  <c r="J18" i="5"/>
  <c r="B25" i="6"/>
  <c r="N113" i="12"/>
  <c r="O113" i="12"/>
  <c r="M113" i="12"/>
  <c r="P113" i="12"/>
  <c r="J17" i="5"/>
  <c r="M54" i="12"/>
  <c r="Q93" i="12"/>
  <c r="J19" i="5"/>
  <c r="J45" i="12"/>
  <c r="U45" i="12"/>
  <c r="I45" i="12"/>
  <c r="L45" i="12"/>
  <c r="H45" i="12"/>
  <c r="J49" i="12"/>
  <c r="U49" i="12"/>
  <c r="I49" i="12"/>
  <c r="L49" i="12"/>
  <c r="H49" i="12"/>
  <c r="J57" i="12"/>
  <c r="U57" i="12"/>
  <c r="I57" i="12"/>
  <c r="L57" i="12"/>
  <c r="H57" i="12"/>
  <c r="P72" i="12"/>
  <c r="O72" i="12"/>
  <c r="N72" i="12"/>
  <c r="P76" i="12"/>
  <c r="O76" i="12"/>
  <c r="N76" i="12"/>
  <c r="P80" i="12"/>
  <c r="O80" i="12"/>
  <c r="N80" i="12"/>
  <c r="U96" i="12"/>
  <c r="I96" i="12"/>
  <c r="L96" i="12"/>
  <c r="H96" i="12"/>
  <c r="J96" i="12"/>
  <c r="O99" i="12"/>
  <c r="N99" i="12"/>
  <c r="P99" i="12"/>
  <c r="M99" i="12"/>
  <c r="U104" i="12"/>
  <c r="I104" i="12"/>
  <c r="L104" i="12"/>
  <c r="H104" i="12"/>
  <c r="J104" i="12"/>
  <c r="M138" i="12"/>
  <c r="C24" i="2"/>
  <c r="D24" i="2" s="1"/>
  <c r="E34" i="2"/>
  <c r="K45" i="12"/>
  <c r="K49" i="12"/>
  <c r="K57" i="12"/>
  <c r="O85" i="12"/>
  <c r="P85" i="12"/>
  <c r="N85" i="12"/>
  <c r="M85" i="12"/>
  <c r="U88" i="12"/>
  <c r="I88" i="12"/>
  <c r="L88" i="12"/>
  <c r="K88" i="12"/>
  <c r="J88" i="12"/>
  <c r="J111" i="12"/>
  <c r="H111" i="12"/>
  <c r="U111" i="12"/>
  <c r="L111" i="12"/>
  <c r="I111" i="12"/>
  <c r="M154" i="12"/>
  <c r="P44" i="12"/>
  <c r="O44" i="12"/>
  <c r="N44" i="12"/>
  <c r="P48" i="12"/>
  <c r="O48" i="12"/>
  <c r="N48" i="12"/>
  <c r="P52" i="12"/>
  <c r="O52" i="12"/>
  <c r="N52" i="12"/>
  <c r="J53" i="12"/>
  <c r="U53" i="12"/>
  <c r="I53" i="12"/>
  <c r="L53" i="12"/>
  <c r="H53" i="12"/>
  <c r="P56" i="12"/>
  <c r="O56" i="12"/>
  <c r="N56" i="12"/>
  <c r="P60" i="12"/>
  <c r="O60" i="12"/>
  <c r="N60" i="12"/>
  <c r="J61" i="12"/>
  <c r="U61" i="12"/>
  <c r="I61" i="12"/>
  <c r="L61" i="12"/>
  <c r="H61" i="12"/>
  <c r="P64" i="12"/>
  <c r="O64" i="12"/>
  <c r="N64" i="12"/>
  <c r="J65" i="12"/>
  <c r="U65" i="12"/>
  <c r="I65" i="12"/>
  <c r="L65" i="12"/>
  <c r="H65" i="12"/>
  <c r="P68" i="12"/>
  <c r="O68" i="12"/>
  <c r="N68" i="12"/>
  <c r="J69" i="12"/>
  <c r="U69" i="12"/>
  <c r="I69" i="12"/>
  <c r="L69" i="12"/>
  <c r="H69" i="12"/>
  <c r="Q72" i="12"/>
  <c r="J73" i="12"/>
  <c r="U73" i="12"/>
  <c r="I73" i="12"/>
  <c r="L73" i="12"/>
  <c r="H73" i="12"/>
  <c r="Q76" i="12"/>
  <c r="J77" i="12"/>
  <c r="U77" i="12"/>
  <c r="I77" i="12"/>
  <c r="L77" i="12"/>
  <c r="H77" i="12"/>
  <c r="Q80" i="12"/>
  <c r="J81" i="12"/>
  <c r="U81" i="12"/>
  <c r="I81" i="12"/>
  <c r="L81" i="12"/>
  <c r="H81" i="12"/>
  <c r="O93" i="12"/>
  <c r="P93" i="12"/>
  <c r="N93" i="12"/>
  <c r="M93" i="12"/>
  <c r="P174" i="12"/>
  <c r="O174" i="12"/>
  <c r="N174" i="12"/>
  <c r="C23" i="2"/>
  <c r="D23" i="2" s="1"/>
  <c r="B34" i="2"/>
  <c r="F34" i="2"/>
  <c r="P46" i="12"/>
  <c r="O46" i="12"/>
  <c r="N46" i="12"/>
  <c r="J47" i="12"/>
  <c r="U47" i="12"/>
  <c r="I47" i="12"/>
  <c r="L47" i="12"/>
  <c r="H47" i="12"/>
  <c r="P50" i="12"/>
  <c r="O50" i="12"/>
  <c r="N50" i="12"/>
  <c r="J51" i="12"/>
  <c r="U51" i="12"/>
  <c r="I51" i="12"/>
  <c r="L51" i="12"/>
  <c r="H51" i="12"/>
  <c r="P54" i="12"/>
  <c r="O54" i="12"/>
  <c r="N54" i="12"/>
  <c r="J55" i="12"/>
  <c r="U55" i="12"/>
  <c r="I55" i="12"/>
  <c r="L55" i="12"/>
  <c r="H55" i="12"/>
  <c r="P58" i="12"/>
  <c r="O58" i="12"/>
  <c r="N58" i="12"/>
  <c r="J59" i="12"/>
  <c r="U59" i="12"/>
  <c r="I59" i="12"/>
  <c r="L59" i="12"/>
  <c r="H59" i="12"/>
  <c r="P62" i="12"/>
  <c r="O62" i="12"/>
  <c r="N62" i="12"/>
  <c r="J63" i="12"/>
  <c r="U63" i="12"/>
  <c r="I63" i="12"/>
  <c r="L63" i="12"/>
  <c r="H63" i="12"/>
  <c r="P66" i="12"/>
  <c r="O66" i="12"/>
  <c r="N66" i="12"/>
  <c r="J67" i="12"/>
  <c r="U67" i="12"/>
  <c r="I67" i="12"/>
  <c r="L67" i="12"/>
  <c r="H67" i="12"/>
  <c r="P70" i="12"/>
  <c r="O70" i="12"/>
  <c r="N70" i="12"/>
  <c r="J71" i="12"/>
  <c r="U71" i="12"/>
  <c r="I71" i="12"/>
  <c r="L71" i="12"/>
  <c r="H71" i="12"/>
  <c r="P74" i="12"/>
  <c r="O74" i="12"/>
  <c r="N74" i="12"/>
  <c r="J75" i="12"/>
  <c r="U75" i="12"/>
  <c r="I75" i="12"/>
  <c r="L75" i="12"/>
  <c r="H75" i="12"/>
  <c r="P78" i="12"/>
  <c r="O78" i="12"/>
  <c r="N78" i="12"/>
  <c r="J79" i="12"/>
  <c r="U79" i="12"/>
  <c r="I79" i="12"/>
  <c r="L79" i="12"/>
  <c r="H79" i="12"/>
  <c r="P82" i="12"/>
  <c r="O82" i="12"/>
  <c r="N82" i="12"/>
  <c r="K96" i="12"/>
  <c r="K104" i="12"/>
  <c r="J117" i="12"/>
  <c r="H117" i="12"/>
  <c r="U117" i="12"/>
  <c r="L117" i="12"/>
  <c r="K117" i="12"/>
  <c r="I117" i="12"/>
  <c r="U86" i="12"/>
  <c r="I86" i="12"/>
  <c r="U94" i="12"/>
  <c r="I94" i="12"/>
  <c r="O97" i="12"/>
  <c r="N97" i="12"/>
  <c r="U102" i="12"/>
  <c r="I102" i="12"/>
  <c r="L102" i="12"/>
  <c r="H102" i="12"/>
  <c r="O105" i="12"/>
  <c r="N105" i="12"/>
  <c r="L110" i="12"/>
  <c r="H110" i="12"/>
  <c r="U110" i="12"/>
  <c r="K110" i="12"/>
  <c r="P120" i="12"/>
  <c r="O120" i="12"/>
  <c r="N120" i="12"/>
  <c r="O122" i="12"/>
  <c r="L124" i="12"/>
  <c r="H124" i="12"/>
  <c r="U124" i="12"/>
  <c r="K124" i="12"/>
  <c r="J124" i="12"/>
  <c r="P134" i="12"/>
  <c r="O134" i="12"/>
  <c r="N134" i="12"/>
  <c r="M134" i="12"/>
  <c r="M150" i="12"/>
  <c r="L160" i="12"/>
  <c r="H160" i="12"/>
  <c r="U160" i="12"/>
  <c r="K160" i="12"/>
  <c r="J160" i="12"/>
  <c r="I160" i="12"/>
  <c r="M83" i="12"/>
  <c r="U84" i="12"/>
  <c r="I84" i="12"/>
  <c r="J86" i="12"/>
  <c r="O89" i="12"/>
  <c r="M91" i="12"/>
  <c r="U92" i="12"/>
  <c r="I92" i="12"/>
  <c r="J94" i="12"/>
  <c r="O95" i="12"/>
  <c r="N95" i="12"/>
  <c r="U100" i="12"/>
  <c r="I100" i="12"/>
  <c r="L100" i="12"/>
  <c r="H100" i="12"/>
  <c r="O103" i="12"/>
  <c r="N103" i="12"/>
  <c r="N107" i="12"/>
  <c r="P107" i="12"/>
  <c r="O107" i="12"/>
  <c r="J109" i="12"/>
  <c r="U109" i="12"/>
  <c r="L109" i="12"/>
  <c r="K109" i="12"/>
  <c r="P112" i="12"/>
  <c r="N112" i="12"/>
  <c r="N118" i="12"/>
  <c r="N121" i="12"/>
  <c r="P121" i="12"/>
  <c r="O121" i="12"/>
  <c r="M121" i="12"/>
  <c r="I124" i="12"/>
  <c r="J125" i="12"/>
  <c r="H125" i="12"/>
  <c r="U125" i="12"/>
  <c r="L125" i="12"/>
  <c r="K125" i="12"/>
  <c r="P130" i="12"/>
  <c r="O130" i="12"/>
  <c r="N130" i="12"/>
  <c r="M146" i="12"/>
  <c r="H44" i="12"/>
  <c r="M44" i="12" s="1"/>
  <c r="H46" i="12"/>
  <c r="M46" i="12" s="1"/>
  <c r="H48" i="12"/>
  <c r="M48" i="12" s="1"/>
  <c r="H50" i="12"/>
  <c r="M50" i="12" s="1"/>
  <c r="H52" i="12"/>
  <c r="M52" i="12" s="1"/>
  <c r="H54" i="12"/>
  <c r="H56" i="12"/>
  <c r="M56" i="12" s="1"/>
  <c r="H58" i="12"/>
  <c r="M58" i="12" s="1"/>
  <c r="H60" i="12"/>
  <c r="M60" i="12" s="1"/>
  <c r="H62" i="12"/>
  <c r="M62" i="12" s="1"/>
  <c r="H64" i="12"/>
  <c r="M64" i="12" s="1"/>
  <c r="H66" i="12"/>
  <c r="M66" i="12" s="1"/>
  <c r="H68" i="12"/>
  <c r="M68" i="12" s="1"/>
  <c r="H70" i="12"/>
  <c r="M70" i="12" s="1"/>
  <c r="H72" i="12"/>
  <c r="M72" i="12" s="1"/>
  <c r="H74" i="12"/>
  <c r="M74" i="12" s="1"/>
  <c r="H76" i="12"/>
  <c r="M76" i="12" s="1"/>
  <c r="H78" i="12"/>
  <c r="M78" i="12" s="1"/>
  <c r="H80" i="12"/>
  <c r="M80" i="12" s="1"/>
  <c r="H82" i="12"/>
  <c r="M82" i="12" s="1"/>
  <c r="N83" i="12"/>
  <c r="J84" i="12"/>
  <c r="K86" i="12"/>
  <c r="O87" i="12"/>
  <c r="M89" i="12"/>
  <c r="U90" i="12"/>
  <c r="I90" i="12"/>
  <c r="N91" i="12"/>
  <c r="J92" i="12"/>
  <c r="K94" i="12"/>
  <c r="M97" i="12"/>
  <c r="U98" i="12"/>
  <c r="I98" i="12"/>
  <c r="L98" i="12"/>
  <c r="H98" i="12"/>
  <c r="O101" i="12"/>
  <c r="N101" i="12"/>
  <c r="M105" i="12"/>
  <c r="U106" i="12"/>
  <c r="I106" i="12"/>
  <c r="L106" i="12"/>
  <c r="H106" i="12"/>
  <c r="L108" i="12"/>
  <c r="H108" i="12"/>
  <c r="U108" i="12"/>
  <c r="K108" i="12"/>
  <c r="J108" i="12"/>
  <c r="O114" i="12"/>
  <c r="L116" i="12"/>
  <c r="H116" i="12"/>
  <c r="U116" i="12"/>
  <c r="K116" i="12"/>
  <c r="J116" i="12"/>
  <c r="P126" i="12"/>
  <c r="O126" i="12"/>
  <c r="N126" i="12"/>
  <c r="M142" i="12"/>
  <c r="M158" i="12"/>
  <c r="P178" i="12"/>
  <c r="O178" i="12"/>
  <c r="N178" i="12"/>
  <c r="N114" i="12"/>
  <c r="L114" i="12"/>
  <c r="Q114" i="12" s="1"/>
  <c r="H114" i="12"/>
  <c r="M114" i="12" s="1"/>
  <c r="O115" i="12"/>
  <c r="K118" i="12"/>
  <c r="P118" i="12" s="1"/>
  <c r="L119" i="12"/>
  <c r="U119" i="12"/>
  <c r="N122" i="12"/>
  <c r="L122" i="12"/>
  <c r="Q122" i="12" s="1"/>
  <c r="H122" i="12"/>
  <c r="M122" i="12" s="1"/>
  <c r="O123" i="12"/>
  <c r="H127" i="12"/>
  <c r="J129" i="12"/>
  <c r="U129" i="12"/>
  <c r="I129" i="12"/>
  <c r="H131" i="12"/>
  <c r="J133" i="12"/>
  <c r="U133" i="12"/>
  <c r="I133" i="12"/>
  <c r="H135" i="12"/>
  <c r="J137" i="12"/>
  <c r="U137" i="12"/>
  <c r="I137" i="12"/>
  <c r="P140" i="12"/>
  <c r="O140" i="12"/>
  <c r="N140" i="12"/>
  <c r="J141" i="12"/>
  <c r="U141" i="12"/>
  <c r="I141" i="12"/>
  <c r="L141" i="12"/>
  <c r="H141" i="12"/>
  <c r="P144" i="12"/>
  <c r="O144" i="12"/>
  <c r="N144" i="12"/>
  <c r="J145" i="12"/>
  <c r="U145" i="12"/>
  <c r="I145" i="12"/>
  <c r="L145" i="12"/>
  <c r="H145" i="12"/>
  <c r="P148" i="12"/>
  <c r="O148" i="12"/>
  <c r="N148" i="12"/>
  <c r="J149" i="12"/>
  <c r="U149" i="12"/>
  <c r="I149" i="12"/>
  <c r="L149" i="12"/>
  <c r="H149" i="12"/>
  <c r="P152" i="12"/>
  <c r="O152" i="12"/>
  <c r="N152" i="12"/>
  <c r="J153" i="12"/>
  <c r="U153" i="12"/>
  <c r="I153" i="12"/>
  <c r="L153" i="12"/>
  <c r="H153" i="12"/>
  <c r="P156" i="12"/>
  <c r="O156" i="12"/>
  <c r="N156" i="12"/>
  <c r="J157" i="12"/>
  <c r="U157" i="12"/>
  <c r="I157" i="12"/>
  <c r="L157" i="12"/>
  <c r="H157" i="12"/>
  <c r="J161" i="12"/>
  <c r="H161" i="12"/>
  <c r="U161" i="12"/>
  <c r="L161" i="12"/>
  <c r="K161" i="12"/>
  <c r="L168" i="12"/>
  <c r="H168" i="12"/>
  <c r="U168" i="12"/>
  <c r="K168" i="12"/>
  <c r="J168" i="12"/>
  <c r="L112" i="12"/>
  <c r="Q112" i="12" s="1"/>
  <c r="H112" i="12"/>
  <c r="M112" i="12" s="1"/>
  <c r="J114" i="12"/>
  <c r="K115" i="12"/>
  <c r="P115" i="12" s="1"/>
  <c r="H119" i="12"/>
  <c r="L120" i="12"/>
  <c r="Q120" i="12" s="1"/>
  <c r="H120" i="12"/>
  <c r="M120" i="12" s="1"/>
  <c r="J122" i="12"/>
  <c r="K123" i="12"/>
  <c r="P123" i="12"/>
  <c r="P128" i="12"/>
  <c r="O128" i="12"/>
  <c r="P132" i="12"/>
  <c r="O132" i="12"/>
  <c r="P136" i="12"/>
  <c r="O136" i="12"/>
  <c r="K141" i="12"/>
  <c r="K145" i="12"/>
  <c r="K149" i="12"/>
  <c r="K153" i="12"/>
  <c r="K157" i="12"/>
  <c r="I161" i="12"/>
  <c r="P164" i="12"/>
  <c r="N164" i="12"/>
  <c r="M164" i="12"/>
  <c r="N165" i="12"/>
  <c r="O165" i="12"/>
  <c r="M165" i="12"/>
  <c r="I168" i="12"/>
  <c r="J169" i="12"/>
  <c r="H169" i="12"/>
  <c r="U169" i="12"/>
  <c r="L169" i="12"/>
  <c r="K169" i="12"/>
  <c r="P114" i="12"/>
  <c r="L118" i="12"/>
  <c r="Q118" i="12" s="1"/>
  <c r="H118" i="12"/>
  <c r="M118" i="12" s="1"/>
  <c r="P122" i="12"/>
  <c r="J127" i="12"/>
  <c r="U127" i="12"/>
  <c r="I127" i="12"/>
  <c r="J131" i="12"/>
  <c r="U131" i="12"/>
  <c r="I131" i="12"/>
  <c r="J135" i="12"/>
  <c r="U135" i="12"/>
  <c r="I135" i="12"/>
  <c r="P138" i="12"/>
  <c r="O138" i="12"/>
  <c r="N138" i="12"/>
  <c r="J139" i="12"/>
  <c r="U139" i="12"/>
  <c r="I139" i="12"/>
  <c r="L139" i="12"/>
  <c r="H139" i="12"/>
  <c r="P142" i="12"/>
  <c r="O142" i="12"/>
  <c r="N142" i="12"/>
  <c r="J143" i="12"/>
  <c r="U143" i="12"/>
  <c r="I143" i="12"/>
  <c r="L143" i="12"/>
  <c r="H143" i="12"/>
  <c r="P146" i="12"/>
  <c r="O146" i="12"/>
  <c r="N146" i="12"/>
  <c r="J147" i="12"/>
  <c r="U147" i="12"/>
  <c r="I147" i="12"/>
  <c r="L147" i="12"/>
  <c r="H147" i="12"/>
  <c r="P150" i="12"/>
  <c r="O150" i="12"/>
  <c r="N150" i="12"/>
  <c r="J151" i="12"/>
  <c r="U151" i="12"/>
  <c r="I151" i="12"/>
  <c r="L151" i="12"/>
  <c r="H151" i="12"/>
  <c r="P154" i="12"/>
  <c r="O154" i="12"/>
  <c r="N154" i="12"/>
  <c r="J155" i="12"/>
  <c r="U155" i="12"/>
  <c r="I155" i="12"/>
  <c r="L155" i="12"/>
  <c r="H155" i="12"/>
  <c r="P158" i="12"/>
  <c r="O158" i="12"/>
  <c r="N158" i="12"/>
  <c r="J159" i="12"/>
  <c r="U159" i="12"/>
  <c r="I159" i="12"/>
  <c r="L159" i="12"/>
  <c r="H159" i="12"/>
  <c r="P172" i="12"/>
  <c r="N172" i="12"/>
  <c r="P162" i="12"/>
  <c r="L166" i="12"/>
  <c r="H166" i="12"/>
  <c r="P170" i="12"/>
  <c r="J173" i="12"/>
  <c r="U173" i="12"/>
  <c r="J177" i="12"/>
  <c r="U177" i="12"/>
  <c r="I177" i="12"/>
  <c r="J181" i="12"/>
  <c r="U181" i="12"/>
  <c r="I181" i="12"/>
  <c r="N183" i="12"/>
  <c r="O183" i="12"/>
  <c r="M183" i="12"/>
  <c r="P184" i="12"/>
  <c r="N184" i="12"/>
  <c r="U188" i="12"/>
  <c r="L188" i="12"/>
  <c r="H188" i="12"/>
  <c r="K188" i="12"/>
  <c r="O193" i="12"/>
  <c r="N193" i="12"/>
  <c r="P193" i="12"/>
  <c r="M193" i="12"/>
  <c r="U196" i="12"/>
  <c r="I196" i="12"/>
  <c r="L196" i="12"/>
  <c r="H196" i="12"/>
  <c r="J196" i="12"/>
  <c r="O201" i="12"/>
  <c r="N201" i="12"/>
  <c r="P201" i="12"/>
  <c r="M201" i="12"/>
  <c r="U206" i="12"/>
  <c r="I206" i="12"/>
  <c r="L206" i="12"/>
  <c r="H206" i="12"/>
  <c r="J206" i="12"/>
  <c r="O209" i="12"/>
  <c r="N209" i="12"/>
  <c r="P209" i="12"/>
  <c r="M209" i="12"/>
  <c r="M163" i="12"/>
  <c r="L164" i="12"/>
  <c r="Q164" i="12" s="1"/>
  <c r="H164" i="12"/>
  <c r="J166" i="12"/>
  <c r="K167" i="12"/>
  <c r="M171" i="12"/>
  <c r="L172" i="12"/>
  <c r="Q172" i="12" s="1"/>
  <c r="H172" i="12"/>
  <c r="M172" i="12" s="1"/>
  <c r="I173" i="12"/>
  <c r="P176" i="12"/>
  <c r="O176" i="12"/>
  <c r="P180" i="12"/>
  <c r="O180" i="12"/>
  <c r="N185" i="12"/>
  <c r="P185" i="12"/>
  <c r="O185" i="12"/>
  <c r="J187" i="12"/>
  <c r="U187" i="12"/>
  <c r="L187" i="12"/>
  <c r="K187" i="12"/>
  <c r="H126" i="12"/>
  <c r="M126" i="12" s="1"/>
  <c r="H128" i="12"/>
  <c r="M128" i="12" s="1"/>
  <c r="H130" i="12"/>
  <c r="M130" i="12" s="1"/>
  <c r="H132" i="12"/>
  <c r="M132" i="12" s="1"/>
  <c r="H134" i="12"/>
  <c r="H136" i="12"/>
  <c r="M136" i="12" s="1"/>
  <c r="H138" i="12"/>
  <c r="H140" i="12"/>
  <c r="M140" i="12" s="1"/>
  <c r="H142" i="12"/>
  <c r="H144" i="12"/>
  <c r="M144" i="12" s="1"/>
  <c r="H146" i="12"/>
  <c r="H148" i="12"/>
  <c r="M148" i="12" s="1"/>
  <c r="H150" i="12"/>
  <c r="H152" i="12"/>
  <c r="M152" i="12" s="1"/>
  <c r="H154" i="12"/>
  <c r="H156" i="12"/>
  <c r="M156" i="12" s="1"/>
  <c r="H158" i="12"/>
  <c r="N162" i="12"/>
  <c r="L162" i="12"/>
  <c r="Q162" i="12" s="1"/>
  <c r="H162" i="12"/>
  <c r="M162" i="12" s="1"/>
  <c r="O163" i="12"/>
  <c r="J164" i="12"/>
  <c r="O164" i="12" s="1"/>
  <c r="K165" i="12"/>
  <c r="P165" i="12" s="1"/>
  <c r="K166" i="12"/>
  <c r="U166" i="12"/>
  <c r="L167" i="12"/>
  <c r="U167" i="12"/>
  <c r="N170" i="12"/>
  <c r="L170" i="12"/>
  <c r="Q170" i="12" s="1"/>
  <c r="H170" i="12"/>
  <c r="M170" i="12" s="1"/>
  <c r="O171" i="12"/>
  <c r="J172" i="12"/>
  <c r="O172" i="12" s="1"/>
  <c r="K173" i="12"/>
  <c r="J175" i="12"/>
  <c r="U175" i="12"/>
  <c r="I175" i="12"/>
  <c r="H177" i="12"/>
  <c r="J179" i="12"/>
  <c r="U179" i="12"/>
  <c r="I179" i="12"/>
  <c r="H181" i="12"/>
  <c r="P182" i="12"/>
  <c r="N182" i="12"/>
  <c r="M182" i="12"/>
  <c r="L186" i="12"/>
  <c r="H186" i="12"/>
  <c r="U186" i="12"/>
  <c r="K186" i="12"/>
  <c r="J186" i="12"/>
  <c r="O189" i="12"/>
  <c r="N189" i="12"/>
  <c r="P189" i="12"/>
  <c r="M189" i="12"/>
  <c r="U192" i="12"/>
  <c r="I192" i="12"/>
  <c r="L192" i="12"/>
  <c r="H192" i="12"/>
  <c r="J192" i="12"/>
  <c r="K196" i="12"/>
  <c r="O197" i="12"/>
  <c r="N197" i="12"/>
  <c r="P197" i="12"/>
  <c r="M197" i="12"/>
  <c r="U200" i="12"/>
  <c r="I200" i="12"/>
  <c r="L200" i="12"/>
  <c r="H200" i="12"/>
  <c r="J200" i="12"/>
  <c r="K206" i="12"/>
  <c r="U204" i="12"/>
  <c r="I204" i="12"/>
  <c r="L204" i="12"/>
  <c r="H204" i="12"/>
  <c r="O207" i="12"/>
  <c r="N207" i="12"/>
  <c r="L184" i="12"/>
  <c r="Q184" i="12" s="1"/>
  <c r="H184" i="12"/>
  <c r="M184" i="12" s="1"/>
  <c r="U190" i="12"/>
  <c r="I190" i="12"/>
  <c r="L190" i="12"/>
  <c r="H190" i="12"/>
  <c r="O191" i="12"/>
  <c r="N191" i="12"/>
  <c r="U194" i="12"/>
  <c r="I194" i="12"/>
  <c r="L194" i="12"/>
  <c r="H194" i="12"/>
  <c r="O195" i="12"/>
  <c r="N195" i="12"/>
  <c r="U198" i="12"/>
  <c r="I198" i="12"/>
  <c r="L198" i="12"/>
  <c r="H198" i="12"/>
  <c r="O199" i="12"/>
  <c r="N199" i="12"/>
  <c r="U202" i="12"/>
  <c r="I202" i="12"/>
  <c r="L202" i="12"/>
  <c r="H202" i="12"/>
  <c r="O205" i="12"/>
  <c r="N205" i="12"/>
  <c r="U210" i="12"/>
  <c r="I210" i="12"/>
  <c r="L210" i="12"/>
  <c r="H210" i="12"/>
  <c r="M212" i="12"/>
  <c r="P212" i="12"/>
  <c r="O212" i="12"/>
  <c r="M214" i="12"/>
  <c r="P214" i="12"/>
  <c r="O214" i="12"/>
  <c r="Q216" i="12"/>
  <c r="P216" i="12"/>
  <c r="O216" i="12"/>
  <c r="P218" i="12"/>
  <c r="O218" i="12"/>
  <c r="H174" i="12"/>
  <c r="M174" i="12" s="1"/>
  <c r="H176" i="12"/>
  <c r="M176" i="12" s="1"/>
  <c r="H178" i="12"/>
  <c r="M178" i="12" s="1"/>
  <c r="H180" i="12"/>
  <c r="M180" i="12" s="1"/>
  <c r="L182" i="12"/>
  <c r="Q182" i="12" s="1"/>
  <c r="H182" i="12"/>
  <c r="J184" i="12"/>
  <c r="O184" i="12" s="1"/>
  <c r="K185" i="12"/>
  <c r="O203" i="12"/>
  <c r="N203" i="12"/>
  <c r="M207" i="12"/>
  <c r="U208" i="12"/>
  <c r="I208" i="12"/>
  <c r="L208" i="12"/>
  <c r="H208" i="12"/>
  <c r="N211" i="12"/>
  <c r="H212" i="12"/>
  <c r="L212" i="12"/>
  <c r="Q212" i="12" s="1"/>
  <c r="N213" i="12"/>
  <c r="H214" i="12"/>
  <c r="L214" i="12"/>
  <c r="Q214" i="12" s="1"/>
  <c r="N215" i="12"/>
  <c r="H216" i="12"/>
  <c r="M216" i="12" s="1"/>
  <c r="L216" i="12"/>
  <c r="N217" i="12"/>
  <c r="H218" i="12"/>
  <c r="M218" i="12" s="1"/>
  <c r="L218" i="12"/>
  <c r="Q218" i="12" s="1"/>
  <c r="I212" i="12"/>
  <c r="N212" i="12" s="1"/>
  <c r="I214" i="12"/>
  <c r="N214" i="12" s="1"/>
  <c r="I216" i="12"/>
  <c r="N216" i="12" s="1"/>
  <c r="I218" i="12"/>
  <c r="N218" i="12" s="1"/>
  <c r="Q200" i="12" l="1"/>
  <c r="M200" i="12"/>
  <c r="P200" i="12"/>
  <c r="O200" i="12"/>
  <c r="N200" i="12"/>
  <c r="N173" i="12"/>
  <c r="Q173" i="12"/>
  <c r="P173" i="12"/>
  <c r="O173" i="12"/>
  <c r="M173" i="12"/>
  <c r="Q98" i="12"/>
  <c r="M98" i="12"/>
  <c r="P98" i="12"/>
  <c r="O98" i="12"/>
  <c r="N98" i="12"/>
  <c r="Q94" i="12"/>
  <c r="M94" i="12"/>
  <c r="P94" i="12"/>
  <c r="O94" i="12"/>
  <c r="N94" i="12"/>
  <c r="C30" i="8"/>
  <c r="E30" i="8" s="1"/>
  <c r="C25" i="3"/>
  <c r="N81" i="12"/>
  <c r="Q81" i="12"/>
  <c r="M81" i="12"/>
  <c r="P81" i="12"/>
  <c r="O81" i="12"/>
  <c r="N49" i="12"/>
  <c r="Q49" i="12"/>
  <c r="M49" i="12"/>
  <c r="P49" i="12"/>
  <c r="O49" i="12"/>
  <c r="N151" i="12"/>
  <c r="Q151" i="12"/>
  <c r="M151" i="12"/>
  <c r="P151" i="12"/>
  <c r="O151" i="12"/>
  <c r="N139" i="12"/>
  <c r="Q139" i="12"/>
  <c r="M139" i="12"/>
  <c r="P139" i="12"/>
  <c r="O139" i="12"/>
  <c r="N127" i="12"/>
  <c r="Q127" i="12"/>
  <c r="M127" i="12"/>
  <c r="P127" i="12"/>
  <c r="O127" i="12"/>
  <c r="N153" i="12"/>
  <c r="Q153" i="12"/>
  <c r="M153" i="12"/>
  <c r="P153" i="12"/>
  <c r="O153" i="12"/>
  <c r="N145" i="12"/>
  <c r="Q145" i="12"/>
  <c r="M145" i="12"/>
  <c r="P145" i="12"/>
  <c r="O145" i="12"/>
  <c r="Q106" i="12"/>
  <c r="M106" i="12"/>
  <c r="P106" i="12"/>
  <c r="O106" i="12"/>
  <c r="N106" i="12"/>
  <c r="P160" i="12"/>
  <c r="M160" i="12"/>
  <c r="Q160" i="12"/>
  <c r="O160" i="12"/>
  <c r="N160" i="12"/>
  <c r="N79" i="12"/>
  <c r="Q79" i="12"/>
  <c r="M79" i="12"/>
  <c r="P79" i="12"/>
  <c r="O79" i="12"/>
  <c r="N75" i="12"/>
  <c r="Q75" i="12"/>
  <c r="M75" i="12"/>
  <c r="P75" i="12"/>
  <c r="O75" i="12"/>
  <c r="N71" i="12"/>
  <c r="Q71" i="12"/>
  <c r="M71" i="12"/>
  <c r="P71" i="12"/>
  <c r="O71" i="12"/>
  <c r="N67" i="12"/>
  <c r="Q67" i="12"/>
  <c r="M67" i="12"/>
  <c r="P67" i="12"/>
  <c r="O67" i="12"/>
  <c r="N63" i="12"/>
  <c r="Q63" i="12"/>
  <c r="M63" i="12"/>
  <c r="P63" i="12"/>
  <c r="O63" i="12"/>
  <c r="N59" i="12"/>
  <c r="Q59" i="12"/>
  <c r="M59" i="12"/>
  <c r="P59" i="12"/>
  <c r="O59" i="12"/>
  <c r="N55" i="12"/>
  <c r="Q55" i="12"/>
  <c r="M55" i="12"/>
  <c r="P55" i="12"/>
  <c r="O55" i="12"/>
  <c r="N51" i="12"/>
  <c r="Q51" i="12"/>
  <c r="M51" i="12"/>
  <c r="P51" i="12"/>
  <c r="O51" i="12"/>
  <c r="N47" i="12"/>
  <c r="Q47" i="12"/>
  <c r="M47" i="12"/>
  <c r="P47" i="12"/>
  <c r="O47" i="12"/>
  <c r="N53" i="12"/>
  <c r="Q53" i="12"/>
  <c r="M53" i="12"/>
  <c r="P53" i="12"/>
  <c r="O53" i="12"/>
  <c r="Q104" i="12"/>
  <c r="M104" i="12"/>
  <c r="P104" i="12"/>
  <c r="O104" i="12"/>
  <c r="N104" i="12"/>
  <c r="N45" i="12"/>
  <c r="Q45" i="12"/>
  <c r="M45" i="12"/>
  <c r="P45" i="12"/>
  <c r="O45" i="12"/>
  <c r="J20" i="5"/>
  <c r="U13" i="12"/>
  <c r="I13" i="12"/>
  <c r="K13" i="12"/>
  <c r="L13" i="12"/>
  <c r="H13" i="12"/>
  <c r="J13" i="12"/>
  <c r="U29" i="12"/>
  <c r="I29" i="12"/>
  <c r="K29" i="12"/>
  <c r="L29" i="12"/>
  <c r="H29" i="12"/>
  <c r="R29" i="12" s="1"/>
  <c r="J29" i="12"/>
  <c r="U23" i="12"/>
  <c r="I23" i="12"/>
  <c r="L23" i="12"/>
  <c r="H23" i="12"/>
  <c r="K23" i="12"/>
  <c r="J23" i="12"/>
  <c r="R23" i="12"/>
  <c r="K16" i="12"/>
  <c r="U16" i="12"/>
  <c r="R16" i="12" s="1"/>
  <c r="J16" i="12"/>
  <c r="I16" i="12"/>
  <c r="L16" i="12"/>
  <c r="H16" i="12"/>
  <c r="K24" i="12"/>
  <c r="U24" i="12"/>
  <c r="I24" i="12"/>
  <c r="J24" i="12"/>
  <c r="L24" i="12"/>
  <c r="H24" i="12"/>
  <c r="U37" i="12"/>
  <c r="I37" i="12"/>
  <c r="H37" i="12"/>
  <c r="L37" i="12"/>
  <c r="K37" i="12"/>
  <c r="J37" i="12"/>
  <c r="K36" i="12"/>
  <c r="L36" i="12"/>
  <c r="I36" i="12"/>
  <c r="U36" i="12"/>
  <c r="J36" i="12"/>
  <c r="R36" i="12"/>
  <c r="H36" i="12"/>
  <c r="Q202" i="12"/>
  <c r="M202" i="12"/>
  <c r="P202" i="12"/>
  <c r="N202" i="12"/>
  <c r="O202" i="12"/>
  <c r="N109" i="12"/>
  <c r="Q109" i="12"/>
  <c r="P109" i="12"/>
  <c r="M109" i="12"/>
  <c r="O109" i="12"/>
  <c r="Q84" i="12"/>
  <c r="M84" i="12"/>
  <c r="O84" i="12"/>
  <c r="N84" i="12"/>
  <c r="P84" i="12"/>
  <c r="P110" i="12"/>
  <c r="M110" i="12"/>
  <c r="Q110" i="12"/>
  <c r="O110" i="12"/>
  <c r="N110" i="12"/>
  <c r="N73" i="12"/>
  <c r="Q73" i="12"/>
  <c r="M73" i="12"/>
  <c r="P73" i="12"/>
  <c r="O73" i="12"/>
  <c r="U11" i="12"/>
  <c r="I11" i="12"/>
  <c r="R11" i="12" s="1"/>
  <c r="K11" i="12"/>
  <c r="L11" i="12"/>
  <c r="H11" i="12"/>
  <c r="J11" i="12"/>
  <c r="N179" i="12"/>
  <c r="Q179" i="12"/>
  <c r="M179" i="12"/>
  <c r="P179" i="12"/>
  <c r="O179" i="12"/>
  <c r="N159" i="12"/>
  <c r="Q159" i="12"/>
  <c r="M159" i="12"/>
  <c r="P159" i="12"/>
  <c r="O159" i="12"/>
  <c r="N147" i="12"/>
  <c r="Q147" i="12"/>
  <c r="M147" i="12"/>
  <c r="P147" i="12"/>
  <c r="O147" i="12"/>
  <c r="N169" i="12"/>
  <c r="M169" i="12"/>
  <c r="Q169" i="12"/>
  <c r="P169" i="12"/>
  <c r="O169" i="12"/>
  <c r="N149" i="12"/>
  <c r="Q149" i="12"/>
  <c r="M149" i="12"/>
  <c r="P149" i="12"/>
  <c r="O149" i="12"/>
  <c r="P116" i="12"/>
  <c r="M116" i="12"/>
  <c r="Q116" i="12"/>
  <c r="O116" i="12"/>
  <c r="N116" i="12"/>
  <c r="Q210" i="12"/>
  <c r="M210" i="12"/>
  <c r="P210" i="12"/>
  <c r="N210" i="12"/>
  <c r="O210" i="12"/>
  <c r="Q198" i="12"/>
  <c r="M198" i="12"/>
  <c r="P198" i="12"/>
  <c r="N198" i="12"/>
  <c r="O198" i="12"/>
  <c r="Q190" i="12"/>
  <c r="M190" i="12"/>
  <c r="P190" i="12"/>
  <c r="N190" i="12"/>
  <c r="O190" i="12"/>
  <c r="Q204" i="12"/>
  <c r="M204" i="12"/>
  <c r="P204" i="12"/>
  <c r="O204" i="12"/>
  <c r="N204" i="12"/>
  <c r="Q206" i="12"/>
  <c r="M206" i="12"/>
  <c r="P206" i="12"/>
  <c r="O206" i="12"/>
  <c r="N206" i="12"/>
  <c r="P168" i="12"/>
  <c r="M168" i="12"/>
  <c r="Q168" i="12"/>
  <c r="O168" i="12"/>
  <c r="N168" i="12"/>
  <c r="N119" i="12"/>
  <c r="O119" i="12"/>
  <c r="M119" i="12"/>
  <c r="Q119" i="12"/>
  <c r="P119" i="12"/>
  <c r="Q86" i="12"/>
  <c r="M86" i="12"/>
  <c r="P86" i="12"/>
  <c r="O86" i="12"/>
  <c r="N86" i="12"/>
  <c r="N69" i="12"/>
  <c r="Q69" i="12"/>
  <c r="M69" i="12"/>
  <c r="P69" i="12"/>
  <c r="O69" i="12"/>
  <c r="Q96" i="12"/>
  <c r="M96" i="12"/>
  <c r="P96" i="12"/>
  <c r="O96" i="12"/>
  <c r="N96" i="12"/>
  <c r="C50" i="8"/>
  <c r="E50" i="8" s="1"/>
  <c r="U31" i="12"/>
  <c r="R31" i="12" s="1"/>
  <c r="I31" i="12"/>
  <c r="K31" i="12"/>
  <c r="L31" i="12"/>
  <c r="H31" i="12"/>
  <c r="J31" i="12"/>
  <c r="U27" i="12"/>
  <c r="R27" i="12" s="1"/>
  <c r="I27" i="12"/>
  <c r="L27" i="12"/>
  <c r="H27" i="12"/>
  <c r="K27" i="12"/>
  <c r="J27" i="12"/>
  <c r="K10" i="12"/>
  <c r="U10" i="12"/>
  <c r="I10" i="12"/>
  <c r="J10" i="12"/>
  <c r="L10" i="12"/>
  <c r="H10" i="12"/>
  <c r="K18" i="12"/>
  <c r="J18" i="12"/>
  <c r="U18" i="12"/>
  <c r="I18" i="12"/>
  <c r="L18" i="12"/>
  <c r="H18" i="12"/>
  <c r="K26" i="12"/>
  <c r="I26" i="12"/>
  <c r="R26" i="12"/>
  <c r="J26" i="12"/>
  <c r="U26" i="12"/>
  <c r="L26" i="12"/>
  <c r="H26" i="12"/>
  <c r="J43" i="12"/>
  <c r="U43" i="12"/>
  <c r="R43" i="12" s="1"/>
  <c r="I43" i="12"/>
  <c r="K43" i="12"/>
  <c r="H43" i="12"/>
  <c r="L43" i="12"/>
  <c r="K38" i="12"/>
  <c r="U38" i="12"/>
  <c r="J38" i="12"/>
  <c r="I38" i="12"/>
  <c r="H38" i="12"/>
  <c r="L38" i="12"/>
  <c r="G19" i="3"/>
  <c r="G17" i="3"/>
  <c r="G15" i="3"/>
  <c r="G13" i="3"/>
  <c r="G11" i="3"/>
  <c r="G9" i="3"/>
  <c r="G7" i="3"/>
  <c r="C35" i="8"/>
  <c r="E35" i="8" s="1"/>
  <c r="B7" i="6"/>
  <c r="B24" i="3"/>
  <c r="D58" i="6"/>
  <c r="G14" i="3"/>
  <c r="B32" i="3"/>
  <c r="G12" i="3"/>
  <c r="G10" i="3"/>
  <c r="U25" i="12"/>
  <c r="I25" i="12"/>
  <c r="K25" i="12"/>
  <c r="L25" i="12"/>
  <c r="H25" i="12"/>
  <c r="J25" i="12"/>
  <c r="R25" i="12"/>
  <c r="P186" i="12"/>
  <c r="Q186" i="12"/>
  <c r="O186" i="12"/>
  <c r="N186" i="12"/>
  <c r="M186" i="12"/>
  <c r="N175" i="12"/>
  <c r="Q175" i="12"/>
  <c r="M175" i="12"/>
  <c r="P175" i="12"/>
  <c r="O175" i="12"/>
  <c r="N167" i="12"/>
  <c r="Q167" i="12"/>
  <c r="P167" i="12"/>
  <c r="O167" i="12"/>
  <c r="M167" i="12"/>
  <c r="N155" i="12"/>
  <c r="Q155" i="12"/>
  <c r="M155" i="12"/>
  <c r="P155" i="12"/>
  <c r="O155" i="12"/>
  <c r="N143" i="12"/>
  <c r="Q143" i="12"/>
  <c r="M143" i="12"/>
  <c r="P143" i="12"/>
  <c r="O143" i="12"/>
  <c r="N157" i="12"/>
  <c r="Q157" i="12"/>
  <c r="M157" i="12"/>
  <c r="P157" i="12"/>
  <c r="O157" i="12"/>
  <c r="N141" i="12"/>
  <c r="Q141" i="12"/>
  <c r="M141" i="12"/>
  <c r="P141" i="12"/>
  <c r="O141" i="12"/>
  <c r="Q192" i="12"/>
  <c r="M192" i="12"/>
  <c r="P192" i="12"/>
  <c r="O192" i="12"/>
  <c r="N192" i="12"/>
  <c r="N187" i="12"/>
  <c r="Q187" i="12"/>
  <c r="P187" i="12"/>
  <c r="M187" i="12"/>
  <c r="O187" i="12"/>
  <c r="N177" i="12"/>
  <c r="Q177" i="12"/>
  <c r="M177" i="12"/>
  <c r="P177" i="12"/>
  <c r="O177" i="12"/>
  <c r="N131" i="12"/>
  <c r="Q131" i="12"/>
  <c r="M131" i="12"/>
  <c r="P131" i="12"/>
  <c r="O131" i="12"/>
  <c r="Q90" i="12"/>
  <c r="M90" i="12"/>
  <c r="N90" i="12"/>
  <c r="P90" i="12"/>
  <c r="O90" i="12"/>
  <c r="Q100" i="12"/>
  <c r="M100" i="12"/>
  <c r="P100" i="12"/>
  <c r="N100" i="12"/>
  <c r="O100" i="12"/>
  <c r="N117" i="12"/>
  <c r="M117" i="12"/>
  <c r="Q117" i="12"/>
  <c r="P117" i="12"/>
  <c r="O117" i="12"/>
  <c r="N77" i="12"/>
  <c r="Q77" i="12"/>
  <c r="M77" i="12"/>
  <c r="P77" i="12"/>
  <c r="O77" i="12"/>
  <c r="N65" i="12"/>
  <c r="Q65" i="12"/>
  <c r="M65" i="12"/>
  <c r="P65" i="12"/>
  <c r="O65" i="12"/>
  <c r="N61" i="12"/>
  <c r="Q61" i="12"/>
  <c r="M61" i="12"/>
  <c r="P61" i="12"/>
  <c r="O61" i="12"/>
  <c r="Q88" i="12"/>
  <c r="M88" i="12"/>
  <c r="P88" i="12"/>
  <c r="O88" i="12"/>
  <c r="N88" i="12"/>
  <c r="U39" i="12"/>
  <c r="I39" i="12"/>
  <c r="L39" i="12"/>
  <c r="K39" i="12"/>
  <c r="J39" i="12"/>
  <c r="H39" i="12"/>
  <c r="U17" i="12"/>
  <c r="I17" i="12"/>
  <c r="R17" i="12" s="1"/>
  <c r="K17" i="12"/>
  <c r="L17" i="12"/>
  <c r="H17" i="12"/>
  <c r="J17" i="12"/>
  <c r="U9" i="12"/>
  <c r="I9" i="12"/>
  <c r="L9" i="12"/>
  <c r="H9" i="12"/>
  <c r="K9" i="12"/>
  <c r="J9" i="12"/>
  <c r="R9" i="12"/>
  <c r="Q208" i="12"/>
  <c r="M208" i="12"/>
  <c r="P208" i="12"/>
  <c r="O208" i="12"/>
  <c r="N208" i="12"/>
  <c r="P166" i="12"/>
  <c r="Q166" i="12"/>
  <c r="O166" i="12"/>
  <c r="N166" i="12"/>
  <c r="M166" i="12"/>
  <c r="Q196" i="12"/>
  <c r="M196" i="12"/>
  <c r="P196" i="12"/>
  <c r="O196" i="12"/>
  <c r="N196" i="12"/>
  <c r="P188" i="12"/>
  <c r="M188" i="12"/>
  <c r="Q188" i="12"/>
  <c r="O188" i="12"/>
  <c r="N188" i="12"/>
  <c r="N181" i="12"/>
  <c r="Q181" i="12"/>
  <c r="M181" i="12"/>
  <c r="P181" i="12"/>
  <c r="O181" i="12"/>
  <c r="N135" i="12"/>
  <c r="Q135" i="12"/>
  <c r="M135" i="12"/>
  <c r="P135" i="12"/>
  <c r="O135" i="12"/>
  <c r="N161" i="12"/>
  <c r="M161" i="12"/>
  <c r="Q161" i="12"/>
  <c r="P161" i="12"/>
  <c r="O161" i="12"/>
  <c r="N137" i="12"/>
  <c r="Q137" i="12"/>
  <c r="M137" i="12"/>
  <c r="P137" i="12"/>
  <c r="O137" i="12"/>
  <c r="N133" i="12"/>
  <c r="Q133" i="12"/>
  <c r="M133" i="12"/>
  <c r="P133" i="12"/>
  <c r="O133" i="12"/>
  <c r="N129" i="12"/>
  <c r="Q129" i="12"/>
  <c r="M129" i="12"/>
  <c r="P129" i="12"/>
  <c r="O129" i="12"/>
  <c r="P108" i="12"/>
  <c r="Q108" i="12"/>
  <c r="O108" i="12"/>
  <c r="N108" i="12"/>
  <c r="M108" i="12"/>
  <c r="N125" i="12"/>
  <c r="M125" i="12"/>
  <c r="Q125" i="12"/>
  <c r="P125" i="12"/>
  <c r="O125" i="12"/>
  <c r="Q92" i="12"/>
  <c r="M92" i="12"/>
  <c r="O92" i="12"/>
  <c r="N92" i="12"/>
  <c r="P92" i="12"/>
  <c r="P124" i="12"/>
  <c r="M124" i="12"/>
  <c r="Q124" i="12"/>
  <c r="O124" i="12"/>
  <c r="N124" i="12"/>
  <c r="B63" i="8"/>
  <c r="D63" i="8" s="1"/>
  <c r="D39" i="6"/>
  <c r="N111" i="12"/>
  <c r="M111" i="12"/>
  <c r="Q111" i="12"/>
  <c r="P111" i="12"/>
  <c r="O111" i="12"/>
  <c r="C31" i="8"/>
  <c r="E31" i="8" s="1"/>
  <c r="C27" i="3"/>
  <c r="N57" i="12"/>
  <c r="Q57" i="12"/>
  <c r="M57" i="12"/>
  <c r="P57" i="12"/>
  <c r="O57" i="12"/>
  <c r="C33" i="8"/>
  <c r="E33" i="8" s="1"/>
  <c r="B31" i="3"/>
  <c r="B26" i="3"/>
  <c r="U21" i="12"/>
  <c r="R21" i="12" s="1"/>
  <c r="I21" i="12"/>
  <c r="K21" i="12"/>
  <c r="L21" i="12"/>
  <c r="H21" i="12"/>
  <c r="J21" i="12"/>
  <c r="U41" i="12"/>
  <c r="I41" i="12"/>
  <c r="K41" i="12"/>
  <c r="H41" i="12"/>
  <c r="J41" i="12"/>
  <c r="L41" i="12"/>
  <c r="U15" i="12"/>
  <c r="I15" i="12"/>
  <c r="R15" i="12" s="1"/>
  <c r="L15" i="12"/>
  <c r="H15" i="12"/>
  <c r="K15" i="12"/>
  <c r="J15" i="12"/>
  <c r="U33" i="12"/>
  <c r="I33" i="12"/>
  <c r="K33" i="12"/>
  <c r="J33" i="12"/>
  <c r="H33" i="12"/>
  <c r="L33" i="12"/>
  <c r="R33" i="12"/>
  <c r="K12" i="12"/>
  <c r="U12" i="12"/>
  <c r="I12" i="12"/>
  <c r="R12" i="12"/>
  <c r="J12" i="12"/>
  <c r="L12" i="12"/>
  <c r="H12" i="12"/>
  <c r="K20" i="12"/>
  <c r="U20" i="12"/>
  <c r="R20" i="12" s="1"/>
  <c r="I20" i="12"/>
  <c r="J20" i="12"/>
  <c r="L20" i="12"/>
  <c r="H20" i="12"/>
  <c r="K28" i="12"/>
  <c r="U28" i="12"/>
  <c r="R28" i="12" s="1"/>
  <c r="I28" i="12"/>
  <c r="J28" i="12"/>
  <c r="L28" i="12"/>
  <c r="H28" i="12"/>
  <c r="K32" i="12"/>
  <c r="J32" i="12"/>
  <c r="I32" i="12"/>
  <c r="L32" i="12"/>
  <c r="U32" i="12"/>
  <c r="R32" i="12" s="1"/>
  <c r="H32" i="12"/>
  <c r="K40" i="12"/>
  <c r="I40" i="12"/>
  <c r="L40" i="12"/>
  <c r="R40" i="12"/>
  <c r="H40" i="12"/>
  <c r="J40" i="12"/>
  <c r="U40" i="12"/>
  <c r="B28" i="6"/>
  <c r="G8" i="3"/>
  <c r="Q194" i="12"/>
  <c r="M194" i="12"/>
  <c r="P194" i="12"/>
  <c r="N194" i="12"/>
  <c r="O194" i="12"/>
  <c r="Q102" i="12"/>
  <c r="M102" i="12"/>
  <c r="P102" i="12"/>
  <c r="O102" i="12"/>
  <c r="N102" i="12"/>
  <c r="U35" i="12"/>
  <c r="R35" i="12" s="1"/>
  <c r="I35" i="12"/>
  <c r="J35" i="12"/>
  <c r="L35" i="12"/>
  <c r="H35" i="12"/>
  <c r="K35" i="12"/>
  <c r="U19" i="12"/>
  <c r="I19" i="12"/>
  <c r="R19" i="12" s="1"/>
  <c r="L19" i="12"/>
  <c r="H19" i="12"/>
  <c r="K19" i="12"/>
  <c r="J19" i="12"/>
  <c r="K14" i="12"/>
  <c r="J14" i="12"/>
  <c r="U14" i="12"/>
  <c r="R14" i="12" s="1"/>
  <c r="I14" i="12"/>
  <c r="L14" i="12"/>
  <c r="H14" i="12"/>
  <c r="K22" i="12"/>
  <c r="J22" i="12"/>
  <c r="U22" i="12"/>
  <c r="I22" i="12"/>
  <c r="L22" i="12"/>
  <c r="H22" i="12"/>
  <c r="R22" i="12" s="1"/>
  <c r="K30" i="12"/>
  <c r="U30" i="12"/>
  <c r="R30" i="12" s="1"/>
  <c r="I30" i="12"/>
  <c r="J30" i="12"/>
  <c r="L30" i="12"/>
  <c r="H30" i="12"/>
  <c r="K34" i="12"/>
  <c r="H34" i="12"/>
  <c r="U34" i="12"/>
  <c r="J34" i="12"/>
  <c r="L34" i="12"/>
  <c r="R34" i="12" s="1"/>
  <c r="I34" i="12"/>
  <c r="K42" i="12"/>
  <c r="H42" i="12"/>
  <c r="J42" i="12"/>
  <c r="L42" i="12"/>
  <c r="U42" i="12"/>
  <c r="R42" i="12" s="1"/>
  <c r="I42" i="12"/>
  <c r="I20" i="5"/>
  <c r="E22" i="4"/>
  <c r="C25" i="6" s="1"/>
  <c r="E25" i="6" s="1"/>
  <c r="D22" i="4"/>
  <c r="C24" i="6" s="1"/>
  <c r="E24" i="6" s="1"/>
  <c r="C44" i="8"/>
  <c r="E44" i="8" s="1"/>
  <c r="G22" i="4"/>
  <c r="C27" i="6" s="1"/>
  <c r="E27" i="6" s="1"/>
  <c r="B22" i="4"/>
  <c r="C22" i="6" s="1"/>
  <c r="F22" i="4"/>
  <c r="C26" i="6" s="1"/>
  <c r="E26" i="6" s="1"/>
  <c r="C22" i="4"/>
  <c r="C23" i="6" s="1"/>
  <c r="E23" i="6" s="1"/>
  <c r="E25" i="3"/>
  <c r="F25" i="3" s="1"/>
  <c r="D25" i="3"/>
  <c r="R18" i="12" l="1"/>
  <c r="R24" i="12"/>
  <c r="R13" i="12"/>
  <c r="F35" i="5"/>
  <c r="D35" i="5"/>
  <c r="C35" i="5"/>
  <c r="R10" i="12"/>
  <c r="O22" i="12"/>
  <c r="N22" i="12"/>
  <c r="Q22" i="12"/>
  <c r="M22" i="12"/>
  <c r="P22" i="12"/>
  <c r="Q35" i="12"/>
  <c r="M35" i="12"/>
  <c r="O35" i="12"/>
  <c r="N35" i="12"/>
  <c r="P35" i="12"/>
  <c r="O28" i="12"/>
  <c r="Q28" i="12"/>
  <c r="M28" i="12"/>
  <c r="N28" i="12"/>
  <c r="P28" i="12"/>
  <c r="Q41" i="12"/>
  <c r="M41" i="12"/>
  <c r="P41" i="12"/>
  <c r="N41" i="12"/>
  <c r="O41" i="12"/>
  <c r="E26" i="3"/>
  <c r="F26" i="3" s="1"/>
  <c r="D26" i="3"/>
  <c r="D27" i="3"/>
  <c r="E27" i="3"/>
  <c r="F27" i="3" s="1"/>
  <c r="B35" i="5"/>
  <c r="Q39" i="12"/>
  <c r="M39" i="12"/>
  <c r="P39" i="12"/>
  <c r="O39" i="12"/>
  <c r="N39" i="12"/>
  <c r="D32" i="3"/>
  <c r="C40" i="8"/>
  <c r="E40" i="8" s="1"/>
  <c r="O38" i="12"/>
  <c r="P38" i="12"/>
  <c r="N38" i="12"/>
  <c r="M38" i="12"/>
  <c r="Q38" i="12"/>
  <c r="O10" i="12"/>
  <c r="Q10" i="12"/>
  <c r="M10" i="12"/>
  <c r="N10" i="12"/>
  <c r="P10" i="12"/>
  <c r="Q27" i="12"/>
  <c r="M27" i="12"/>
  <c r="P27" i="12"/>
  <c r="O27" i="12"/>
  <c r="N27" i="12"/>
  <c r="Q37" i="12"/>
  <c r="M37" i="12"/>
  <c r="N37" i="12"/>
  <c r="P37" i="12"/>
  <c r="O37" i="12"/>
  <c r="E35" i="5"/>
  <c r="Q29" i="12"/>
  <c r="M29" i="12"/>
  <c r="O29" i="12"/>
  <c r="P29" i="12"/>
  <c r="N29" i="12"/>
  <c r="Q19" i="12"/>
  <c r="M19" i="12"/>
  <c r="P19" i="12"/>
  <c r="O19" i="12"/>
  <c r="N19" i="12"/>
  <c r="O40" i="12"/>
  <c r="N40" i="12"/>
  <c r="Q40" i="12"/>
  <c r="M40" i="12"/>
  <c r="P40" i="12"/>
  <c r="O32" i="12"/>
  <c r="N32" i="12"/>
  <c r="Q32" i="12"/>
  <c r="M32" i="12"/>
  <c r="P32" i="12"/>
  <c r="Q15" i="12"/>
  <c r="M15" i="12"/>
  <c r="P15" i="12"/>
  <c r="O15" i="12"/>
  <c r="N15" i="12"/>
  <c r="C39" i="8"/>
  <c r="E39" i="8" s="1"/>
  <c r="D31" i="3"/>
  <c r="Q17" i="12"/>
  <c r="M17" i="12"/>
  <c r="O17" i="12"/>
  <c r="P17" i="12"/>
  <c r="N17" i="12"/>
  <c r="Q25" i="12"/>
  <c r="M25" i="12"/>
  <c r="O25" i="12"/>
  <c r="P25" i="12"/>
  <c r="N25" i="12"/>
  <c r="R38" i="12"/>
  <c r="Q11" i="12"/>
  <c r="M11" i="12"/>
  <c r="O11" i="12"/>
  <c r="P11" i="12"/>
  <c r="N11" i="12"/>
  <c r="R37" i="12"/>
  <c r="G35" i="5" s="1"/>
  <c r="O16" i="12"/>
  <c r="Q16" i="12"/>
  <c r="M16" i="12"/>
  <c r="N16" i="12"/>
  <c r="P16" i="12"/>
  <c r="Q23" i="12"/>
  <c r="M23" i="12"/>
  <c r="P23" i="12"/>
  <c r="O23" i="12"/>
  <c r="N23" i="12"/>
  <c r="O42" i="12"/>
  <c r="M42" i="12"/>
  <c r="P42" i="12"/>
  <c r="Q42" i="12"/>
  <c r="N42" i="12"/>
  <c r="C28" i="6"/>
  <c r="E22" i="6"/>
  <c r="O34" i="12"/>
  <c r="M34" i="12"/>
  <c r="P34" i="12"/>
  <c r="G32" i="5" s="1"/>
  <c r="Q34" i="12"/>
  <c r="N34" i="12"/>
  <c r="O12" i="12"/>
  <c r="Q12" i="12"/>
  <c r="M12" i="12"/>
  <c r="N12" i="12"/>
  <c r="P12" i="12"/>
  <c r="Q33" i="12"/>
  <c r="M33" i="12"/>
  <c r="P33" i="12"/>
  <c r="O33" i="12"/>
  <c r="N33" i="12"/>
  <c r="Q9" i="12"/>
  <c r="M9" i="12"/>
  <c r="P9" i="12"/>
  <c r="O9" i="12"/>
  <c r="N9" i="12"/>
  <c r="R39" i="12"/>
  <c r="N43" i="12"/>
  <c r="Q43" i="12"/>
  <c r="M43" i="12"/>
  <c r="O43" i="12"/>
  <c r="P43" i="12"/>
  <c r="O36" i="12"/>
  <c r="Q36" i="12"/>
  <c r="N36" i="12"/>
  <c r="P36" i="12"/>
  <c r="M36" i="12"/>
  <c r="O24" i="12"/>
  <c r="Q24" i="12"/>
  <c r="M24" i="12"/>
  <c r="N24" i="12"/>
  <c r="P24" i="12"/>
  <c r="O30" i="12"/>
  <c r="Q30" i="12"/>
  <c r="M30" i="12"/>
  <c r="N30" i="12"/>
  <c r="P30" i="12"/>
  <c r="O14" i="12"/>
  <c r="N14" i="12"/>
  <c r="Q14" i="12"/>
  <c r="M14" i="12"/>
  <c r="P14" i="12"/>
  <c r="O20" i="12"/>
  <c r="Q20" i="12"/>
  <c r="M20" i="12"/>
  <c r="N20" i="12"/>
  <c r="P20" i="12"/>
  <c r="R41" i="12"/>
  <c r="Q21" i="12"/>
  <c r="M21" i="12"/>
  <c r="O21" i="12"/>
  <c r="P21" i="12"/>
  <c r="N21" i="12"/>
  <c r="E24" i="3"/>
  <c r="D24" i="3"/>
  <c r="G20" i="3"/>
  <c r="O26" i="12"/>
  <c r="N26" i="12"/>
  <c r="Q26" i="12"/>
  <c r="M26" i="12"/>
  <c r="P26" i="12"/>
  <c r="O18" i="12"/>
  <c r="N18" i="12"/>
  <c r="Q18" i="12"/>
  <c r="M18" i="12"/>
  <c r="P18" i="12"/>
  <c r="Q31" i="12"/>
  <c r="M31" i="12"/>
  <c r="O31" i="12"/>
  <c r="P31" i="12"/>
  <c r="N31" i="12"/>
  <c r="Q13" i="12"/>
  <c r="M13" i="12"/>
  <c r="O13" i="12"/>
  <c r="P13" i="12"/>
  <c r="N13" i="12"/>
  <c r="E30" i="5" l="1"/>
  <c r="C21" i="5"/>
  <c r="E33" i="5"/>
  <c r="H35" i="5"/>
  <c r="I35" i="5" s="1"/>
  <c r="B21" i="5"/>
  <c r="G30" i="5"/>
  <c r="G31" i="5"/>
  <c r="D30" i="5"/>
  <c r="D33" i="5"/>
  <c r="F21" i="5"/>
  <c r="H21" i="5"/>
  <c r="C33" i="5"/>
  <c r="E32" i="5"/>
  <c r="E31" i="5"/>
  <c r="B30" i="5"/>
  <c r="B33" i="5"/>
  <c r="G33" i="5"/>
  <c r="D31" i="5"/>
  <c r="F30" i="5"/>
  <c r="F33" i="5"/>
  <c r="H30" i="5"/>
  <c r="H33" i="5"/>
  <c r="B31" i="5"/>
  <c r="D32" i="5"/>
  <c r="F32" i="5"/>
  <c r="H31" i="5"/>
  <c r="C30" i="5"/>
  <c r="B8" i="6"/>
  <c r="C37" i="8"/>
  <c r="E37" i="8" s="1"/>
  <c r="F24" i="3"/>
  <c r="C38" i="8" s="1"/>
  <c r="E38" i="8" s="1"/>
  <c r="C15" i="6"/>
  <c r="C32" i="5"/>
  <c r="C31" i="5"/>
  <c r="E21" i="5"/>
  <c r="B32" i="5"/>
  <c r="G21" i="5"/>
  <c r="D21" i="5"/>
  <c r="F31" i="5"/>
  <c r="H32" i="5"/>
  <c r="G50" i="6" l="1"/>
  <c r="G29" i="5"/>
  <c r="G22" i="5"/>
  <c r="B57" i="8"/>
  <c r="D57" i="8" s="1"/>
  <c r="D42" i="6"/>
  <c r="B66" i="8"/>
  <c r="D66" i="8" s="1"/>
  <c r="B60" i="8"/>
  <c r="D60" i="8" s="1"/>
  <c r="D44" i="6"/>
  <c r="B29" i="5"/>
  <c r="J21" i="5"/>
  <c r="B50" i="6"/>
  <c r="I21" i="5"/>
  <c r="C46" i="8"/>
  <c r="E46" i="8" s="1"/>
  <c r="D43" i="6"/>
  <c r="B22" i="5"/>
  <c r="I32" i="5"/>
  <c r="K32" i="5"/>
  <c r="D55" i="6" s="1"/>
  <c r="K33" i="5"/>
  <c r="D56" i="6" s="1"/>
  <c r="I33" i="5"/>
  <c r="E50" i="6"/>
  <c r="E29" i="5"/>
  <c r="E22" i="5"/>
  <c r="K31" i="5"/>
  <c r="D54" i="6" s="1"/>
  <c r="I31" i="5"/>
  <c r="K30" i="5"/>
  <c r="D53" i="6" s="1"/>
  <c r="I30" i="5"/>
  <c r="H50" i="6"/>
  <c r="H29" i="5"/>
  <c r="H22" i="5"/>
  <c r="D50" i="6"/>
  <c r="D29" i="5"/>
  <c r="D22" i="5"/>
  <c r="F50" i="6"/>
  <c r="F29" i="5"/>
  <c r="F22" i="5"/>
  <c r="C50" i="6"/>
  <c r="C29" i="5"/>
  <c r="C22" i="5"/>
  <c r="B36" i="5" l="1"/>
  <c r="B23" i="5"/>
  <c r="F36" i="5"/>
  <c r="F23" i="5"/>
  <c r="F37" i="5" s="1"/>
  <c r="C36" i="5"/>
  <c r="C23" i="5"/>
  <c r="C37" i="5" s="1"/>
  <c r="D23" i="5"/>
  <c r="D37" i="5" s="1"/>
  <c r="D36" i="5"/>
  <c r="B61" i="8"/>
  <c r="D61" i="8" s="1"/>
  <c r="D59" i="6"/>
  <c r="C47" i="8"/>
  <c r="E47" i="8" s="1"/>
  <c r="D40" i="6"/>
  <c r="B10" i="6"/>
  <c r="D61" i="6"/>
  <c r="D60" i="6"/>
  <c r="G36" i="5"/>
  <c r="G23" i="5"/>
  <c r="G37" i="5" s="1"/>
  <c r="E23" i="5"/>
  <c r="E37" i="5" s="1"/>
  <c r="E36" i="5"/>
  <c r="B62" i="8"/>
  <c r="D62" i="8" s="1"/>
  <c r="J22" i="5"/>
  <c r="D41" i="6"/>
  <c r="K36" i="5"/>
  <c r="C48" i="8"/>
  <c r="E48" i="8" s="1"/>
  <c r="B9" i="6"/>
  <c r="H23" i="5"/>
  <c r="H37" i="5" s="1"/>
  <c r="H36" i="5"/>
  <c r="K29" i="5"/>
  <c r="I29" i="5"/>
  <c r="C49" i="8" l="1"/>
  <c r="E49" i="8" s="1"/>
  <c r="D53" i="8" s="1"/>
  <c r="C17" i="6"/>
  <c r="B37" i="5"/>
  <c r="C53" i="8" l="1"/>
  <c r="E53" i="8" s="1"/>
  <c r="D46" i="6"/>
  <c r="D45" i="6"/>
  <c r="D47" i="6"/>
</calcChain>
</file>

<file path=xl/sharedStrings.xml><?xml version="1.0" encoding="utf-8"?>
<sst xmlns="http://schemas.openxmlformats.org/spreadsheetml/2006/main" count="6202" uniqueCount="1788">
  <si>
    <t>NUTRIMETRÍA · NMX-02 · TABLA DIETOSINTÉTICA SEMANAL</t>
  </si>
  <si>
    <t>Fase 4 · Dietas y platillos · versión 1.0 · uso propio · 19-07-2026</t>
  </si>
  <si>
    <t>INICIO</t>
  </si>
  <si>
    <t>DATOS</t>
  </si>
  <si>
    <t>DIETOSINTESIS</t>
  </si>
  <si>
    <t>DISTRIBUCION</t>
  </si>
  <si>
    <t>MENU_SEMANAL</t>
  </si>
  <si>
    <t>SEMANA</t>
  </si>
  <si>
    <t>RESULTADOS</t>
  </si>
  <si>
    <t>FUENTES</t>
  </si>
  <si>
    <t>PRUEBAS</t>
  </si>
  <si>
    <t>CONFIG</t>
  </si>
  <si>
    <t>CHANGELOG</t>
  </si>
  <si>
    <t>FICHA TÉCNICA DEL INSTRUMENTO</t>
  </si>
  <si>
    <t>Código del producto</t>
  </si>
  <si>
    <t>NMX-02</t>
  </si>
  <si>
    <t>Versión</t>
  </si>
  <si>
    <t>1.0</t>
  </si>
  <si>
    <t>Fecha</t>
  </si>
  <si>
    <t>2026-07-19</t>
  </si>
  <si>
    <t>Método</t>
  </si>
  <si>
    <t>Tabla dietosintética semanal</t>
  </si>
  <si>
    <t>Finalidad</t>
  </si>
  <si>
    <t>Fase 4 · Dietas y platillos</t>
  </si>
  <si>
    <t>Formato</t>
  </si>
  <si>
    <t>.xlsx sin macros</t>
  </si>
  <si>
    <t>QUÉ HACE ESTE LIBRO</t>
  </si>
  <si>
    <t>Traduce una prescripción numérica en una estructura alimentaria concreta. Usted define la meta energética y la distribución de macronutrientes; asigna equivalentes por grupo hasta ajustar el patrón; reparte esos equivalentes en los tiempos de comida con control de cuadratura; y despliega el resultado en una tabla semanal de siete días con su adecuación día por día.</t>
  </si>
  <si>
    <t>CÓMO USARLO</t>
  </si>
  <si>
    <t>1</t>
  </si>
  <si>
    <t>En DATOS: escriba la meta energética y los porcentajes de macronutrientes. El libro calcula las metas en gramos.</t>
  </si>
  <si>
    <t>2</t>
  </si>
  <si>
    <t>En DIETOSÍNTESIS: asigne equivalentes por grupo y observe el bloque de ajuste. Modifique hasta que la adecuación quede dentro del rango.</t>
  </si>
  <si>
    <t>3</t>
  </si>
  <si>
    <t>En DISTRIBUCIÓN: reparta esos mismos equivalentes entre los tiempos de comida. La columna de control avisa si faltan o sobran.</t>
  </si>
  <si>
    <t>4</t>
  </si>
  <si>
    <t>En SEMANA: los siete días parten enlazados al patrón base. Si escribe un número distinto, ese día queda como variación.</t>
  </si>
  <si>
    <t>5</t>
  </si>
  <si>
    <t>En RESULTADOS: revise los cinco controles de consistencia antes de dar por cerrada la tabla.</t>
  </si>
  <si>
    <t>6</t>
  </si>
  <si>
    <t>En CONFIG: ajuste la composición por equivalente y los porcentajes orientativos por tiempo de comida.</t>
  </si>
  <si>
    <t>CÓDIGO DE COLORES</t>
  </si>
  <si>
    <t>Arena</t>
  </si>
  <si>
    <t>Celdas que usted completa</t>
  </si>
  <si>
    <t>Gris claro</t>
  </si>
  <si>
    <t>Celdas calculadas (no escribir)</t>
  </si>
  <si>
    <t>Lila</t>
  </si>
  <si>
    <t>Información derivada de otra hoja</t>
  </si>
  <si>
    <t>Verde</t>
  </si>
  <si>
    <t>Resultado principal del ajuste</t>
  </si>
  <si>
    <t>Durazno</t>
  </si>
  <si>
    <t>Controles, advertencias y límites de uso</t>
  </si>
  <si>
    <t>AVISOS · Esta tabla define la ESTRUCTURA de la alimentación, no el menú: los alimentos concretos, las preparaciones y las medidas caseras se construyen en la etapa de platillos. La composición por equivalente precargada corresponde al tipo listas de intercambio y es EDITABLE: confirme que coincide con el sistema que usted utiliza. Los porcentajes orientativos por tiempo de comida son una referencia de trabajo, no una norma. El patrón nunca reproduce la meta con exactitud: se evalúa por adecuación dentro de un rango. Repetir el mismo patrón siete días es correcto en el cálculo pero empobrece la variedad, que se construye variando los alimentos dentro de cada grupo. Este libro no tiene respaldo de ninguna sociedad científica, no está validado clínicamente y no reemplaza el juicio profesional: la prescripción dietética, su indicación y su seguimiento son responsabilidad de quien la firma.</t>
  </si>
  <si>
    <t>DATOS · PRESCRIPCIÓN DIETÉTICA</t>
  </si>
  <si>
    <t>Complete solo las celdas de color arena. Las grises se calculan solas.</t>
  </si>
  <si>
    <t>IDENTIFICACIÓN</t>
  </si>
  <si>
    <t>Nombre o identificador</t>
  </si>
  <si>
    <t>Caso de ejemplo</t>
  </si>
  <si>
    <t>Edad (años)</t>
  </si>
  <si>
    <t>Sexo</t>
  </si>
  <si>
    <t>Femenino</t>
  </si>
  <si>
    <t>Peso (kg)</t>
  </si>
  <si>
    <t>Talla (m)</t>
  </si>
  <si>
    <t>Fecha de la prescripción</t>
  </si>
  <si>
    <t>2026-07-18</t>
  </si>
  <si>
    <t>Profesional responsable</t>
  </si>
  <si>
    <t>—</t>
  </si>
  <si>
    <t>META ENERGÉTICA</t>
  </si>
  <si>
    <t>Forma de definir la meta</t>
  </si>
  <si>
    <t>Valor directo</t>
  </si>
  <si>
    <t>Energía indicada (kcal/día)</t>
  </si>
  <si>
    <t>Energía por kilo (kcal/kg/día)</t>
  </si>
  <si>
    <t>META ENERGÉTICA APLICADA</t>
  </si>
  <si>
    <t>kcal/día</t>
  </si>
  <si>
    <t>DISTRIBUCIÓN DE MACRONUTRIENTES</t>
  </si>
  <si>
    <t>Macronutriente</t>
  </si>
  <si>
    <t>% de la energía</t>
  </si>
  <si>
    <t>kcal</t>
  </si>
  <si>
    <t>Meta en gramos</t>
  </si>
  <si>
    <t>kcal por gramo</t>
  </si>
  <si>
    <t>Proteínas</t>
  </si>
  <si>
    <t>H de C disponibles</t>
  </si>
  <si>
    <t>Lípidos</t>
  </si>
  <si>
    <t>Suma de porcentajes</t>
  </si>
  <si>
    <t>Estas metas en gramos son el objetivo que debe alcanzar el patrón de equivalentes que usted diseñe en la hoja DIETOSÍNTESIS. La coincidencia nunca será exacta: los equivalentes se asignan en números manejables y el ajuste se evalúa por adecuación porcentual.</t>
  </si>
  <si>
    <t>MODO DE META SEMANAL</t>
  </si>
  <si>
    <t>Modo de meta semanal</t>
  </si>
  <si>
    <t>Misma meta para todos los días</t>
  </si>
  <si>
    <t>Día</t>
  </si>
  <si>
    <t>Lunes</t>
  </si>
  <si>
    <t>Martes</t>
  </si>
  <si>
    <t>Miércoles</t>
  </si>
  <si>
    <t>Jueves</t>
  </si>
  <si>
    <t>Viernes</t>
  </si>
  <si>
    <t>Sábado</t>
  </si>
  <si>
    <t>Domingo</t>
  </si>
  <si>
    <t>Meta indicada por día (kcal/día)</t>
  </si>
  <si>
    <t>Meta aplicada por día (kcal/día)</t>
  </si>
  <si>
    <t>La meta aplicada usa la meta general salvo que elija "Meta diferente por día".</t>
  </si>
  <si>
    <t>DIETOSÍNTESIS · PATRÓN DIARIO DE EQUIVALENTES</t>
  </si>
  <si>
    <t>Asigne los equivalentes de cada grupo y observe cómo se acerca el aporte a la meta. Es un proceso iterativo: modifique y vuelva a mirar la adecuación.</t>
  </si>
  <si>
    <t>PATRÓN DE EQUIVALENTES POR DÍA</t>
  </si>
  <si>
    <t>Grupo de equivalencia</t>
  </si>
  <si>
    <t>Equivalentes/día</t>
  </si>
  <si>
    <t>H de C (g)</t>
  </si>
  <si>
    <t>Proteínas (g)</t>
  </si>
  <si>
    <t>Lípidos (g)</t>
  </si>
  <si>
    <t>Energía (kcal)</t>
  </si>
  <si>
    <t>TOTAL DEL DÍA</t>
  </si>
  <si>
    <t>AJUSTE FRENTE A LA PRESCRIPCIÓN</t>
  </si>
  <si>
    <t>Componente</t>
  </si>
  <si>
    <t>Aporta el patrón</t>
  </si>
  <si>
    <t>Meta prescrita</t>
  </si>
  <si>
    <t>Diferencia</t>
  </si>
  <si>
    <t>% de adecuación</t>
  </si>
  <si>
    <t>Evaluación</t>
  </si>
  <si>
    <t>H de C disponibles (g)</t>
  </si>
  <si>
    <t>DISTRIBUCIÓN PORCENTUAL LOGRADA</t>
  </si>
  <si>
    <t>% del patrón</t>
  </si>
  <si>
    <t>% prescrito</t>
  </si>
  <si>
    <t>El patrón de equivalentes nunca reproduce la meta con exactitud: los equivalentes se asignan en cantidades manejables para construir menús reales. Busque adecuación dentro del rango, no coincidencia perfecta.</t>
  </si>
  <si>
    <t>DISTRIBUCIÓN DEL PATRÓN EN LOS TIEMPOS DE COMIDA</t>
  </si>
  <si>
    <t>Reparta los equivalentes de cada grupo entre los tiempos de comida. La columna de control avisa si el reparto no cuadra con el patrón diario.</t>
  </si>
  <si>
    <t>REPARTO DE EQUIVALENTES</t>
  </si>
  <si>
    <t>Repartido</t>
  </si>
  <si>
    <t>Del patrón</t>
  </si>
  <si>
    <t>Control</t>
  </si>
  <si>
    <t>TOTAL DE EQUIVALENTES</t>
  </si>
  <si>
    <t>ENERGÍA (kcal)</t>
  </si>
  <si>
    <t>% DE LA ENERGÍA DEL DÍA</t>
  </si>
  <si>
    <t>% orientativo de referencia</t>
  </si>
  <si>
    <t>Un reparto correcto NO significa un menú adecuado: la aceptabilidad, los horarios reales, la cultura alimentaria y el presupuesto se definen al construir los platillos.</t>
  </si>
  <si>
    <t>TABLA DIETOSINTÉTICA SEMANAL</t>
  </si>
  <si>
    <t>Cada día muestra el APORTE REAL calculado desde MENU_SEMANAL. El patrón de equivalentes de abajo es solo referencia estructural.</t>
  </si>
  <si>
    <t>PATRÓN PRESCRITO DE EQUIVALENTES (referencia estructural · igual para todos los días)</t>
  </si>
  <si>
    <t>Total semanal</t>
  </si>
  <si>
    <t>Promedio diario</t>
  </si>
  <si>
    <t>Patrón base</t>
  </si>
  <si>
    <t>Variación</t>
  </si>
  <si>
    <t>ENERGÍA REAL DEL DÍA (kcal · desde MENU_SEMANAL)</t>
  </si>
  <si>
    <t>ADECUACIÓN FRENTE A LA META</t>
  </si>
  <si>
    <t>CONTROL DEL DÍA</t>
  </si>
  <si>
    <t>Repetir el mismo patrón siete días es correcto desde el cálculo, pero empobrece la variedad. La variación semanal se construye cambiando los ALIMENTOS dentro de cada grupo, no necesariamente el número de equivalentes.</t>
  </si>
  <si>
    <t>APORTE REAL POR DÍA (desde MENU_SEMANAL)</t>
  </si>
  <si>
    <t>Indicador</t>
  </si>
  <si>
    <t>Promedio</t>
  </si>
  <si>
    <t>Energía real (kcal)</t>
  </si>
  <si>
    <t>H de C disp. (g)</t>
  </si>
  <si>
    <t>Fibra (g)</t>
  </si>
  <si>
    <t>N° de alimentos</t>
  </si>
  <si>
    <t>N° con datos ND</t>
  </si>
  <si>
    <t>Adecuación energética</t>
  </si>
  <si>
    <t>Control del día</t>
  </si>
  <si>
    <t>RESULTADOS · VERIFICACIÓN DE LA TABLA SEMANAL</t>
  </si>
  <si>
    <t>SÍNTESIS DE LA PRESCRIPCIÓN</t>
  </si>
  <si>
    <t>Meta energética prescrita</t>
  </si>
  <si>
    <t>Energía del patrón diario</t>
  </si>
  <si>
    <t>Adecuación del patrón</t>
  </si>
  <si>
    <t>Energía promedio de la semana</t>
  </si>
  <si>
    <t>Energía total de la semana</t>
  </si>
  <si>
    <t>Total de equivalentes por día</t>
  </si>
  <si>
    <t>equivalentes</t>
  </si>
  <si>
    <t>CONTROLES DE CONSISTENCIA</t>
  </si>
  <si>
    <t>¿Los porcentajes de macronutrientes suman 100%?</t>
  </si>
  <si>
    <t>¿El patrón queda dentro del rango de adecuación?</t>
  </si>
  <si>
    <t>¿El reparto por tiempos de comida cuadra con el patrón?</t>
  </si>
  <si>
    <t>¿Todos los días de la semana quedan ajustados?</t>
  </si>
  <si>
    <t>¿La suma de los porcentajes por tiempo de comida es 100%?</t>
  </si>
  <si>
    <t>ESTRUCTURA DIARIA POR TIEMPO DE COMIDA</t>
  </si>
  <si>
    <t>Tiempo de comida</t>
  </si>
  <si>
    <t>% del día</t>
  </si>
  <si>
    <t>% orientativo</t>
  </si>
  <si>
    <t>TOTAL</t>
  </si>
  <si>
    <t>ALCANCE DE ESTA TABLA · La tabla dietosintética define la ESTRUCTURA de la alimentación: cuántos equivalentes de cada grupo, repartidos en qué tiempos de comida. No define el menú: los alimentos concretos, las preparaciones, las porciones en medidas caseras y la aceptabilidad se construyen en la etapa de platillos. Dos personas con la misma tabla pueden comer de manera completamente distinta.</t>
  </si>
  <si>
    <t>EXACTITUD MATEMÁTICA ≠ VALIDACIÓN CLÍNICA. Herramienta de apoyo al cálculo y a la planificación. La prescripción dietética, su indicación y su seguimiento son responsabilidad del profesional.</t>
  </si>
  <si>
    <t>RESUMEN ENERGÉTICO SEMANAL (MENÚ REAL)</t>
  </si>
  <si>
    <t>Meta promedio diaria (kcal/día)</t>
  </si>
  <si>
    <t>Energía total de la semana (kcal)</t>
  </si>
  <si>
    <t>Energía promedio diaria (kcal)</t>
  </si>
  <si>
    <t>Día de mayor energía</t>
  </si>
  <si>
    <t>Día de menor energía</t>
  </si>
  <si>
    <t>Diferencia máxima entre días (kcal)</t>
  </si>
  <si>
    <t>Días ajustados</t>
  </si>
  <si>
    <t>Días bajo la meta</t>
  </si>
  <si>
    <t>Días sobre la meta</t>
  </si>
  <si>
    <t>ENERGÍA POR DÍA (kcal)</t>
  </si>
  <si>
    <t>Energía</t>
  </si>
  <si>
    <t>MACRONUTRIENTES · PROMEDIO DIARIO (g)</t>
  </si>
  <si>
    <t>H de C disp.</t>
  </si>
  <si>
    <t>Fibra</t>
  </si>
  <si>
    <t>COMPARACIÓN · PATRÓN DE EQUIVALENTES vs MENÚ REAL</t>
  </si>
  <si>
    <t>Energía semanal por equivalentes (patrón × 7)</t>
  </si>
  <si>
    <t>Energía semanal desde alimentos (menú real)</t>
  </si>
  <si>
    <t>Diferencia absoluta (kcal)</t>
  </si>
  <si>
    <t>Diferencia porcentual</t>
  </si>
  <si>
    <t>El patrón por equivalentes usa valores promedio; el menú real refleja la composición específica de cada alimento, por eso pueden diferir.</t>
  </si>
  <si>
    <t>FUENTES Y TRAZABILIDAD</t>
  </si>
  <si>
    <t>MÉTODO Y REFERENCIAS</t>
  </si>
  <si>
    <t>Elemento</t>
  </si>
  <si>
    <t>Alcance y origen</t>
  </si>
  <si>
    <t>Qué es una tabla dietosintética</t>
  </si>
  <si>
    <t>Es el paso que traduce una prescripción numérica (energía y distribución de macronutrientes) en una estructura alimentaria manejable: número de equivalentes de cada grupo por día y su reparto en los tiempos de comida. Constituye el puente entre el cálculo y el menú.</t>
  </si>
  <si>
    <t>Sistema de equivalentes</t>
  </si>
  <si>
    <t>La composición por equivalente precargada corresponde al SISTEMA CHILENO del Manual de Porciones de Intercambio para Chile, 2ª edición 2021 (Ratner y cols., Universidad del Desarrollo), sobre antecedentes del sistema de Jury, Urteaga y Taibo (INTA–Universidad de Chile, 1999). Son 13 grupos, incluidas verduras de libre consumo y alimentos ricos en lípidos. Los valores continúan siendo EDITABLES en CONFIG y su aplicación debe responder al criterio profesional.</t>
  </si>
  <si>
    <t>Energía por equivalente</t>
  </si>
  <si>
    <t>La columna de energía muestra la ENERGÍA PUBLICADA por el manual UDD 2021. Puede diferir levemente de la energía Atwater (proteínas e H de C 4 kcal/g; lípidos 9 kcal/g) por redondeo y metodología; esa comprobación se realiza de forma independiente en la hoja PRUEBAS.</t>
  </si>
  <si>
    <t>Distribución por tiempos de comida</t>
  </si>
  <si>
    <t>Los porcentajes orientativos de CONFIG son una referencia de trabajo editable, NO una norma. La distribución real debe responder a los horarios, la jornada laboral, la cultura alimentaria y las preferencias de la persona.</t>
  </si>
  <si>
    <t>Criterio de ajuste</t>
  </si>
  <si>
    <t>El patrón de equivalentes no reproduce la meta con exactitud, porque los equivalentes se asignan en cantidades manejables para construir menús reales. El libro evalúa la adecuación porcentual dentro de un rango editable (por omisión 95% a 105%).</t>
  </si>
  <si>
    <t>Relación con otros módulos</t>
  </si>
  <si>
    <t>El sistema de equivalentes y su composición son los mismos que utiliza NMX-17. La composición química de los alimentos concretos proviene de la Tabla INTA 2018 y se aplica en los módulos que trabajan a nivel de alimento.</t>
  </si>
  <si>
    <t>Qué NO resuelve esta tabla</t>
  </si>
  <si>
    <t>No define alimentos, preparaciones ni medidas caseras; no considera aceptabilidad, presupuesto ni disponibilidad; no reemplaza la evaluación nutricional previa que fundamenta la prescripción.</t>
  </si>
  <si>
    <t>Respaldo institucional</t>
  </si>
  <si>
    <t>Este libro no cuenta con respaldo ni aval de INTA, de la Universidad de Chile ni de ninguna sociedad científica, y no está validado clínicamente.</t>
  </si>
  <si>
    <t>REFERENCIAS</t>
  </si>
  <si>
    <t>Ratner R, Aicardi V, Madrid J, Allende J, Riesco MV.</t>
  </si>
  <si>
    <t>Manual de Porciones de Intercambio para Chile. 2ª edición. Nutrición y Dietética, Facultad de Medicina, Universidad del Desarrollo; 2021.</t>
  </si>
  <si>
    <t>Jury G, Urteaga C, Taibo M.</t>
  </si>
  <si>
    <t>Porciones de intercambio y composición química de los alimentos de la pirámide alimentaria chilena. INTA, Universidad de Chile; 1999.</t>
  </si>
  <si>
    <t>Universidad del Desarrollo.</t>
  </si>
  <si>
    <t>Nutrición y Dietética UDD presenta nueva versión de Manual de Porciones de Intercambio para Chile. 27/09/2021. https://www.udd.cl/noticias/2021/09/27/nutricion-y-dietetica-udd-presenta-nueva-version-de-manual-de-porciones-de-intercambio-para-chile/</t>
  </si>
  <si>
    <t>Peña-D'Ardaillon F et al.</t>
  </si>
  <si>
    <t>Recomendaciones prácticas para el manejo nutricional de la enfermedad renal crónica en etapas 3 a 5 con y sin diálisis para adultos y personas mayores en Chile. Rev Chil Nutr. 2025;52(1):63-82. https://www.scielo.cl/pdf/rchnut/v52n1/0717-7518-rchnut-52-01-0063.pdf</t>
  </si>
  <si>
    <t>PRUEBAS DE CONTROL DE CALIDAD</t>
  </si>
  <si>
    <t>Los valores esperados se calcularon de forma independiente del motor del libro (verificación externa).</t>
  </si>
  <si>
    <t>Bloque</t>
  </si>
  <si>
    <t>Descripción de la prueba</t>
  </si>
  <si>
    <t>Obtenido</t>
  </si>
  <si>
    <t>Esperado</t>
  </si>
  <si>
    <t>Estado</t>
  </si>
  <si>
    <t>A</t>
  </si>
  <si>
    <t>Energía publicada · Lácteos descremados</t>
  </si>
  <si>
    <t>Energía publicada · Lácteos semidescremados</t>
  </si>
  <si>
    <t>Energía publicada · Verduras de consumo general</t>
  </si>
  <si>
    <t>Energía publicada · Panes, cereales, legumbres frescas y tubérculos</t>
  </si>
  <si>
    <t>Energía publicada · Aceites, grasas y semillas</t>
  </si>
  <si>
    <t>Energía publicada · Alimentos ricos en lípidos</t>
  </si>
  <si>
    <t>Energía publicada · Azúcares</t>
  </si>
  <si>
    <t>A2</t>
  </si>
  <si>
    <t>Atwater independiente (HC×4+PROT×4+LIP×9) · Lácteos descremados</t>
  </si>
  <si>
    <t>Atwater independiente (HC×4+PROT×4+LIP×9) · Lácteos semidescremados</t>
  </si>
  <si>
    <t>Atwater independiente (HC×4+PROT×4+LIP×9) · Lácteos enteros</t>
  </si>
  <si>
    <t>Atwater independiente (HC×4+PROT×4+LIP×9) · Verduras de consumo general</t>
  </si>
  <si>
    <t>Atwater independiente (HC×4+PROT×4+LIP×9) · Verduras de libre consumo</t>
  </si>
  <si>
    <t>Atwater independiente (HC×4+PROT×4+LIP×9) · Frutas</t>
  </si>
  <si>
    <t>Atwater independiente (HC×4+PROT×4+LIP×9) · Panes, cereales, legumbres frescas y tubérculos</t>
  </si>
  <si>
    <t>Atwater independiente (HC×4+PROT×4+LIP×9) · Legumbres secas</t>
  </si>
  <si>
    <t>Atwater independiente (HC×4+PROT×4+LIP×9) · Carnes bajas en grasa</t>
  </si>
  <si>
    <t>Atwater independiente (HC×4+PROT×4+LIP×9) · Carnes altas en grasa</t>
  </si>
  <si>
    <t>Atwater independiente (HC×4+PROT×4+LIP×9) · Aceites, grasas y semillas</t>
  </si>
  <si>
    <t>Atwater independiente (HC×4+PROT×4+LIP×9) · Alimentos ricos en lípidos</t>
  </si>
  <si>
    <t>Atwater independiente (HC×4+PROT×4+LIP×9) · Azúcares</t>
  </si>
  <si>
    <t>B</t>
  </si>
  <si>
    <t>Meta energética aplicada (kcal)</t>
  </si>
  <si>
    <t>Meta de proteínas (g) = 15% × 2000 ÷ 4</t>
  </si>
  <si>
    <t>Meta de H de C (g) = 55% × 2000 ÷ 4</t>
  </si>
  <si>
    <t>Meta de lípidos (g) = 30% × 2000 ÷ 9</t>
  </si>
  <si>
    <t>C</t>
  </si>
  <si>
    <t>H de C aportados por el patrón (g)</t>
  </si>
  <si>
    <t>Proteínas aportadas por el patrón (g)</t>
  </si>
  <si>
    <t>Lípidos aportados por el patrón (g)</t>
  </si>
  <si>
    <t>Energía del patrón · energía publicada (kcal)</t>
  </si>
  <si>
    <t>Total de equivalentes del patrón</t>
  </si>
  <si>
    <t>D</t>
  </si>
  <si>
    <t>Adecuación energética del patrón</t>
  </si>
  <si>
    <t>El patrón queda evaluado como</t>
  </si>
  <si>
    <t>Ajustado</t>
  </si>
  <si>
    <t>Porcentaje de proteínas logrado</t>
  </si>
  <si>
    <t>Porcentaje de H de C logrado</t>
  </si>
  <si>
    <t>E</t>
  </si>
  <si>
    <t>Energía asignada al desayuno (kcal)</t>
  </si>
  <si>
    <t>Energía asignada al almuerzo (kcal)</t>
  </si>
  <si>
    <t>Energía asignada a la once (kcal)</t>
  </si>
  <si>
    <t>La suma del reparto iguala la energía del patrón</t>
  </si>
  <si>
    <t>Los trece grupos cuadran con el patrón</t>
  </si>
  <si>
    <t>F</t>
  </si>
  <si>
    <t>Energía del lunes en la tabla semanal (kcal)</t>
  </si>
  <si>
    <t>Energía promedio diaria de la semana (kcal)</t>
  </si>
  <si>
    <t>Los siete días quedan ajustados</t>
  </si>
  <si>
    <t>G</t>
  </si>
  <si>
    <t>Un cambio en un día se reporta como variación</t>
  </si>
  <si>
    <t>SIN VARIACIONES</t>
  </si>
  <si>
    <t>Control de consistencia del reparto (RESULTADOS)</t>
  </si>
  <si>
    <t>OK</t>
  </si>
  <si>
    <t>RESUMEN</t>
  </si>
  <si>
    <t>Pruebas aprobadas</t>
  </si>
  <si>
    <t>PRUEBAS · MENÚ SEMANAL VARIABLE (verificación automática)</t>
  </si>
  <si>
    <t>Descripción</t>
  </si>
  <si>
    <t>Resultado obtenido</t>
  </si>
  <si>
    <t>Resultado esperado</t>
  </si>
  <si>
    <t>Observaciones</t>
  </si>
  <si>
    <t>1. Independencia entre días</t>
  </si>
  <si>
    <t>VARIAN</t>
  </si>
  <si>
    <t>Los 7 días no son iguales cuando el menú varía</t>
  </si>
  <si>
    <t>2. Diferencia energética por alimento</t>
  </si>
  <si>
    <t>DISTINTO</t>
  </si>
  <si>
    <t>Dos alimentos con distinta composición aportan distinto</t>
  </si>
  <si>
    <t>3. Proporcionalidad de gramos (x2 → x2)</t>
  </si>
  <si>
    <t>DUPLICA</t>
  </si>
  <si>
    <t>Duplicar gramos duplica el aporte</t>
  </si>
  <si>
    <t>4. Total diario = suma de alimentos del día</t>
  </si>
  <si>
    <t>La energía del lunes es la suma de sus alimentos</t>
  </si>
  <si>
    <t>5. Total semanal = suma de 7 días</t>
  </si>
  <si>
    <t>El total semanal suma los siete días</t>
  </si>
  <si>
    <t>6. Promedio = total / 7</t>
  </si>
  <si>
    <t>El promedio diario es el total dividido por 7</t>
  </si>
  <si>
    <t>7. Meta por día coherente con el modo</t>
  </si>
  <si>
    <t>La meta aplicada respeta el modo elegido</t>
  </si>
  <si>
    <t>8. Datos faltantes: ND no es cero</t>
  </si>
  <si>
    <t>ND_OK</t>
  </si>
  <si>
    <t>Un alimento sin energía queda como ND, no como 0</t>
  </si>
  <si>
    <t>9. Listas: el alimento existe en la base</t>
  </si>
  <si>
    <t>Todo alimento de la lista existe en BASE_ALIMENTOS</t>
  </si>
  <si>
    <t>10. El gráfico refleja variación</t>
  </si>
  <si>
    <t>ACTUALIZA</t>
  </si>
  <si>
    <t>El gráfico muestra energías distintas por día</t>
  </si>
  <si>
    <t>CONFIGURACIÓN · EQUIVALENTES Y CONSTANTES</t>
  </si>
  <si>
    <t>FACTORES ENERGÉTICOS Y UMBRALES</t>
  </si>
  <si>
    <t>Parámetro</t>
  </si>
  <si>
    <t>Unidad</t>
  </si>
  <si>
    <t>Valor</t>
  </si>
  <si>
    <t>Energía por gramo de proteína</t>
  </si>
  <si>
    <t>kcal/g</t>
  </si>
  <si>
    <t>Energía por gramo de H de C</t>
  </si>
  <si>
    <t>Energía por gramo de lípidos</t>
  </si>
  <si>
    <t>Adecuación aceptable: límite inferior</t>
  </si>
  <si>
    <t>%</t>
  </si>
  <si>
    <t>Adecuación aceptable: límite superior</t>
  </si>
  <si>
    <t>Tolerancia del reparto por tiempo de comida</t>
  </si>
  <si>
    <t>Tolerancia de las pruebas</t>
  </si>
  <si>
    <t>±</t>
  </si>
  <si>
    <t>COMPOSICIÓN POR EQUIVALENTE · Sistema chileno · Manual de Porciones de Intercambio para Chile, UDD 2ª ed. 2021 (editable · confirme el sistema que usted utiliza)</t>
  </si>
  <si>
    <t>Lácteos descremados</t>
  </si>
  <si>
    <t>Lácteos semidescremados</t>
  </si>
  <si>
    <t>Lácteos enteros</t>
  </si>
  <si>
    <t>Verduras de consumo general</t>
  </si>
  <si>
    <t>Verduras de libre consumo</t>
  </si>
  <si>
    <t>Frutas</t>
  </si>
  <si>
    <t>Panes, cereales, legumbres frescas y tubérculos</t>
  </si>
  <si>
    <t>Legumbres secas</t>
  </si>
  <si>
    <t>Carnes bajas en grasa</t>
  </si>
  <si>
    <t>Carnes altas en grasa</t>
  </si>
  <si>
    <t>Aceites, grasas y semillas</t>
  </si>
  <si>
    <t>Alimentos ricos en lípidos</t>
  </si>
  <si>
    <t>Azúcares</t>
  </si>
  <si>
    <t>La energía mostrada es la ENERGÍA PUBLICADA por el Manual de Porciones de Intercambio para Chile (Ratner y cols., UDD, 2ª ed. 2021). Puede diferir levemente de la energía Atwater (H de C×4 + proteínas×4 + lípidos×9) por redondeo y metodología del manual; la comprobación Atwater es independiente y se realiza en la hoja PRUEBAS. Los valores son EDITABLES.</t>
  </si>
  <si>
    <t>TIEMPOS DE COMIDA Y DISTRIBUCIÓN ENERGÉTICA ORIENTATIVA</t>
  </si>
  <si>
    <t>% orientativo de la energía</t>
  </si>
  <si>
    <t>Desayuno</t>
  </si>
  <si>
    <t>Colación AM</t>
  </si>
  <si>
    <t>Almuerzo</t>
  </si>
  <si>
    <t>Once</t>
  </si>
  <si>
    <t>Cena</t>
  </si>
  <si>
    <t>Colación nocturna</t>
  </si>
  <si>
    <t>Suma</t>
  </si>
  <si>
    <t>Estos porcentajes son una referencia para comparar el reparto que usted diseñe. No son una norma: ajústelos a los horarios reales, la cultura alimentaria y la situación de la persona.</t>
  </si>
  <si>
    <t>Cambio</t>
  </si>
  <si>
    <t>Motivo</t>
  </si>
  <si>
    <t>Versión inicial de NMX-02: tabla dietosintética con patrón diario de equivalentes, ajuste iterativo frente a la prescripción, reparto por tiempos de comida y despliegue semanal.</t>
  </si>
  <si>
    <t>Inicio de la Fase 4 · Dietas y platillos.</t>
  </si>
  <si>
    <t>Control de cuadratura del reparto: avisa por grupo si faltan o sobran equivalentes.</t>
  </si>
  <si>
    <t>Es el error más frecuente al repartir un patrón entre los tiempos de comida.</t>
  </si>
  <si>
    <t>La tabla semanal parte enlazada al patrón base y detecta las variaciones por día.</t>
  </si>
  <si>
    <t>Permite construir semanas homogéneas o con variaciones sin perder el control del cálculo.</t>
  </si>
  <si>
    <t>Composición por equivalente editable, compartida con el criterio de NMX-17.</t>
  </si>
  <si>
    <t>Coherencia entre el módulo de evaluación por equivalentes y el de planificación.</t>
  </si>
  <si>
    <t>v1.1.0</t>
  </si>
  <si>
    <t>Menú semanal variable por alimentos (base INTA 2018): hojas BASE_ALIMENTOS y MENU_SEMANAL; energía y macros reales por día; meta por día; gráfico dinámico; 10 pruebas.</t>
  </si>
  <si>
    <t>2.1.0</t>
  </si>
  <si>
    <t>2026-07-31</t>
  </si>
  <si>
    <t>Se restablece el grupo 'Verduras y hortalizas' (31 alimentos, INTA-0332..INTA-0362) mal etiquetados como 'aceites y grasas' en BASE_ALIMENTOS.</t>
  </si>
  <si>
    <t>Corrección de integridad de datos. No se alteran valores, fórmulas, rangos ni validaciones.</t>
  </si>
  <si>
    <t>2.2.0</t>
  </si>
  <si>
    <t>BASE_ALIMENTOS reordenada por ID (INTA-0001..0618), reproduciendo el orden canónico del maestro (Composición de Alimentos 2018). Se reconstruyeron grp_map, lst_grupos_base y los rangos de filtro fg_01..fg_24 para los 24 grupos, ahora contiguos e incluyendo Verduras y hortalizas. MENU_SEMANAL queda coherente con el nuevo orden.</t>
  </si>
  <si>
    <t>Alinear la base con el maestro y restaurar el filtrado grupo-&gt;alimento del menú, que había quedado inconsistente. No se alteran valores nutricionales; las fórmulas resuelven por valor (b_key/MATCH/INDEX).</t>
  </si>
  <si>
    <t>2.2.1</t>
  </si>
  <si>
    <t>2026-08-01</t>
  </si>
  <si>
    <t>Completado el ejemplo semanal: recalibrados los gramos de los 35 alimentos para que los 7 dias queden Ajustados (Lunes 2028, total 14196, promedio 2028), manteniendo alimentos INTA reales y variacion entre dias. 28 pruebas aprobadas.</t>
  </si>
  <si>
    <t>El ejemplo tenia solo 2 de 7 dias ajustados.</t>
  </si>
  <si>
    <t>3.0.0</t>
  </si>
  <si>
    <t>Sustitución de la composición predeterminada por el SISTEMA CHILENO UDD 2021 de 13 grupos: actualización de macronutrientes y energía publicada; incorporación de 'Verduras de libre consumo' y de 'Alimentos ricos en lípidos'; eliminación del grupo 'Carnes semigrasas'; actualización de nombres, rangos nombrados (lst_eq/rng_eq a 13 filas), validaciones, fórmulas (INDEX 1..13, SUM/SUMPRODUCT/COUNTIF a 13 grupos) y pruebas; separación explícita entre energía publicada y comprobación Atwater (independiente en PRUEBAS).</t>
  </si>
  <si>
    <t>Alinear la composición por equivalente con el Manual de Porciones de Intercambio para Chile (UDD, 2ª ed. 2021).</t>
  </si>
  <si>
    <t>BASE_ALIMENTOS · COMPOSICIÓN POR 100 g (Tabla INTA 2018)</t>
  </si>
  <si>
    <t>Base interna incorporada como valores (sin vínculos externos). "ND" = dato no disponible en la fuente; NO se interpreta como cero.</t>
  </si>
  <si>
    <t>ID</t>
  </si>
  <si>
    <t>Alimento</t>
  </si>
  <si>
    <t>Grupo</t>
  </si>
  <si>
    <t>Energía/100 g (kcal)</t>
  </si>
  <si>
    <t>Proteínas/100 g (g)</t>
  </si>
  <si>
    <t>H de C disp./100 g (g)</t>
  </si>
  <si>
    <t>Lípidos/100 g (g)</t>
  </si>
  <si>
    <t>Fibra/100 g (g)</t>
  </si>
  <si>
    <t>Porción (medida casera)</t>
  </si>
  <si>
    <t>Gramos de la porción</t>
  </si>
  <si>
    <t>Fuente</t>
  </si>
  <si>
    <t>Observación</t>
  </si>
  <si>
    <t>Etiqueta</t>
  </si>
  <si>
    <t>Grupo (mapa)</t>
  </si>
  <si>
    <t>Rango</t>
  </si>
  <si>
    <t>INTA-0001</t>
  </si>
  <si>
    <t>Leche materna</t>
  </si>
  <si>
    <t>Leche y derivados</t>
  </si>
  <si>
    <t>sin documentar</t>
  </si>
  <si>
    <t>ND</t>
  </si>
  <si>
    <t>Tabla INTA 2018</t>
  </si>
  <si>
    <t>aceites y grasas</t>
  </si>
  <si>
    <t>fg_09</t>
  </si>
  <si>
    <t>INTA-0002</t>
  </si>
  <si>
    <t>Leche de Burra</t>
  </si>
  <si>
    <t>alcoholes</t>
  </si>
  <si>
    <t>fg_18</t>
  </si>
  <si>
    <t>INTA-0003</t>
  </si>
  <si>
    <t>Leche de cabra con Vit. D</t>
  </si>
  <si>
    <t>Alimentos con formulaciones Especiales</t>
  </si>
  <si>
    <t>fg_24</t>
  </si>
  <si>
    <t>INTA-0004</t>
  </si>
  <si>
    <t>Leche fluida entera</t>
  </si>
  <si>
    <t>bebidas</t>
  </si>
  <si>
    <t>fg_17</t>
  </si>
  <si>
    <t>INTA-0005</t>
  </si>
  <si>
    <t>Leche fluida entera 2</t>
  </si>
  <si>
    <t>Carnes y Vísceras</t>
  </si>
  <si>
    <t>fg_03</t>
  </si>
  <si>
    <t>INTA-0006</t>
  </si>
  <si>
    <t>Leche entera con sabor</t>
  </si>
  <si>
    <t>cereales y derivados</t>
  </si>
  <si>
    <t>fg_07</t>
  </si>
  <si>
    <t>INTA-0007</t>
  </si>
  <si>
    <t>Leche semidescremada</t>
  </si>
  <si>
    <t>de Dulces y miel</t>
  </si>
  <si>
    <t>fg_12</t>
  </si>
  <si>
    <t>INTA-0008</t>
  </si>
  <si>
    <t>Leche semidescremada con sabor</t>
  </si>
  <si>
    <t>dulces</t>
  </si>
  <si>
    <t>fg_13</t>
  </si>
  <si>
    <t>INTA-0009</t>
  </si>
  <si>
    <t>Leche semidescremada con sabor chocolate</t>
  </si>
  <si>
    <t>Endulzantes</t>
  </si>
  <si>
    <t>fg_22</t>
  </si>
  <si>
    <t>INTA-0010</t>
  </si>
  <si>
    <t>Leche semidescremada con sabor frutilla</t>
  </si>
  <si>
    <t>Especias</t>
  </si>
  <si>
    <t>fg_21</t>
  </si>
  <si>
    <t>INTA-0011</t>
  </si>
  <si>
    <t>Leche semidescremada sin lactosa</t>
  </si>
  <si>
    <t>fg_11</t>
  </si>
  <si>
    <t>INTA-0012</t>
  </si>
  <si>
    <t>Leche descremada</t>
  </si>
  <si>
    <t>HUEVOS</t>
  </si>
  <si>
    <t>fg_02</t>
  </si>
  <si>
    <t>INTA-0013</t>
  </si>
  <si>
    <t>Leche descremada 2</t>
  </si>
  <si>
    <t>Jugos y Néctares</t>
  </si>
  <si>
    <t>fg_15</t>
  </si>
  <si>
    <t>INTA-0014</t>
  </si>
  <si>
    <t>Leche en polvo 26% MG</t>
  </si>
  <si>
    <t>fg_01</t>
  </si>
  <si>
    <t>INTA-0015</t>
  </si>
  <si>
    <t>Leche en polvo 26% MG con Vit. D</t>
  </si>
  <si>
    <t>leguminosas y oleaginosas</t>
  </si>
  <si>
    <t>fg_05</t>
  </si>
  <si>
    <t>INTA-0016</t>
  </si>
  <si>
    <t>Leche en polvo 18% MG extra calcio</t>
  </si>
  <si>
    <t>Papas</t>
  </si>
  <si>
    <t>fg_08</t>
  </si>
  <si>
    <t>INTA-0017</t>
  </si>
  <si>
    <t>Leche en polvo 12% MG</t>
  </si>
  <si>
    <t>Pescados y mariscos</t>
  </si>
  <si>
    <t>fg_04</t>
  </si>
  <si>
    <t>INTA-0018</t>
  </si>
  <si>
    <t>Leche en polvo descremada</t>
  </si>
  <si>
    <t>platos preparados</t>
  </si>
  <si>
    <t>fg_23</t>
  </si>
  <si>
    <t>INTA-0019</t>
  </si>
  <si>
    <t>Leche en polvo descremada extra calcio</t>
  </si>
  <si>
    <t>postres de leches</t>
  </si>
  <si>
    <t>fg_14</t>
  </si>
  <si>
    <t>INTA-0020</t>
  </si>
  <si>
    <t>Leche en polvo purita cereal</t>
  </si>
  <si>
    <t>productos salados</t>
  </si>
  <si>
    <t>fg_19</t>
  </si>
  <si>
    <t>INTA-0021</t>
  </si>
  <si>
    <t>Leche condensada</t>
  </si>
  <si>
    <t>Refrescos en Polvo</t>
  </si>
  <si>
    <t>fg_16</t>
  </si>
  <si>
    <t>INTA-0022</t>
  </si>
  <si>
    <t>Leche evaporada</t>
  </si>
  <si>
    <t>Salsas</t>
  </si>
  <si>
    <t>fg_20</t>
  </si>
  <si>
    <t>INTA-0023</t>
  </si>
  <si>
    <t>Quesillo</t>
  </si>
  <si>
    <t>semillas, almendras y nueces</t>
  </si>
  <si>
    <t>fg_06</t>
  </si>
  <si>
    <t>INTA-0024</t>
  </si>
  <si>
    <t>Quesillo 0% MG</t>
  </si>
  <si>
    <t>Verduras y hortalizas</t>
  </si>
  <si>
    <t>fg_10</t>
  </si>
  <si>
    <t>INTA-0025</t>
  </si>
  <si>
    <t>Quesillo sin sal</t>
  </si>
  <si>
    <t>INTA-0026</t>
  </si>
  <si>
    <t>Queso cabra</t>
  </si>
  <si>
    <t>INTA-0027</t>
  </si>
  <si>
    <t>Queso chanco</t>
  </si>
  <si>
    <t>INTA-0028</t>
  </si>
  <si>
    <t>Queso cheddar</t>
  </si>
  <si>
    <t>INTA-0029</t>
  </si>
  <si>
    <t>Queso crema</t>
  </si>
  <si>
    <t>INTA-0030</t>
  </si>
  <si>
    <t>Queso crema 2</t>
  </si>
  <si>
    <t>INTA-0031</t>
  </si>
  <si>
    <t>Queso fresco</t>
  </si>
  <si>
    <t>INTA-0032</t>
  </si>
  <si>
    <t>Queso fresco 2</t>
  </si>
  <si>
    <t>INTA-0033</t>
  </si>
  <si>
    <t>Queso fresco light</t>
  </si>
  <si>
    <t>INTA-0034</t>
  </si>
  <si>
    <t>Queso gouda</t>
  </si>
  <si>
    <t>INTA-0035</t>
  </si>
  <si>
    <t>Queso gouda 2</t>
  </si>
  <si>
    <t>INTA-0036</t>
  </si>
  <si>
    <t>Queso mantecoso</t>
  </si>
  <si>
    <t>INTA-0037</t>
  </si>
  <si>
    <t>Queso mozarella</t>
  </si>
  <si>
    <t>INTA-0038</t>
  </si>
  <si>
    <t>Queso parmesano</t>
  </si>
  <si>
    <t>INTA-0039</t>
  </si>
  <si>
    <t>Queso parmesano 2</t>
  </si>
  <si>
    <t>INTA-0040</t>
  </si>
  <si>
    <t>Queso pategras</t>
  </si>
  <si>
    <t>INTA-0041</t>
  </si>
  <si>
    <t>Queso reggianito</t>
  </si>
  <si>
    <t>INTA-0042</t>
  </si>
  <si>
    <t>Queso suizo</t>
  </si>
  <si>
    <t>INTA-0043</t>
  </si>
  <si>
    <t>Queso untable</t>
  </si>
  <si>
    <t>INTA-0044</t>
  </si>
  <si>
    <t>Ricota</t>
  </si>
  <si>
    <t>INTA-0045</t>
  </si>
  <si>
    <t>Yogurt natural</t>
  </si>
  <si>
    <t>INTA-0046</t>
  </si>
  <si>
    <t>Yogurt light</t>
  </si>
  <si>
    <t>INTA-0047</t>
  </si>
  <si>
    <t>Yogurt con sabor</t>
  </si>
  <si>
    <t>INTA-0048</t>
  </si>
  <si>
    <t>Yogurt sin lactosa</t>
  </si>
  <si>
    <t>INTA-0049</t>
  </si>
  <si>
    <t>Yogurt con frutas</t>
  </si>
  <si>
    <t>INTA-0050</t>
  </si>
  <si>
    <t>Yogurt con frutas bajo en grasa</t>
  </si>
  <si>
    <t>INTA-0051</t>
  </si>
  <si>
    <t>Yogurt con fruta sin lactosa</t>
  </si>
  <si>
    <t>INTA-0052</t>
  </si>
  <si>
    <t>Tofu</t>
  </si>
  <si>
    <t>INTA-0053</t>
  </si>
  <si>
    <t>Tofu 2</t>
  </si>
  <si>
    <t>INTA-0054</t>
  </si>
  <si>
    <t>Huevo entero</t>
  </si>
  <si>
    <t>INTA-0055</t>
  </si>
  <si>
    <t>Huevo entero cocido</t>
  </si>
  <si>
    <t>INTA-0056</t>
  </si>
  <si>
    <t>Clara de huevo</t>
  </si>
  <si>
    <t>INTA-0057</t>
  </si>
  <si>
    <t>Yema de huevo</t>
  </si>
  <si>
    <t>INTA-0058</t>
  </si>
  <si>
    <t>Huevo de codorniz</t>
  </si>
  <si>
    <t>INTA-0059</t>
  </si>
  <si>
    <t>Pollo cocido</t>
  </si>
  <si>
    <t>INTA-0060</t>
  </si>
  <si>
    <t>Pollo pierna</t>
  </si>
  <si>
    <t>INTA-0061</t>
  </si>
  <si>
    <t>Pollo pechuga</t>
  </si>
  <si>
    <t>INTA-0062</t>
  </si>
  <si>
    <t>Pollo pechuga deshuesado</t>
  </si>
  <si>
    <t>INTA-0063</t>
  </si>
  <si>
    <t>Pato cocido</t>
  </si>
  <si>
    <t>INTA-0064</t>
  </si>
  <si>
    <t>Pavo pierna</t>
  </si>
  <si>
    <t>INTA-0065</t>
  </si>
  <si>
    <t>Pavo rostizado</t>
  </si>
  <si>
    <t>INTA-0066</t>
  </si>
  <si>
    <t>Carne de cerdo</t>
  </si>
  <si>
    <t>INTA-0067</t>
  </si>
  <si>
    <t>Cazuela de cerdo</t>
  </si>
  <si>
    <t>INTA-0068</t>
  </si>
  <si>
    <t>Lomito de cerdo</t>
  </si>
  <si>
    <t>INTA-0069</t>
  </si>
  <si>
    <t>Pierna de cerdo marinada</t>
  </si>
  <si>
    <t>INTA-0070</t>
  </si>
  <si>
    <t>Chuleta de cerdo centro marinada</t>
  </si>
  <si>
    <t>INTA-0071</t>
  </si>
  <si>
    <t>Chuleta de cerdo vetada marinada</t>
  </si>
  <si>
    <t>INTA-0072</t>
  </si>
  <si>
    <t>Costillar de cerdo</t>
  </si>
  <si>
    <t>INTA-0073</t>
  </si>
  <si>
    <t>Costillar de cerdo marinado</t>
  </si>
  <si>
    <t>INTA-0074</t>
  </si>
  <si>
    <t>Filete de cerdo</t>
  </si>
  <si>
    <t>INTA-0075</t>
  </si>
  <si>
    <t>Pulpa de cerdo</t>
  </si>
  <si>
    <t>INTA-0076</t>
  </si>
  <si>
    <t>Cazuela de cordero</t>
  </si>
  <si>
    <t>INTA-0077</t>
  </si>
  <si>
    <t>Chuleta de cordero</t>
  </si>
  <si>
    <t>INTA-0078</t>
  </si>
  <si>
    <t>Pulpa de cordero</t>
  </si>
  <si>
    <t>INTA-0079</t>
  </si>
  <si>
    <t>Conejo</t>
  </si>
  <si>
    <t>INTA-0080</t>
  </si>
  <si>
    <t>Conejo 2</t>
  </si>
  <si>
    <t>INTA-0081</t>
  </si>
  <si>
    <t>Conejo horneado</t>
  </si>
  <si>
    <t>INTA-0082</t>
  </si>
  <si>
    <t>Filete</t>
  </si>
  <si>
    <t>INTA-0083</t>
  </si>
  <si>
    <t>Guachalomo</t>
  </si>
  <si>
    <t>INTA-0084</t>
  </si>
  <si>
    <t>Lomo centro marinado</t>
  </si>
  <si>
    <t>INTA-0085</t>
  </si>
  <si>
    <t>Lomo liso</t>
  </si>
  <si>
    <t>INTA-0086</t>
  </si>
  <si>
    <t>Lomo vetado</t>
  </si>
  <si>
    <t>INTA-0087</t>
  </si>
  <si>
    <t>Asiento picana</t>
  </si>
  <si>
    <t>INTA-0088</t>
  </si>
  <si>
    <t>Plateada</t>
  </si>
  <si>
    <t>INTA-0089</t>
  </si>
  <si>
    <t>Pollo ganso</t>
  </si>
  <si>
    <t>INTA-0090</t>
  </si>
  <si>
    <t>Posta negra</t>
  </si>
  <si>
    <t>INTA-0091</t>
  </si>
  <si>
    <t>Posta rosada</t>
  </si>
  <si>
    <t>INTA-0092</t>
  </si>
  <si>
    <t>Cazuela de vacuno</t>
  </si>
  <si>
    <t>INTA-0093</t>
  </si>
  <si>
    <t>Carne vacuno</t>
  </si>
  <si>
    <t>INTA-0094</t>
  </si>
  <si>
    <t>Carne vacuno 5% MG</t>
  </si>
  <si>
    <t>INTA-0095</t>
  </si>
  <si>
    <t>Carne vacuno 10% MG</t>
  </si>
  <si>
    <t>INTA-0096</t>
  </si>
  <si>
    <t>Guatita de pollo cocido</t>
  </si>
  <si>
    <t>INTA-0097</t>
  </si>
  <si>
    <t>Molleja o contre de pollo cocido</t>
  </si>
  <si>
    <t>INTA-0098</t>
  </si>
  <si>
    <t>Corazón vacuno cocido</t>
  </si>
  <si>
    <t>INTA-0099</t>
  </si>
  <si>
    <t>Riñón de vacuno cocido</t>
  </si>
  <si>
    <t>INTA-0100</t>
  </si>
  <si>
    <t>Criadillas de vacuno</t>
  </si>
  <si>
    <t>INTA-0101</t>
  </si>
  <si>
    <t>Arrollado de huaso</t>
  </si>
  <si>
    <t>INTA-0102</t>
  </si>
  <si>
    <t>Proteina de soja (carne vegetal)</t>
  </si>
  <si>
    <t>INTA-0103</t>
  </si>
  <si>
    <t>Charqui de vacuno</t>
  </si>
  <si>
    <t>INTA-0104</t>
  </si>
  <si>
    <t>Choricillo cocido</t>
  </si>
  <si>
    <t>INTA-0105</t>
  </si>
  <si>
    <t>Chorizo</t>
  </si>
  <si>
    <t>INTA-0106</t>
  </si>
  <si>
    <t>Higado de cordero cocido</t>
  </si>
  <si>
    <t>INTA-0107</t>
  </si>
  <si>
    <t>Hígado de pollo cocido</t>
  </si>
  <si>
    <t>INTA-0108</t>
  </si>
  <si>
    <t>Higado de vacuno cocido</t>
  </si>
  <si>
    <t>INTA-0109</t>
  </si>
  <si>
    <t>Lengua de vacuno</t>
  </si>
  <si>
    <t>INTA-0110</t>
  </si>
  <si>
    <t>Lengua vacuno cocida</t>
  </si>
  <si>
    <t>INTA-0111</t>
  </si>
  <si>
    <t>Ubre</t>
  </si>
  <si>
    <t>INTA-0112</t>
  </si>
  <si>
    <t>Jamón de cerdo</t>
  </si>
  <si>
    <t>INTA-0113</t>
  </si>
  <si>
    <t>Jamón cerdo extramagro</t>
  </si>
  <si>
    <t>INTA-0114</t>
  </si>
  <si>
    <t>Jamón crudo</t>
  </si>
  <si>
    <t>INTA-0115</t>
  </si>
  <si>
    <t>Jamón pavo</t>
  </si>
  <si>
    <t>INTA-0116</t>
  </si>
  <si>
    <t>Jamón de pavo ahumado</t>
  </si>
  <si>
    <t>INTA-0117</t>
  </si>
  <si>
    <t>Jamón pavo acaramelado</t>
  </si>
  <si>
    <t>INTA-0118</t>
  </si>
  <si>
    <t>Jamón picado</t>
  </si>
  <si>
    <t>INTA-0119</t>
  </si>
  <si>
    <t>Longaniza</t>
  </si>
  <si>
    <t>INTA-0120</t>
  </si>
  <si>
    <t>Longaniza 2</t>
  </si>
  <si>
    <t>INTA-0121</t>
  </si>
  <si>
    <t>Mortadela</t>
  </si>
  <si>
    <t>INTA-0122</t>
  </si>
  <si>
    <t>Nugget de pollo</t>
  </si>
  <si>
    <t>INTA-0123</t>
  </si>
  <si>
    <t>Paté</t>
  </si>
  <si>
    <t>INTA-0124</t>
  </si>
  <si>
    <t>Paté 2</t>
  </si>
  <si>
    <t>INTA-0125</t>
  </si>
  <si>
    <t>Pechuga pavo ahumado</t>
  </si>
  <si>
    <t>INTA-0126</t>
  </si>
  <si>
    <t>Pechuga pavo cocida</t>
  </si>
  <si>
    <t>INTA-0127</t>
  </si>
  <si>
    <t>Pechuga pavo cocida 2</t>
  </si>
  <si>
    <t>INTA-0128</t>
  </si>
  <si>
    <t>Pechuga de pollo cocida</t>
  </si>
  <si>
    <t>INTA-0129</t>
  </si>
  <si>
    <t>Pepperoni</t>
  </si>
  <si>
    <t>INTA-0130</t>
  </si>
  <si>
    <t>Pernil</t>
  </si>
  <si>
    <t>INTA-0131</t>
  </si>
  <si>
    <t>Prieta</t>
  </si>
  <si>
    <t>INTA-0132</t>
  </si>
  <si>
    <t>Prieta 2</t>
  </si>
  <si>
    <t>INTA-0133</t>
  </si>
  <si>
    <t>Queso cabeza</t>
  </si>
  <si>
    <t>INTA-0134</t>
  </si>
  <si>
    <t>Queso cabeza 2</t>
  </si>
  <si>
    <t>INTA-0135</t>
  </si>
  <si>
    <t>Salame</t>
  </si>
  <si>
    <t>INTA-0136</t>
  </si>
  <si>
    <t>Salame 2</t>
  </si>
  <si>
    <t>INTA-0137</t>
  </si>
  <si>
    <t>Seso cocido</t>
  </si>
  <si>
    <t>INTA-0138</t>
  </si>
  <si>
    <t>Tocino</t>
  </si>
  <si>
    <t>INTA-0139</t>
  </si>
  <si>
    <t>Turin</t>
  </si>
  <si>
    <t>INTA-0140</t>
  </si>
  <si>
    <t>Vienesa</t>
  </si>
  <si>
    <t>INTA-0141</t>
  </si>
  <si>
    <t>Vienesa de pavo</t>
  </si>
  <si>
    <t>INTA-0142</t>
  </si>
  <si>
    <t>Vienesa de pollo</t>
  </si>
  <si>
    <t>INTA-0143</t>
  </si>
  <si>
    <t>Almeja</t>
  </si>
  <si>
    <t>INTA-0144</t>
  </si>
  <si>
    <t>Almeja conserva en agua</t>
  </si>
  <si>
    <t>INTA-0145</t>
  </si>
  <si>
    <t>Caracol de mar</t>
  </si>
  <si>
    <t>INTA-0146</t>
  </si>
  <si>
    <t>Cholga en agua</t>
  </si>
  <si>
    <t>INTA-0147</t>
  </si>
  <si>
    <t>Cholga conserva en aceite</t>
  </si>
  <si>
    <t>INTA-0148</t>
  </si>
  <si>
    <t>Chorito conserva en aceite</t>
  </si>
  <si>
    <t>INTA-0149</t>
  </si>
  <si>
    <t>Chorito en agua</t>
  </si>
  <si>
    <t>INTA-0150</t>
  </si>
  <si>
    <t>Chorito</t>
  </si>
  <si>
    <t>INTA-0151</t>
  </si>
  <si>
    <t>Erizo</t>
  </si>
  <si>
    <t>INTA-0152</t>
  </si>
  <si>
    <t>Jibia</t>
  </si>
  <si>
    <t>INTA-0153</t>
  </si>
  <si>
    <t>Loco</t>
  </si>
  <si>
    <t>INTA-0154</t>
  </si>
  <si>
    <t>Macha en conserva en agua</t>
  </si>
  <si>
    <t>INTA-0155</t>
  </si>
  <si>
    <t>Navajuela</t>
  </si>
  <si>
    <t>INTA-0156</t>
  </si>
  <si>
    <t>Ostra</t>
  </si>
  <si>
    <t>INTA-0157</t>
  </si>
  <si>
    <t>Piure</t>
  </si>
  <si>
    <t>INTA-0158</t>
  </si>
  <si>
    <t>Camaron congelado</t>
  </si>
  <si>
    <t>INTA-0159</t>
  </si>
  <si>
    <t>Camaron</t>
  </si>
  <si>
    <t>INTA-0160</t>
  </si>
  <si>
    <t>Centollón</t>
  </si>
  <si>
    <t>INTA-0161</t>
  </si>
  <si>
    <t>Centolla</t>
  </si>
  <si>
    <t>INTA-0162</t>
  </si>
  <si>
    <t>Jaiva</t>
  </si>
  <si>
    <t>INTA-0163</t>
  </si>
  <si>
    <t>Atún conserva en agua</t>
  </si>
  <si>
    <t>INTA-0164</t>
  </si>
  <si>
    <t>Atún conserva en agua 2</t>
  </si>
  <si>
    <t>INTA-0165</t>
  </si>
  <si>
    <t>Atún conserva en aceite</t>
  </si>
  <si>
    <t>INTA-0166</t>
  </si>
  <si>
    <t>Cojinova</t>
  </si>
  <si>
    <t>INTA-0167</t>
  </si>
  <si>
    <t>Congrio colorado</t>
  </si>
  <si>
    <t>INTA-0168</t>
  </si>
  <si>
    <t>Jurel conserva en agua</t>
  </si>
  <si>
    <t>INTA-0169</t>
  </si>
  <si>
    <t>Jurel conserva en aceite</t>
  </si>
  <si>
    <t>INTA-0170</t>
  </si>
  <si>
    <t>Lenguado</t>
  </si>
  <si>
    <t>INTA-0171</t>
  </si>
  <si>
    <t>Lenguado 2</t>
  </si>
  <si>
    <t>INTA-0172</t>
  </si>
  <si>
    <t>Merluza o pescada</t>
  </si>
  <si>
    <t>INTA-0173</t>
  </si>
  <si>
    <t>Mero</t>
  </si>
  <si>
    <t>INTA-0174</t>
  </si>
  <si>
    <t>Pejegallo</t>
  </si>
  <si>
    <t>INTA-0175</t>
  </si>
  <si>
    <t>Pejerrey</t>
  </si>
  <si>
    <t>INTA-0176</t>
  </si>
  <si>
    <t>Reineta</t>
  </si>
  <si>
    <t>INTA-0177</t>
  </si>
  <si>
    <t>Roncador</t>
  </si>
  <si>
    <t>INTA-0178</t>
  </si>
  <si>
    <t>Salmón coho fresco</t>
  </si>
  <si>
    <t>INTA-0179</t>
  </si>
  <si>
    <t>Salmón</t>
  </si>
  <si>
    <t>INTA-0180</t>
  </si>
  <si>
    <t>Salmón filete sin piel</t>
  </si>
  <si>
    <t>INTA-0181</t>
  </si>
  <si>
    <t>Sardina conserva en aceite</t>
  </si>
  <si>
    <t>INTA-0182</t>
  </si>
  <si>
    <t>Sardina española</t>
  </si>
  <si>
    <t>INTA-0183</t>
  </si>
  <si>
    <t>Sierra</t>
  </si>
  <si>
    <t>INTA-0184</t>
  </si>
  <si>
    <t>Trucha congelada</t>
  </si>
  <si>
    <t>INTA-0185</t>
  </si>
  <si>
    <t>Trucha de cultivo</t>
  </si>
  <si>
    <t>INTA-0186</t>
  </si>
  <si>
    <t>Trucha filete</t>
  </si>
  <si>
    <t>INTA-0187</t>
  </si>
  <si>
    <t>Trucha fresca de mar</t>
  </si>
  <si>
    <t>INTA-0188</t>
  </si>
  <si>
    <t>Kanikama (carne de pescado procesada)</t>
  </si>
  <si>
    <t>INTA-0189</t>
  </si>
  <si>
    <t>Ovas (masago)</t>
  </si>
  <si>
    <t>INTA-0190</t>
  </si>
  <si>
    <t>Paté de trucha ahumada</t>
  </si>
  <si>
    <t>INTA-0191</t>
  </si>
  <si>
    <t>Arveja seca</t>
  </si>
  <si>
    <t>INTA-0192</t>
  </si>
  <si>
    <t>Arveja harina</t>
  </si>
  <si>
    <t>INTA-0193</t>
  </si>
  <si>
    <t>Arvejas</t>
  </si>
  <si>
    <t>INTA-0194</t>
  </si>
  <si>
    <t>Arvejas conserva</t>
  </si>
  <si>
    <t>INTA-0195</t>
  </si>
  <si>
    <t>Garbanzo cocido</t>
  </si>
  <si>
    <t>INTA-0196</t>
  </si>
  <si>
    <t>Garbanzo</t>
  </si>
  <si>
    <t>INTA-0197</t>
  </si>
  <si>
    <t>Garbanzo harina</t>
  </si>
  <si>
    <t>INTA-0198</t>
  </si>
  <si>
    <t>Haba</t>
  </si>
  <si>
    <t>INTA-0199</t>
  </si>
  <si>
    <t>Haba seca</t>
  </si>
  <si>
    <t>INTA-0200</t>
  </si>
  <si>
    <t>Lenteja cocida</t>
  </si>
  <si>
    <t>INTA-0201</t>
  </si>
  <si>
    <t>Lenteja</t>
  </si>
  <si>
    <t>INTA-0202</t>
  </si>
  <si>
    <t>Lenteja harina</t>
  </si>
  <si>
    <t>INTA-0203</t>
  </si>
  <si>
    <t>Poroto cocido</t>
  </si>
  <si>
    <t>INTA-0204</t>
  </si>
  <si>
    <t>Poroto</t>
  </si>
  <si>
    <t>INTA-0205</t>
  </si>
  <si>
    <t>Poroto de soya</t>
  </si>
  <si>
    <t>INTA-0206</t>
  </si>
  <si>
    <t>Poroto de soya cocido</t>
  </si>
  <si>
    <t>INTA-0207</t>
  </si>
  <si>
    <t>Porotos granados</t>
  </si>
  <si>
    <t>INTA-0208</t>
  </si>
  <si>
    <t>Porotos negros</t>
  </si>
  <si>
    <t>INTA-0209</t>
  </si>
  <si>
    <t>Almendras</t>
  </si>
  <si>
    <t>INTA-0210</t>
  </si>
  <si>
    <t>Almendras tostadas</t>
  </si>
  <si>
    <t>INTA-0211</t>
  </si>
  <si>
    <t>Avellana</t>
  </si>
  <si>
    <t>INTA-0212</t>
  </si>
  <si>
    <t>Castaña de cajú</t>
  </si>
  <si>
    <t>INTA-0213</t>
  </si>
  <si>
    <t>Macadamia</t>
  </si>
  <si>
    <t>INTA-0214</t>
  </si>
  <si>
    <t>Maní</t>
  </si>
  <si>
    <t>INTA-0215</t>
  </si>
  <si>
    <t>Maní Japonés</t>
  </si>
  <si>
    <t>INTA-0216</t>
  </si>
  <si>
    <t>Maní tostado salado</t>
  </si>
  <si>
    <t>INTA-0217</t>
  </si>
  <si>
    <t>Nueces</t>
  </si>
  <si>
    <t>INTA-0218</t>
  </si>
  <si>
    <t>Nueces 2</t>
  </si>
  <si>
    <t>INTA-0219</t>
  </si>
  <si>
    <t>Pistacho</t>
  </si>
  <si>
    <t>INTA-0220</t>
  </si>
  <si>
    <t>Castaña cruda pelada</t>
  </si>
  <si>
    <t>INTA-0221</t>
  </si>
  <si>
    <t>Piñón</t>
  </si>
  <si>
    <t>INTA-0222</t>
  </si>
  <si>
    <t>Piñón deshidratado</t>
  </si>
  <si>
    <t>INTA-0223</t>
  </si>
  <si>
    <t>Chía</t>
  </si>
  <si>
    <t>INTA-0224</t>
  </si>
  <si>
    <t>Semilla amapola</t>
  </si>
  <si>
    <t>INTA-0225</t>
  </si>
  <si>
    <t>Semilla tostada de sésamo</t>
  </si>
  <si>
    <t>INTA-0226</t>
  </si>
  <si>
    <t>Semilla maravilla tostada pelada</t>
  </si>
  <si>
    <t>INTA-0227</t>
  </si>
  <si>
    <t>Semilla zapallo</t>
  </si>
  <si>
    <t>INTA-0228</t>
  </si>
  <si>
    <t>Semillas de linaza</t>
  </si>
  <si>
    <t>INTA-0229</t>
  </si>
  <si>
    <t>Crutones</t>
  </si>
  <si>
    <t>INTA-0230</t>
  </si>
  <si>
    <t>Pan blanco sin sal</t>
  </si>
  <si>
    <t>INTA-0231</t>
  </si>
  <si>
    <t>Pan de centeno</t>
  </si>
  <si>
    <t>INTA-0232</t>
  </si>
  <si>
    <t>Pan de miel</t>
  </si>
  <si>
    <t>INTA-0233</t>
  </si>
  <si>
    <t>Pan especial</t>
  </si>
  <si>
    <t>INTA-0234</t>
  </si>
  <si>
    <t>Pan hallulla</t>
  </si>
  <si>
    <t>INTA-0235</t>
  </si>
  <si>
    <t>Pan integral</t>
  </si>
  <si>
    <t>INTA-0236</t>
  </si>
  <si>
    <t>Pan marraqueta</t>
  </si>
  <si>
    <t>INTA-0237</t>
  </si>
  <si>
    <t>Pan molde</t>
  </si>
  <si>
    <t>INTA-0238</t>
  </si>
  <si>
    <t>Pan molde 2</t>
  </si>
  <si>
    <t>INTA-0239</t>
  </si>
  <si>
    <t>Pan pita blanco</t>
  </si>
  <si>
    <t>INTA-0240</t>
  </si>
  <si>
    <t>Pan rallado seco</t>
  </si>
  <si>
    <t>INTA-0241</t>
  </si>
  <si>
    <t>Pan salvado de trigo</t>
  </si>
  <si>
    <t>INTA-0242</t>
  </si>
  <si>
    <t>Pan trigo</t>
  </si>
  <si>
    <t>INTA-0243</t>
  </si>
  <si>
    <t>Tortilla para tacos</t>
  </si>
  <si>
    <t>INTA-0244</t>
  </si>
  <si>
    <t>Arroz blanco</t>
  </si>
  <si>
    <t>INTA-0245</t>
  </si>
  <si>
    <t>Arroz blanco cocido</t>
  </si>
  <si>
    <t>INTA-0246</t>
  </si>
  <si>
    <t>Arroz integral</t>
  </si>
  <si>
    <t>INTA-0247</t>
  </si>
  <si>
    <t>Arroz integral cocido</t>
  </si>
  <si>
    <t>INTA-0248</t>
  </si>
  <si>
    <t>Cabritas</t>
  </si>
  <si>
    <t>INTA-0249</t>
  </si>
  <si>
    <t>Choclo</t>
  </si>
  <si>
    <t>INTA-0250</t>
  </si>
  <si>
    <t>Choclo cocido</t>
  </si>
  <si>
    <t>INTA-0251</t>
  </si>
  <si>
    <t>Choclo congelado</t>
  </si>
  <si>
    <t>INTA-0252</t>
  </si>
  <si>
    <t>Mote trigo cocido</t>
  </si>
  <si>
    <t>INTA-0253</t>
  </si>
  <si>
    <t>Mote trigo</t>
  </si>
  <si>
    <t>INTA-0254</t>
  </si>
  <si>
    <t>Quinoa</t>
  </si>
  <si>
    <t>INTA-0255</t>
  </si>
  <si>
    <t>Quinoa 2</t>
  </si>
  <si>
    <t>INTA-0256</t>
  </si>
  <si>
    <t>Quinoa cocida</t>
  </si>
  <si>
    <t>INTA-0257</t>
  </si>
  <si>
    <t>Salvado de avena</t>
  </si>
  <si>
    <t>INTA-0258</t>
  </si>
  <si>
    <t>Salvado de trigo</t>
  </si>
  <si>
    <t>INTA-0259</t>
  </si>
  <si>
    <t>Avena</t>
  </si>
  <si>
    <t>INTA-0260</t>
  </si>
  <si>
    <t>Cereal de maíz</t>
  </si>
  <si>
    <t>INTA-0261</t>
  </si>
  <si>
    <t>Cereal de maíz 2</t>
  </si>
  <si>
    <t>INTA-0262</t>
  </si>
  <si>
    <t>Granola</t>
  </si>
  <si>
    <t>INTA-0263</t>
  </si>
  <si>
    <t>Burgol</t>
  </si>
  <si>
    <t>INTA-0264</t>
  </si>
  <si>
    <t>Cuscús cocido</t>
  </si>
  <si>
    <t>INTA-0265</t>
  </si>
  <si>
    <t>Cuscús seco</t>
  </si>
  <si>
    <t>INTA-0266</t>
  </si>
  <si>
    <t>Fideos</t>
  </si>
  <si>
    <t>INTA-0267</t>
  </si>
  <si>
    <t>Fideos cocidos</t>
  </si>
  <si>
    <t>INTA-0268</t>
  </si>
  <si>
    <t>Fideos de arroz cocido</t>
  </si>
  <si>
    <t>INTA-0269</t>
  </si>
  <si>
    <t>Galleta champaña</t>
  </si>
  <si>
    <t>INTA-0270</t>
  </si>
  <si>
    <t>Galleta cereal avena</t>
  </si>
  <si>
    <t>INTA-0271</t>
  </si>
  <si>
    <t>Galleta cereal berries</t>
  </si>
  <si>
    <t>INTA-0272</t>
  </si>
  <si>
    <t>Galleta cereal cacao</t>
  </si>
  <si>
    <t>INTA-0273</t>
  </si>
  <si>
    <t>Galleta cereal clásica</t>
  </si>
  <si>
    <t>INTA-0274</t>
  </si>
  <si>
    <t>Galleta cereal fibra cacao</t>
  </si>
  <si>
    <t>INTA-0275</t>
  </si>
  <si>
    <t>Galleta chips de chocolate</t>
  </si>
  <si>
    <t>INTA-0276</t>
  </si>
  <si>
    <t>Galleta chocolate</t>
  </si>
  <si>
    <t>INTA-0277</t>
  </si>
  <si>
    <t>Galleta de arroz</t>
  </si>
  <si>
    <t>INTA-0278</t>
  </si>
  <si>
    <t>Galleta de arroz 2</t>
  </si>
  <si>
    <t>INTA-0279</t>
  </si>
  <si>
    <t>Galleta de arroz sésamo</t>
  </si>
  <si>
    <t>INTA-0280</t>
  </si>
  <si>
    <t>Galleta de arroz sin sal</t>
  </si>
  <si>
    <t>INTA-0281</t>
  </si>
  <si>
    <t>Galleta de arroz trigo avena</t>
  </si>
  <si>
    <t>INTA-0282</t>
  </si>
  <si>
    <t>Galleta mantequilla</t>
  </si>
  <si>
    <t>INTA-0283</t>
  </si>
  <si>
    <t>Galleta mini cocaditas</t>
  </si>
  <si>
    <t>INTA-0284</t>
  </si>
  <si>
    <t>Galleta mini limón</t>
  </si>
  <si>
    <t>INTA-0285</t>
  </si>
  <si>
    <t>Galleta mini mantequilla</t>
  </si>
  <si>
    <t>INTA-0286</t>
  </si>
  <si>
    <t>Galleta mini vino</t>
  </si>
  <si>
    <t>INTA-0287</t>
  </si>
  <si>
    <t>Galleta soda</t>
  </si>
  <si>
    <t>INTA-0288</t>
  </si>
  <si>
    <t>Galleta vainilla</t>
  </si>
  <si>
    <t>INTA-0289</t>
  </si>
  <si>
    <t>Galleta vino</t>
  </si>
  <si>
    <t>INTA-0290</t>
  </si>
  <si>
    <t>Galletas cracker</t>
  </si>
  <si>
    <t>INTA-0291</t>
  </si>
  <si>
    <t>Galletas de agua</t>
  </si>
  <si>
    <t>INTA-0292</t>
  </si>
  <si>
    <t>Galletas de arroz</t>
  </si>
  <si>
    <t>INTA-0293</t>
  </si>
  <si>
    <t>Harina de centeno</t>
  </si>
  <si>
    <t>INTA-0294</t>
  </si>
  <si>
    <t>Harina de trigo</t>
  </si>
  <si>
    <t>INTA-0295</t>
  </si>
  <si>
    <t>Harina de yuca</t>
  </si>
  <si>
    <t>INTA-0296</t>
  </si>
  <si>
    <t>Harina de trigo tostada</t>
  </si>
  <si>
    <t>INTA-0297</t>
  </si>
  <si>
    <t>Chuchoca</t>
  </si>
  <si>
    <t>INTA-0298</t>
  </si>
  <si>
    <t>Chuño</t>
  </si>
  <si>
    <t>INTA-0299</t>
  </si>
  <si>
    <t>Maicena</t>
  </si>
  <si>
    <t>INTA-0300</t>
  </si>
  <si>
    <t>Sémola</t>
  </si>
  <si>
    <t>INTA-0301</t>
  </si>
  <si>
    <t>Sémola 2</t>
  </si>
  <si>
    <t>INTA-0302</t>
  </si>
  <si>
    <t>Tapioca</t>
  </si>
  <si>
    <t>INTA-0303</t>
  </si>
  <si>
    <t>Camote</t>
  </si>
  <si>
    <t>INTA-0304</t>
  </si>
  <si>
    <t>Papa cocida</t>
  </si>
  <si>
    <t>INTA-0305</t>
  </si>
  <si>
    <t>Papa cruda</t>
  </si>
  <si>
    <t>INTA-0306</t>
  </si>
  <si>
    <t>Papa entera rojiza</t>
  </si>
  <si>
    <t>INTA-0307</t>
  </si>
  <si>
    <t>Aceite de canola</t>
  </si>
  <si>
    <t>INTA-0308</t>
  </si>
  <si>
    <t>Aceite de coco</t>
  </si>
  <si>
    <t>INTA-0309</t>
  </si>
  <si>
    <t>Aceite de maíz</t>
  </si>
  <si>
    <t>INTA-0310</t>
  </si>
  <si>
    <t>Aceite de maravilla</t>
  </si>
  <si>
    <t>INTA-0311</t>
  </si>
  <si>
    <t>Aceite de maravilla (USDA)</t>
  </si>
  <si>
    <t>INTA-0312</t>
  </si>
  <si>
    <t>Aceite de maravilla (Schmidt)</t>
  </si>
  <si>
    <t>INTA-0313</t>
  </si>
  <si>
    <t>Aceite de oliva</t>
  </si>
  <si>
    <t>INTA-0314</t>
  </si>
  <si>
    <t>Aceite de oliva extra virgen</t>
  </si>
  <si>
    <t>INTA-0315</t>
  </si>
  <si>
    <t>Aceite de palma</t>
  </si>
  <si>
    <t>INTA-0316</t>
  </si>
  <si>
    <t>Aceite de soja</t>
  </si>
  <si>
    <t>INTA-0317</t>
  </si>
  <si>
    <t>Aceite de soja (USDA)</t>
  </si>
  <si>
    <t>INTA-0318</t>
  </si>
  <si>
    <t>Aceite palta orgánico</t>
  </si>
  <si>
    <t>INTA-0319</t>
  </si>
  <si>
    <t>Crema ácida</t>
  </si>
  <si>
    <t>INTA-0320</t>
  </si>
  <si>
    <t>Crema chantilly</t>
  </si>
  <si>
    <t>INTA-0321</t>
  </si>
  <si>
    <t>Crema de leche light</t>
  </si>
  <si>
    <t>INTA-0322</t>
  </si>
  <si>
    <t>Grasa animal</t>
  </si>
  <si>
    <t>INTA-0323</t>
  </si>
  <si>
    <t>Manteca vegetal</t>
  </si>
  <si>
    <t>INTA-0324</t>
  </si>
  <si>
    <t>Mantequilla (USDA)</t>
  </si>
  <si>
    <t>INTA-0325</t>
  </si>
  <si>
    <t>Mantequilla (Analisis INTA)</t>
  </si>
  <si>
    <t>INTA-0326</t>
  </si>
  <si>
    <t>Margarina (USDA)</t>
  </si>
  <si>
    <t>INTA-0327</t>
  </si>
  <si>
    <t>Margarina (Analisis INTA)</t>
  </si>
  <si>
    <t>INTA-0328</t>
  </si>
  <si>
    <t>Margarina reducida en grasa</t>
  </si>
  <si>
    <t>INTA-0329</t>
  </si>
  <si>
    <t>Margarina reducida en grasa (Mercado)</t>
  </si>
  <si>
    <t>INTA-0330</t>
  </si>
  <si>
    <t>Mayonesa</t>
  </si>
  <si>
    <t>INTA-0331</t>
  </si>
  <si>
    <t>Mayonesa casera</t>
  </si>
  <si>
    <t>INTA-0332</t>
  </si>
  <si>
    <t>Acelga cocida</t>
  </si>
  <si>
    <t>INTA-0333</t>
  </si>
  <si>
    <t>Acelga</t>
  </si>
  <si>
    <t>INTA-0334</t>
  </si>
  <si>
    <t>Acelga 2</t>
  </si>
  <si>
    <t>INTA-0335</t>
  </si>
  <si>
    <t>Achicoria</t>
  </si>
  <si>
    <t>INTA-0336</t>
  </si>
  <si>
    <t>Ajo</t>
  </si>
  <si>
    <t>INTA-0337</t>
  </si>
  <si>
    <t>Alcachofa</t>
  </si>
  <si>
    <t>INTA-0338</t>
  </si>
  <si>
    <t>Alfalfa brotes</t>
  </si>
  <si>
    <t>INTA-0339</t>
  </si>
  <si>
    <t>Apio</t>
  </si>
  <si>
    <t>INTA-0340</t>
  </si>
  <si>
    <t>Berenjena</t>
  </si>
  <si>
    <t>INTA-0341</t>
  </si>
  <si>
    <t>Berro</t>
  </si>
  <si>
    <t>INTA-0342</t>
  </si>
  <si>
    <t>Betarraga</t>
  </si>
  <si>
    <t>INTA-0343</t>
  </si>
  <si>
    <t>Brócoli</t>
  </si>
  <si>
    <t>INTA-0344</t>
  </si>
  <si>
    <t>Cebolla</t>
  </si>
  <si>
    <t>INTA-0345</t>
  </si>
  <si>
    <t>Cebollín</t>
  </si>
  <si>
    <t>INTA-0346</t>
  </si>
  <si>
    <t>Champiñón blanco</t>
  </si>
  <si>
    <t>INTA-0347</t>
  </si>
  <si>
    <t>Champiñón blanco cocido con sal</t>
  </si>
  <si>
    <t>INTA-0348</t>
  </si>
  <si>
    <t>Champiñón ostra</t>
  </si>
  <si>
    <t>INTA-0349</t>
  </si>
  <si>
    <t>Champiñón portabella</t>
  </si>
  <si>
    <t>INTA-0350</t>
  </si>
  <si>
    <t>Champiñón shiitake</t>
  </si>
  <si>
    <t>INTA-0351</t>
  </si>
  <si>
    <t>Champiñón shiitake cocido con sal</t>
  </si>
  <si>
    <t>INTA-0352</t>
  </si>
  <si>
    <t>Champiñones en conserva</t>
  </si>
  <si>
    <t>INTA-0353</t>
  </si>
  <si>
    <t>Cochayuyo</t>
  </si>
  <si>
    <t>INTA-0354</t>
  </si>
  <si>
    <t>Coliflor</t>
  </si>
  <si>
    <t>INTA-0355</t>
  </si>
  <si>
    <t>Endivia</t>
  </si>
  <si>
    <t>INTA-0356</t>
  </si>
  <si>
    <t>Espárrago</t>
  </si>
  <si>
    <t>INTA-0357</t>
  </si>
  <si>
    <t>Espinaca cocida</t>
  </si>
  <si>
    <t>INTA-0358</t>
  </si>
  <si>
    <t>Espinaca</t>
  </si>
  <si>
    <t>INTA-0359</t>
  </si>
  <si>
    <t>Hinojo bulbo</t>
  </si>
  <si>
    <t>INTA-0360</t>
  </si>
  <si>
    <t>Lechuga</t>
  </si>
  <si>
    <t>INTA-0361</t>
  </si>
  <si>
    <t>Lechuga escarola</t>
  </si>
  <si>
    <t>INTA-0362</t>
  </si>
  <si>
    <t>Lechuga roja</t>
  </si>
  <si>
    <t>INTA-0363</t>
  </si>
  <si>
    <t>Luche</t>
  </si>
  <si>
    <t>INTA-0364</t>
  </si>
  <si>
    <t>Luche Ahumado</t>
  </si>
  <si>
    <t>INTA-0365</t>
  </si>
  <si>
    <t>Nabos</t>
  </si>
  <si>
    <t>INTA-0366</t>
  </si>
  <si>
    <t>Penca</t>
  </si>
  <si>
    <t>INTA-0367</t>
  </si>
  <si>
    <t>Pepino</t>
  </si>
  <si>
    <t>INTA-0368</t>
  </si>
  <si>
    <t>Pepinillos en conserva</t>
  </si>
  <si>
    <t>INTA-0369</t>
  </si>
  <si>
    <t>Pickles</t>
  </si>
  <si>
    <t>INTA-0370</t>
  </si>
  <si>
    <t>Pimentón rojo</t>
  </si>
  <si>
    <t>INTA-0371</t>
  </si>
  <si>
    <t>Pimentón verde</t>
  </si>
  <si>
    <t>INTA-0372</t>
  </si>
  <si>
    <t>Poroto verde enlatado</t>
  </si>
  <si>
    <t>INTA-0373</t>
  </si>
  <si>
    <t>Porotos verdes</t>
  </si>
  <si>
    <t>INTA-0374</t>
  </si>
  <si>
    <t>Puerro</t>
  </si>
  <si>
    <t>INTA-0375</t>
  </si>
  <si>
    <t>Rabanito</t>
  </si>
  <si>
    <t>INTA-0376</t>
  </si>
  <si>
    <t>Repollitos de bruselas</t>
  </si>
  <si>
    <t>INTA-0377</t>
  </si>
  <si>
    <t>Repollitos de bruselas cocido con sal</t>
  </si>
  <si>
    <t>INTA-0378</t>
  </si>
  <si>
    <t>Repollo</t>
  </si>
  <si>
    <t>INTA-0379</t>
  </si>
  <si>
    <t>Repollo morado</t>
  </si>
  <si>
    <t>INTA-0380</t>
  </si>
  <si>
    <t>Tomate</t>
  </si>
  <si>
    <t>INTA-0381</t>
  </si>
  <si>
    <t>Ulte</t>
  </si>
  <si>
    <t>INTA-0382</t>
  </si>
  <si>
    <t>Zanahoria</t>
  </si>
  <si>
    <t>INTA-0383</t>
  </si>
  <si>
    <t>Zanahoria cocida con sal</t>
  </si>
  <si>
    <t>INTA-0384</t>
  </si>
  <si>
    <t>Zapallo italiano</t>
  </si>
  <si>
    <t>INTA-0385</t>
  </si>
  <si>
    <t>Zapallo italianos cocido con sal</t>
  </si>
  <si>
    <t>INTA-0386</t>
  </si>
  <si>
    <t>Zapallo</t>
  </si>
  <si>
    <t>INTA-0387</t>
  </si>
  <si>
    <t>Aceitunas negras</t>
  </si>
  <si>
    <t>INTA-0388</t>
  </si>
  <si>
    <t>Aceitunas verdes</t>
  </si>
  <si>
    <t>INTA-0389</t>
  </si>
  <si>
    <t>Arándanos azul</t>
  </si>
  <si>
    <t>INTA-0390</t>
  </si>
  <si>
    <t>Arándanos rojo</t>
  </si>
  <si>
    <t>INTA-0391</t>
  </si>
  <si>
    <t>Caqui</t>
  </si>
  <si>
    <t>INTA-0392</t>
  </si>
  <si>
    <t>Cerezas</t>
  </si>
  <si>
    <t>INTA-0393</t>
  </si>
  <si>
    <t>Chirimoya</t>
  </si>
  <si>
    <t>INTA-0394</t>
  </si>
  <si>
    <t>Ciruelas</t>
  </si>
  <si>
    <t>INTA-0395</t>
  </si>
  <si>
    <t>Ciruelas desecadas</t>
  </si>
  <si>
    <t>INTA-0396</t>
  </si>
  <si>
    <t>Clementinas</t>
  </si>
  <si>
    <t>INTA-0397</t>
  </si>
  <si>
    <t>Damasco</t>
  </si>
  <si>
    <t>INTA-0398</t>
  </si>
  <si>
    <t>Damascos secos</t>
  </si>
  <si>
    <t>INTA-0399</t>
  </si>
  <si>
    <t>INTA-0400</t>
  </si>
  <si>
    <t>Duraznos en conserva</t>
  </si>
  <si>
    <t>INTA-0401</t>
  </si>
  <si>
    <t>Frambuesa</t>
  </si>
  <si>
    <t>INTA-0402</t>
  </si>
  <si>
    <t>Frutilla</t>
  </si>
  <si>
    <t>INTA-0403</t>
  </si>
  <si>
    <t>Granada</t>
  </si>
  <si>
    <t>INTA-0404</t>
  </si>
  <si>
    <t>Grosella roja y blanca</t>
  </si>
  <si>
    <t>INTA-0405</t>
  </si>
  <si>
    <t>Guayaba</t>
  </si>
  <si>
    <t>INTA-0406</t>
  </si>
  <si>
    <t>Guindas</t>
  </si>
  <si>
    <t>INTA-0407</t>
  </si>
  <si>
    <t>Guindas ácidas rojas</t>
  </si>
  <si>
    <t>INTA-0408</t>
  </si>
  <si>
    <t>Higos frescos</t>
  </si>
  <si>
    <t>INTA-0409</t>
  </si>
  <si>
    <t>Higos secos</t>
  </si>
  <si>
    <t>INTA-0410</t>
  </si>
  <si>
    <t>Huesillo</t>
  </si>
  <si>
    <t>INTA-0411</t>
  </si>
  <si>
    <t>Kiwi</t>
  </si>
  <si>
    <t>INTA-0412</t>
  </si>
  <si>
    <t>Limón fruto</t>
  </si>
  <si>
    <t>INTA-0413</t>
  </si>
  <si>
    <t>Mandarina</t>
  </si>
  <si>
    <t>INTA-0414</t>
  </si>
  <si>
    <t>Mango</t>
  </si>
  <si>
    <t>INTA-0415</t>
  </si>
  <si>
    <t>Manzana</t>
  </si>
  <si>
    <t>INTA-0416</t>
  </si>
  <si>
    <t>Manzana fuji</t>
  </si>
  <si>
    <t>INTA-0417</t>
  </si>
  <si>
    <t>Manzana golden</t>
  </si>
  <si>
    <t>INTA-0418</t>
  </si>
  <si>
    <t>Manzana roja</t>
  </si>
  <si>
    <t>INTA-0419</t>
  </si>
  <si>
    <t>Manzana sin cáscara</t>
  </si>
  <si>
    <t>INTA-0420</t>
  </si>
  <si>
    <t>Manzana verde</t>
  </si>
  <si>
    <t>INTA-0421</t>
  </si>
  <si>
    <t>Melón</t>
  </si>
  <si>
    <t>INTA-0422</t>
  </si>
  <si>
    <t>Membrillo</t>
  </si>
  <si>
    <t>INTA-0423</t>
  </si>
  <si>
    <t>Mora</t>
  </si>
  <si>
    <t>INTA-0424</t>
  </si>
  <si>
    <t>Naranja</t>
  </si>
  <si>
    <t>INTA-0425</t>
  </si>
  <si>
    <t>Níspero</t>
  </si>
  <si>
    <t>INTA-0426</t>
  </si>
  <si>
    <t>Palta</t>
  </si>
  <si>
    <t>INTA-0427</t>
  </si>
  <si>
    <t>Palta hass</t>
  </si>
  <si>
    <t>INTA-0428</t>
  </si>
  <si>
    <t>Papaya</t>
  </si>
  <si>
    <t>INTA-0429</t>
  </si>
  <si>
    <t>Pasas</t>
  </si>
  <si>
    <t>INTA-0430</t>
  </si>
  <si>
    <t>Pepino dulce</t>
  </si>
  <si>
    <t>INTA-0431</t>
  </si>
  <si>
    <t>Azúcar</t>
  </si>
  <si>
    <t>INTA-0432</t>
  </si>
  <si>
    <t>Azúcar flor</t>
  </si>
  <si>
    <t>INTA-0433</t>
  </si>
  <si>
    <t>Azúcar light con estevia</t>
  </si>
  <si>
    <t>INTA-0434</t>
  </si>
  <si>
    <t>Azúcar light con sucralosa</t>
  </si>
  <si>
    <t>INTA-0435</t>
  </si>
  <si>
    <t>Azúcar rubia</t>
  </si>
  <si>
    <t>INTA-0436</t>
  </si>
  <si>
    <t>Miel de abeja</t>
  </si>
  <si>
    <t>INTA-0437</t>
  </si>
  <si>
    <t>Miel de abeja 2</t>
  </si>
  <si>
    <t>INTA-0438</t>
  </si>
  <si>
    <t>Miel de palma</t>
  </si>
  <si>
    <t>INTA-0439</t>
  </si>
  <si>
    <t>Alfajor</t>
  </si>
  <si>
    <t>INTA-0440</t>
  </si>
  <si>
    <t>Barra cereal</t>
  </si>
  <si>
    <t>INTA-0441</t>
  </si>
  <si>
    <t>Barra sabor chocolate con relleno</t>
  </si>
  <si>
    <t>INTA-0442</t>
  </si>
  <si>
    <t>Berlín</t>
  </si>
  <si>
    <t>INTA-0443</t>
  </si>
  <si>
    <t>Biscocho simple</t>
  </si>
  <si>
    <t>INTA-0444</t>
  </si>
  <si>
    <t>Cacao en polvo sin azúcar</t>
  </si>
  <si>
    <t>INTA-0445</t>
  </si>
  <si>
    <t>Chancaca</t>
  </si>
  <si>
    <t>INTA-0446</t>
  </si>
  <si>
    <t>Chocolate de leche con almendras</t>
  </si>
  <si>
    <t>INTA-0447</t>
  </si>
  <si>
    <t>Chocolate amargo 60-69% cacao</t>
  </si>
  <si>
    <t>INTA-0448</t>
  </si>
  <si>
    <t>Chocolate amargo 70-85% cacao</t>
  </si>
  <si>
    <t>INTA-0449</t>
  </si>
  <si>
    <t>Chocolate de leche</t>
  </si>
  <si>
    <t>INTA-0450</t>
  </si>
  <si>
    <t>Cacao en polvo con azúcar</t>
  </si>
  <si>
    <t>INTA-0451</t>
  </si>
  <si>
    <t>Fruta confitada</t>
  </si>
  <si>
    <t>INTA-0452</t>
  </si>
  <si>
    <t>Jalea polvo</t>
  </si>
  <si>
    <t>INTA-0453</t>
  </si>
  <si>
    <t>Jalea reconstituida</t>
  </si>
  <si>
    <t>INTA-0454</t>
  </si>
  <si>
    <t>Jalea reconstituida sin azúcar</t>
  </si>
  <si>
    <t>INTA-0455</t>
  </si>
  <si>
    <t>Jalea polvo sin azúcar</t>
  </si>
  <si>
    <t>INTA-0456</t>
  </si>
  <si>
    <t>Manjar</t>
  </si>
  <si>
    <t>INTA-0457</t>
  </si>
  <si>
    <t>Mermelada damasco</t>
  </si>
  <si>
    <t>INTA-0458</t>
  </si>
  <si>
    <t>Mermelada membrillo</t>
  </si>
  <si>
    <t>INTA-0459</t>
  </si>
  <si>
    <t>Mermelada sin azúcar adicionada</t>
  </si>
  <si>
    <t>INTA-0460</t>
  </si>
  <si>
    <t>Dulce de membrillo</t>
  </si>
  <si>
    <t>INTA-0461</t>
  </si>
  <si>
    <t>Mousse vainilla</t>
  </si>
  <si>
    <t>INTA-0462</t>
  </si>
  <si>
    <t>Muffins arándano</t>
  </si>
  <si>
    <t>INTA-0463</t>
  </si>
  <si>
    <t>Oblea bañada con cobertura sabor chocolate</t>
  </si>
  <si>
    <t>INTA-0464</t>
  </si>
  <si>
    <t>Cono de barquillo azucarado</t>
  </si>
  <si>
    <t>INTA-0465</t>
  </si>
  <si>
    <t>Pie de limón</t>
  </si>
  <si>
    <t>INTA-0466</t>
  </si>
  <si>
    <t>Strudel de manzana</t>
  </si>
  <si>
    <t>INTA-0467</t>
  </si>
  <si>
    <t>Marshmallow</t>
  </si>
  <si>
    <t>INTA-0468</t>
  </si>
  <si>
    <t>Sustancia simple (Marshmallow)</t>
  </si>
  <si>
    <t>INTA-0469</t>
  </si>
  <si>
    <t>Sustancia (Marshmallow) con chocolate</t>
  </si>
  <si>
    <t>INTA-0470</t>
  </si>
  <si>
    <t>Arroz con leche</t>
  </si>
  <si>
    <t>INTA-0471</t>
  </si>
  <si>
    <t>Flan de vainilla</t>
  </si>
  <si>
    <t>INTA-0472</t>
  </si>
  <si>
    <t>Flan sabor vainilla</t>
  </si>
  <si>
    <t>INTA-0473</t>
  </si>
  <si>
    <t>Flan reconstituido</t>
  </si>
  <si>
    <t>INTA-0474</t>
  </si>
  <si>
    <t>Leche asada con salsa de caramelo</t>
  </si>
  <si>
    <t>INTA-0475</t>
  </si>
  <si>
    <t>Sémola con leche con salsa caramelo</t>
  </si>
  <si>
    <t>INTA-0476</t>
  </si>
  <si>
    <t>Bebida de soya sabor manzana</t>
  </si>
  <si>
    <t>INTA-0477</t>
  </si>
  <si>
    <t>Jugo de limón</t>
  </si>
  <si>
    <t>INTA-0478</t>
  </si>
  <si>
    <t>Jugo de mandarina</t>
  </si>
  <si>
    <t>INTA-0479</t>
  </si>
  <si>
    <t>Jugo de maqui</t>
  </si>
  <si>
    <t>INTA-0480</t>
  </si>
  <si>
    <t>Jugo de naranja</t>
  </si>
  <si>
    <t>INTA-0481</t>
  </si>
  <si>
    <t>Jugo de pomelo</t>
  </si>
  <si>
    <t>INTA-0482</t>
  </si>
  <si>
    <t>Néctar damasco</t>
  </si>
  <si>
    <t>INTA-0483</t>
  </si>
  <si>
    <t>Néctar damasco light</t>
  </si>
  <si>
    <t>INTA-0484</t>
  </si>
  <si>
    <t>Néctar durazno</t>
  </si>
  <si>
    <t>INTA-0485</t>
  </si>
  <si>
    <t>Néctar durazno light</t>
  </si>
  <si>
    <t>INTA-0486</t>
  </si>
  <si>
    <t>Néctar manzana</t>
  </si>
  <si>
    <t>INTA-0487</t>
  </si>
  <si>
    <t>Néctar naranja</t>
  </si>
  <si>
    <t>INTA-0488</t>
  </si>
  <si>
    <t>Néctar naranja light</t>
  </si>
  <si>
    <t>INTA-0489</t>
  </si>
  <si>
    <t>Néctar uva light</t>
  </si>
  <si>
    <t>INTA-0490</t>
  </si>
  <si>
    <t>Refresco polvo bajo en calorías</t>
  </si>
  <si>
    <t>INTA-0491</t>
  </si>
  <si>
    <t>Refresco en polvo light durazno</t>
  </si>
  <si>
    <t>INTA-0492</t>
  </si>
  <si>
    <t>Refresco polvo light naranja</t>
  </si>
  <si>
    <t>INTA-0493</t>
  </si>
  <si>
    <t>Refresco polvo light piña</t>
  </si>
  <si>
    <t>INTA-0494</t>
  </si>
  <si>
    <t>Agua</t>
  </si>
  <si>
    <t>INTA-0495</t>
  </si>
  <si>
    <t>Bebida cola light</t>
  </si>
  <si>
    <t>INTA-0496</t>
  </si>
  <si>
    <t>Bebida cola tradicional</t>
  </si>
  <si>
    <t>INTA-0497</t>
  </si>
  <si>
    <t>Bebida energética</t>
  </si>
  <si>
    <t>INTA-0498</t>
  </si>
  <si>
    <t>Bebida gaseosa sabor limón</t>
  </si>
  <si>
    <t>INTA-0499</t>
  </si>
  <si>
    <t>Bebida gaseosa sabor naranja</t>
  </si>
  <si>
    <t>INTA-0500</t>
  </si>
  <si>
    <t>Bebida gaseosa sabor piña</t>
  </si>
  <si>
    <t>INTA-0501</t>
  </si>
  <si>
    <t>Bebida gaseosa sabor piña libre de</t>
  </si>
  <si>
    <t>INTA-0502</t>
  </si>
  <si>
    <t>Bebida isotónica sabor lima limón</t>
  </si>
  <si>
    <t>INTA-0503</t>
  </si>
  <si>
    <t>Bebida isotónica</t>
  </si>
  <si>
    <t>INTA-0504</t>
  </si>
  <si>
    <t>Cerveza</t>
  </si>
  <si>
    <t>INTA-0505</t>
  </si>
  <si>
    <t>Champagna</t>
  </si>
  <si>
    <t>INTA-0506</t>
  </si>
  <si>
    <t>Licor de café</t>
  </si>
  <si>
    <t>INTA-0507</t>
  </si>
  <si>
    <t>Licor de menta</t>
  </si>
  <si>
    <t>INTA-0508</t>
  </si>
  <si>
    <t>Martini</t>
  </si>
  <si>
    <t>INTA-0509</t>
  </si>
  <si>
    <t>Pisco</t>
  </si>
  <si>
    <t>INTA-0510</t>
  </si>
  <si>
    <t>Pisco sour</t>
  </si>
  <si>
    <t>INTA-0511</t>
  </si>
  <si>
    <t>Ron</t>
  </si>
  <si>
    <t>INTA-0512</t>
  </si>
  <si>
    <t>Vodka</t>
  </si>
  <si>
    <t>INTA-0513</t>
  </si>
  <si>
    <t>Whisky</t>
  </si>
  <si>
    <t>INTA-0514</t>
  </si>
  <si>
    <t>Vino blanco</t>
  </si>
  <si>
    <t>INTA-0515</t>
  </si>
  <si>
    <t>Vino tinto</t>
  </si>
  <si>
    <t>INTA-0516</t>
  </si>
  <si>
    <t>Vino tinto 2</t>
  </si>
  <si>
    <t>INTA-0517</t>
  </si>
  <si>
    <t>Hojuelas papas fritas</t>
  </si>
  <si>
    <t>INTA-0518</t>
  </si>
  <si>
    <t>Hojuelas papas fritas sabor crema y cebolla</t>
  </si>
  <si>
    <t>INTA-0519</t>
  </si>
  <si>
    <t>Suflé sabor queso</t>
  </si>
  <si>
    <t>INTA-0520</t>
  </si>
  <si>
    <t>Pesto</t>
  </si>
  <si>
    <t>INTA-0521</t>
  </si>
  <si>
    <t>Salsa ají</t>
  </si>
  <si>
    <t>INTA-0522</t>
  </si>
  <si>
    <t>Salsa blanca casera</t>
  </si>
  <si>
    <t>INTA-0523</t>
  </si>
  <si>
    <t>Salsa de tomates</t>
  </si>
  <si>
    <t>INTA-0524</t>
  </si>
  <si>
    <t>Salsa de tomates con cebolla</t>
  </si>
  <si>
    <t>INTA-0525</t>
  </si>
  <si>
    <t>Salsa tártara</t>
  </si>
  <si>
    <t>INTA-0526</t>
  </si>
  <si>
    <t>Salsa teriyaki</t>
  </si>
  <si>
    <t>INTA-0527</t>
  </si>
  <si>
    <t>Salsa verde</t>
  </si>
  <si>
    <t>INTA-0528</t>
  </si>
  <si>
    <t>Ajo en polvo</t>
  </si>
  <si>
    <t>INTA-0529</t>
  </si>
  <si>
    <t>Albahaca fresca</t>
  </si>
  <si>
    <t>INTA-0530</t>
  </si>
  <si>
    <t>Albahaca seca</t>
  </si>
  <si>
    <t>INTA-0531</t>
  </si>
  <si>
    <t>Azafrán</t>
  </si>
  <si>
    <t>INTA-0532</t>
  </si>
  <si>
    <t>Canela</t>
  </si>
  <si>
    <t>INTA-0533</t>
  </si>
  <si>
    <t>Cardamomo</t>
  </si>
  <si>
    <t>INTA-0534</t>
  </si>
  <si>
    <t>Cebolla en polvo</t>
  </si>
  <si>
    <t>INTA-0535</t>
  </si>
  <si>
    <t>Clavo de olor</t>
  </si>
  <si>
    <t>INTA-0536</t>
  </si>
  <si>
    <t>Cúrcuma en polvo</t>
  </si>
  <si>
    <t>INTA-0537</t>
  </si>
  <si>
    <t>Curry</t>
  </si>
  <si>
    <t>INTA-0538</t>
  </si>
  <si>
    <t>Eneldo fresco</t>
  </si>
  <si>
    <t>INTA-0539</t>
  </si>
  <si>
    <t>Eneldo seco</t>
  </si>
  <si>
    <t>INTA-0540</t>
  </si>
  <si>
    <t>Estragón seco</t>
  </si>
  <si>
    <t>INTA-0541</t>
  </si>
  <si>
    <t>Hierbabuena</t>
  </si>
  <si>
    <t>INTA-0542</t>
  </si>
  <si>
    <t>Jengibre</t>
  </si>
  <si>
    <t>INTA-0543</t>
  </si>
  <si>
    <t>Laurel deshidratado</t>
  </si>
  <si>
    <t>INTA-0544</t>
  </si>
  <si>
    <t>Locoto fresco</t>
  </si>
  <si>
    <t>INTA-0545</t>
  </si>
  <si>
    <t>Locoto verde</t>
  </si>
  <si>
    <t>INTA-0546</t>
  </si>
  <si>
    <t>Menta fresca</t>
  </si>
  <si>
    <t>INTA-0547</t>
  </si>
  <si>
    <t>Menta seca</t>
  </si>
  <si>
    <t>INTA-0548</t>
  </si>
  <si>
    <t>Merkén</t>
  </si>
  <si>
    <t>INTA-0549</t>
  </si>
  <si>
    <t>Nuez moscada</t>
  </si>
  <si>
    <t>INTA-0550</t>
  </si>
  <si>
    <t>Orégano seco</t>
  </si>
  <si>
    <t>INTA-0551</t>
  </si>
  <si>
    <t>Paprika</t>
  </si>
  <si>
    <t>INTA-0552</t>
  </si>
  <si>
    <t>Pimentón deshidratado</t>
  </si>
  <si>
    <t>INTA-0553</t>
  </si>
  <si>
    <t>Perejil fresco</t>
  </si>
  <si>
    <t>INTA-0554</t>
  </si>
  <si>
    <t>Perejil seco</t>
  </si>
  <si>
    <t>INTA-0555</t>
  </si>
  <si>
    <t>Pimienta blanca</t>
  </si>
  <si>
    <t>INTA-0556</t>
  </si>
  <si>
    <t>Pimienta negra</t>
  </si>
  <si>
    <t>INTA-0557</t>
  </si>
  <si>
    <t>Pimienta roja</t>
  </si>
  <si>
    <t>INTA-0558</t>
  </si>
  <si>
    <t>Romero fresco</t>
  </si>
  <si>
    <t>INTA-0559</t>
  </si>
  <si>
    <t>Romero seco</t>
  </si>
  <si>
    <t>INTA-0560</t>
  </si>
  <si>
    <t>Sal de mar</t>
  </si>
  <si>
    <t>INTA-0561</t>
  </si>
  <si>
    <t>Sal de mesa</t>
  </si>
  <si>
    <t>INTA-0562</t>
  </si>
  <si>
    <t>Semilla de amapola</t>
  </si>
  <si>
    <t>INTA-0563</t>
  </si>
  <si>
    <t>Semilla de comino</t>
  </si>
  <si>
    <t>INTA-0564</t>
  </si>
  <si>
    <t>Semillas de hinojo</t>
  </si>
  <si>
    <t>INTA-0565</t>
  </si>
  <si>
    <t>Semilla de mostaza</t>
  </si>
  <si>
    <t>INTA-0566</t>
  </si>
  <si>
    <t>Tomillo fresco</t>
  </si>
  <si>
    <t>INTA-0567</t>
  </si>
  <si>
    <t>Tomillo seco</t>
  </si>
  <si>
    <t>INTA-0568</t>
  </si>
  <si>
    <t>Endulzante agave líquido</t>
  </si>
  <si>
    <t>INTA-0569</t>
  </si>
  <si>
    <t>Endulzante agave en tableta</t>
  </si>
  <si>
    <t>INTA-0570</t>
  </si>
  <si>
    <t>Endulzante más stevia líquido</t>
  </si>
  <si>
    <t>INTA-0571</t>
  </si>
  <si>
    <t>Endulzante sucralosa líquido</t>
  </si>
  <si>
    <t>INTA-0572</t>
  </si>
  <si>
    <t>Carne asada</t>
  </si>
  <si>
    <t>INTA-0573</t>
  </si>
  <si>
    <t>Cebolla en escabeche</t>
  </si>
  <si>
    <t>INTA-0574</t>
  </si>
  <si>
    <t>Cerdo a la mostaza</t>
  </si>
  <si>
    <t>INTA-0575</t>
  </si>
  <si>
    <t>Crema de cebolla</t>
  </si>
  <si>
    <t>INTA-0576</t>
  </si>
  <si>
    <t>Lentejas con arroz</t>
  </si>
  <si>
    <t>INTA-0577</t>
  </si>
  <si>
    <t>Manzana asada</t>
  </si>
  <si>
    <t>INTA-0578</t>
  </si>
  <si>
    <t>Puré manzana</t>
  </si>
  <si>
    <t>INTA-0579</t>
  </si>
  <si>
    <t>Puré manzana plátano</t>
  </si>
  <si>
    <t>INTA-0580</t>
  </si>
  <si>
    <t>Puré pera con canela</t>
  </si>
  <si>
    <t>INTA-0581</t>
  </si>
  <si>
    <t>Puré pera plátano</t>
  </si>
  <si>
    <t>INTA-0582</t>
  </si>
  <si>
    <t>Mariscal</t>
  </si>
  <si>
    <t>INTA-0583</t>
  </si>
  <si>
    <t>Pollo a la mostaza</t>
  </si>
  <si>
    <t>INTA-0584</t>
  </si>
  <si>
    <t>Sopa de sémola</t>
  </si>
  <si>
    <t>INTA-0585</t>
  </si>
  <si>
    <t>Sopa de verduras</t>
  </si>
  <si>
    <t>INTA-0586</t>
  </si>
  <si>
    <t>Tomate con papas</t>
  </si>
  <si>
    <t>INTA-0587</t>
  </si>
  <si>
    <t>Torta de durazno con crema</t>
  </si>
  <si>
    <t>INTA-0588</t>
  </si>
  <si>
    <t>Verduras guisadas</t>
  </si>
  <si>
    <t>INTA-0589</t>
  </si>
  <si>
    <t>Bebida lactea años dorados</t>
  </si>
  <si>
    <t>INTA-0590</t>
  </si>
  <si>
    <t>Crema años dorados arveja</t>
  </si>
  <si>
    <t>INTA-0591</t>
  </si>
  <si>
    <t>Crema años dorados espárrago</t>
  </si>
  <si>
    <t>INTA-0592</t>
  </si>
  <si>
    <t>Crema años dorados lentejas</t>
  </si>
  <si>
    <t>INTA-0593</t>
  </si>
  <si>
    <t>Crema años dorados verduras</t>
  </si>
  <si>
    <t>INTA-0594</t>
  </si>
  <si>
    <t>Cyclinex 1 amino acid mix</t>
  </si>
  <si>
    <t>INTA-0595</t>
  </si>
  <si>
    <t>Cyclinex 2</t>
  </si>
  <si>
    <t>INTA-0596</t>
  </si>
  <si>
    <t>Dialamine</t>
  </si>
  <si>
    <t>INTA-0597</t>
  </si>
  <si>
    <t>Essential amino acid mix</t>
  </si>
  <si>
    <t>INTA-0598</t>
  </si>
  <si>
    <t>GA1 Anamix infant</t>
  </si>
  <si>
    <t>INTA-0599</t>
  </si>
  <si>
    <t>Glutarex 1</t>
  </si>
  <si>
    <t>INTA-0600</t>
  </si>
  <si>
    <t>Glutarex 2</t>
  </si>
  <si>
    <t>INTA-0601</t>
  </si>
  <si>
    <t>IVA Anamix infant</t>
  </si>
  <si>
    <t>INTA-0602</t>
  </si>
  <si>
    <t>Ketonex 1</t>
  </si>
  <si>
    <t>INTA-0603</t>
  </si>
  <si>
    <t>Ketonex 2</t>
  </si>
  <si>
    <t>INTA-0604</t>
  </si>
  <si>
    <t>Leche continuación</t>
  </si>
  <si>
    <t>INTA-0605</t>
  </si>
  <si>
    <t>Fórmula láctea prematuro</t>
  </si>
  <si>
    <t>INTA-0606</t>
  </si>
  <si>
    <t>Fórmula láctea prematuro 2</t>
  </si>
  <si>
    <t>INTA-0607</t>
  </si>
  <si>
    <t>Fórmula láctea Purita Cereal</t>
  </si>
  <si>
    <t>INTA-0608</t>
  </si>
  <si>
    <t>Leche Purita Fortificada</t>
  </si>
  <si>
    <t>INTA-0609</t>
  </si>
  <si>
    <t>Bebida láctea Purita Mamá</t>
  </si>
  <si>
    <t>INTA-0610</t>
  </si>
  <si>
    <t>Sopa crema de ave Mi sopita</t>
  </si>
  <si>
    <t>INTA-0611</t>
  </si>
  <si>
    <t>Sopa crema de legumbres Mi sopita</t>
  </si>
  <si>
    <t>INTA-0612</t>
  </si>
  <si>
    <t>Sopa crema de verduras Mi sopita</t>
  </si>
  <si>
    <t>INTA-0613</t>
  </si>
  <si>
    <t>MMA-PA Anamix Infant</t>
  </si>
  <si>
    <t>INTA-0614</t>
  </si>
  <si>
    <t>Monogen</t>
  </si>
  <si>
    <t>INTA-0615</t>
  </si>
  <si>
    <t>MSUD Anamix Infant</t>
  </si>
  <si>
    <t>INTA-0616</t>
  </si>
  <si>
    <t>MSUD Maxamaid</t>
  </si>
  <si>
    <t>INTA-0617</t>
  </si>
  <si>
    <t>MSUD Maxamum</t>
  </si>
  <si>
    <t>INTA-0618</t>
  </si>
  <si>
    <t>MSUD Med A Plus</t>
  </si>
  <si>
    <t>INTA-0619</t>
  </si>
  <si>
    <t>MSUD Med B Plus</t>
  </si>
  <si>
    <t>INTA-0620</t>
  </si>
  <si>
    <t>MSUD OAcMedB Plus</t>
  </si>
  <si>
    <t>INTA-0621</t>
  </si>
  <si>
    <t>P-AM2</t>
  </si>
  <si>
    <t>INTA-0622</t>
  </si>
  <si>
    <t>Phenex 1</t>
  </si>
  <si>
    <t>INTA-0623</t>
  </si>
  <si>
    <t>Phenex 2</t>
  </si>
  <si>
    <t>INTA-0624</t>
  </si>
  <si>
    <t>PKU2 Nutri Concentrated</t>
  </si>
  <si>
    <t>INTA-0625</t>
  </si>
  <si>
    <t>PKU 2 Nutri Energy</t>
  </si>
  <si>
    <t>INTA-0626</t>
  </si>
  <si>
    <t>PKU Anamix Infant</t>
  </si>
  <si>
    <t>INTA-0627</t>
  </si>
  <si>
    <t>PKU Fórmula</t>
  </si>
  <si>
    <t>INTA-0628</t>
  </si>
  <si>
    <t>PKU Med B Plus</t>
  </si>
  <si>
    <t>INTA-0629</t>
  </si>
  <si>
    <t>Portagen</t>
  </si>
  <si>
    <t>INTA-0630</t>
  </si>
  <si>
    <t>Propimex 1</t>
  </si>
  <si>
    <t>INTA-0631</t>
  </si>
  <si>
    <t>Propimex 2</t>
  </si>
  <si>
    <t>INTA-0632</t>
  </si>
  <si>
    <t>Tyr 2</t>
  </si>
  <si>
    <t>INTA-0633</t>
  </si>
  <si>
    <t>Tyrex 1</t>
  </si>
  <si>
    <t>INTA-0634</t>
  </si>
  <si>
    <t>Tyrex 2 Advanta</t>
  </si>
  <si>
    <t>INTA-0635</t>
  </si>
  <si>
    <t>XLEU Maxamaid</t>
  </si>
  <si>
    <t>INTA-0636</t>
  </si>
  <si>
    <t>XLEU Maxamum</t>
  </si>
  <si>
    <t>INTA-0637</t>
  </si>
  <si>
    <t>XLYSLOW TRY Maxamaid</t>
  </si>
  <si>
    <t>INTA-0638</t>
  </si>
  <si>
    <t>XLYSLOW TRY Maxamum</t>
  </si>
  <si>
    <t>INTA-0639</t>
  </si>
  <si>
    <t>XMTV Maxamaid</t>
  </si>
  <si>
    <t>INTA-0640</t>
  </si>
  <si>
    <t>XP Maxamaid</t>
  </si>
  <si>
    <t>INTA-0641</t>
  </si>
  <si>
    <t>XP Maxamum</t>
  </si>
  <si>
    <t>INTA-0642</t>
  </si>
  <si>
    <t>XPHEN TYR Maxamum</t>
  </si>
  <si>
    <t>MENU_SEMANAL · SELECCIÓN DE ALIMENTOS POR DÍA</t>
  </si>
  <si>
    <t>Construya cada día eligiendo alimentos concretos y gramos. La energía y los macronutrientes se calculan solos. Cada día es independiente.</t>
  </si>
  <si>
    <t>CÓMO USAR ESTA HOJA</t>
  </si>
  <si>
    <t>1) Elija el Día  ·  2) el Tiempo de comida  ·  3) el Grupo  ·  4) el Alimento (la lista se filtra por grupo)  ·  5) la Modalidad y los gramos (o porciones)  ·  6) revise el aporte calculado a la derecha  ·  7) consulte los totales en SEMANA y RESULTADOS.  Las celdas arena son editables; las grises se calculan solas.</t>
  </si>
  <si>
    <t>Modalidad</t>
  </si>
  <si>
    <t>N° porciones</t>
  </si>
  <si>
    <t>Cantidad en gramos</t>
  </si>
  <si>
    <t>Energía/100 g</t>
  </si>
  <si>
    <t>Prot./100 g</t>
  </si>
  <si>
    <t>H de C/100 g</t>
  </si>
  <si>
    <t>Líp./100 g</t>
  </si>
  <si>
    <t>Fibra/100 g</t>
  </si>
  <si>
    <t>Energía aportada</t>
  </si>
  <si>
    <t>Prot. aportada</t>
  </si>
  <si>
    <t>H de C aportado</t>
  </si>
  <si>
    <t>Líp. aportado</t>
  </si>
  <si>
    <t>Fibra aportada</t>
  </si>
  <si>
    <t>Observación / control</t>
  </si>
  <si>
    <t>m</t>
  </si>
  <si>
    <t>rango</t>
  </si>
  <si>
    <t>g_efect</t>
  </si>
  <si>
    <t>Seso cocido · INTA-0137</t>
  </si>
  <si>
    <t>Gramos</t>
  </si>
  <si>
    <t>Ubre · INTA-0111</t>
  </si>
  <si>
    <t>Carne vacuno 5% MG · INTA-0094</t>
  </si>
  <si>
    <t>Trucha congelada · INTA-0184</t>
  </si>
  <si>
    <t>Atún conserva en aceite · INTA-0165</t>
  </si>
  <si>
    <t>Pato cocido · INTA-0063</t>
  </si>
  <si>
    <t>Pan molde 2 · INTA-0238</t>
  </si>
  <si>
    <t>Salame 2 · INTA-0136</t>
  </si>
  <si>
    <t>Turin · INTA-0139</t>
  </si>
  <si>
    <t>Mortadela · INTA-0121</t>
  </si>
  <si>
    <t>Yema de huevo · INTA-0057</t>
  </si>
  <si>
    <t>Poroto · INTA-0204</t>
  </si>
  <si>
    <t>Crema chantilly · INTA-0320</t>
  </si>
  <si>
    <t>Lenteja · INTA-0201</t>
  </si>
  <si>
    <t>Cereal de maíz · INTA-0260</t>
  </si>
  <si>
    <t>Chuchoca · INTA-0297</t>
  </si>
  <si>
    <t>Albahaca seca · INTA-0530</t>
  </si>
  <si>
    <t>Merkén · INTA-0548</t>
  </si>
  <si>
    <t>Arándanos rojo · INTA-0390</t>
  </si>
  <si>
    <t>Crema años dorados arveja · INTA-0590</t>
  </si>
  <si>
    <t>Albahaca fresca · INTA-0529</t>
  </si>
  <si>
    <t>Crema años dorados espárrago · INTA-0591</t>
  </si>
  <si>
    <t>Chía · INTA-0223</t>
  </si>
  <si>
    <t>Quinoa 2 · INTA-0255</t>
  </si>
  <si>
    <t>Cuscús seco · INTA-0265</t>
  </si>
  <si>
    <t>Leche evaporada · INTA-0022</t>
  </si>
  <si>
    <t>Crema años dorados lentejas · INTA-0592</t>
  </si>
  <si>
    <t>Biscocho simple · INTA-0443</t>
  </si>
  <si>
    <t>Tocino · INTA-0138</t>
  </si>
  <si>
    <t>Higado de vacuno cocido · INTA-0108</t>
  </si>
  <si>
    <t>Puré manzana plátano · INTA-0579</t>
  </si>
  <si>
    <t>Ajo en polvo · INTA-0528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</si>
</sst>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1">
    <font>
      <sz val="11"/>
      <color theme="1"/>
      <name val="Calibri"/>
      <family val="2"/>
      <charset val="1"/>
    </font>
    <font>
      <b/>
      <sz val="16"/>
      <color rgb="FFFFFFFF"/>
      <name val="Aptos"/>
      <charset val="1"/>
    </font>
    <font>
      <sz val="11"/>
      <name val="Cambria"/>
      <family val="1"/>
      <charset val="1"/>
    </font>
    <font>
      <b/>
      <sz val="16"/>
      <color rgb="FFFFFFFF"/>
      <name val="Arial"/>
      <family val="2"/>
      <charset val="1"/>
    </font>
    <font>
      <b/>
      <sz val="9"/>
      <color rgb="FFFFFFFF"/>
      <name val="Aptos"/>
      <charset val="1"/>
    </font>
    <font>
      <b/>
      <sz val="12"/>
      <color rgb="FFFFFFFF"/>
      <name val="Arial"/>
      <family val="2"/>
      <charset val="1"/>
    </font>
    <font>
      <b/>
      <sz val="11"/>
      <color rgb="FF1A1A1A"/>
      <name val="Arial"/>
      <family val="2"/>
      <charset val="1"/>
    </font>
    <font>
      <sz val="11"/>
      <color rgb="FF1A1A1A"/>
      <name val="Arial"/>
      <family val="2"/>
      <charset val="1"/>
    </font>
    <font>
      <b/>
      <sz val="12"/>
      <color rgb="FF155E6C"/>
      <name val="Aptos"/>
      <charset val="1"/>
    </font>
    <font>
      <sz val="11"/>
      <color rgb="FF1A1A1A"/>
      <name val="Aptos"/>
      <charset val="1"/>
    </font>
    <font>
      <b/>
      <sz val="11"/>
      <color rgb="FF0000CC"/>
      <name val="Aptos"/>
      <charset val="1"/>
    </font>
    <font>
      <b/>
      <sz val="11"/>
      <color rgb="FFB4560A"/>
      <name val="Aptos"/>
      <charset val="1"/>
    </font>
    <font>
      <b/>
      <sz val="13"/>
      <color rgb="FFFFFFFF"/>
      <name val="Aptos"/>
      <charset val="1"/>
    </font>
    <font>
      <sz val="9"/>
      <color rgb="FFFFFFFF"/>
      <name val="Aptos"/>
      <charset val="1"/>
    </font>
    <font>
      <b/>
      <i/>
      <sz val="11"/>
      <color rgb="FF1A1A1A"/>
      <name val="Aptos"/>
      <charset val="1"/>
    </font>
    <font>
      <b/>
      <sz val="12"/>
      <color rgb="FF0000CC"/>
      <name val="Aptos"/>
      <charset val="1"/>
    </font>
    <font>
      <b/>
      <sz val="16"/>
      <color rgb="FF3F3F76"/>
      <name val="Calibri"/>
      <family val="2"/>
      <charset val="1"/>
    </font>
    <font>
      <sz val="9"/>
      <color rgb="FF586A6C"/>
      <name val="Aptos"/>
      <charset val="1"/>
    </font>
    <font>
      <b/>
      <sz val="10"/>
      <color rgb="FFFFFFFF"/>
      <name val="Aptos"/>
      <charset val="1"/>
    </font>
    <font>
      <b/>
      <i/>
      <sz val="12"/>
      <color rgb="FF1A1A1A"/>
      <name val="Aptos"/>
      <charset val="1"/>
    </font>
    <font>
      <b/>
      <sz val="10"/>
      <color rgb="FF1A1A1A"/>
      <name val="Aptos"/>
      <charset val="1"/>
    </font>
    <font>
      <b/>
      <sz val="12"/>
      <color rgb="FFB4560A"/>
      <name val="Aptos"/>
      <charset val="1"/>
    </font>
    <font>
      <b/>
      <sz val="11"/>
      <color rgb="FFFFFFFF"/>
      <name val="Arial"/>
      <family val="2"/>
      <charset val="1"/>
    </font>
    <font>
      <b/>
      <sz val="12"/>
      <color rgb="FF1A1A1A"/>
      <name val="Aptos"/>
      <charset val="1"/>
    </font>
    <font>
      <sz val="14"/>
      <color rgb="FF0000CC"/>
      <name val="Aptos"/>
      <charset val="1"/>
    </font>
    <font>
      <b/>
      <sz val="12"/>
      <color rgb="FFFFFFFF"/>
      <name val="Aptos"/>
      <charset val="1"/>
    </font>
    <font>
      <sz val="12"/>
      <color rgb="FF1A1A1A"/>
      <name val="Aptos"/>
      <charset val="1"/>
    </font>
    <font>
      <i/>
      <sz val="9"/>
      <color rgb="FF586A6C"/>
      <name val="Aptos"/>
      <charset val="1"/>
    </font>
    <font>
      <b/>
      <i/>
      <sz val="10"/>
      <color rgb="FF1A1A1A"/>
      <name val="Aptos"/>
      <charset val="1"/>
    </font>
    <font>
      <sz val="10"/>
      <color rgb="FF1A1A1A"/>
      <name val="Aptos"/>
      <charset val="1"/>
    </font>
    <font>
      <b/>
      <sz val="11"/>
      <color rgb="FF1A1A1A"/>
      <name val="Aptos"/>
      <charset val="1"/>
    </font>
    <font>
      <b/>
      <sz val="14"/>
      <color rgb="FFB4560A"/>
      <name val="Aptos"/>
      <charset val="1"/>
    </font>
    <font>
      <b/>
      <u/>
      <sz val="12"/>
      <color rgb="FFFFFFFF"/>
      <name val="Arial"/>
      <family val="2"/>
      <charset val="1"/>
    </font>
    <font>
      <b/>
      <sz val="11"/>
      <color rgb="FFFFFFFF"/>
      <name val="Aptos"/>
      <charset val="1"/>
    </font>
    <font>
      <b/>
      <i/>
      <sz val="12"/>
      <color theme="1"/>
      <name val="Calibri"/>
      <family val="2"/>
      <charset val="1"/>
    </font>
    <font>
      <sz val="12"/>
      <color theme="1"/>
      <name val="Calibri"/>
      <family val="2"/>
      <charset val="1"/>
    </font>
    <font>
      <b/>
      <sz val="10"/>
      <color rgb="FFB4560A"/>
      <name val="Aptos"/>
      <charset val="1"/>
    </font>
    <font>
      <b/>
      <sz val="9"/>
      <color rgb="FF1A1A1A"/>
      <name val="Aptos"/>
      <charset val="1"/>
    </font>
    <font>
      <b/>
      <i/>
      <u/>
      <sz val="14"/>
      <color rgb="FFFFFFFF"/>
      <name val="Arial"/>
      <family val="2"/>
      <charset val="1"/>
    </font>
    <font>
      <sz val="9"/>
      <color rgb="FF1A1A1A"/>
      <name val="Aptos"/>
      <charset val="1"/>
    </font>
    <font>
      <b/>
      <sz val="10"/>
      <color rgb="FF155E6C"/>
      <name val="Aptos"/>
      <charset val="1"/>
    </font>
    <font>
      <b/>
      <sz val="10"/>
      <color rgb="FF24726B"/>
      <name val="Aptos"/>
      <charset val="1"/>
    </font>
    <font>
      <b/>
      <sz val="9"/>
      <name val="Aptos"/>
      <charset val="1"/>
    </font>
    <font>
      <i/>
      <sz val="8"/>
      <color rgb="FF586A6C"/>
      <name val="Aptos"/>
      <charset val="1"/>
    </font>
    <font>
      <b/>
      <sz val="10"/>
      <color rgb="FF0000CC"/>
      <name val="Aptos"/>
      <charset val="1"/>
    </font>
    <font>
      <b/>
      <sz val="9"/>
      <color rgb="FF0000CC"/>
      <name val="Aptos"/>
      <charset val="1"/>
    </font>
    <font>
      <b/>
      <sz val="9"/>
      <color rgb="FFB4560A"/>
      <name val="Aptos"/>
      <charset val="1"/>
    </font>
    <font>
      <b/>
      <i/>
      <sz val="9"/>
      <color rgb="FFFFFFFF"/>
      <name val="Aptos"/>
      <charset val="1"/>
    </font>
    <font>
      <sz val="8"/>
      <color rgb="FF1A1A1A"/>
      <name val="Aptos"/>
      <charset val="1"/>
    </font>
    <font>
      <sz val="9"/>
      <color rgb="FF0000CC"/>
      <name val="Aptos"/>
      <charset val="1"/>
    </font>
    <font>
      <b/>
      <i/>
      <sz val="9"/>
      <color rgb="FF1A1A1A"/>
      <name val="Aptos"/>
      <charset val="1"/>
    </font>
  </fonts>
  <fills count="18">
    <fill>
      <patternFill patternType="none"/>
    </fill>
    <fill>
      <patternFill patternType="gray125"/>
    </fill>
    <fill>
      <patternFill patternType="solid">
        <fgColor rgb="FF15303A"/>
        <bgColor rgb="FF17324D"/>
      </patternFill>
    </fill>
    <fill>
      <patternFill patternType="solid">
        <fgColor rgb="FF1C6B72"/>
        <bgColor rgb="FF24726B"/>
      </patternFill>
    </fill>
    <fill>
      <patternFill patternType="solid">
        <fgColor rgb="FF17324D"/>
        <bgColor rgb="FF15303A"/>
      </patternFill>
    </fill>
    <fill>
      <patternFill patternType="solid">
        <fgColor rgb="FFE7E0F5"/>
        <bgColor rgb="FFE7E2F2"/>
      </patternFill>
    </fill>
    <fill>
      <patternFill patternType="solid">
        <fgColor rgb="FFFBE4D5"/>
        <bgColor rgb="FFF7E2D2"/>
      </patternFill>
    </fill>
    <fill>
      <patternFill patternType="solid">
        <fgColor rgb="FFDCEFF1"/>
        <bgColor rgb="FFDCEEDD"/>
      </patternFill>
    </fill>
    <fill>
      <patternFill patternType="solid">
        <fgColor rgb="FFFCEFCE"/>
        <bgColor rgb="FFFBE4D5"/>
      </patternFill>
    </fill>
    <fill>
      <patternFill patternType="solid">
        <fgColor rgb="FFF3F6F5"/>
        <bgColor rgb="FFFFFFFF"/>
      </patternFill>
    </fill>
    <fill>
      <patternFill patternType="solid">
        <fgColor rgb="FFE7E2F2"/>
        <bgColor rgb="FFE7E0F5"/>
      </patternFill>
    </fill>
    <fill>
      <patternFill patternType="solid">
        <fgColor rgb="FFDCEEDD"/>
        <bgColor rgb="FFD8E7E2"/>
      </patternFill>
    </fill>
    <fill>
      <patternFill patternType="solid">
        <fgColor rgb="FFF7E2D2"/>
        <bgColor rgb="FFFBE4D5"/>
      </patternFill>
    </fill>
    <fill>
      <patternFill patternType="solid">
        <fgColor rgb="FFFFCC99"/>
        <bgColor rgb="FFF8B590"/>
      </patternFill>
    </fill>
    <fill>
      <patternFill patternType="solid">
        <fgColor rgb="FF24726B"/>
        <bgColor rgb="FF1C6B72"/>
      </patternFill>
    </fill>
    <fill>
      <patternFill patternType="solid">
        <fgColor rgb="FFD8E7E2"/>
        <bgColor rgb="FFDCEEDD"/>
      </patternFill>
    </fill>
    <fill>
      <patternFill patternType="solid">
        <fgColor theme="5" tint="0.59968871120334488"/>
        <bgColor rgb="FFF8B590"/>
      </patternFill>
    </fill>
    <fill>
      <patternFill patternType="solid">
        <fgColor rgb="FFFFFFFF"/>
        <bgColor rgb="FFF3F6F5"/>
      </patternFill>
    </fill>
  </fills>
  <borders count="18">
    <border>
      <left/>
      <right/>
      <top/>
      <bottom/>
      <diagonal/>
    </border>
    <border>
      <left style="thin">
        <color rgb="FFC4D2CE"/>
      </left>
      <right style="thin">
        <color rgb="FFC4D2CE"/>
      </right>
      <top style="thin">
        <color rgb="FFC4D2CE"/>
      </top>
      <bottom style="thin">
        <color rgb="FFC4D2CE"/>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C4D2CE"/>
      </left>
      <right/>
      <top/>
      <bottom/>
      <diagonal/>
    </border>
    <border>
      <left style="thin">
        <color auto="1"/>
      </left>
      <right style="thin">
        <color rgb="FFC4D2CE"/>
      </right>
      <top style="thin">
        <color rgb="FFC4D2CE"/>
      </top>
      <bottom style="thin">
        <color rgb="FFC4D2CE"/>
      </bottom>
      <diagonal/>
    </border>
    <border>
      <left style="thin">
        <color auto="1"/>
      </left>
      <right/>
      <top style="thin">
        <color rgb="FFC4D2CE"/>
      </top>
      <bottom style="thin">
        <color rgb="FFC4D2CE"/>
      </bottom>
      <diagonal/>
    </border>
    <border>
      <left style="thin">
        <color rgb="FF7F7F7F"/>
      </left>
      <right style="thin">
        <color rgb="FF7F7F7F"/>
      </right>
      <top style="thin">
        <color rgb="FF7F7F7F"/>
      </top>
      <bottom style="thin">
        <color rgb="FF7F7F7F"/>
      </bottom>
      <diagonal/>
    </border>
    <border>
      <left style="thin">
        <color rgb="FFC4D2CE"/>
      </left>
      <right/>
      <top style="thin">
        <color rgb="FFC4D2CE"/>
      </top>
      <bottom/>
      <diagonal/>
    </border>
    <border>
      <left style="thin">
        <color rgb="FFBFC9CB"/>
      </left>
      <right/>
      <top/>
      <bottom style="thin">
        <color rgb="FFBFC9CB"/>
      </bottom>
      <diagonal/>
    </border>
    <border>
      <left style="thin">
        <color rgb="FFBFC9CB"/>
      </left>
      <right style="thin">
        <color rgb="FFBFC9CB"/>
      </right>
      <top style="thin">
        <color rgb="FFBFC9CB"/>
      </top>
      <bottom style="thin">
        <color rgb="FFBFC9CB"/>
      </bottom>
      <diagonal/>
    </border>
    <border>
      <left/>
      <right/>
      <top/>
      <bottom style="thin">
        <color rgb="FFC4D2CE"/>
      </bottom>
      <diagonal/>
    </border>
    <border>
      <left style="thin">
        <color rgb="FFC4D2CE"/>
      </left>
      <right style="thin">
        <color rgb="FFC4D2CE"/>
      </right>
      <top style="thin">
        <color rgb="FFC4D2CE"/>
      </top>
      <bottom/>
      <diagonal/>
    </border>
    <border>
      <left style="thin">
        <color rgb="FFC4D2CE"/>
      </left>
      <right style="thin">
        <color rgb="FFC4D2CE"/>
      </right>
      <top style="thin">
        <color rgb="FFC4D2CE"/>
      </top>
      <bottom style="thin">
        <color rgb="FFBFC9CB"/>
      </bottom>
      <diagonal/>
    </border>
    <border>
      <left/>
      <right/>
      <top style="thin">
        <color rgb="FFC4D2CE"/>
      </top>
      <bottom style="thin">
        <color rgb="FFC4D2CE"/>
      </bottom>
      <diagonal/>
    </border>
    <border>
      <left/>
      <right style="thin">
        <color rgb="FFC4D2CE"/>
      </right>
      <top style="thin">
        <color rgb="FFC4D2CE"/>
      </top>
      <bottom style="thin">
        <color rgb="FFC4D2CE"/>
      </bottom>
      <diagonal/>
    </border>
    <border>
      <left style="thin">
        <color rgb="FFC4D2CE"/>
      </left>
      <right style="thin">
        <color rgb="FFC4D2CE"/>
      </right>
      <top/>
      <bottom/>
      <diagonal/>
    </border>
    <border>
      <left/>
      <right/>
      <top/>
      <bottom style="thin">
        <color rgb="FFBFC9CB"/>
      </bottom>
      <diagonal/>
    </border>
  </borders>
  <cellStyleXfs count="1">
    <xf numFmtId="0" fontId="0" fillId="0" borderId="0"/>
  </cellStyleXfs>
  <cellXfs count="172">
    <xf numFmtId="0" fontId="0" fillId="0" borderId="0" xfId="0"/>
    <xf numFmtId="0" fontId="24" fillId="8" borderId="10" xfId="0" applyFont="1" applyFill="1" applyBorder="1" applyAlignment="1" applyProtection="1">
      <alignment horizontal="center"/>
      <protection locked="0"/>
    </xf>
    <xf numFmtId="0" fontId="49" fillId="8" borderId="10" xfId="0" applyFont="1" applyFill="1" applyBorder="1" applyProtection="1">
      <protection locked="0"/>
    </xf>
    <xf numFmtId="0" fontId="49" fillId="8" borderId="10" xfId="0" applyFont="1" applyFill="1" applyBorder="1" applyAlignment="1" applyProtection="1">
      <alignment horizontal="center"/>
      <protection locked="0"/>
    </xf>
    <xf numFmtId="0" fontId="24" fillId="8" borderId="9" xfId="0" applyFont="1" applyFill="1" applyBorder="1" applyAlignment="1" applyProtection="1">
      <alignment horizontal="center"/>
      <protection locked="0"/>
    </xf>
    <xf numFmtId="0" fontId="1" fillId="2" borderId="0" xfId="0" applyFont="1" applyFill="1" applyBorder="1" applyAlignment="1" applyProtection="1">
      <alignment horizontal="left" vertical="center"/>
    </xf>
    <xf numFmtId="0" fontId="2" fillId="0" borderId="0" xfId="0" applyFont="1" applyProtection="1"/>
    <xf numFmtId="0" fontId="3" fillId="3" borderId="0" xfId="0" applyFont="1" applyFill="1" applyBorder="1" applyAlignment="1" applyProtection="1">
      <alignment horizontal="left" vertical="center"/>
    </xf>
    <xf numFmtId="0" fontId="4" fillId="4" borderId="1" xfId="0" applyFont="1" applyFill="1" applyBorder="1" applyAlignment="1" applyProtection="1">
      <alignment horizontal="center" vertical="center"/>
    </xf>
    <xf numFmtId="0" fontId="4" fillId="4" borderId="1" xfId="0" applyFont="1" applyFill="1" applyBorder="1" applyAlignment="1" applyProtection="1">
      <alignment horizontal="center" vertical="center"/>
    </xf>
    <xf numFmtId="0" fontId="5" fillId="3" borderId="0" xfId="0" applyFont="1" applyFill="1" applyBorder="1" applyAlignment="1" applyProtection="1">
      <alignment horizontal="left" vertical="center"/>
    </xf>
    <xf numFmtId="0" fontId="6" fillId="5" borderId="2" xfId="0" applyFont="1" applyFill="1" applyBorder="1" applyAlignment="1" applyProtection="1">
      <alignment horizontal="left" vertical="center" wrapText="1"/>
    </xf>
    <xf numFmtId="0" fontId="7" fillId="5" borderId="2" xfId="0" applyFont="1" applyFill="1" applyBorder="1" applyAlignment="1" applyProtection="1">
      <alignment horizontal="left" vertical="center" wrapText="1"/>
    </xf>
    <xf numFmtId="0" fontId="0" fillId="0" borderId="0" xfId="0" applyProtection="1"/>
    <xf numFmtId="0" fontId="7" fillId="6" borderId="2" xfId="0" applyFont="1" applyFill="1" applyBorder="1" applyAlignment="1" applyProtection="1">
      <alignment horizontal="left" vertical="top" wrapText="1"/>
    </xf>
    <xf numFmtId="0" fontId="8" fillId="7" borderId="2" xfId="0" applyFont="1" applyFill="1" applyBorder="1" applyAlignment="1" applyProtection="1">
      <alignment horizontal="center" vertical="center"/>
    </xf>
    <xf numFmtId="0" fontId="9" fillId="0" borderId="2" xfId="0" applyFont="1" applyBorder="1" applyAlignment="1" applyProtection="1">
      <alignment horizontal="left" vertical="center" wrapText="1"/>
    </xf>
    <xf numFmtId="0" fontId="9" fillId="9" borderId="2" xfId="0" applyFont="1" applyFill="1" applyBorder="1" applyAlignment="1" applyProtection="1">
      <alignment horizontal="left" vertical="center"/>
    </xf>
    <xf numFmtId="0" fontId="9" fillId="10" borderId="2" xfId="0" applyFont="1" applyFill="1" applyBorder="1" applyAlignment="1" applyProtection="1">
      <alignment horizontal="left" vertical="center"/>
    </xf>
    <xf numFmtId="0" fontId="9" fillId="11" borderId="2" xfId="0" applyFont="1" applyFill="1" applyBorder="1" applyAlignment="1" applyProtection="1">
      <alignment horizontal="left" vertical="center"/>
    </xf>
    <xf numFmtId="0" fontId="11" fillId="12" borderId="2" xfId="0" applyFont="1" applyFill="1" applyBorder="1" applyAlignment="1" applyProtection="1">
      <alignment horizontal="left" vertical="center"/>
    </xf>
    <xf numFmtId="0" fontId="11" fillId="12" borderId="3" xfId="0" applyFont="1" applyFill="1" applyBorder="1" applyAlignment="1" applyProtection="1">
      <alignment horizontal="center" vertical="center" wrapText="1"/>
    </xf>
    <xf numFmtId="0" fontId="10" fillId="8" borderId="2" xfId="0" applyFont="1" applyFill="1" applyBorder="1" applyAlignment="1" applyProtection="1">
      <alignment horizontal="left" vertical="center"/>
      <protection locked="0"/>
    </xf>
    <xf numFmtId="0" fontId="12" fillId="2" borderId="0" xfId="0" applyFont="1" applyFill="1" applyBorder="1" applyAlignment="1" applyProtection="1">
      <alignment horizontal="left" vertical="center"/>
    </xf>
    <xf numFmtId="0" fontId="13" fillId="4" borderId="1" xfId="0" applyFont="1" applyFill="1" applyBorder="1" applyAlignment="1" applyProtection="1">
      <alignment horizontal="center" vertical="center"/>
    </xf>
    <xf numFmtId="0" fontId="13" fillId="4" borderId="4" xfId="0" applyFont="1" applyFill="1" applyBorder="1" applyAlignment="1" applyProtection="1">
      <alignment horizontal="center" vertical="center"/>
    </xf>
    <xf numFmtId="0" fontId="14" fillId="0" borderId="2" xfId="0" applyFont="1" applyBorder="1" applyAlignment="1" applyProtection="1">
      <alignment horizontal="left" vertical="center"/>
    </xf>
    <xf numFmtId="0" fontId="14" fillId="11" borderId="2" xfId="0" applyFont="1" applyFill="1" applyBorder="1" applyAlignment="1" applyProtection="1">
      <alignment horizontal="left" vertical="center"/>
    </xf>
    <xf numFmtId="0" fontId="17" fillId="0" borderId="0" xfId="0" applyFont="1" applyAlignment="1" applyProtection="1">
      <alignment horizontal="left" vertical="center"/>
    </xf>
    <xf numFmtId="0" fontId="18" fillId="14" borderId="1" xfId="0" applyFont="1" applyFill="1" applyBorder="1" applyAlignment="1" applyProtection="1">
      <alignment horizontal="center" vertical="center" wrapText="1"/>
    </xf>
    <xf numFmtId="0" fontId="18" fillId="14" borderId="1" xfId="0" applyFont="1" applyFill="1" applyBorder="1" applyAlignment="1" applyProtection="1">
      <alignment horizontal="center" vertical="center"/>
    </xf>
    <xf numFmtId="0" fontId="19" fillId="9" borderId="1" xfId="0" applyFont="1" applyFill="1" applyBorder="1" applyAlignment="1" applyProtection="1">
      <alignment horizontal="left" vertical="center"/>
    </xf>
    <xf numFmtId="164" fontId="9" fillId="9" borderId="1" xfId="0" applyNumberFormat="1" applyFont="1" applyFill="1" applyBorder="1" applyAlignment="1" applyProtection="1">
      <alignment horizontal="center" vertical="center"/>
    </xf>
    <xf numFmtId="0" fontId="9" fillId="9" borderId="1" xfId="0" applyFont="1" applyFill="1" applyBorder="1" applyAlignment="1" applyProtection="1">
      <alignment horizontal="center" vertical="center"/>
    </xf>
    <xf numFmtId="0" fontId="19" fillId="7" borderId="1" xfId="0" applyFont="1" applyFill="1" applyBorder="1" applyAlignment="1" applyProtection="1">
      <alignment horizontal="left" vertical="center"/>
    </xf>
    <xf numFmtId="9" fontId="20" fillId="15" borderId="1" xfId="0" applyNumberFormat="1" applyFont="1" applyFill="1" applyBorder="1" applyAlignment="1" applyProtection="1">
      <alignment horizontal="center" vertical="center"/>
    </xf>
    <xf numFmtId="0" fontId="20" fillId="15" borderId="8" xfId="0" applyFont="1" applyFill="1" applyBorder="1" applyAlignment="1" applyProtection="1">
      <alignment horizontal="center" vertical="center"/>
    </xf>
    <xf numFmtId="0" fontId="21" fillId="12" borderId="0" xfId="0" applyFont="1" applyFill="1" applyBorder="1" applyAlignment="1" applyProtection="1">
      <alignment horizontal="left" vertical="top" wrapText="1"/>
    </xf>
    <xf numFmtId="0" fontId="22" fillId="3" borderId="0" xfId="0" applyFont="1" applyFill="1" applyBorder="1" applyAlignment="1" applyProtection="1">
      <alignment horizontal="left" vertical="center"/>
    </xf>
    <xf numFmtId="0" fontId="23" fillId="0" borderId="0" xfId="0" applyFont="1" applyProtection="1"/>
    <xf numFmtId="0" fontId="25" fillId="14" borderId="10" xfId="0" applyFont="1" applyFill="1" applyBorder="1" applyAlignment="1" applyProtection="1">
      <alignment horizontal="center"/>
    </xf>
    <xf numFmtId="0" fontId="26" fillId="0" borderId="0" xfId="0" applyFont="1" applyProtection="1"/>
    <xf numFmtId="0" fontId="26" fillId="11" borderId="10" xfId="0" applyFont="1" applyFill="1" applyBorder="1" applyAlignment="1" applyProtection="1">
      <alignment horizontal="center"/>
    </xf>
    <xf numFmtId="0" fontId="27" fillId="0" borderId="0" xfId="0" applyFont="1" applyProtection="1"/>
    <xf numFmtId="0" fontId="15" fillId="8" borderId="5" xfId="0" applyFont="1" applyFill="1" applyBorder="1" applyAlignment="1" applyProtection="1">
      <alignment horizontal="center" vertical="center"/>
      <protection locked="0"/>
    </xf>
    <xf numFmtId="0" fontId="15" fillId="8" borderId="6" xfId="0" applyFont="1" applyFill="1" applyBorder="1" applyAlignment="1" applyProtection="1">
      <alignment horizontal="center" vertical="center"/>
      <protection locked="0"/>
    </xf>
    <xf numFmtId="0" fontId="16" fillId="13" borderId="7" xfId="0" applyFont="1" applyFill="1" applyBorder="1" applyAlignment="1" applyProtection="1">
      <alignment horizontal="center" vertical="center"/>
      <protection locked="0"/>
    </xf>
    <xf numFmtId="9" fontId="15" fillId="8" borderId="1" xfId="0" applyNumberFormat="1" applyFont="1" applyFill="1" applyBorder="1" applyAlignment="1" applyProtection="1">
      <alignment horizontal="center" vertical="center"/>
      <protection locked="0"/>
    </xf>
    <xf numFmtId="0" fontId="4" fillId="14" borderId="1" xfId="0" applyFont="1" applyFill="1" applyBorder="1" applyAlignment="1" applyProtection="1">
      <alignment horizontal="center" vertical="center" wrapText="1"/>
    </xf>
    <xf numFmtId="0" fontId="28" fillId="9" borderId="1" xfId="0" applyFont="1" applyFill="1" applyBorder="1" applyAlignment="1" applyProtection="1">
      <alignment horizontal="left" vertical="center"/>
    </xf>
    <xf numFmtId="164" fontId="29" fillId="9" borderId="1" xfId="0" applyNumberFormat="1" applyFont="1" applyFill="1" applyBorder="1" applyAlignment="1" applyProtection="1">
      <alignment horizontal="center" vertical="center"/>
    </xf>
    <xf numFmtId="165" fontId="29" fillId="9" borderId="1" xfId="0" applyNumberFormat="1" applyFont="1" applyFill="1" applyBorder="1" applyAlignment="1" applyProtection="1">
      <alignment horizontal="center" vertical="center"/>
    </xf>
    <xf numFmtId="0" fontId="28" fillId="9" borderId="1" xfId="0" applyFont="1" applyFill="1" applyBorder="1" applyAlignment="1" applyProtection="1">
      <alignment horizontal="left" vertical="center" wrapText="1"/>
    </xf>
    <xf numFmtId="0" fontId="30" fillId="7" borderId="1" xfId="0" applyFont="1" applyFill="1" applyBorder="1" applyAlignment="1" applyProtection="1">
      <alignment horizontal="left" vertical="center"/>
    </xf>
    <xf numFmtId="164" fontId="30" fillId="15" borderId="1" xfId="0" applyNumberFormat="1" applyFont="1" applyFill="1" applyBorder="1" applyAlignment="1" applyProtection="1">
      <alignment horizontal="center" vertical="center"/>
    </xf>
    <xf numFmtId="165" fontId="30" fillId="15" borderId="1" xfId="0" applyNumberFormat="1" applyFont="1" applyFill="1" applyBorder="1" applyAlignment="1" applyProtection="1">
      <alignment horizontal="center" vertical="center"/>
    </xf>
    <xf numFmtId="0" fontId="4" fillId="14" borderId="1" xfId="0" applyFont="1" applyFill="1" applyBorder="1" applyAlignment="1" applyProtection="1">
      <alignment horizontal="center" vertical="center"/>
    </xf>
    <xf numFmtId="0" fontId="4" fillId="14" borderId="1" xfId="0" applyFont="1" applyFill="1" applyBorder="1" applyAlignment="1" applyProtection="1">
      <alignment horizontal="center" vertical="center"/>
    </xf>
    <xf numFmtId="0" fontId="30" fillId="11" borderId="1" xfId="0" applyFont="1" applyFill="1" applyBorder="1" applyAlignment="1" applyProtection="1">
      <alignment horizontal="left" vertical="center"/>
    </xf>
    <xf numFmtId="164" fontId="30" fillId="11" borderId="1" xfId="0" applyNumberFormat="1" applyFont="1" applyFill="1" applyBorder="1" applyAlignment="1" applyProtection="1">
      <alignment horizontal="center" vertical="center"/>
    </xf>
    <xf numFmtId="165" fontId="30" fillId="11" borderId="1" xfId="0" applyNumberFormat="1" applyFont="1" applyFill="1" applyBorder="1" applyAlignment="1" applyProtection="1">
      <alignment horizontal="center" vertical="center"/>
    </xf>
    <xf numFmtId="165" fontId="30" fillId="11" borderId="1" xfId="0" applyNumberFormat="1" applyFont="1" applyFill="1" applyBorder="1" applyAlignment="1" applyProtection="1">
      <alignment horizontal="center" vertical="center"/>
    </xf>
    <xf numFmtId="165" fontId="20" fillId="9" borderId="1" xfId="0" applyNumberFormat="1" applyFont="1" applyFill="1" applyBorder="1" applyAlignment="1" applyProtection="1">
      <alignment horizontal="center" vertical="center"/>
    </xf>
    <xf numFmtId="165" fontId="20" fillId="9" borderId="1" xfId="0" applyNumberFormat="1" applyFont="1" applyFill="1" applyBorder="1" applyAlignment="1" applyProtection="1">
      <alignment horizontal="center" vertical="center"/>
    </xf>
    <xf numFmtId="0" fontId="4" fillId="14" borderId="1" xfId="0" applyFont="1" applyFill="1" applyBorder="1" applyAlignment="1" applyProtection="1">
      <alignment horizontal="center" vertical="center" wrapText="1"/>
    </xf>
    <xf numFmtId="0" fontId="31" fillId="12" borderId="0" xfId="0" applyFont="1" applyFill="1" applyBorder="1" applyAlignment="1" applyProtection="1">
      <alignment horizontal="left" vertical="top" wrapText="1"/>
    </xf>
    <xf numFmtId="164" fontId="10" fillId="8" borderId="1" xfId="0" applyNumberFormat="1" applyFont="1" applyFill="1" applyBorder="1" applyAlignment="1" applyProtection="1">
      <alignment horizontal="center" vertical="center"/>
      <protection locked="0"/>
    </xf>
    <xf numFmtId="0" fontId="4" fillId="4" borderId="4" xfId="0" applyFont="1" applyFill="1" applyBorder="1" applyAlignment="1" applyProtection="1">
      <alignment horizontal="center" vertical="center"/>
    </xf>
    <xf numFmtId="0" fontId="4" fillId="4" borderId="0" xfId="0" applyFont="1" applyFill="1" applyBorder="1" applyAlignment="1" applyProtection="1">
      <alignment horizontal="center" vertical="center"/>
    </xf>
    <xf numFmtId="0" fontId="18" fillId="14" borderId="1" xfId="0" applyFont="1" applyFill="1" applyBorder="1" applyAlignment="1" applyProtection="1">
      <alignment horizontal="center" vertical="center" wrapText="1"/>
    </xf>
    <xf numFmtId="0" fontId="14" fillId="9" borderId="1" xfId="0" applyFont="1" applyFill="1" applyBorder="1" applyAlignment="1" applyProtection="1">
      <alignment horizontal="left" vertical="center"/>
    </xf>
    <xf numFmtId="164" fontId="26" fillId="9" borderId="1" xfId="0" applyNumberFormat="1" applyFont="1" applyFill="1" applyBorder="1" applyAlignment="1" applyProtection="1">
      <alignment horizontal="center" vertical="center"/>
    </xf>
    <xf numFmtId="0" fontId="21" fillId="12" borderId="8" xfId="0" applyFont="1" applyFill="1" applyBorder="1" applyAlignment="1" applyProtection="1">
      <alignment horizontal="left" vertical="center"/>
    </xf>
    <xf numFmtId="0" fontId="21" fillId="12" borderId="4" xfId="0" applyFont="1" applyFill="1" applyBorder="1" applyAlignment="1" applyProtection="1">
      <alignment horizontal="left" vertical="center"/>
    </xf>
    <xf numFmtId="0" fontId="14" fillId="7" borderId="1" xfId="0" applyFont="1" applyFill="1" applyBorder="1" applyAlignment="1" applyProtection="1">
      <alignment horizontal="left" vertical="center"/>
    </xf>
    <xf numFmtId="164" fontId="23" fillId="15" borderId="1" xfId="0" applyNumberFormat="1" applyFont="1" applyFill="1" applyBorder="1" applyAlignment="1" applyProtection="1">
      <alignment horizontal="center" vertical="center"/>
    </xf>
    <xf numFmtId="0" fontId="23" fillId="15" borderId="4" xfId="0" applyFont="1" applyFill="1" applyBorder="1" applyAlignment="1" applyProtection="1">
      <alignment horizontal="center" vertical="center"/>
    </xf>
    <xf numFmtId="165" fontId="23" fillId="15" borderId="1" xfId="0" applyNumberFormat="1" applyFont="1" applyFill="1" applyBorder="1" applyAlignment="1" applyProtection="1">
      <alignment horizontal="center" vertical="center"/>
    </xf>
    <xf numFmtId="0" fontId="23" fillId="15" borderId="1" xfId="0" applyFont="1" applyFill="1" applyBorder="1" applyAlignment="1" applyProtection="1">
      <alignment horizontal="center" vertical="center"/>
    </xf>
    <xf numFmtId="164" fontId="15" fillId="8" borderId="1" xfId="0" applyNumberFormat="1" applyFont="1" applyFill="1" applyBorder="1" applyAlignment="1" applyProtection="1">
      <alignment horizontal="center" vertical="center"/>
      <protection locked="0"/>
    </xf>
    <xf numFmtId="0" fontId="32" fillId="3" borderId="0" xfId="0" applyFont="1" applyFill="1" applyBorder="1" applyAlignment="1" applyProtection="1">
      <alignment horizontal="left" vertical="center"/>
    </xf>
    <xf numFmtId="0" fontId="5" fillId="3" borderId="11" xfId="0" applyFont="1" applyFill="1" applyBorder="1" applyAlignment="1" applyProtection="1">
      <alignment vertical="center"/>
    </xf>
    <xf numFmtId="0" fontId="33" fillId="14" borderId="1" xfId="0" applyFont="1" applyFill="1" applyBorder="1" applyAlignment="1" applyProtection="1">
      <alignment horizontal="center" vertical="center" wrapText="1"/>
    </xf>
    <xf numFmtId="0" fontId="26" fillId="10" borderId="1" xfId="0" applyFont="1" applyFill="1" applyBorder="1" applyAlignment="1" applyProtection="1">
      <alignment horizontal="left" vertical="center"/>
    </xf>
    <xf numFmtId="0" fontId="34" fillId="16" borderId="1" xfId="0" applyFont="1" applyFill="1" applyBorder="1" applyAlignment="1" applyProtection="1">
      <alignment horizontal="left" vertical="center" wrapText="1"/>
    </xf>
    <xf numFmtId="164" fontId="35" fillId="16" borderId="1" xfId="0" applyNumberFormat="1" applyFont="1" applyFill="1" applyBorder="1" applyAlignment="1" applyProtection="1">
      <alignment horizontal="center" vertical="center"/>
    </xf>
    <xf numFmtId="0" fontId="19" fillId="7" borderId="12" xfId="0" applyFont="1" applyFill="1" applyBorder="1" applyAlignment="1" applyProtection="1">
      <alignment horizontal="left" vertical="center"/>
    </xf>
    <xf numFmtId="0" fontId="21" fillId="12" borderId="12" xfId="0" applyFont="1" applyFill="1" applyBorder="1" applyAlignment="1" applyProtection="1">
      <alignment horizontal="center" vertical="center"/>
    </xf>
    <xf numFmtId="0" fontId="23" fillId="15" borderId="12" xfId="0" applyFont="1" applyFill="1" applyBorder="1" applyAlignment="1" applyProtection="1">
      <alignment horizontal="center" vertical="center"/>
    </xf>
    <xf numFmtId="0" fontId="31" fillId="12" borderId="2" xfId="0" applyFont="1" applyFill="1" applyBorder="1" applyAlignment="1" applyProtection="1">
      <alignment horizontal="left" vertical="top" wrapText="1"/>
    </xf>
    <xf numFmtId="0" fontId="25" fillId="14" borderId="1" xfId="0" applyFont="1" applyFill="1" applyBorder="1" applyAlignment="1" applyProtection="1">
      <alignment horizontal="center" vertical="center" wrapText="1"/>
    </xf>
    <xf numFmtId="0" fontId="25" fillId="14" borderId="13" xfId="0" applyFont="1" applyFill="1" applyBorder="1" applyAlignment="1" applyProtection="1">
      <alignment horizontal="center" vertical="center" wrapText="1"/>
    </xf>
    <xf numFmtId="164" fontId="26" fillId="9" borderId="10" xfId="0" applyNumberFormat="1" applyFont="1" applyFill="1" applyBorder="1" applyAlignment="1" applyProtection="1">
      <alignment horizontal="center"/>
    </xf>
    <xf numFmtId="1" fontId="26" fillId="9" borderId="10" xfId="0" applyNumberFormat="1" applyFont="1" applyFill="1" applyBorder="1" applyAlignment="1" applyProtection="1">
      <alignment horizontal="center"/>
    </xf>
    <xf numFmtId="1" fontId="26" fillId="9" borderId="10" xfId="0" applyNumberFormat="1" applyFont="1" applyFill="1" applyBorder="1" applyAlignment="1" applyProtection="1">
      <alignment horizontal="center"/>
    </xf>
    <xf numFmtId="0" fontId="35" fillId="0" borderId="0" xfId="0" applyFont="1" applyProtection="1"/>
    <xf numFmtId="165" fontId="26" fillId="9" borderId="10" xfId="0" applyNumberFormat="1" applyFont="1" applyFill="1" applyBorder="1" applyAlignment="1" applyProtection="1">
      <alignment horizontal="center"/>
    </xf>
    <xf numFmtId="165" fontId="35" fillId="9" borderId="10" xfId="0" applyNumberFormat="1" applyFont="1" applyFill="1" applyBorder="1" applyAlignment="1" applyProtection="1">
      <alignment horizontal="center"/>
    </xf>
    <xf numFmtId="0" fontId="26" fillId="9" borderId="10" xfId="0" applyFont="1" applyFill="1" applyBorder="1" applyAlignment="1" applyProtection="1">
      <alignment horizontal="center"/>
    </xf>
    <xf numFmtId="0" fontId="12" fillId="2" borderId="0" xfId="0" applyFont="1" applyFill="1" applyBorder="1" applyAlignment="1" applyProtection="1">
      <alignment horizontal="center" vertical="center"/>
    </xf>
    <xf numFmtId="164" fontId="30" fillId="9" borderId="1" xfId="0" applyNumberFormat="1" applyFont="1" applyFill="1" applyBorder="1" applyAlignment="1" applyProtection="1">
      <alignment horizontal="center" vertical="center"/>
    </xf>
    <xf numFmtId="0" fontId="9" fillId="9" borderId="1" xfId="0" applyFont="1" applyFill="1" applyBorder="1" applyAlignment="1" applyProtection="1">
      <alignment horizontal="left" vertical="center"/>
    </xf>
    <xf numFmtId="165" fontId="30" fillId="9" borderId="1" xfId="0" applyNumberFormat="1" applyFont="1" applyFill="1" applyBorder="1" applyAlignment="1" applyProtection="1">
      <alignment horizontal="center" vertical="center"/>
    </xf>
    <xf numFmtId="0" fontId="28" fillId="9" borderId="1" xfId="0" applyFont="1" applyFill="1" applyBorder="1" applyAlignment="1" applyProtection="1">
      <alignment horizontal="left" vertical="center"/>
    </xf>
    <xf numFmtId="0" fontId="36" fillId="12" borderId="1" xfId="0" applyFont="1" applyFill="1" applyBorder="1" applyAlignment="1" applyProtection="1">
      <alignment vertical="center"/>
    </xf>
    <xf numFmtId="0" fontId="33" fillId="14" borderId="1" xfId="0" applyFont="1" applyFill="1" applyBorder="1" applyAlignment="1" applyProtection="1">
      <alignment horizontal="center" vertical="center"/>
    </xf>
    <xf numFmtId="0" fontId="20" fillId="7" borderId="1" xfId="0" applyFont="1" applyFill="1" applyBorder="1" applyAlignment="1" applyProtection="1">
      <alignment horizontal="left" vertical="center"/>
    </xf>
    <xf numFmtId="164" fontId="20" fillId="15" borderId="1" xfId="0" applyNumberFormat="1" applyFont="1" applyFill="1" applyBorder="1" applyAlignment="1" applyProtection="1">
      <alignment horizontal="center" vertical="center"/>
    </xf>
    <xf numFmtId="165" fontId="20" fillId="15" borderId="1" xfId="0" applyNumberFormat="1" applyFont="1" applyFill="1" applyBorder="1" applyAlignment="1" applyProtection="1">
      <alignment horizontal="center" vertical="center"/>
    </xf>
    <xf numFmtId="0" fontId="20" fillId="15" borderId="1" xfId="0" applyFont="1" applyFill="1" applyBorder="1" applyAlignment="1" applyProtection="1">
      <alignment horizontal="center" vertical="center"/>
    </xf>
    <xf numFmtId="0" fontId="29" fillId="9" borderId="10" xfId="0" applyFont="1" applyFill="1" applyBorder="1" applyProtection="1"/>
    <xf numFmtId="164" fontId="29" fillId="11" borderId="10" xfId="0" applyNumberFormat="1" applyFont="1" applyFill="1" applyBorder="1" applyAlignment="1" applyProtection="1">
      <alignment horizontal="center"/>
    </xf>
    <xf numFmtId="0" fontId="29" fillId="11" borderId="10" xfId="0" applyFont="1" applyFill="1" applyBorder="1" applyAlignment="1" applyProtection="1">
      <alignment horizontal="center"/>
    </xf>
    <xf numFmtId="1" fontId="29" fillId="11" borderId="10" xfId="0" applyNumberFormat="1" applyFont="1" applyFill="1" applyBorder="1" applyAlignment="1" applyProtection="1">
      <alignment horizontal="center"/>
    </xf>
    <xf numFmtId="0" fontId="20" fillId="9" borderId="10" xfId="0" applyFont="1" applyFill="1" applyBorder="1" applyProtection="1"/>
    <xf numFmtId="0" fontId="4" fillId="14" borderId="10" xfId="0" applyFont="1" applyFill="1" applyBorder="1" applyAlignment="1" applyProtection="1">
      <alignment horizontal="center"/>
    </xf>
    <xf numFmtId="164" fontId="29" fillId="11" borderId="10" xfId="0" applyNumberFormat="1" applyFont="1" applyFill="1" applyBorder="1" applyAlignment="1" applyProtection="1">
      <alignment horizontal="center"/>
    </xf>
    <xf numFmtId="165" fontId="29" fillId="11" borderId="10" xfId="0" applyNumberFormat="1" applyFont="1" applyFill="1" applyBorder="1" applyAlignment="1" applyProtection="1">
      <alignment horizontal="center"/>
    </xf>
    <xf numFmtId="0" fontId="27" fillId="0" borderId="0" xfId="0" applyFont="1" applyBorder="1" applyProtection="1"/>
    <xf numFmtId="0" fontId="33" fillId="14" borderId="4" xfId="0" applyFont="1" applyFill="1" applyBorder="1" applyAlignment="1" applyProtection="1">
      <alignment horizontal="center" vertical="center" wrapText="1"/>
    </xf>
    <xf numFmtId="0" fontId="37" fillId="9" borderId="1" xfId="0" applyFont="1" applyFill="1" applyBorder="1" applyAlignment="1" applyProtection="1">
      <alignment horizontal="left" vertical="top" wrapText="1"/>
    </xf>
    <xf numFmtId="0" fontId="37" fillId="9" borderId="1" xfId="0" applyFont="1" applyFill="1" applyBorder="1" applyAlignment="1" applyProtection="1">
      <alignment horizontal="left" vertical="top" wrapText="1"/>
    </xf>
    <xf numFmtId="0" fontId="0" fillId="0" borderId="14" xfId="0" applyBorder="1" applyProtection="1"/>
    <xf numFmtId="0" fontId="0" fillId="0" borderId="15" xfId="0" applyBorder="1" applyProtection="1"/>
    <xf numFmtId="0" fontId="13" fillId="4" borderId="0" xfId="0" applyFont="1" applyFill="1" applyAlignment="1" applyProtection="1">
      <alignment horizontal="center" vertical="center"/>
    </xf>
    <xf numFmtId="0" fontId="38" fillId="3" borderId="0" xfId="0" applyFont="1" applyFill="1" applyBorder="1" applyAlignment="1" applyProtection="1">
      <alignment horizontal="left" vertical="center"/>
    </xf>
    <xf numFmtId="0" fontId="39" fillId="9" borderId="1" xfId="0" applyFont="1" applyFill="1" applyBorder="1" applyAlignment="1" applyProtection="1">
      <alignment horizontal="center" vertical="center"/>
    </xf>
    <xf numFmtId="0" fontId="39" fillId="9" borderId="1" xfId="0" applyFont="1" applyFill="1" applyBorder="1" applyAlignment="1" applyProtection="1">
      <alignment horizontal="left" vertical="center"/>
    </xf>
    <xf numFmtId="1" fontId="39" fillId="9" borderId="1" xfId="0" applyNumberFormat="1" applyFont="1" applyFill="1" applyBorder="1" applyAlignment="1" applyProtection="1">
      <alignment horizontal="center" vertical="center"/>
    </xf>
    <xf numFmtId="0" fontId="37" fillId="11" borderId="1" xfId="0" applyFont="1" applyFill="1" applyBorder="1" applyAlignment="1" applyProtection="1">
      <alignment horizontal="center" vertical="center"/>
    </xf>
    <xf numFmtId="164" fontId="39" fillId="9" borderId="1" xfId="0" applyNumberFormat="1" applyFont="1" applyFill="1" applyBorder="1" applyAlignment="1" applyProtection="1">
      <alignment horizontal="center" vertical="center"/>
    </xf>
    <xf numFmtId="165" fontId="39" fillId="9" borderId="1" xfId="0" applyNumberFormat="1" applyFont="1" applyFill="1" applyBorder="1" applyAlignment="1" applyProtection="1">
      <alignment horizontal="center" vertical="center"/>
    </xf>
    <xf numFmtId="0" fontId="40" fillId="7" borderId="1" xfId="0" applyFont="1" applyFill="1" applyBorder="1" applyAlignment="1" applyProtection="1">
      <alignment horizontal="center" vertical="center"/>
    </xf>
    <xf numFmtId="0" fontId="40" fillId="7" borderId="1" xfId="0" applyFont="1" applyFill="1" applyBorder="1" applyAlignment="1" applyProtection="1">
      <alignment horizontal="left" vertical="center"/>
    </xf>
    <xf numFmtId="0" fontId="41" fillId="15" borderId="1" xfId="0" applyFont="1" applyFill="1" applyBorder="1" applyAlignment="1" applyProtection="1">
      <alignment horizontal="center" vertical="center"/>
    </xf>
    <xf numFmtId="0" fontId="4" fillId="14" borderId="10" xfId="0" applyFont="1" applyFill="1" applyBorder="1" applyAlignment="1" applyProtection="1">
      <alignment horizontal="center" vertical="center" wrapText="1"/>
    </xf>
    <xf numFmtId="0" fontId="39" fillId="17" borderId="10" xfId="0" applyFont="1" applyFill="1" applyBorder="1" applyProtection="1"/>
    <xf numFmtId="0" fontId="37" fillId="17" borderId="10" xfId="0" applyFont="1" applyFill="1" applyBorder="1" applyAlignment="1" applyProtection="1">
      <alignment horizontal="center"/>
    </xf>
    <xf numFmtId="0" fontId="42" fillId="17" borderId="10" xfId="0" applyFont="1" applyFill="1" applyBorder="1" applyAlignment="1" applyProtection="1">
      <alignment horizontal="center"/>
    </xf>
    <xf numFmtId="0" fontId="43" fillId="17" borderId="10" xfId="0" applyFont="1" applyFill="1" applyBorder="1" applyProtection="1"/>
    <xf numFmtId="0" fontId="39" fillId="9" borderId="10" xfId="0" applyFont="1" applyFill="1" applyBorder="1" applyProtection="1"/>
    <xf numFmtId="0" fontId="37" fillId="9" borderId="10" xfId="0" applyFont="1" applyFill="1" applyBorder="1" applyAlignment="1" applyProtection="1">
      <alignment horizontal="center"/>
    </xf>
    <xf numFmtId="0" fontId="42" fillId="9" borderId="10" xfId="0" applyFont="1" applyFill="1" applyBorder="1" applyAlignment="1" applyProtection="1">
      <alignment horizontal="center"/>
    </xf>
    <xf numFmtId="0" fontId="43" fillId="9" borderId="10" xfId="0" applyFont="1" applyFill="1" applyBorder="1" applyProtection="1"/>
    <xf numFmtId="0" fontId="29" fillId="0" borderId="1" xfId="0" applyFont="1" applyBorder="1" applyAlignment="1" applyProtection="1">
      <alignment horizontal="left" vertical="center"/>
    </xf>
    <xf numFmtId="0" fontId="17" fillId="0" borderId="0" xfId="0" applyFont="1" applyBorder="1" applyAlignment="1" applyProtection="1">
      <alignment horizontal="left" vertical="center"/>
    </xf>
    <xf numFmtId="0" fontId="37" fillId="7" borderId="1" xfId="0" applyFont="1" applyFill="1" applyBorder="1" applyAlignment="1" applyProtection="1">
      <alignment horizontal="left" vertical="center"/>
    </xf>
    <xf numFmtId="9" fontId="37" fillId="15" borderId="1" xfId="0" applyNumberFormat="1" applyFont="1" applyFill="1" applyBorder="1" applyAlignment="1" applyProtection="1">
      <alignment horizontal="center" vertical="center"/>
    </xf>
    <xf numFmtId="0" fontId="11" fillId="12" borderId="0" xfId="0" applyFont="1" applyFill="1" applyBorder="1" applyAlignment="1" applyProtection="1">
      <alignment horizontal="left" vertical="top" wrapText="1"/>
    </xf>
    <xf numFmtId="0" fontId="44" fillId="8" borderId="1" xfId="0" applyFont="1" applyFill="1" applyBorder="1" applyAlignment="1" applyProtection="1">
      <alignment horizontal="center" vertical="center"/>
      <protection locked="0"/>
    </xf>
    <xf numFmtId="9" fontId="44" fillId="8" borderId="1" xfId="0" applyNumberFormat="1" applyFont="1" applyFill="1" applyBorder="1" applyAlignment="1" applyProtection="1">
      <alignment horizontal="center" vertical="center"/>
      <protection locked="0"/>
    </xf>
    <xf numFmtId="0" fontId="45" fillId="8" borderId="1" xfId="0" applyFont="1" applyFill="1" applyBorder="1" applyAlignment="1" applyProtection="1">
      <alignment horizontal="center" vertical="center"/>
      <protection locked="0"/>
    </xf>
    <xf numFmtId="9" fontId="45" fillId="8" borderId="1" xfId="0" applyNumberFormat="1" applyFont="1" applyFill="1" applyBorder="1" applyAlignment="1" applyProtection="1">
      <alignment horizontal="center" vertical="center"/>
      <protection locked="0"/>
    </xf>
    <xf numFmtId="0" fontId="4" fillId="4" borderId="0" xfId="0" applyFont="1" applyFill="1" applyAlignment="1" applyProtection="1">
      <alignment horizontal="center" vertical="center"/>
    </xf>
    <xf numFmtId="0" fontId="4" fillId="14" borderId="16" xfId="0" applyFont="1" applyFill="1" applyBorder="1" applyAlignment="1" applyProtection="1">
      <alignment horizontal="center" vertical="center" wrapText="1"/>
    </xf>
    <xf numFmtId="0" fontId="4" fillId="14" borderId="4" xfId="0" applyFont="1" applyFill="1" applyBorder="1" applyAlignment="1" applyProtection="1">
      <alignment horizontal="center" vertical="center"/>
    </xf>
    <xf numFmtId="0" fontId="39" fillId="9" borderId="1" xfId="0" applyFont="1" applyFill="1" applyBorder="1" applyAlignment="1" applyProtection="1">
      <alignment horizontal="left" vertical="top" wrapText="1"/>
    </xf>
    <xf numFmtId="0" fontId="39" fillId="9" borderId="1" xfId="0" applyFont="1" applyFill="1" applyBorder="1" applyAlignment="1" applyProtection="1">
      <alignment horizontal="left" vertical="top" wrapText="1"/>
    </xf>
    <xf numFmtId="0" fontId="39" fillId="9" borderId="1" xfId="0" applyFont="1" applyFill="1" applyBorder="1" applyAlignment="1" applyProtection="1">
      <alignment horizontal="center" vertical="top" wrapText="1"/>
    </xf>
    <xf numFmtId="0" fontId="13" fillId="4" borderId="0" xfId="0" applyFont="1" applyFill="1" applyBorder="1" applyAlignment="1" applyProtection="1">
      <alignment horizontal="center" vertical="center"/>
    </xf>
    <xf numFmtId="0" fontId="18" fillId="14" borderId="10" xfId="0" applyFont="1" applyFill="1" applyBorder="1" applyAlignment="1" applyProtection="1">
      <alignment horizontal="center" vertical="center" wrapText="1"/>
    </xf>
    <xf numFmtId="0" fontId="4" fillId="14" borderId="0" xfId="0" applyFont="1" applyFill="1" applyProtection="1"/>
    <xf numFmtId="0" fontId="39" fillId="17" borderId="10" xfId="0" applyFont="1" applyFill="1" applyBorder="1" applyAlignment="1" applyProtection="1">
      <alignment horizontal="center"/>
    </xf>
    <xf numFmtId="0" fontId="46" fillId="17" borderId="10" xfId="0" applyFont="1" applyFill="1" applyBorder="1" applyAlignment="1" applyProtection="1">
      <alignment horizontal="center"/>
    </xf>
    <xf numFmtId="0" fontId="39" fillId="9" borderId="10" xfId="0" applyFont="1" applyFill="1" applyBorder="1" applyAlignment="1" applyProtection="1">
      <alignment horizontal="center"/>
    </xf>
    <xf numFmtId="0" fontId="46" fillId="9" borderId="10" xfId="0" applyFont="1" applyFill="1" applyBorder="1" applyAlignment="1" applyProtection="1">
      <alignment horizontal="center"/>
    </xf>
    <xf numFmtId="0" fontId="23" fillId="6" borderId="17" xfId="0" applyFont="1" applyFill="1" applyBorder="1" applyAlignment="1" applyProtection="1">
      <alignment horizontal="left" vertical="center" wrapText="1"/>
    </xf>
    <xf numFmtId="0" fontId="47" fillId="14" borderId="10" xfId="0" applyFont="1" applyFill="1" applyBorder="1" applyAlignment="1" applyProtection="1">
      <alignment horizontal="center" vertical="center" wrapText="1"/>
    </xf>
    <xf numFmtId="0" fontId="48" fillId="9" borderId="0" xfId="0" applyFont="1" applyFill="1" applyProtection="1"/>
    <xf numFmtId="0" fontId="50" fillId="11" borderId="10" xfId="0" applyFont="1" applyFill="1" applyBorder="1" applyAlignment="1" applyProtection="1">
      <alignment horizontal="center"/>
    </xf>
    <xf numFmtId="0" fontId="48" fillId="9" borderId="10" xfId="0" applyFont="1" applyFill="1" applyBorder="1" applyAlignment="1" applyProtection="1">
      <alignment horizontal="center" wrapText="1"/>
    </xf>
    <xf numFmtId="0" fontId="48" fillId="9" borderId="10" xfId="0" applyFont="1" applyFill="1" applyBorder="1" applyAlignment="1" applyProtection="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E7E2F2"/>
      <rgbColor rgb="FF0000CC"/>
      <rgbColor rgb="FFF7E2D2"/>
      <rgbColor rgb="FFE7E0F5"/>
      <rgbColor rgb="FFB3B3B3"/>
      <rgbColor rgb="FF800000"/>
      <rgbColor rgb="FF155E6C"/>
      <rgbColor rgb="FF000080"/>
      <rgbColor rgb="FF8AA64F"/>
      <rgbColor rgb="FF8064A2"/>
      <rgbColor rgb="FF1C6B72"/>
      <rgbColor rgb="FFBFC9CB"/>
      <rgbColor rgb="FF7F7F7F"/>
      <rgbColor rgb="FF93A9CE"/>
      <rgbColor rgb="FFAB4744"/>
      <rgbColor rgb="FFFCEFCE"/>
      <rgbColor rgb="FFDCEFF1"/>
      <rgbColor rgb="FF586A6C"/>
      <rgbColor rgb="FFDC853E"/>
      <rgbColor rgb="FF004586"/>
      <rgbColor rgb="FFC4D2CE"/>
      <rgbColor rgb="FF000080"/>
      <rgbColor rgb="FFF3F6F5"/>
      <rgbColor rgb="FFB8CD97"/>
      <rgbColor rgb="FFD9D9D9"/>
      <rgbColor rgb="FF800080"/>
      <rgbColor rgb="FF800000"/>
      <rgbColor rgb="FF24726B"/>
      <rgbColor rgb="FF0000FF"/>
      <rgbColor rgb="FF4F81BD"/>
      <rgbColor rgb="FFD8E7E2"/>
      <rgbColor rgb="FFDCEEDD"/>
      <rgbColor rgb="FFFBE4D5"/>
      <rgbColor rgb="FF92C3D5"/>
      <rgbColor rgb="FFE6B9B8"/>
      <rgbColor rgb="FFA99BBD"/>
      <rgbColor rgb="FFFFCC99"/>
      <rgbColor rgb="FF4672A8"/>
      <rgbColor rgb="FF4BACC6"/>
      <rgbColor rgb="FF9BBB59"/>
      <rgbColor rgb="FFF8B590"/>
      <rgbColor rgb="FFF79646"/>
      <rgbColor rgb="FFD09493"/>
      <rgbColor rgb="FF725990"/>
      <rgbColor rgb="FF878787"/>
      <rgbColor rgb="FF17324D"/>
      <rgbColor rgb="FF4299B0"/>
      <rgbColor rgb="FF595959"/>
      <rgbColor rgb="FF1A1A1A"/>
      <rgbColor rgb="FFB4560A"/>
      <rgbColor rgb="FFC0504D"/>
      <rgbColor rgb="FF3F3F76"/>
      <rgbColor rgb="FF1530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L" sz="1800" b="1" strike="noStrike" spc="-1">
                <a:solidFill>
                  <a:srgbClr val="000000"/>
                </a:solidFill>
                <a:latin typeface="Calibri"/>
              </a:defRPr>
            </a:pPr>
            <a:r>
              <a:rPr lang="es-CL" sz="1800" b="1" strike="noStrike" spc="-1">
                <a:solidFill>
                  <a:srgbClr val="000000"/>
                </a:solidFill>
                <a:latin typeface="Calibri"/>
              </a:rPr>
              <a:t>Aporte energético por grupo de equivalencia</a:t>
            </a:r>
          </a:p>
        </c:rich>
      </c:tx>
      <c:layout>
        <c:manualLayout>
          <c:xMode val="edge"/>
          <c:yMode val="edge"/>
          <c:x val="1.4244202609537901E-3"/>
          <c:y val="0"/>
        </c:manualLayout>
      </c:layout>
      <c:overlay val="0"/>
      <c:spPr>
        <a:noFill/>
        <a:ln w="0">
          <a:noFill/>
        </a:ln>
      </c:spPr>
    </c:title>
    <c:autoTitleDeleted val="0"/>
    <c:plotArea>
      <c:layout/>
      <c:pieChart>
        <c:varyColors val="1"/>
        <c:ser>
          <c:idx val="0"/>
          <c:order val="0"/>
          <c:tx>
            <c:strRef>
              <c:f>DIETOSINTESIS!$F$6</c:f>
              <c:strCache>
                <c:ptCount val="1"/>
                <c:pt idx="0">
                  <c:v>Energía (kcal)</c:v>
                </c:pt>
              </c:strCache>
            </c:strRef>
          </c:tx>
          <c:spPr>
            <a:solidFill>
              <a:srgbClr val="4F81BD"/>
            </a:solidFill>
            <a:ln w="0">
              <a:noFill/>
            </a:ln>
          </c:spPr>
          <c:dPt>
            <c:idx val="0"/>
            <c:bubble3D val="0"/>
            <c:spPr>
              <a:solidFill>
                <a:srgbClr val="4672A8"/>
              </a:solidFill>
              <a:ln w="0">
                <a:noFill/>
              </a:ln>
            </c:spPr>
            <c:extLst>
              <c:ext xmlns:c16="http://schemas.microsoft.com/office/drawing/2014/chart" uri="{C3380CC4-5D6E-409C-BE32-E72D297353CC}">
                <c16:uniqueId val="{00000001-0853-4CB2-8813-45C9E153E9CC}"/>
              </c:ext>
            </c:extLst>
          </c:dPt>
          <c:dPt>
            <c:idx val="1"/>
            <c:bubble3D val="0"/>
            <c:spPr>
              <a:solidFill>
                <a:srgbClr val="AB4744"/>
              </a:solidFill>
              <a:ln w="0">
                <a:noFill/>
              </a:ln>
            </c:spPr>
            <c:extLst>
              <c:ext xmlns:c16="http://schemas.microsoft.com/office/drawing/2014/chart" uri="{C3380CC4-5D6E-409C-BE32-E72D297353CC}">
                <c16:uniqueId val="{00000003-0853-4CB2-8813-45C9E153E9CC}"/>
              </c:ext>
            </c:extLst>
          </c:dPt>
          <c:dPt>
            <c:idx val="2"/>
            <c:bubble3D val="0"/>
            <c:spPr>
              <a:solidFill>
                <a:srgbClr val="8AA64F"/>
              </a:solidFill>
              <a:ln w="0">
                <a:noFill/>
              </a:ln>
            </c:spPr>
            <c:extLst>
              <c:ext xmlns:c16="http://schemas.microsoft.com/office/drawing/2014/chart" uri="{C3380CC4-5D6E-409C-BE32-E72D297353CC}">
                <c16:uniqueId val="{00000005-0853-4CB2-8813-45C9E153E9CC}"/>
              </c:ext>
            </c:extLst>
          </c:dPt>
          <c:dPt>
            <c:idx val="3"/>
            <c:bubble3D val="0"/>
            <c:spPr>
              <a:solidFill>
                <a:srgbClr val="725990"/>
              </a:solidFill>
              <a:ln w="0">
                <a:noFill/>
              </a:ln>
            </c:spPr>
            <c:extLst>
              <c:ext xmlns:c16="http://schemas.microsoft.com/office/drawing/2014/chart" uri="{C3380CC4-5D6E-409C-BE32-E72D297353CC}">
                <c16:uniqueId val="{00000007-0853-4CB2-8813-45C9E153E9CC}"/>
              </c:ext>
            </c:extLst>
          </c:dPt>
          <c:dPt>
            <c:idx val="4"/>
            <c:bubble3D val="0"/>
            <c:spPr>
              <a:solidFill>
                <a:srgbClr val="4299B0"/>
              </a:solidFill>
              <a:ln w="0">
                <a:noFill/>
              </a:ln>
            </c:spPr>
            <c:extLst>
              <c:ext xmlns:c16="http://schemas.microsoft.com/office/drawing/2014/chart" uri="{C3380CC4-5D6E-409C-BE32-E72D297353CC}">
                <c16:uniqueId val="{00000009-0853-4CB2-8813-45C9E153E9CC}"/>
              </c:ext>
            </c:extLst>
          </c:dPt>
          <c:dPt>
            <c:idx val="5"/>
            <c:bubble3D val="0"/>
            <c:spPr>
              <a:solidFill>
                <a:srgbClr val="DC853E"/>
              </a:solidFill>
              <a:ln w="0">
                <a:noFill/>
              </a:ln>
            </c:spPr>
            <c:extLst>
              <c:ext xmlns:c16="http://schemas.microsoft.com/office/drawing/2014/chart" uri="{C3380CC4-5D6E-409C-BE32-E72D297353CC}">
                <c16:uniqueId val="{0000000B-0853-4CB2-8813-45C9E153E9CC}"/>
              </c:ext>
            </c:extLst>
          </c:dPt>
          <c:dPt>
            <c:idx val="6"/>
            <c:bubble3D val="0"/>
            <c:spPr>
              <a:solidFill>
                <a:srgbClr val="93A9CE"/>
              </a:solidFill>
              <a:ln w="0">
                <a:noFill/>
              </a:ln>
            </c:spPr>
            <c:extLst>
              <c:ext xmlns:c16="http://schemas.microsoft.com/office/drawing/2014/chart" uri="{C3380CC4-5D6E-409C-BE32-E72D297353CC}">
                <c16:uniqueId val="{0000000D-0853-4CB2-8813-45C9E153E9CC}"/>
              </c:ext>
            </c:extLst>
          </c:dPt>
          <c:dPt>
            <c:idx val="7"/>
            <c:bubble3D val="0"/>
            <c:spPr>
              <a:solidFill>
                <a:srgbClr val="D09493"/>
              </a:solidFill>
              <a:ln w="0">
                <a:noFill/>
              </a:ln>
            </c:spPr>
            <c:extLst>
              <c:ext xmlns:c16="http://schemas.microsoft.com/office/drawing/2014/chart" uri="{C3380CC4-5D6E-409C-BE32-E72D297353CC}">
                <c16:uniqueId val="{0000000F-0853-4CB2-8813-45C9E153E9CC}"/>
              </c:ext>
            </c:extLst>
          </c:dPt>
          <c:dPt>
            <c:idx val="8"/>
            <c:bubble3D val="0"/>
            <c:spPr>
              <a:solidFill>
                <a:srgbClr val="B8CD97"/>
              </a:solidFill>
              <a:ln w="0">
                <a:noFill/>
              </a:ln>
            </c:spPr>
            <c:extLst>
              <c:ext xmlns:c16="http://schemas.microsoft.com/office/drawing/2014/chart" uri="{C3380CC4-5D6E-409C-BE32-E72D297353CC}">
                <c16:uniqueId val="{00000011-0853-4CB2-8813-45C9E153E9CC}"/>
              </c:ext>
            </c:extLst>
          </c:dPt>
          <c:dPt>
            <c:idx val="9"/>
            <c:bubble3D val="0"/>
            <c:spPr>
              <a:solidFill>
                <a:srgbClr val="A99BBD"/>
              </a:solidFill>
              <a:ln w="0">
                <a:noFill/>
              </a:ln>
            </c:spPr>
            <c:extLst>
              <c:ext xmlns:c16="http://schemas.microsoft.com/office/drawing/2014/chart" uri="{C3380CC4-5D6E-409C-BE32-E72D297353CC}">
                <c16:uniqueId val="{00000013-0853-4CB2-8813-45C9E153E9CC}"/>
              </c:ext>
            </c:extLst>
          </c:dPt>
          <c:dPt>
            <c:idx val="10"/>
            <c:bubble3D val="0"/>
            <c:spPr>
              <a:solidFill>
                <a:srgbClr val="92C3D5"/>
              </a:solidFill>
              <a:ln w="0">
                <a:noFill/>
              </a:ln>
            </c:spPr>
            <c:extLst>
              <c:ext xmlns:c16="http://schemas.microsoft.com/office/drawing/2014/chart" uri="{C3380CC4-5D6E-409C-BE32-E72D297353CC}">
                <c16:uniqueId val="{00000015-0853-4CB2-8813-45C9E153E9CC}"/>
              </c:ext>
            </c:extLst>
          </c:dPt>
          <c:dPt>
            <c:idx val="11"/>
            <c:bubble3D val="0"/>
            <c:spPr>
              <a:solidFill>
                <a:srgbClr val="F8B590"/>
              </a:solidFill>
              <a:ln w="0">
                <a:noFill/>
              </a:ln>
            </c:spPr>
            <c:extLst>
              <c:ext xmlns:c16="http://schemas.microsoft.com/office/drawing/2014/chart" uri="{C3380CC4-5D6E-409C-BE32-E72D297353CC}">
                <c16:uniqueId val="{00000017-0853-4CB2-8813-45C9E153E9CC}"/>
              </c:ext>
            </c:extLst>
          </c:dPt>
          <c:dPt>
            <c:idx val="12"/>
            <c:bubble3D val="0"/>
            <c:spPr>
              <a:solidFill>
                <a:srgbClr val="004586"/>
              </a:solidFill>
              <a:ln w="0">
                <a:noFill/>
              </a:ln>
            </c:spPr>
            <c:extLst>
              <c:ext xmlns:c16="http://schemas.microsoft.com/office/drawing/2014/chart" uri="{C3380CC4-5D6E-409C-BE32-E72D297353CC}">
                <c16:uniqueId val="{00000019-0853-4CB2-8813-45C9E153E9CC}"/>
              </c:ext>
            </c:extLst>
          </c:dPt>
          <c:dLbls>
            <c:dLbl>
              <c:idx val="0"/>
              <c:spPr/>
              <c:txPr>
                <a:bodyPr wrap="square"/>
                <a:lstStyle/>
                <a:p>
                  <a:pPr>
                    <a:defRPr sz="1000" b="0" strike="noStrike" spc="-1">
                      <a:solidFill>
                        <a:srgbClr val="000000"/>
                      </a:solidFill>
                      <a:latin typeface="Arial"/>
                    </a:defRPr>
                  </a:pPr>
                  <a:endParaRPr lang="es-CL"/>
                </a:p>
              </c:txPr>
              <c:dLblPos val="bestFit"/>
              <c:showLegendKey val="0"/>
              <c:showVal val="0"/>
              <c:showCatName val="0"/>
              <c:showSerName val="0"/>
              <c:showPercent val="0"/>
              <c:showBubbleSize val="1"/>
              <c:extLst>
                <c:ext xmlns:c16="http://schemas.microsoft.com/office/drawing/2014/chart" uri="{C3380CC4-5D6E-409C-BE32-E72D297353CC}">
                  <c16:uniqueId val="{00000001-0853-4CB2-8813-45C9E153E9CC}"/>
                </c:ext>
              </c:extLst>
            </c:dLbl>
            <c:dLbl>
              <c:idx val="1"/>
              <c:spPr/>
              <c:txPr>
                <a:bodyPr wrap="square"/>
                <a:lstStyle/>
                <a:p>
                  <a:pPr>
                    <a:defRPr sz="1000" b="0" strike="noStrike" spc="-1">
                      <a:solidFill>
                        <a:srgbClr val="000000"/>
                      </a:solidFill>
                      <a:latin typeface="Arial"/>
                    </a:defRPr>
                  </a:pPr>
                  <a:endParaRPr lang="es-CL"/>
                </a:p>
              </c:txPr>
              <c:dLblPos val="bestFit"/>
              <c:showLegendKey val="0"/>
              <c:showVal val="0"/>
              <c:showCatName val="0"/>
              <c:showSerName val="0"/>
              <c:showPercent val="0"/>
              <c:showBubbleSize val="1"/>
              <c:extLst>
                <c:ext xmlns:c16="http://schemas.microsoft.com/office/drawing/2014/chart" uri="{C3380CC4-5D6E-409C-BE32-E72D297353CC}">
                  <c16:uniqueId val="{00000003-0853-4CB2-8813-45C9E153E9CC}"/>
                </c:ext>
              </c:extLst>
            </c:dLbl>
            <c:dLbl>
              <c:idx val="2"/>
              <c:spPr/>
              <c:txPr>
                <a:bodyPr wrap="square"/>
                <a:lstStyle/>
                <a:p>
                  <a:pPr>
                    <a:defRPr sz="1000" b="0" strike="noStrike" spc="-1">
                      <a:solidFill>
                        <a:srgbClr val="000000"/>
                      </a:solidFill>
                      <a:latin typeface="Arial"/>
                    </a:defRPr>
                  </a:pPr>
                  <a:endParaRPr lang="es-CL"/>
                </a:p>
              </c:txPr>
              <c:dLblPos val="bestFit"/>
              <c:showLegendKey val="0"/>
              <c:showVal val="0"/>
              <c:showCatName val="0"/>
              <c:showSerName val="0"/>
              <c:showPercent val="0"/>
              <c:showBubbleSize val="1"/>
              <c:extLst>
                <c:ext xmlns:c16="http://schemas.microsoft.com/office/drawing/2014/chart" uri="{C3380CC4-5D6E-409C-BE32-E72D297353CC}">
                  <c16:uniqueId val="{00000005-0853-4CB2-8813-45C9E153E9CC}"/>
                </c:ext>
              </c:extLst>
            </c:dLbl>
            <c:dLbl>
              <c:idx val="3"/>
              <c:spPr/>
              <c:txPr>
                <a:bodyPr wrap="square"/>
                <a:lstStyle/>
                <a:p>
                  <a:pPr>
                    <a:defRPr sz="1000" b="0" strike="noStrike" spc="-1">
                      <a:solidFill>
                        <a:srgbClr val="000000"/>
                      </a:solidFill>
                      <a:latin typeface="Arial"/>
                    </a:defRPr>
                  </a:pPr>
                  <a:endParaRPr lang="es-CL"/>
                </a:p>
              </c:txPr>
              <c:dLblPos val="bestFit"/>
              <c:showLegendKey val="0"/>
              <c:showVal val="0"/>
              <c:showCatName val="0"/>
              <c:showSerName val="0"/>
              <c:showPercent val="0"/>
              <c:showBubbleSize val="1"/>
              <c:extLst>
                <c:ext xmlns:c16="http://schemas.microsoft.com/office/drawing/2014/chart" uri="{C3380CC4-5D6E-409C-BE32-E72D297353CC}">
                  <c16:uniqueId val="{00000007-0853-4CB2-8813-45C9E153E9CC}"/>
                </c:ext>
              </c:extLst>
            </c:dLbl>
            <c:dLbl>
              <c:idx val="4"/>
              <c:spPr/>
              <c:txPr>
                <a:bodyPr wrap="square"/>
                <a:lstStyle/>
                <a:p>
                  <a:pPr>
                    <a:defRPr sz="1000" b="0" strike="noStrike" spc="-1">
                      <a:solidFill>
                        <a:srgbClr val="000000"/>
                      </a:solidFill>
                      <a:latin typeface="Arial"/>
                    </a:defRPr>
                  </a:pPr>
                  <a:endParaRPr lang="es-CL"/>
                </a:p>
              </c:txPr>
              <c:dLblPos val="bestFit"/>
              <c:showLegendKey val="0"/>
              <c:showVal val="0"/>
              <c:showCatName val="0"/>
              <c:showSerName val="0"/>
              <c:showPercent val="0"/>
              <c:showBubbleSize val="1"/>
              <c:extLst>
                <c:ext xmlns:c16="http://schemas.microsoft.com/office/drawing/2014/chart" uri="{C3380CC4-5D6E-409C-BE32-E72D297353CC}">
                  <c16:uniqueId val="{00000009-0853-4CB2-8813-45C9E153E9CC}"/>
                </c:ext>
              </c:extLst>
            </c:dLbl>
            <c:dLbl>
              <c:idx val="5"/>
              <c:spPr/>
              <c:txPr>
                <a:bodyPr wrap="square"/>
                <a:lstStyle/>
                <a:p>
                  <a:pPr>
                    <a:defRPr sz="1000" b="0" strike="noStrike" spc="-1">
                      <a:solidFill>
                        <a:srgbClr val="000000"/>
                      </a:solidFill>
                      <a:latin typeface="Arial"/>
                    </a:defRPr>
                  </a:pPr>
                  <a:endParaRPr lang="es-CL"/>
                </a:p>
              </c:txPr>
              <c:dLblPos val="bestFit"/>
              <c:showLegendKey val="0"/>
              <c:showVal val="0"/>
              <c:showCatName val="0"/>
              <c:showSerName val="0"/>
              <c:showPercent val="0"/>
              <c:showBubbleSize val="1"/>
              <c:extLst>
                <c:ext xmlns:c16="http://schemas.microsoft.com/office/drawing/2014/chart" uri="{C3380CC4-5D6E-409C-BE32-E72D297353CC}">
                  <c16:uniqueId val="{0000000B-0853-4CB2-8813-45C9E153E9CC}"/>
                </c:ext>
              </c:extLst>
            </c:dLbl>
            <c:dLbl>
              <c:idx val="6"/>
              <c:spPr/>
              <c:txPr>
                <a:bodyPr wrap="square"/>
                <a:lstStyle/>
                <a:p>
                  <a:pPr>
                    <a:defRPr sz="1000" b="0" strike="noStrike" spc="-1">
                      <a:solidFill>
                        <a:srgbClr val="000000"/>
                      </a:solidFill>
                      <a:latin typeface="Arial"/>
                    </a:defRPr>
                  </a:pPr>
                  <a:endParaRPr lang="es-CL"/>
                </a:p>
              </c:txPr>
              <c:dLblPos val="bestFit"/>
              <c:showLegendKey val="0"/>
              <c:showVal val="0"/>
              <c:showCatName val="0"/>
              <c:showSerName val="0"/>
              <c:showPercent val="0"/>
              <c:showBubbleSize val="1"/>
              <c:extLst>
                <c:ext xmlns:c16="http://schemas.microsoft.com/office/drawing/2014/chart" uri="{C3380CC4-5D6E-409C-BE32-E72D297353CC}">
                  <c16:uniqueId val="{0000000D-0853-4CB2-8813-45C9E153E9CC}"/>
                </c:ext>
              </c:extLst>
            </c:dLbl>
            <c:dLbl>
              <c:idx val="7"/>
              <c:spPr/>
              <c:txPr>
                <a:bodyPr wrap="square"/>
                <a:lstStyle/>
                <a:p>
                  <a:pPr>
                    <a:defRPr sz="1000" b="0" strike="noStrike" spc="-1">
                      <a:solidFill>
                        <a:srgbClr val="000000"/>
                      </a:solidFill>
                      <a:latin typeface="Arial"/>
                    </a:defRPr>
                  </a:pPr>
                  <a:endParaRPr lang="es-CL"/>
                </a:p>
              </c:txPr>
              <c:dLblPos val="bestFit"/>
              <c:showLegendKey val="0"/>
              <c:showVal val="0"/>
              <c:showCatName val="0"/>
              <c:showSerName val="0"/>
              <c:showPercent val="0"/>
              <c:showBubbleSize val="1"/>
              <c:extLst>
                <c:ext xmlns:c16="http://schemas.microsoft.com/office/drawing/2014/chart" uri="{C3380CC4-5D6E-409C-BE32-E72D297353CC}">
                  <c16:uniqueId val="{0000000F-0853-4CB2-8813-45C9E153E9CC}"/>
                </c:ext>
              </c:extLst>
            </c:dLbl>
            <c:dLbl>
              <c:idx val="8"/>
              <c:spPr/>
              <c:txPr>
                <a:bodyPr wrap="square"/>
                <a:lstStyle/>
                <a:p>
                  <a:pPr>
                    <a:defRPr sz="1000" b="0" strike="noStrike" spc="-1">
                      <a:solidFill>
                        <a:srgbClr val="000000"/>
                      </a:solidFill>
                      <a:latin typeface="Arial"/>
                    </a:defRPr>
                  </a:pPr>
                  <a:endParaRPr lang="es-CL"/>
                </a:p>
              </c:txPr>
              <c:dLblPos val="bestFit"/>
              <c:showLegendKey val="0"/>
              <c:showVal val="0"/>
              <c:showCatName val="0"/>
              <c:showSerName val="0"/>
              <c:showPercent val="0"/>
              <c:showBubbleSize val="1"/>
              <c:extLst>
                <c:ext xmlns:c16="http://schemas.microsoft.com/office/drawing/2014/chart" uri="{C3380CC4-5D6E-409C-BE32-E72D297353CC}">
                  <c16:uniqueId val="{00000011-0853-4CB2-8813-45C9E153E9CC}"/>
                </c:ext>
              </c:extLst>
            </c:dLbl>
            <c:dLbl>
              <c:idx val="9"/>
              <c:spPr/>
              <c:txPr>
                <a:bodyPr wrap="square"/>
                <a:lstStyle/>
                <a:p>
                  <a:pPr>
                    <a:defRPr sz="1000" b="0" strike="noStrike" spc="-1">
                      <a:solidFill>
                        <a:srgbClr val="000000"/>
                      </a:solidFill>
                      <a:latin typeface="Arial"/>
                    </a:defRPr>
                  </a:pPr>
                  <a:endParaRPr lang="es-CL"/>
                </a:p>
              </c:txPr>
              <c:dLblPos val="bestFit"/>
              <c:showLegendKey val="0"/>
              <c:showVal val="0"/>
              <c:showCatName val="0"/>
              <c:showSerName val="0"/>
              <c:showPercent val="0"/>
              <c:showBubbleSize val="1"/>
              <c:extLst>
                <c:ext xmlns:c16="http://schemas.microsoft.com/office/drawing/2014/chart" uri="{C3380CC4-5D6E-409C-BE32-E72D297353CC}">
                  <c16:uniqueId val="{00000013-0853-4CB2-8813-45C9E153E9CC}"/>
                </c:ext>
              </c:extLst>
            </c:dLbl>
            <c:dLbl>
              <c:idx val="10"/>
              <c:spPr/>
              <c:txPr>
                <a:bodyPr wrap="square"/>
                <a:lstStyle/>
                <a:p>
                  <a:pPr>
                    <a:defRPr sz="1000" b="0" strike="noStrike" spc="-1">
                      <a:solidFill>
                        <a:srgbClr val="000000"/>
                      </a:solidFill>
                      <a:latin typeface="Arial"/>
                    </a:defRPr>
                  </a:pPr>
                  <a:endParaRPr lang="es-CL"/>
                </a:p>
              </c:txPr>
              <c:dLblPos val="bestFit"/>
              <c:showLegendKey val="0"/>
              <c:showVal val="0"/>
              <c:showCatName val="0"/>
              <c:showSerName val="0"/>
              <c:showPercent val="0"/>
              <c:showBubbleSize val="1"/>
              <c:extLst>
                <c:ext xmlns:c16="http://schemas.microsoft.com/office/drawing/2014/chart" uri="{C3380CC4-5D6E-409C-BE32-E72D297353CC}">
                  <c16:uniqueId val="{00000015-0853-4CB2-8813-45C9E153E9CC}"/>
                </c:ext>
              </c:extLst>
            </c:dLbl>
            <c:dLbl>
              <c:idx val="11"/>
              <c:spPr/>
              <c:txPr>
                <a:bodyPr wrap="square"/>
                <a:lstStyle/>
                <a:p>
                  <a:pPr>
                    <a:defRPr sz="1000" b="0" strike="noStrike" spc="-1">
                      <a:solidFill>
                        <a:srgbClr val="000000"/>
                      </a:solidFill>
                      <a:latin typeface="Arial"/>
                    </a:defRPr>
                  </a:pPr>
                  <a:endParaRPr lang="es-CL"/>
                </a:p>
              </c:txPr>
              <c:dLblPos val="bestFit"/>
              <c:showLegendKey val="0"/>
              <c:showVal val="0"/>
              <c:showCatName val="0"/>
              <c:showSerName val="0"/>
              <c:showPercent val="0"/>
              <c:showBubbleSize val="1"/>
              <c:extLst>
                <c:ext xmlns:c16="http://schemas.microsoft.com/office/drawing/2014/chart" uri="{C3380CC4-5D6E-409C-BE32-E72D297353CC}">
                  <c16:uniqueId val="{00000017-0853-4CB2-8813-45C9E153E9CC}"/>
                </c:ext>
              </c:extLst>
            </c:dLbl>
            <c:dLbl>
              <c:idx val="12"/>
              <c:spPr/>
              <c:txPr>
                <a:bodyPr wrap="square"/>
                <a:lstStyle/>
                <a:p>
                  <a:pPr>
                    <a:defRPr sz="1000" b="0" strike="noStrike" spc="-1">
                      <a:solidFill>
                        <a:srgbClr val="000000"/>
                      </a:solidFill>
                      <a:latin typeface="Arial"/>
                    </a:defRPr>
                  </a:pPr>
                  <a:endParaRPr lang="es-CL"/>
                </a:p>
              </c:txPr>
              <c:dLblPos val="bestFit"/>
              <c:showLegendKey val="0"/>
              <c:showVal val="0"/>
              <c:showCatName val="0"/>
              <c:showSerName val="0"/>
              <c:showPercent val="0"/>
              <c:showBubbleSize val="1"/>
              <c:extLst>
                <c:ext xmlns:c16="http://schemas.microsoft.com/office/drawing/2014/chart" uri="{C3380CC4-5D6E-409C-BE32-E72D297353CC}">
                  <c16:uniqueId val="{00000019-0853-4CB2-8813-45C9E153E9CC}"/>
                </c:ext>
              </c:extLst>
            </c:dLbl>
            <c:spPr>
              <a:noFill/>
              <a:ln>
                <a:noFill/>
              </a:ln>
              <a:effectLst/>
            </c:spPr>
            <c:txPr>
              <a:bodyPr wrap="square"/>
              <a:lstStyle/>
              <a:p>
                <a:pPr>
                  <a:defRPr sz="1000" b="0" strike="noStrike" spc="-1">
                    <a:solidFill>
                      <a:srgbClr val="000000"/>
                    </a:solidFill>
                    <a:latin typeface="Arial"/>
                  </a:defRPr>
                </a:pPr>
                <a:endParaRPr lang="es-CL"/>
              </a:p>
            </c:txPr>
            <c:dLblPos val="bestFit"/>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DIETOSINTESIS!$A$7:$A$19</c:f>
              <c:strCache>
                <c:ptCount val="13"/>
                <c:pt idx="0">
                  <c:v>Lácteos descremados</c:v>
                </c:pt>
                <c:pt idx="1">
                  <c:v>Lácteos semidescremados</c:v>
                </c:pt>
                <c:pt idx="2">
                  <c:v>Lácteos enteros</c:v>
                </c:pt>
                <c:pt idx="3">
                  <c:v>Verduras de consumo general</c:v>
                </c:pt>
                <c:pt idx="4">
                  <c:v>Verduras de libre consumo</c:v>
                </c:pt>
                <c:pt idx="5">
                  <c:v>Frutas</c:v>
                </c:pt>
                <c:pt idx="6">
                  <c:v>Panes, cereales, legumbres frescas y tubérculos</c:v>
                </c:pt>
                <c:pt idx="7">
                  <c:v>Legumbres secas</c:v>
                </c:pt>
                <c:pt idx="8">
                  <c:v>Carnes bajas en grasa</c:v>
                </c:pt>
                <c:pt idx="9">
                  <c:v>Carnes altas en grasa</c:v>
                </c:pt>
                <c:pt idx="10">
                  <c:v>Aceites, grasas y semillas</c:v>
                </c:pt>
                <c:pt idx="11">
                  <c:v>Alimentos ricos en lípidos</c:v>
                </c:pt>
                <c:pt idx="12">
                  <c:v>Azúcares</c:v>
                </c:pt>
              </c:strCache>
            </c:strRef>
          </c:cat>
          <c:val>
            <c:numRef>
              <c:f>DIETOSINTESIS!$F$7:$F$19</c:f>
              <c:numCache>
                <c:formatCode>0.0</c:formatCode>
                <c:ptCount val="13"/>
                <c:pt idx="0">
                  <c:v>70</c:v>
                </c:pt>
                <c:pt idx="1">
                  <c:v>85</c:v>
                </c:pt>
                <c:pt idx="2">
                  <c:v>0</c:v>
                </c:pt>
                <c:pt idx="3">
                  <c:v>120</c:v>
                </c:pt>
                <c:pt idx="4">
                  <c:v>30</c:v>
                </c:pt>
                <c:pt idx="5">
                  <c:v>240</c:v>
                </c:pt>
                <c:pt idx="6">
                  <c:v>560</c:v>
                </c:pt>
                <c:pt idx="7">
                  <c:v>170</c:v>
                </c:pt>
                <c:pt idx="8">
                  <c:v>130</c:v>
                </c:pt>
                <c:pt idx="9">
                  <c:v>0</c:v>
                </c:pt>
                <c:pt idx="10">
                  <c:v>225</c:v>
                </c:pt>
                <c:pt idx="11">
                  <c:v>350</c:v>
                </c:pt>
                <c:pt idx="12">
                  <c:v>20</c:v>
                </c:pt>
              </c:numCache>
            </c:numRef>
          </c:val>
          <c:extLst>
            <c:ext xmlns:c16="http://schemas.microsoft.com/office/drawing/2014/chart" uri="{C3380CC4-5D6E-409C-BE32-E72D297353CC}">
              <c16:uniqueId val="{0000001A-0853-4CB2-8813-45C9E153E9CC}"/>
            </c:ext>
          </c:extLst>
        </c:ser>
        <c:dLbls>
          <c:showLegendKey val="0"/>
          <c:showVal val="0"/>
          <c:showCatName val="0"/>
          <c:showSerName val="0"/>
          <c:showPercent val="0"/>
          <c:showBubbleSize val="0"/>
          <c:showLeaderLines val="1"/>
        </c:dLbls>
        <c:firstSliceAng val="0"/>
      </c:pieChart>
      <c:spPr>
        <a:noFill/>
        <a:ln w="0">
          <a:noFill/>
        </a:ln>
      </c:spPr>
    </c:plotArea>
    <c:legend>
      <c:legendPos val="r"/>
      <c:layout>
        <c:manualLayout>
          <c:xMode val="edge"/>
          <c:yMode val="edge"/>
          <c:x val="0.641473154488439"/>
          <c:y val="0.12699733881597999"/>
          <c:w val="0.358526845511561"/>
          <c:h val="0.82312798277829802"/>
        </c:manualLayout>
      </c:layout>
      <c:overlay val="0"/>
      <c:spPr>
        <a:noFill/>
        <a:ln w="0">
          <a:noFill/>
        </a:ln>
      </c:spPr>
      <c:txPr>
        <a:bodyPr/>
        <a:lstStyle/>
        <a:p>
          <a:pPr>
            <a:defRPr sz="1200" b="0" strike="noStrike" spc="-1">
              <a:solidFill>
                <a:srgbClr val="000000"/>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L" sz="1800" b="1" i="1" u="sng" strike="noStrike" spc="-1">
                <a:solidFill>
                  <a:srgbClr val="595959"/>
                </a:solidFill>
                <a:uFillTx/>
                <a:latin typeface="Calibri"/>
              </a:defRPr>
            </a:pPr>
            <a:r>
              <a:rPr lang="es-CL" sz="1800" b="1" i="1" u="sng" strike="noStrike" spc="-1">
                <a:solidFill>
                  <a:srgbClr val="595959"/>
                </a:solidFill>
                <a:uFillTx/>
                <a:latin typeface="Calibri"/>
              </a:rPr>
              <a:t>Energia o calorias repartida en el dia </a:t>
            </a:r>
          </a:p>
        </c:rich>
      </c:tx>
      <c:layout>
        <c:manualLayout>
          <c:xMode val="edge"/>
          <c:yMode val="edge"/>
          <c:x val="0.24388680733583101"/>
          <c:y val="0"/>
        </c:manualLayout>
      </c:layout>
      <c:overlay val="0"/>
      <c:spPr>
        <a:noFill/>
        <a:ln w="0">
          <a:noFill/>
        </a:ln>
      </c:spPr>
    </c:title>
    <c:autoTitleDeleted val="0"/>
    <c:plotArea>
      <c:layout/>
      <c:barChart>
        <c:barDir val="col"/>
        <c:grouping val="clustered"/>
        <c:varyColors val="0"/>
        <c:ser>
          <c:idx val="0"/>
          <c:order val="0"/>
          <c:tx>
            <c:v>Desayuno</c:v>
          </c:tx>
          <c:spPr>
            <a:solidFill>
              <a:srgbClr val="4F81BD"/>
            </a:solidFill>
            <a:ln w="0">
              <a:noFill/>
            </a:ln>
          </c:spPr>
          <c:invertIfNegative val="0"/>
          <c:dLbls>
            <c:spPr>
              <a:noFill/>
              <a:ln>
                <a:noFill/>
              </a:ln>
              <a:effectLst/>
            </c:spPr>
            <c:txPr>
              <a:bodyPr wrap="square"/>
              <a:lstStyle/>
              <a:p>
                <a:pPr>
                  <a:defRPr sz="900" b="0" strike="noStrike" spc="-1">
                    <a:solidFill>
                      <a:srgbClr val="404040"/>
                    </a:solidFill>
                    <a:latin typeface="Calibri"/>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DISTRIBUCION!$B$6:$G$6</c:f>
              <c:strCache>
                <c:ptCount val="6"/>
                <c:pt idx="0">
                  <c:v>Desayuno</c:v>
                </c:pt>
                <c:pt idx="1">
                  <c:v>Colación AM</c:v>
                </c:pt>
                <c:pt idx="2">
                  <c:v>Almuerzo</c:v>
                </c:pt>
                <c:pt idx="3">
                  <c:v>Once</c:v>
                </c:pt>
                <c:pt idx="4">
                  <c:v>Cena</c:v>
                </c:pt>
                <c:pt idx="5">
                  <c:v>Colación nocturna</c:v>
                </c:pt>
              </c:strCache>
            </c:strRef>
          </c:cat>
          <c:val>
            <c:numRef>
              <c:f>DISTRIBUCION!$B$21:$B$21</c:f>
              <c:numCache>
                <c:formatCode>0.0</c:formatCode>
                <c:ptCount val="1"/>
                <c:pt idx="0">
                  <c:v>350</c:v>
                </c:pt>
              </c:numCache>
            </c:numRef>
          </c:val>
          <c:extLst>
            <c:ext xmlns:c16="http://schemas.microsoft.com/office/drawing/2014/chart" uri="{C3380CC4-5D6E-409C-BE32-E72D297353CC}">
              <c16:uniqueId val="{00000000-C357-48E4-BD31-A5C63F1C2CD3}"/>
            </c:ext>
          </c:extLst>
        </c:ser>
        <c:ser>
          <c:idx val="1"/>
          <c:order val="1"/>
          <c:tx>
            <c:v>Colacion AM</c:v>
          </c:tx>
          <c:spPr>
            <a:solidFill>
              <a:srgbClr val="C0504D"/>
            </a:solidFill>
            <a:ln w="0">
              <a:noFill/>
            </a:ln>
          </c:spPr>
          <c:invertIfNegative val="0"/>
          <c:dLbls>
            <c:spPr>
              <a:noFill/>
              <a:ln>
                <a:noFill/>
              </a:ln>
              <a:effectLst/>
            </c:spPr>
            <c:txPr>
              <a:bodyPr wrap="square"/>
              <a:lstStyle/>
              <a:p>
                <a:pPr>
                  <a:defRPr sz="900" b="0" strike="noStrike" spc="-1">
                    <a:solidFill>
                      <a:srgbClr val="404040"/>
                    </a:solidFill>
                    <a:latin typeface="Calibri"/>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DISTRIBUCION!$B$6:$G$6</c:f>
              <c:strCache>
                <c:ptCount val="6"/>
                <c:pt idx="0">
                  <c:v>Desayuno</c:v>
                </c:pt>
                <c:pt idx="1">
                  <c:v>Colación AM</c:v>
                </c:pt>
                <c:pt idx="2">
                  <c:v>Almuerzo</c:v>
                </c:pt>
                <c:pt idx="3">
                  <c:v>Once</c:v>
                </c:pt>
                <c:pt idx="4">
                  <c:v>Cena</c:v>
                </c:pt>
                <c:pt idx="5">
                  <c:v>Colación nocturna</c:v>
                </c:pt>
              </c:strCache>
            </c:strRef>
          </c:cat>
          <c:val>
            <c:numRef>
              <c:f>DISTRIBUCION!$C$21:$C$21</c:f>
              <c:numCache>
                <c:formatCode>0.0</c:formatCode>
                <c:ptCount val="1"/>
                <c:pt idx="0">
                  <c:v>60</c:v>
                </c:pt>
              </c:numCache>
            </c:numRef>
          </c:val>
          <c:extLst>
            <c:ext xmlns:c16="http://schemas.microsoft.com/office/drawing/2014/chart" uri="{C3380CC4-5D6E-409C-BE32-E72D297353CC}">
              <c16:uniqueId val="{00000001-C357-48E4-BD31-A5C63F1C2CD3}"/>
            </c:ext>
          </c:extLst>
        </c:ser>
        <c:ser>
          <c:idx val="2"/>
          <c:order val="2"/>
          <c:tx>
            <c:v>Almuerzo</c:v>
          </c:tx>
          <c:spPr>
            <a:solidFill>
              <a:srgbClr val="9BBB59"/>
            </a:solidFill>
            <a:ln w="0">
              <a:noFill/>
            </a:ln>
          </c:spPr>
          <c:invertIfNegative val="0"/>
          <c:dLbls>
            <c:spPr>
              <a:noFill/>
              <a:ln>
                <a:noFill/>
              </a:ln>
              <a:effectLst/>
            </c:spPr>
            <c:txPr>
              <a:bodyPr wrap="square"/>
              <a:lstStyle/>
              <a:p>
                <a:pPr>
                  <a:defRPr sz="900" b="0" strike="noStrike" spc="-1">
                    <a:solidFill>
                      <a:srgbClr val="404040"/>
                    </a:solidFill>
                    <a:latin typeface="Calibri"/>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DISTRIBUCION!$B$6:$G$6</c:f>
              <c:strCache>
                <c:ptCount val="6"/>
                <c:pt idx="0">
                  <c:v>Desayuno</c:v>
                </c:pt>
                <c:pt idx="1">
                  <c:v>Colación AM</c:v>
                </c:pt>
                <c:pt idx="2">
                  <c:v>Almuerzo</c:v>
                </c:pt>
                <c:pt idx="3">
                  <c:v>Once</c:v>
                </c:pt>
                <c:pt idx="4">
                  <c:v>Cena</c:v>
                </c:pt>
                <c:pt idx="5">
                  <c:v>Colación nocturna</c:v>
                </c:pt>
              </c:strCache>
            </c:strRef>
          </c:cat>
          <c:val>
            <c:numRef>
              <c:f>DISTRIBUCION!$D$21:$D$21</c:f>
              <c:numCache>
                <c:formatCode>0.0</c:formatCode>
                <c:ptCount val="1"/>
                <c:pt idx="0">
                  <c:v>535</c:v>
                </c:pt>
              </c:numCache>
            </c:numRef>
          </c:val>
          <c:extLst>
            <c:ext xmlns:c16="http://schemas.microsoft.com/office/drawing/2014/chart" uri="{C3380CC4-5D6E-409C-BE32-E72D297353CC}">
              <c16:uniqueId val="{00000002-C357-48E4-BD31-A5C63F1C2CD3}"/>
            </c:ext>
          </c:extLst>
        </c:ser>
        <c:ser>
          <c:idx val="3"/>
          <c:order val="3"/>
          <c:tx>
            <c:v>Once</c:v>
          </c:tx>
          <c:spPr>
            <a:solidFill>
              <a:srgbClr val="8064A2"/>
            </a:solidFill>
            <a:ln w="0">
              <a:noFill/>
            </a:ln>
          </c:spPr>
          <c:invertIfNegative val="0"/>
          <c:dLbls>
            <c:spPr>
              <a:noFill/>
              <a:ln>
                <a:noFill/>
              </a:ln>
              <a:effectLst/>
            </c:spPr>
            <c:txPr>
              <a:bodyPr wrap="square"/>
              <a:lstStyle/>
              <a:p>
                <a:pPr>
                  <a:defRPr sz="900" b="0" strike="noStrike" spc="-1">
                    <a:solidFill>
                      <a:srgbClr val="404040"/>
                    </a:solidFill>
                    <a:latin typeface="Calibri"/>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DISTRIBUCION!$B$6:$G$6</c:f>
              <c:strCache>
                <c:ptCount val="6"/>
                <c:pt idx="0">
                  <c:v>Desayuno</c:v>
                </c:pt>
                <c:pt idx="1">
                  <c:v>Colación AM</c:v>
                </c:pt>
                <c:pt idx="2">
                  <c:v>Almuerzo</c:v>
                </c:pt>
                <c:pt idx="3">
                  <c:v>Once</c:v>
                </c:pt>
                <c:pt idx="4">
                  <c:v>Cena</c:v>
                </c:pt>
                <c:pt idx="5">
                  <c:v>Colación nocturna</c:v>
                </c:pt>
              </c:strCache>
            </c:strRef>
          </c:cat>
          <c:val>
            <c:numRef>
              <c:f>DISTRIBUCION!$E$21:$E$21</c:f>
              <c:numCache>
                <c:formatCode>0.0</c:formatCode>
                <c:ptCount val="1"/>
                <c:pt idx="0">
                  <c:v>455</c:v>
                </c:pt>
              </c:numCache>
            </c:numRef>
          </c:val>
          <c:extLst>
            <c:ext xmlns:c16="http://schemas.microsoft.com/office/drawing/2014/chart" uri="{C3380CC4-5D6E-409C-BE32-E72D297353CC}">
              <c16:uniqueId val="{00000003-C357-48E4-BD31-A5C63F1C2CD3}"/>
            </c:ext>
          </c:extLst>
        </c:ser>
        <c:ser>
          <c:idx val="4"/>
          <c:order val="4"/>
          <c:tx>
            <c:v>Cena</c:v>
          </c:tx>
          <c:spPr>
            <a:solidFill>
              <a:srgbClr val="4BACC6"/>
            </a:solidFill>
            <a:ln w="0">
              <a:noFill/>
            </a:ln>
          </c:spPr>
          <c:invertIfNegative val="0"/>
          <c:dLbls>
            <c:spPr>
              <a:noFill/>
              <a:ln>
                <a:noFill/>
              </a:ln>
              <a:effectLst/>
            </c:spPr>
            <c:txPr>
              <a:bodyPr wrap="square"/>
              <a:lstStyle/>
              <a:p>
                <a:pPr>
                  <a:defRPr sz="900" b="0" strike="noStrike" spc="-1">
                    <a:solidFill>
                      <a:srgbClr val="404040"/>
                    </a:solidFill>
                    <a:latin typeface="Calibri"/>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DISTRIBUCION!$B$6:$G$6</c:f>
              <c:strCache>
                <c:ptCount val="6"/>
                <c:pt idx="0">
                  <c:v>Desayuno</c:v>
                </c:pt>
                <c:pt idx="1">
                  <c:v>Colación AM</c:v>
                </c:pt>
                <c:pt idx="2">
                  <c:v>Almuerzo</c:v>
                </c:pt>
                <c:pt idx="3">
                  <c:v>Once</c:v>
                </c:pt>
                <c:pt idx="4">
                  <c:v>Cena</c:v>
                </c:pt>
                <c:pt idx="5">
                  <c:v>Colación nocturna</c:v>
                </c:pt>
              </c:strCache>
            </c:strRef>
          </c:cat>
          <c:val>
            <c:numRef>
              <c:f>DISTRIBUCION!$F$21:$F$21</c:f>
              <c:numCache>
                <c:formatCode>0.0</c:formatCode>
                <c:ptCount val="1"/>
                <c:pt idx="0">
                  <c:v>540</c:v>
                </c:pt>
              </c:numCache>
            </c:numRef>
          </c:val>
          <c:extLst>
            <c:ext xmlns:c16="http://schemas.microsoft.com/office/drawing/2014/chart" uri="{C3380CC4-5D6E-409C-BE32-E72D297353CC}">
              <c16:uniqueId val="{00000004-C357-48E4-BD31-A5C63F1C2CD3}"/>
            </c:ext>
          </c:extLst>
        </c:ser>
        <c:ser>
          <c:idx val="5"/>
          <c:order val="5"/>
          <c:tx>
            <c:v>Colación nocturna</c:v>
          </c:tx>
          <c:spPr>
            <a:solidFill>
              <a:srgbClr val="F79646"/>
            </a:solidFill>
            <a:ln w="0">
              <a:noFill/>
            </a:ln>
          </c:spPr>
          <c:invertIfNegative val="0"/>
          <c:dLbls>
            <c:spPr>
              <a:noFill/>
              <a:ln>
                <a:noFill/>
              </a:ln>
              <a:effectLst/>
            </c:spPr>
            <c:txPr>
              <a:bodyPr wrap="square"/>
              <a:lstStyle/>
              <a:p>
                <a:pPr>
                  <a:defRPr sz="900" b="0" strike="noStrike" spc="-1">
                    <a:solidFill>
                      <a:srgbClr val="404040"/>
                    </a:solidFill>
                    <a:latin typeface="Calibri"/>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DISTRIBUCION!$B$6:$G$6</c:f>
              <c:strCache>
                <c:ptCount val="6"/>
                <c:pt idx="0">
                  <c:v>Desayuno</c:v>
                </c:pt>
                <c:pt idx="1">
                  <c:v>Colación AM</c:v>
                </c:pt>
                <c:pt idx="2">
                  <c:v>Almuerzo</c:v>
                </c:pt>
                <c:pt idx="3">
                  <c:v>Once</c:v>
                </c:pt>
                <c:pt idx="4">
                  <c:v>Cena</c:v>
                </c:pt>
                <c:pt idx="5">
                  <c:v>Colación nocturna</c:v>
                </c:pt>
              </c:strCache>
            </c:strRef>
          </c:cat>
          <c:val>
            <c:numRef>
              <c:f>DISTRIBUCION!$G$21:$G$21</c:f>
              <c:numCache>
                <c:formatCode>0.0</c:formatCode>
                <c:ptCount val="1"/>
                <c:pt idx="0">
                  <c:v>60</c:v>
                </c:pt>
              </c:numCache>
            </c:numRef>
          </c:val>
          <c:extLst>
            <c:ext xmlns:c16="http://schemas.microsoft.com/office/drawing/2014/chart" uri="{C3380CC4-5D6E-409C-BE32-E72D297353CC}">
              <c16:uniqueId val="{00000005-C357-48E4-BD31-A5C63F1C2CD3}"/>
            </c:ext>
          </c:extLst>
        </c:ser>
        <c:dLbls>
          <c:showLegendKey val="0"/>
          <c:showVal val="0"/>
          <c:showCatName val="0"/>
          <c:showSerName val="0"/>
          <c:showPercent val="0"/>
          <c:showBubbleSize val="0"/>
        </c:dLbls>
        <c:gapWidth val="219"/>
        <c:overlap val="-27"/>
        <c:axId val="39878560"/>
        <c:axId val="25440218"/>
      </c:barChart>
      <c:catAx>
        <c:axId val="39878560"/>
        <c:scaling>
          <c:orientation val="minMax"/>
        </c:scaling>
        <c:delete val="1"/>
        <c:axPos val="b"/>
        <c:numFmt formatCode="General" sourceLinked="1"/>
        <c:majorTickMark val="none"/>
        <c:minorTickMark val="none"/>
        <c:tickLblPos val="nextTo"/>
        <c:crossAx val="25440218"/>
        <c:crosses val="autoZero"/>
        <c:auto val="1"/>
        <c:lblAlgn val="ctr"/>
        <c:lblOffset val="100"/>
        <c:noMultiLvlLbl val="0"/>
      </c:catAx>
      <c:valAx>
        <c:axId val="25440218"/>
        <c:scaling>
          <c:orientation val="minMax"/>
        </c:scaling>
        <c:delete val="0"/>
        <c:axPos val="l"/>
        <c:majorGridlines>
          <c:spPr>
            <a:ln w="9360">
              <a:solidFill>
                <a:srgbClr val="D9D9D9"/>
              </a:solidFill>
              <a:round/>
            </a:ln>
          </c:spPr>
        </c:majorGridlines>
        <c:title>
          <c:tx>
            <c:rich>
              <a:bodyPr rot="-5400000"/>
              <a:lstStyle/>
              <a:p>
                <a:pPr>
                  <a:defRPr lang="es-CL" sz="1800" b="1" strike="noStrike" spc="-1">
                    <a:solidFill>
                      <a:srgbClr val="595959"/>
                    </a:solidFill>
                    <a:latin typeface="Calibri"/>
                  </a:defRPr>
                </a:pPr>
                <a:r>
                  <a:rPr lang="es-CL" sz="1800" b="1" strike="noStrike" spc="-1">
                    <a:solidFill>
                      <a:srgbClr val="595959"/>
                    </a:solidFill>
                    <a:latin typeface="Calibri"/>
                  </a:rPr>
                  <a:t>kcal</a:t>
                </a:r>
              </a:p>
            </c:rich>
          </c:tx>
          <c:layout>
            <c:manualLayout>
              <c:xMode val="edge"/>
              <c:yMode val="edge"/>
              <c:x val="0"/>
              <c:y val="0.43220195879770301"/>
            </c:manualLayout>
          </c:layout>
          <c:overlay val="0"/>
          <c:spPr>
            <a:noFill/>
            <a:ln w="0">
              <a:noFill/>
            </a:ln>
          </c:spPr>
        </c:title>
        <c:numFmt formatCode="0.0" sourceLinked="0"/>
        <c:majorTickMark val="none"/>
        <c:minorTickMark val="none"/>
        <c:tickLblPos val="nextTo"/>
        <c:spPr>
          <a:ln w="9360">
            <a:noFill/>
          </a:ln>
        </c:spPr>
        <c:txPr>
          <a:bodyPr/>
          <a:lstStyle/>
          <a:p>
            <a:pPr>
              <a:defRPr sz="1050" b="1" strike="noStrike" spc="-1">
                <a:solidFill>
                  <a:srgbClr val="595959"/>
                </a:solidFill>
                <a:latin typeface="Calibri"/>
              </a:defRPr>
            </a:pPr>
            <a:endParaRPr lang="es-CL"/>
          </a:p>
        </c:txPr>
        <c:crossAx val="39878560"/>
        <c:crosses val="autoZero"/>
        <c:crossBetween val="between"/>
      </c:valAx>
      <c:spPr>
        <a:noFill/>
        <a:ln w="0">
          <a:noFill/>
        </a:ln>
      </c:spPr>
    </c:plotArea>
    <c:legend>
      <c:legendPos val="b"/>
      <c:layout>
        <c:manualLayout>
          <c:xMode val="edge"/>
          <c:yMode val="edge"/>
          <c:x val="0.141851571928125"/>
          <c:y val="0.91782417550668605"/>
          <c:w val="0.85310678470957702"/>
          <c:h val="5.1598907898475002E-2"/>
        </c:manualLayout>
      </c:layout>
      <c:overlay val="0"/>
      <c:spPr>
        <a:noFill/>
        <a:ln w="0">
          <a:noFill/>
        </a:ln>
      </c:spPr>
      <c:txPr>
        <a:bodyPr/>
        <a:lstStyle/>
        <a:p>
          <a:pPr>
            <a:defRPr sz="1050" b="1" strike="noStrike" spc="-1">
              <a:solidFill>
                <a:srgbClr val="595959"/>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L" sz="1400" b="1" strike="noStrike" spc="-1">
                <a:solidFill>
                  <a:srgbClr val="000000"/>
                </a:solidFill>
                <a:latin typeface="Calibri"/>
              </a:defRPr>
            </a:pPr>
            <a:r>
              <a:rPr lang="es-CL" sz="1400" b="1" strike="noStrike" spc="-1">
                <a:solidFill>
                  <a:srgbClr val="000000"/>
                </a:solidFill>
                <a:latin typeface="Calibri"/>
              </a:rPr>
              <a:t>Energía por día de la semana (kcal)</a:t>
            </a:r>
          </a:p>
        </c:rich>
      </c:tx>
      <c:layout>
        <c:manualLayout>
          <c:xMode val="edge"/>
          <c:yMode val="edge"/>
          <c:x val="0.36218382429478502"/>
          <c:y val="2.0056322549625701E-2"/>
        </c:manualLayout>
      </c:layout>
      <c:overlay val="0"/>
      <c:spPr>
        <a:noFill/>
        <a:ln w="0">
          <a:noFill/>
        </a:ln>
      </c:spPr>
    </c:title>
    <c:autoTitleDeleted val="0"/>
    <c:plotArea>
      <c:layout>
        <c:manualLayout>
          <c:layoutTarget val="inner"/>
          <c:xMode val="edge"/>
          <c:yMode val="edge"/>
          <c:x val="9.0558967419589895E-2"/>
          <c:y val="4.0181331135380201E-2"/>
          <c:w val="0.88607265535546997"/>
          <c:h val="0.83982416374751001"/>
        </c:manualLayout>
      </c:layout>
      <c:barChart>
        <c:barDir val="col"/>
        <c:grouping val="clustered"/>
        <c:varyColors val="0"/>
        <c:ser>
          <c:idx val="0"/>
          <c:order val="0"/>
          <c:tx>
            <c:v>Energía real (kcal)</c:v>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SEMANA!$B$6:$H$6</c:f>
              <c:strCache>
                <c:ptCount val="7"/>
                <c:pt idx="0">
                  <c:v>Lunes</c:v>
                </c:pt>
                <c:pt idx="1">
                  <c:v>Martes</c:v>
                </c:pt>
                <c:pt idx="2">
                  <c:v>Miércoles</c:v>
                </c:pt>
                <c:pt idx="3">
                  <c:v>Jueves</c:v>
                </c:pt>
                <c:pt idx="4">
                  <c:v>Viernes</c:v>
                </c:pt>
                <c:pt idx="5">
                  <c:v>Sábado</c:v>
                </c:pt>
                <c:pt idx="6">
                  <c:v>Domingo</c:v>
                </c:pt>
              </c:strCache>
            </c:strRef>
          </c:cat>
          <c:val>
            <c:numRef>
              <c:f>SEMANA!$B$21:$H$21</c:f>
              <c:numCache>
                <c:formatCode>0.0</c:formatCode>
                <c:ptCount val="7"/>
                <c:pt idx="0">
                  <c:v>2108.1999999999998</c:v>
                </c:pt>
                <c:pt idx="1">
                  <c:v>1647.4</c:v>
                </c:pt>
                <c:pt idx="2">
                  <c:v>1924.1</c:v>
                </c:pt>
                <c:pt idx="3">
                  <c:v>2264</c:v>
                </c:pt>
                <c:pt idx="4">
                  <c:v>2018.6999999999998</c:v>
                </c:pt>
                <c:pt idx="5">
                  <c:v>1387.4</c:v>
                </c:pt>
                <c:pt idx="6">
                  <c:v>1994.3</c:v>
                </c:pt>
              </c:numCache>
            </c:numRef>
          </c:val>
          <c:extLst>
            <c:ext xmlns:c16="http://schemas.microsoft.com/office/drawing/2014/chart" uri="{C3380CC4-5D6E-409C-BE32-E72D297353CC}">
              <c16:uniqueId val="{00000000-419C-4A07-A069-9268BCE03DD2}"/>
            </c:ext>
          </c:extLst>
        </c:ser>
        <c:dLbls>
          <c:showLegendKey val="0"/>
          <c:showVal val="0"/>
          <c:showCatName val="0"/>
          <c:showSerName val="0"/>
          <c:showPercent val="0"/>
          <c:showBubbleSize val="0"/>
        </c:dLbls>
        <c:gapWidth val="150"/>
        <c:axId val="16258546"/>
        <c:axId val="65400759"/>
      </c:barChart>
      <c:lineChart>
        <c:grouping val="standard"/>
        <c:varyColors val="0"/>
        <c:ser>
          <c:idx val="1"/>
          <c:order val="1"/>
          <c:tx>
            <c:v>Meta diaria (kcal)</c:v>
          </c:tx>
          <c:spPr>
            <a:ln w="20160">
              <a:solidFill>
                <a:srgbClr val="B4560A"/>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s-CL"/>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SEMANA!$B$6:$H$6</c:f>
              <c:strCache>
                <c:ptCount val="7"/>
                <c:pt idx="0">
                  <c:v>Lunes</c:v>
                </c:pt>
                <c:pt idx="1">
                  <c:v>Martes</c:v>
                </c:pt>
                <c:pt idx="2">
                  <c:v>Miércoles</c:v>
                </c:pt>
                <c:pt idx="3">
                  <c:v>Jueves</c:v>
                </c:pt>
                <c:pt idx="4">
                  <c:v>Viernes</c:v>
                </c:pt>
                <c:pt idx="5">
                  <c:v>Sábado</c:v>
                </c:pt>
                <c:pt idx="6">
                  <c:v>Domingo</c:v>
                </c:pt>
              </c:strCache>
            </c:strRef>
          </c:cat>
          <c:val>
            <c:numRef>
              <c:f>DATOS!$B$34:$H$34</c:f>
              <c:numCache>
                <c:formatCode>General</c:formatCode>
                <c:ptCount val="7"/>
                <c:pt idx="0">
                  <c:v>2000</c:v>
                </c:pt>
                <c:pt idx="1">
                  <c:v>2000</c:v>
                </c:pt>
                <c:pt idx="2">
                  <c:v>2000</c:v>
                </c:pt>
                <c:pt idx="3">
                  <c:v>2000</c:v>
                </c:pt>
                <c:pt idx="4">
                  <c:v>2000</c:v>
                </c:pt>
                <c:pt idx="5">
                  <c:v>2000</c:v>
                </c:pt>
                <c:pt idx="6">
                  <c:v>2000</c:v>
                </c:pt>
              </c:numCache>
            </c:numRef>
          </c:val>
          <c:smooth val="1"/>
          <c:extLst>
            <c:ext xmlns:c16="http://schemas.microsoft.com/office/drawing/2014/chart" uri="{C3380CC4-5D6E-409C-BE32-E72D297353CC}">
              <c16:uniqueId val="{00000001-419C-4A07-A069-9268BCE03DD2}"/>
            </c:ext>
          </c:extLst>
        </c:ser>
        <c:dLbls>
          <c:showLegendKey val="0"/>
          <c:showVal val="0"/>
          <c:showCatName val="0"/>
          <c:showSerName val="0"/>
          <c:showPercent val="0"/>
          <c:showBubbleSize val="0"/>
        </c:dLbls>
        <c:hiLowLines>
          <c:spPr>
            <a:ln w="0">
              <a:noFill/>
            </a:ln>
          </c:spPr>
        </c:hiLowLines>
        <c:marker val="1"/>
        <c:smooth val="0"/>
        <c:axId val="16258546"/>
        <c:axId val="65400759"/>
      </c:lineChart>
      <c:catAx>
        <c:axId val="1625854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200" b="1" strike="noStrike" spc="-1">
                <a:solidFill>
                  <a:srgbClr val="000000"/>
                </a:solidFill>
                <a:latin typeface="Calibri"/>
              </a:defRPr>
            </a:pPr>
            <a:endParaRPr lang="es-CL"/>
          </a:p>
        </c:txPr>
        <c:crossAx val="65400759"/>
        <c:crosses val="autoZero"/>
        <c:auto val="1"/>
        <c:lblAlgn val="ctr"/>
        <c:lblOffset val="100"/>
        <c:noMultiLvlLbl val="0"/>
      </c:catAx>
      <c:valAx>
        <c:axId val="65400759"/>
        <c:scaling>
          <c:orientation val="minMax"/>
        </c:scaling>
        <c:delete val="0"/>
        <c:axPos val="l"/>
        <c:majorGridlines>
          <c:spPr>
            <a:ln w="0">
              <a:solidFill>
                <a:srgbClr val="B3B3B3"/>
              </a:solidFill>
            </a:ln>
          </c:spPr>
        </c:majorGridlines>
        <c:title>
          <c:tx>
            <c:rich>
              <a:bodyPr rot="-5400000"/>
              <a:lstStyle/>
              <a:p>
                <a:pPr>
                  <a:defRPr lang="es-CL" sz="1600" b="1" strike="noStrike" spc="-1">
                    <a:solidFill>
                      <a:srgbClr val="000000"/>
                    </a:solidFill>
                    <a:latin typeface="Calibri"/>
                  </a:defRPr>
                </a:pPr>
                <a:r>
                  <a:rPr lang="es-CL" sz="1600" b="1" strike="noStrike" spc="-1">
                    <a:solidFill>
                      <a:srgbClr val="000000"/>
                    </a:solidFill>
                    <a:latin typeface="Calibri"/>
                  </a:rPr>
                  <a:t>kcal</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CL"/>
          </a:p>
        </c:txPr>
        <c:crossAx val="16258546"/>
        <c:crosses val="autoZero"/>
        <c:crossBetween val="between"/>
      </c:valAx>
      <c:spPr>
        <a:noFill/>
        <a:ln w="0">
          <a:noFill/>
        </a:ln>
      </c:spPr>
    </c:plotArea>
    <c:legend>
      <c:legendPos val="b"/>
      <c:overlay val="1"/>
      <c:spPr>
        <a:noFill/>
        <a:ln w="0">
          <a:noFill/>
        </a:ln>
      </c:spPr>
      <c:txPr>
        <a:bodyPr/>
        <a:lstStyle/>
        <a:p>
          <a:pPr>
            <a:defRPr sz="1200" b="0" strike="noStrike" spc="-1">
              <a:solidFill>
                <a:srgbClr val="000000"/>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L" sz="1800" b="1" strike="noStrike" spc="-1">
                <a:solidFill>
                  <a:srgbClr val="000000"/>
                </a:solidFill>
                <a:latin typeface="Calibri"/>
              </a:defRPr>
            </a:pPr>
            <a:r>
              <a:rPr lang="es-CL" sz="1800" b="1" strike="noStrike" spc="-1">
                <a:solidFill>
                  <a:srgbClr val="000000"/>
                </a:solidFill>
                <a:latin typeface="Calibri"/>
              </a:rPr>
              <a:t>Estructura energética del día</a:t>
            </a:r>
          </a:p>
        </c:rich>
      </c:tx>
      <c:overlay val="0"/>
      <c:spPr>
        <a:noFill/>
        <a:ln w="0">
          <a:noFill/>
        </a:ln>
      </c:spPr>
    </c:title>
    <c:autoTitleDeleted val="0"/>
    <c:plotArea>
      <c:layout/>
      <c:barChart>
        <c:barDir val="col"/>
        <c:grouping val="clustered"/>
        <c:varyColors val="0"/>
        <c:ser>
          <c:idx val="0"/>
          <c:order val="0"/>
          <c:tx>
            <c:strRef>
              <c:f>RESULTADOS!$B$21</c:f>
              <c:strCache>
                <c:ptCount val="1"/>
                <c:pt idx="0">
                  <c:v>Energía (kcal)</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RESULTADOS!$A$22:$A$27</c:f>
              <c:strCache>
                <c:ptCount val="6"/>
                <c:pt idx="0">
                  <c:v>Desayuno</c:v>
                </c:pt>
                <c:pt idx="1">
                  <c:v>Colación AM</c:v>
                </c:pt>
                <c:pt idx="2">
                  <c:v>Almuerzo</c:v>
                </c:pt>
                <c:pt idx="3">
                  <c:v>Once</c:v>
                </c:pt>
                <c:pt idx="4">
                  <c:v>Cena</c:v>
                </c:pt>
                <c:pt idx="5">
                  <c:v>Colación nocturna</c:v>
                </c:pt>
              </c:strCache>
            </c:strRef>
          </c:cat>
          <c:val>
            <c:numRef>
              <c:f>RESULTADOS!$B$22:$B$27</c:f>
              <c:numCache>
                <c:formatCode>0.0</c:formatCode>
                <c:ptCount val="6"/>
                <c:pt idx="0">
                  <c:v>350</c:v>
                </c:pt>
                <c:pt idx="1">
                  <c:v>60</c:v>
                </c:pt>
                <c:pt idx="2">
                  <c:v>535</c:v>
                </c:pt>
                <c:pt idx="3">
                  <c:v>455</c:v>
                </c:pt>
                <c:pt idx="4">
                  <c:v>540</c:v>
                </c:pt>
                <c:pt idx="5">
                  <c:v>60</c:v>
                </c:pt>
              </c:numCache>
            </c:numRef>
          </c:val>
          <c:extLst>
            <c:ext xmlns:c16="http://schemas.microsoft.com/office/drawing/2014/chart" uri="{C3380CC4-5D6E-409C-BE32-E72D297353CC}">
              <c16:uniqueId val="{00000000-6088-4D04-9071-B10DBFDC943F}"/>
            </c:ext>
          </c:extLst>
        </c:ser>
        <c:dLbls>
          <c:showLegendKey val="0"/>
          <c:showVal val="0"/>
          <c:showCatName val="0"/>
          <c:showSerName val="0"/>
          <c:showPercent val="0"/>
          <c:showBubbleSize val="0"/>
        </c:dLbls>
        <c:gapWidth val="150"/>
        <c:axId val="43195734"/>
        <c:axId val="93021790"/>
      </c:barChart>
      <c:catAx>
        <c:axId val="4319573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93021790"/>
        <c:crosses val="autoZero"/>
        <c:auto val="1"/>
        <c:lblAlgn val="ctr"/>
        <c:lblOffset val="100"/>
        <c:noMultiLvlLbl val="0"/>
      </c:catAx>
      <c:valAx>
        <c:axId val="93021790"/>
        <c:scaling>
          <c:orientation val="minMax"/>
        </c:scaling>
        <c:delete val="0"/>
        <c:axPos val="l"/>
        <c:majorGridlines>
          <c:spPr>
            <a:ln w="9360">
              <a:solidFill>
                <a:srgbClr val="878787"/>
              </a:solidFill>
              <a:round/>
            </a:ln>
          </c:spPr>
        </c:majorGridlines>
        <c:title>
          <c:tx>
            <c:rich>
              <a:bodyPr rot="-5400000"/>
              <a:lstStyle/>
              <a:p>
                <a:pPr>
                  <a:defRPr lang="es-CL" sz="1000" b="1" strike="noStrike" spc="-1">
                    <a:solidFill>
                      <a:srgbClr val="000000"/>
                    </a:solidFill>
                    <a:latin typeface="Calibri"/>
                  </a:defRPr>
                </a:pPr>
                <a:r>
                  <a:rPr lang="es-CL" sz="1000" b="1" strike="noStrike" spc="-1">
                    <a:solidFill>
                      <a:srgbClr val="000000"/>
                    </a:solidFill>
                    <a:latin typeface="Calibri"/>
                  </a:rPr>
                  <a:t>kcal</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4319573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142920</xdr:colOff>
      <xdr:row>5</xdr:row>
      <xdr:rowOff>47520</xdr:rowOff>
    </xdr:from>
    <xdr:to>
      <xdr:col>17</xdr:col>
      <xdr:colOff>320400</xdr:colOff>
      <xdr:row>20</xdr:row>
      <xdr:rowOff>28080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16560</xdr:colOff>
      <xdr:row>5</xdr:row>
      <xdr:rowOff>20520</xdr:rowOff>
    </xdr:from>
    <xdr:to>
      <xdr:col>22</xdr:col>
      <xdr:colOff>563760</xdr:colOff>
      <xdr:row>21</xdr:row>
      <xdr:rowOff>198000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307440</xdr:colOff>
      <xdr:row>5</xdr:row>
      <xdr:rowOff>224280</xdr:rowOff>
    </xdr:from>
    <xdr:to>
      <xdr:col>23</xdr:col>
      <xdr:colOff>469440</xdr:colOff>
      <xdr:row>21</xdr:row>
      <xdr:rowOff>226440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114480</xdr:colOff>
      <xdr:row>20</xdr:row>
      <xdr:rowOff>95400</xdr:rowOff>
    </xdr:from>
    <xdr:to>
      <xdr:col>11</xdr:col>
      <xdr:colOff>395640</xdr:colOff>
      <xdr:row>28</xdr:row>
      <xdr:rowOff>25200</xdr:rowOff>
    </xdr:to>
    <xdr:graphicFrame macro="">
      <xdr:nvGraphicFramePr>
        <xdr:cNvPr id="3" name="Chart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M45"/>
  <sheetViews>
    <sheetView showGridLines="0" zoomScaleNormal="100" workbookViewId="0">
      <selection activeCell="A3" sqref="A3"/>
    </sheetView>
  </sheetViews>
  <sheetFormatPr baseColWidth="10" defaultColWidth="8.7109375" defaultRowHeight="15"/>
  <cols>
    <col min="1" max="12" width="15.5703125" customWidth="1"/>
  </cols>
  <sheetData>
    <row r="1" spans="1:13" ht="33.75" customHeight="1">
      <c r="A1" s="5" t="s">
        <v>0</v>
      </c>
      <c r="B1" s="5"/>
      <c r="C1" s="5"/>
      <c r="D1" s="5"/>
      <c r="E1" s="5"/>
      <c r="F1" s="5"/>
      <c r="G1" s="5"/>
      <c r="H1" s="5"/>
      <c r="I1" s="5"/>
      <c r="J1" s="5"/>
      <c r="K1" s="5"/>
      <c r="L1" s="5"/>
      <c r="M1" s="6"/>
    </row>
    <row r="2" spans="1:13" ht="24.75" customHeight="1">
      <c r="A2" s="7" t="s">
        <v>1</v>
      </c>
      <c r="B2" s="7"/>
      <c r="C2" s="7"/>
      <c r="D2" s="7"/>
      <c r="E2" s="7"/>
      <c r="F2" s="7"/>
      <c r="G2" s="7"/>
      <c r="H2" s="7"/>
      <c r="I2" s="7"/>
      <c r="J2" s="7"/>
      <c r="K2" s="7"/>
      <c r="L2" s="7"/>
      <c r="M2" s="6"/>
    </row>
    <row r="3" spans="1:13" ht="15.75" customHeight="1">
      <c r="A3" s="8" t="s">
        <v>2</v>
      </c>
      <c r="B3" s="8" t="s">
        <v>3</v>
      </c>
      <c r="C3" s="8" t="s">
        <v>4</v>
      </c>
      <c r="D3" s="8" t="s">
        <v>5</v>
      </c>
      <c r="E3" s="8" t="s">
        <v>6</v>
      </c>
      <c r="F3" s="8" t="s">
        <v>7</v>
      </c>
      <c r="G3" s="8" t="s">
        <v>8</v>
      </c>
      <c r="H3" s="8" t="s">
        <v>9</v>
      </c>
      <c r="I3" s="8" t="s">
        <v>10</v>
      </c>
      <c r="J3" s="8" t="s">
        <v>11</v>
      </c>
      <c r="K3" s="9" t="s">
        <v>12</v>
      </c>
      <c r="L3" s="9"/>
      <c r="M3" s="6"/>
    </row>
    <row r="4" spans="1:13" ht="6" customHeight="1">
      <c r="A4" s="6"/>
      <c r="B4" s="6"/>
      <c r="C4" s="6"/>
      <c r="D4" s="6"/>
      <c r="E4" s="6"/>
      <c r="F4" s="6"/>
      <c r="G4" s="6"/>
      <c r="H4" s="6"/>
      <c r="I4" s="6"/>
      <c r="J4" s="6"/>
      <c r="K4" s="6"/>
      <c r="L4" s="6"/>
      <c r="M4" s="6"/>
    </row>
    <row r="5" spans="1:13" ht="15.75" customHeight="1">
      <c r="A5" s="10" t="s">
        <v>13</v>
      </c>
      <c r="B5" s="10"/>
      <c r="C5" s="10"/>
      <c r="D5" s="10"/>
      <c r="E5" s="10"/>
      <c r="F5" s="10"/>
      <c r="G5" s="10"/>
      <c r="H5" s="10"/>
      <c r="I5" s="10"/>
      <c r="J5" s="10"/>
      <c r="K5" s="10"/>
      <c r="L5" s="10"/>
      <c r="M5" s="6"/>
    </row>
    <row r="6" spans="1:13" ht="18" customHeight="1">
      <c r="A6" s="11" t="s">
        <v>14</v>
      </c>
      <c r="B6" s="11"/>
      <c r="C6" s="11"/>
      <c r="D6" s="12" t="s">
        <v>15</v>
      </c>
      <c r="E6" s="12"/>
      <c r="F6" s="12"/>
      <c r="G6" s="12"/>
      <c r="H6" s="12"/>
      <c r="I6" s="12"/>
      <c r="J6" s="12"/>
      <c r="K6" s="12"/>
      <c r="L6" s="12"/>
      <c r="M6" s="6"/>
    </row>
    <row r="7" spans="1:13" ht="18" customHeight="1">
      <c r="A7" s="11" t="s">
        <v>16</v>
      </c>
      <c r="B7" s="11"/>
      <c r="C7" s="11"/>
      <c r="D7" s="12" t="s">
        <v>17</v>
      </c>
      <c r="E7" s="12"/>
      <c r="F7" s="12"/>
      <c r="G7" s="12"/>
      <c r="H7" s="12"/>
      <c r="I7" s="12"/>
      <c r="J7" s="12"/>
      <c r="K7" s="12"/>
      <c r="L7" s="12"/>
      <c r="M7" s="6"/>
    </row>
    <row r="8" spans="1:13" ht="18" customHeight="1">
      <c r="A8" s="11" t="s">
        <v>18</v>
      </c>
      <c r="B8" s="11"/>
      <c r="C8" s="11"/>
      <c r="D8" s="12" t="s">
        <v>19</v>
      </c>
      <c r="E8" s="12"/>
      <c r="F8" s="12"/>
      <c r="G8" s="12"/>
      <c r="H8" s="12"/>
      <c r="I8" s="12"/>
      <c r="J8" s="12"/>
      <c r="K8" s="12"/>
      <c r="L8" s="12"/>
      <c r="M8" s="6"/>
    </row>
    <row r="9" spans="1:13" ht="18" customHeight="1">
      <c r="A9" s="11" t="s">
        <v>20</v>
      </c>
      <c r="B9" s="11"/>
      <c r="C9" s="11"/>
      <c r="D9" s="12" t="s">
        <v>21</v>
      </c>
      <c r="E9" s="12"/>
      <c r="F9" s="12"/>
      <c r="G9" s="12"/>
      <c r="H9" s="12"/>
      <c r="I9" s="12"/>
      <c r="J9" s="12"/>
      <c r="K9" s="12"/>
      <c r="L9" s="12"/>
      <c r="M9" s="13"/>
    </row>
    <row r="10" spans="1:13" ht="18" customHeight="1">
      <c r="A10" s="11" t="s">
        <v>22</v>
      </c>
      <c r="B10" s="11"/>
      <c r="C10" s="11"/>
      <c r="D10" s="12" t="s">
        <v>23</v>
      </c>
      <c r="E10" s="12"/>
      <c r="F10" s="12"/>
      <c r="G10" s="12"/>
      <c r="H10" s="12"/>
      <c r="I10" s="12"/>
      <c r="J10" s="12"/>
      <c r="K10" s="12"/>
      <c r="L10" s="12"/>
      <c r="M10" s="6"/>
    </row>
    <row r="11" spans="1:13" ht="18" customHeight="1">
      <c r="A11" s="11" t="s">
        <v>24</v>
      </c>
      <c r="B11" s="11"/>
      <c r="C11" s="11"/>
      <c r="D11" s="12" t="s">
        <v>25</v>
      </c>
      <c r="E11" s="12"/>
      <c r="F11" s="12"/>
      <c r="G11" s="12"/>
      <c r="H11" s="12"/>
      <c r="I11" s="12"/>
      <c r="J11" s="12"/>
      <c r="K11" s="12"/>
      <c r="L11" s="12"/>
      <c r="M11" s="6"/>
    </row>
    <row r="12" spans="1:13" ht="6" customHeight="1">
      <c r="A12" s="6"/>
      <c r="B12" s="6"/>
      <c r="C12" s="6"/>
      <c r="D12" s="6"/>
      <c r="E12" s="6"/>
      <c r="F12" s="6"/>
      <c r="G12" s="6"/>
      <c r="H12" s="6"/>
      <c r="I12" s="6"/>
      <c r="J12" s="6"/>
      <c r="K12" s="6"/>
      <c r="L12" s="6"/>
      <c r="M12" s="6"/>
    </row>
    <row r="13" spans="1:13" ht="15.75" customHeight="1">
      <c r="A13" s="10" t="s">
        <v>26</v>
      </c>
      <c r="B13" s="10"/>
      <c r="C13" s="10"/>
      <c r="D13" s="10"/>
      <c r="E13" s="10"/>
      <c r="F13" s="10"/>
      <c r="G13" s="10"/>
      <c r="H13" s="10"/>
      <c r="I13" s="10"/>
      <c r="J13" s="10"/>
      <c r="K13" s="10"/>
      <c r="L13" s="10"/>
      <c r="M13" s="6"/>
    </row>
    <row r="14" spans="1:13" ht="15.75" customHeight="1">
      <c r="A14" s="14" t="s">
        <v>27</v>
      </c>
      <c r="B14" s="14"/>
      <c r="C14" s="14"/>
      <c r="D14" s="14"/>
      <c r="E14" s="14"/>
      <c r="F14" s="14"/>
      <c r="G14" s="14"/>
      <c r="H14" s="14"/>
      <c r="I14" s="14"/>
      <c r="J14" s="14"/>
      <c r="K14" s="14"/>
      <c r="L14" s="14"/>
      <c r="M14" s="6"/>
    </row>
    <row r="15" spans="1:13" ht="15" customHeight="1">
      <c r="A15" s="14"/>
      <c r="B15" s="14"/>
      <c r="C15" s="14"/>
      <c r="D15" s="14"/>
      <c r="E15" s="14"/>
      <c r="F15" s="14"/>
      <c r="G15" s="14"/>
      <c r="H15" s="14"/>
      <c r="I15" s="14"/>
      <c r="J15" s="14"/>
      <c r="K15" s="14"/>
      <c r="L15" s="14"/>
      <c r="M15" s="6"/>
    </row>
    <row r="16" spans="1:13" ht="15" customHeight="1">
      <c r="A16" s="14"/>
      <c r="B16" s="14"/>
      <c r="C16" s="14"/>
      <c r="D16" s="14"/>
      <c r="E16" s="14"/>
      <c r="F16" s="14"/>
      <c r="G16" s="14"/>
      <c r="H16" s="14"/>
      <c r="I16" s="14"/>
      <c r="J16" s="14"/>
      <c r="K16" s="14"/>
      <c r="L16" s="14"/>
      <c r="M16" s="6"/>
    </row>
    <row r="17" spans="1:13" ht="15" customHeight="1">
      <c r="A17" s="14"/>
      <c r="B17" s="14"/>
      <c r="C17" s="14"/>
      <c r="D17" s="14"/>
      <c r="E17" s="14"/>
      <c r="F17" s="14"/>
      <c r="G17" s="14"/>
      <c r="H17" s="14"/>
      <c r="I17" s="14"/>
      <c r="J17" s="14"/>
      <c r="K17" s="14"/>
      <c r="L17" s="14"/>
      <c r="M17" s="6"/>
    </row>
    <row r="18" spans="1:13" ht="6" customHeight="1">
      <c r="A18" s="6"/>
      <c r="B18" s="6"/>
      <c r="C18" s="6"/>
      <c r="D18" s="6"/>
      <c r="E18" s="6"/>
      <c r="F18" s="6"/>
      <c r="G18" s="6"/>
      <c r="H18" s="6"/>
      <c r="I18" s="6"/>
      <c r="J18" s="6"/>
      <c r="K18" s="6"/>
      <c r="L18" s="6"/>
      <c r="M18" s="6"/>
    </row>
    <row r="19" spans="1:13" ht="15.75" customHeight="1">
      <c r="A19" s="10" t="s">
        <v>28</v>
      </c>
      <c r="B19" s="10"/>
      <c r="C19" s="10"/>
      <c r="D19" s="10"/>
      <c r="E19" s="10"/>
      <c r="F19" s="10"/>
      <c r="G19" s="10"/>
      <c r="H19" s="10"/>
      <c r="I19" s="10"/>
      <c r="J19" s="10"/>
      <c r="K19" s="10"/>
      <c r="L19" s="10"/>
      <c r="M19" s="6"/>
    </row>
    <row r="20" spans="1:13" ht="31.5" customHeight="1">
      <c r="A20" s="15" t="s">
        <v>29</v>
      </c>
      <c r="B20" s="16" t="s">
        <v>30</v>
      </c>
      <c r="C20" s="16"/>
      <c r="D20" s="16"/>
      <c r="E20" s="16"/>
      <c r="F20" s="16"/>
      <c r="G20" s="16"/>
      <c r="H20" s="16"/>
      <c r="I20" s="16"/>
      <c r="J20" s="16"/>
      <c r="K20" s="16"/>
      <c r="L20" s="16"/>
      <c r="M20" s="6"/>
    </row>
    <row r="21" spans="1:13" ht="31.5" customHeight="1">
      <c r="A21" s="15" t="s">
        <v>31</v>
      </c>
      <c r="B21" s="16" t="s">
        <v>32</v>
      </c>
      <c r="C21" s="16"/>
      <c r="D21" s="16"/>
      <c r="E21" s="16"/>
      <c r="F21" s="16"/>
      <c r="G21" s="16"/>
      <c r="H21" s="16"/>
      <c r="I21" s="16"/>
      <c r="J21" s="16"/>
      <c r="K21" s="16"/>
      <c r="L21" s="16"/>
      <c r="M21" s="6"/>
    </row>
    <row r="22" spans="1:13" ht="31.5" customHeight="1">
      <c r="A22" s="15" t="s">
        <v>33</v>
      </c>
      <c r="B22" s="16" t="s">
        <v>34</v>
      </c>
      <c r="C22" s="16"/>
      <c r="D22" s="16"/>
      <c r="E22" s="16"/>
      <c r="F22" s="16"/>
      <c r="G22" s="16"/>
      <c r="H22" s="16"/>
      <c r="I22" s="16"/>
      <c r="J22" s="16"/>
      <c r="K22" s="16"/>
      <c r="L22" s="16"/>
      <c r="M22" s="6"/>
    </row>
    <row r="23" spans="1:13" ht="31.5" customHeight="1">
      <c r="A23" s="15" t="s">
        <v>35</v>
      </c>
      <c r="B23" s="16" t="s">
        <v>36</v>
      </c>
      <c r="C23" s="16"/>
      <c r="D23" s="16"/>
      <c r="E23" s="16"/>
      <c r="F23" s="16"/>
      <c r="G23" s="16"/>
      <c r="H23" s="16"/>
      <c r="I23" s="16"/>
      <c r="J23" s="16"/>
      <c r="K23" s="16"/>
      <c r="L23" s="16"/>
      <c r="M23" s="6"/>
    </row>
    <row r="24" spans="1:13" ht="31.5" customHeight="1">
      <c r="A24" s="15" t="s">
        <v>37</v>
      </c>
      <c r="B24" s="16" t="s">
        <v>38</v>
      </c>
      <c r="C24" s="16"/>
      <c r="D24" s="16"/>
      <c r="E24" s="16"/>
      <c r="F24" s="16"/>
      <c r="G24" s="16"/>
      <c r="H24" s="16"/>
      <c r="I24" s="16"/>
      <c r="J24" s="16"/>
      <c r="K24" s="16"/>
      <c r="L24" s="16"/>
      <c r="M24" s="6"/>
    </row>
    <row r="25" spans="1:13" ht="31.5" customHeight="1">
      <c r="A25" s="15" t="s">
        <v>39</v>
      </c>
      <c r="B25" s="16" t="s">
        <v>40</v>
      </c>
      <c r="C25" s="16"/>
      <c r="D25" s="16"/>
      <c r="E25" s="16"/>
      <c r="F25" s="16"/>
      <c r="G25" s="16"/>
      <c r="H25" s="16"/>
      <c r="I25" s="16"/>
      <c r="J25" s="16"/>
      <c r="K25" s="16"/>
      <c r="L25" s="16"/>
      <c r="M25" s="6"/>
    </row>
    <row r="26" spans="1:13" ht="6" customHeight="1">
      <c r="A26" s="6"/>
      <c r="B26" s="6"/>
      <c r="C26" s="6"/>
      <c r="D26" s="6"/>
      <c r="E26" s="6"/>
      <c r="F26" s="6"/>
      <c r="G26" s="6"/>
      <c r="H26" s="6"/>
      <c r="I26" s="6"/>
      <c r="J26" s="6"/>
      <c r="K26" s="6"/>
      <c r="L26" s="6"/>
      <c r="M26" s="6"/>
    </row>
    <row r="27" spans="1:13" ht="15.75" customHeight="1">
      <c r="A27" s="10" t="s">
        <v>41</v>
      </c>
      <c r="B27" s="10"/>
      <c r="C27" s="10"/>
      <c r="D27" s="10"/>
      <c r="E27" s="10"/>
      <c r="F27" s="10"/>
      <c r="G27" s="10"/>
      <c r="H27" s="10"/>
      <c r="I27" s="10"/>
      <c r="J27" s="10"/>
      <c r="K27" s="10"/>
      <c r="L27" s="10"/>
      <c r="M27" s="6"/>
    </row>
    <row r="28" spans="1:13" ht="19.5" customHeight="1">
      <c r="A28" s="22" t="s">
        <v>42</v>
      </c>
      <c r="B28" s="22"/>
      <c r="C28" s="16" t="s">
        <v>43</v>
      </c>
      <c r="D28" s="16"/>
      <c r="E28" s="16"/>
      <c r="F28" s="16"/>
      <c r="G28" s="16"/>
      <c r="H28" s="16"/>
      <c r="I28" s="16"/>
      <c r="J28" s="16"/>
      <c r="K28" s="16"/>
      <c r="L28" s="16"/>
      <c r="M28" s="6"/>
    </row>
    <row r="29" spans="1:13" ht="19.5" customHeight="1">
      <c r="A29" s="17" t="s">
        <v>44</v>
      </c>
      <c r="B29" s="17"/>
      <c r="C29" s="16" t="s">
        <v>45</v>
      </c>
      <c r="D29" s="16"/>
      <c r="E29" s="16"/>
      <c r="F29" s="16"/>
      <c r="G29" s="16"/>
      <c r="H29" s="16"/>
      <c r="I29" s="16"/>
      <c r="J29" s="16"/>
      <c r="K29" s="16"/>
      <c r="L29" s="16"/>
      <c r="M29" s="6"/>
    </row>
    <row r="30" spans="1:13" ht="19.5" customHeight="1">
      <c r="A30" s="18" t="s">
        <v>46</v>
      </c>
      <c r="B30" s="18"/>
      <c r="C30" s="16" t="s">
        <v>47</v>
      </c>
      <c r="D30" s="16"/>
      <c r="E30" s="16"/>
      <c r="F30" s="16"/>
      <c r="G30" s="16"/>
      <c r="H30" s="16"/>
      <c r="I30" s="16"/>
      <c r="J30" s="16"/>
      <c r="K30" s="16"/>
      <c r="L30" s="16"/>
      <c r="M30" s="6"/>
    </row>
    <row r="31" spans="1:13" ht="19.5" customHeight="1">
      <c r="A31" s="19" t="s">
        <v>48</v>
      </c>
      <c r="B31" s="19"/>
      <c r="C31" s="16" t="s">
        <v>49</v>
      </c>
      <c r="D31" s="16"/>
      <c r="E31" s="16"/>
      <c r="F31" s="16"/>
      <c r="G31" s="16"/>
      <c r="H31" s="16"/>
      <c r="I31" s="16"/>
      <c r="J31" s="16"/>
      <c r="K31" s="16"/>
      <c r="L31" s="16"/>
      <c r="M31" s="6"/>
    </row>
    <row r="32" spans="1:13" ht="19.5" customHeight="1">
      <c r="A32" s="20" t="s">
        <v>50</v>
      </c>
      <c r="B32" s="20"/>
      <c r="C32" s="16" t="s">
        <v>51</v>
      </c>
      <c r="D32" s="16"/>
      <c r="E32" s="16"/>
      <c r="F32" s="16"/>
      <c r="G32" s="16"/>
      <c r="H32" s="16"/>
      <c r="I32" s="16"/>
      <c r="J32" s="16"/>
      <c r="K32" s="16"/>
      <c r="L32" s="16"/>
      <c r="M32" s="6"/>
    </row>
    <row r="33" spans="1:13" ht="6" customHeight="1">
      <c r="A33" s="6"/>
      <c r="B33" s="6"/>
      <c r="C33" s="6"/>
      <c r="D33" s="6"/>
      <c r="E33" s="6"/>
      <c r="F33" s="6"/>
      <c r="G33" s="6"/>
      <c r="H33" s="6"/>
      <c r="I33" s="6"/>
      <c r="J33" s="6"/>
      <c r="K33" s="6"/>
      <c r="L33" s="6"/>
      <c r="M33" s="6"/>
    </row>
    <row r="34" spans="1:13" ht="15.75" customHeight="1">
      <c r="A34" s="21" t="s">
        <v>52</v>
      </c>
      <c r="B34" s="21"/>
      <c r="C34" s="21"/>
      <c r="D34" s="21"/>
      <c r="E34" s="21"/>
      <c r="F34" s="21"/>
      <c r="G34" s="21"/>
      <c r="H34" s="21"/>
      <c r="I34" s="21"/>
      <c r="J34" s="21"/>
      <c r="K34" s="21"/>
      <c r="L34" s="21"/>
      <c r="M34" s="6"/>
    </row>
    <row r="35" spans="1:13" ht="15" customHeight="1">
      <c r="A35" s="21"/>
      <c r="B35" s="21"/>
      <c r="C35" s="21"/>
      <c r="D35" s="21"/>
      <c r="E35" s="21"/>
      <c r="F35" s="21"/>
      <c r="G35" s="21"/>
      <c r="H35" s="21"/>
      <c r="I35" s="21"/>
      <c r="J35" s="21"/>
      <c r="K35" s="21"/>
      <c r="L35" s="21"/>
      <c r="M35" s="6"/>
    </row>
    <row r="36" spans="1:13" ht="15" customHeight="1">
      <c r="A36" s="21"/>
      <c r="B36" s="21"/>
      <c r="C36" s="21"/>
      <c r="D36" s="21"/>
      <c r="E36" s="21"/>
      <c r="F36" s="21"/>
      <c r="G36" s="21"/>
      <c r="H36" s="21"/>
      <c r="I36" s="21"/>
      <c r="J36" s="21"/>
      <c r="K36" s="21"/>
      <c r="L36" s="21"/>
      <c r="M36" s="6"/>
    </row>
    <row r="37" spans="1:13" ht="15" customHeight="1">
      <c r="A37" s="21"/>
      <c r="B37" s="21"/>
      <c r="C37" s="21"/>
      <c r="D37" s="21"/>
      <c r="E37" s="21"/>
      <c r="F37" s="21"/>
      <c r="G37" s="21"/>
      <c r="H37" s="21"/>
      <c r="I37" s="21"/>
      <c r="J37" s="21"/>
      <c r="K37" s="21"/>
      <c r="L37" s="21"/>
      <c r="M37" s="6"/>
    </row>
    <row r="38" spans="1:13" ht="15" customHeight="1">
      <c r="A38" s="21"/>
      <c r="B38" s="21"/>
      <c r="C38" s="21"/>
      <c r="D38" s="21"/>
      <c r="E38" s="21"/>
      <c r="F38" s="21"/>
      <c r="G38" s="21"/>
      <c r="H38" s="21"/>
      <c r="I38" s="21"/>
      <c r="J38" s="21"/>
      <c r="K38" s="21"/>
      <c r="L38" s="21"/>
      <c r="M38" s="6"/>
    </row>
    <row r="39" spans="1:13" ht="15" customHeight="1">
      <c r="A39" s="21"/>
      <c r="B39" s="21"/>
      <c r="C39" s="21"/>
      <c r="D39" s="21"/>
      <c r="E39" s="21"/>
      <c r="F39" s="21"/>
      <c r="G39" s="21"/>
      <c r="H39" s="21"/>
      <c r="I39" s="21"/>
      <c r="J39" s="21"/>
      <c r="K39" s="21"/>
      <c r="L39" s="21"/>
      <c r="M39" s="6"/>
    </row>
    <row r="40" spans="1:13" ht="15" customHeight="1">
      <c r="A40" s="21"/>
      <c r="B40" s="21"/>
      <c r="C40" s="21"/>
      <c r="D40" s="21"/>
      <c r="E40" s="21"/>
      <c r="F40" s="21"/>
      <c r="G40" s="21"/>
      <c r="H40" s="21"/>
      <c r="I40" s="21"/>
      <c r="J40" s="21"/>
      <c r="K40" s="21"/>
      <c r="L40" s="21"/>
      <c r="M40" s="6"/>
    </row>
    <row r="41" spans="1:13" ht="15" customHeight="1">
      <c r="A41" s="21"/>
      <c r="B41" s="21"/>
      <c r="C41" s="21"/>
      <c r="D41" s="21"/>
      <c r="E41" s="21"/>
      <c r="F41" s="21"/>
      <c r="G41" s="21"/>
      <c r="H41" s="21"/>
      <c r="I41" s="21"/>
      <c r="J41" s="21"/>
      <c r="K41" s="21"/>
      <c r="L41" s="21"/>
      <c r="M41" s="6"/>
    </row>
    <row r="42" spans="1:13" ht="15" customHeight="1">
      <c r="A42" s="21"/>
      <c r="B42" s="21"/>
      <c r="C42" s="21"/>
      <c r="D42" s="21"/>
      <c r="E42" s="21"/>
      <c r="F42" s="21"/>
      <c r="G42" s="21"/>
      <c r="H42" s="21"/>
      <c r="I42" s="21"/>
      <c r="J42" s="21"/>
      <c r="K42" s="21"/>
      <c r="L42" s="21"/>
      <c r="M42" s="6"/>
    </row>
    <row r="43" spans="1:13" ht="15" customHeight="1">
      <c r="A43" s="6"/>
      <c r="B43" s="6"/>
      <c r="C43" s="6"/>
      <c r="D43" s="6"/>
      <c r="E43" s="6"/>
      <c r="F43" s="6"/>
      <c r="G43" s="6"/>
      <c r="H43" s="6"/>
      <c r="I43" s="6"/>
      <c r="J43" s="6"/>
      <c r="K43" s="6"/>
      <c r="L43" s="6"/>
      <c r="M43" s="6"/>
    </row>
    <row r="44" spans="1:13" ht="15" customHeight="1">
      <c r="A44" s="6"/>
      <c r="B44" s="6"/>
      <c r="C44" s="6"/>
      <c r="D44" s="6"/>
      <c r="E44" s="6"/>
      <c r="F44" s="6"/>
      <c r="G44" s="6"/>
      <c r="H44" s="6"/>
      <c r="I44" s="6"/>
      <c r="J44" s="6"/>
      <c r="K44" s="6"/>
      <c r="L44" s="6"/>
      <c r="M44" s="6"/>
    </row>
    <row r="45" spans="1:13" ht="15" customHeight="1">
      <c r="A45" s="6"/>
      <c r="B45" s="6"/>
      <c r="C45" s="6"/>
      <c r="D45" s="6"/>
      <c r="E45" s="6"/>
      <c r="F45" s="6"/>
      <c r="G45" s="6"/>
      <c r="H45" s="6"/>
      <c r="I45" s="6"/>
      <c r="J45" s="6"/>
      <c r="K45" s="6"/>
      <c r="L45" s="6"/>
      <c r="M45" s="6"/>
    </row>
  </sheetData>
  <sheetProtection algorithmName="SHA-512" hashValue="TcOElZF3XWBDrJC4QDEX3UkKZCBBfSioyL5QkugvnBWWj8WCmIFvNimMc8LbrwV6ETWPo8fBNiuHZ7bfypfVeA==" saltValue="2gxjq81PG14Yt9ZSh8e8Ag==" spinCount="100000" sheet="1" objects="1" scenarios="1" autoFilter="0"/>
  <mergeCells count="37">
    <mergeCell ref="A32:B32"/>
    <mergeCell ref="C32:L32"/>
    <mergeCell ref="A34:L42"/>
    <mergeCell ref="A29:B29"/>
    <mergeCell ref="C29:L29"/>
    <mergeCell ref="A30:B30"/>
    <mergeCell ref="C30:L30"/>
    <mergeCell ref="A31:B31"/>
    <mergeCell ref="C31:L31"/>
    <mergeCell ref="B23:L23"/>
    <mergeCell ref="B24:L24"/>
    <mergeCell ref="B25:L25"/>
    <mergeCell ref="A27:L27"/>
    <mergeCell ref="A28:B28"/>
    <mergeCell ref="C28:L28"/>
    <mergeCell ref="A14:L17"/>
    <mergeCell ref="A19:L19"/>
    <mergeCell ref="B20:L20"/>
    <mergeCell ref="B21:L21"/>
    <mergeCell ref="B22:L22"/>
    <mergeCell ref="A10:C10"/>
    <mergeCell ref="D10:L10"/>
    <mergeCell ref="A11:C11"/>
    <mergeCell ref="D11:L11"/>
    <mergeCell ref="A13:L13"/>
    <mergeCell ref="A7:C7"/>
    <mergeCell ref="D7:L7"/>
    <mergeCell ref="A8:C8"/>
    <mergeCell ref="D8:L8"/>
    <mergeCell ref="A9:C9"/>
    <mergeCell ref="D9:L9"/>
    <mergeCell ref="A1:L1"/>
    <mergeCell ref="A2:L2"/>
    <mergeCell ref="K3:L3"/>
    <mergeCell ref="A5:L5"/>
    <mergeCell ref="A6:C6"/>
    <mergeCell ref="D6:L6"/>
  </mergeCells>
  <hyperlinks>
    <hyperlink ref="A3" location="'INICIO'!A1" display="INICIO" xr:uid="{00000000-0004-0000-0000-000000000000}"/>
    <hyperlink ref="B3" location="'DATOS'!A1" display="DATOS" xr:uid="{00000000-0004-0000-0000-000001000000}"/>
    <hyperlink ref="C3" location="'DIETOSINTESIS'!A1" display="DIETOSINTESIS" xr:uid="{00000000-0004-0000-0000-000002000000}"/>
    <hyperlink ref="D3" location="'DISTRIBUCION'!A1" display="DISTRIBUCION" xr:uid="{00000000-0004-0000-0000-000003000000}"/>
    <hyperlink ref="E3" location="'MENU_SEMANAL'!A1" display="MENU_SEMANAL" xr:uid="{00000000-0004-0000-0000-000004000000}"/>
    <hyperlink ref="F3" location="'SEMANA'!A1" display="SEMANA" xr:uid="{00000000-0004-0000-0000-000005000000}"/>
    <hyperlink ref="G3" location="'RESULTADOS'!A1" display="RESULTADOS" xr:uid="{00000000-0004-0000-0000-000006000000}"/>
    <hyperlink ref="H3" location="'FUENTES'!A1" display="FUENTES" xr:uid="{00000000-0004-0000-0000-000007000000}"/>
    <hyperlink ref="I3" location="'PRUEBAS'!A1" display="PRUEBAS" xr:uid="{00000000-0004-0000-0000-000008000000}"/>
    <hyperlink ref="J3" location="'CONFIG'!A1" display="CONFIG" xr:uid="{00000000-0004-0000-0000-000009000000}"/>
    <hyperlink ref="K3" location="'CHANGELOG'!A1" display="CHANGELOG" xr:uid="{00000000-0004-0000-0000-00000A000000}"/>
  </hyperlinks>
  <pageMargins left="0.75" right="0.75" top="1" bottom="1"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L36"/>
  <sheetViews>
    <sheetView showGridLines="0" topLeftCell="A7" zoomScale="70" zoomScaleNormal="70" workbookViewId="0">
      <selection activeCell="B17" sqref="B17:C17"/>
    </sheetView>
  </sheetViews>
  <sheetFormatPr baseColWidth="10" defaultColWidth="8.7109375" defaultRowHeight="15"/>
  <cols>
    <col min="1" max="1" width="37.7109375" customWidth="1"/>
    <col min="2" max="2" width="20" customWidth="1"/>
    <col min="3" max="5" width="16" customWidth="1"/>
    <col min="6" max="10" width="18.28515625" customWidth="1"/>
  </cols>
  <sheetData>
    <row r="1" spans="1:12" ht="25.5" customHeight="1">
      <c r="A1" s="23" t="s">
        <v>53</v>
      </c>
      <c r="B1" s="23"/>
      <c r="C1" s="23"/>
      <c r="D1" s="23"/>
      <c r="E1" s="23"/>
      <c r="F1" s="23"/>
      <c r="G1" s="23"/>
      <c r="H1" s="23"/>
      <c r="I1" s="23"/>
      <c r="J1" s="23"/>
      <c r="K1" s="23"/>
      <c r="L1" s="23"/>
    </row>
    <row r="2" spans="1:12" ht="24" customHeight="1">
      <c r="A2" s="10" t="s">
        <v>54</v>
      </c>
      <c r="B2" s="10"/>
      <c r="C2" s="10"/>
      <c r="D2" s="10"/>
      <c r="E2" s="10"/>
      <c r="F2" s="10"/>
      <c r="G2" s="10"/>
      <c r="H2" s="10"/>
      <c r="I2" s="10"/>
      <c r="J2" s="10"/>
      <c r="K2" s="10"/>
      <c r="L2" s="10"/>
    </row>
    <row r="3" spans="1:12" ht="23.25" customHeight="1">
      <c r="A3" s="24" t="s">
        <v>2</v>
      </c>
      <c r="B3" s="8" t="s">
        <v>3</v>
      </c>
      <c r="C3" s="24" t="s">
        <v>4</v>
      </c>
      <c r="D3" s="24" t="s">
        <v>5</v>
      </c>
      <c r="E3" s="24" t="s">
        <v>6</v>
      </c>
      <c r="F3" s="24" t="s">
        <v>7</v>
      </c>
      <c r="G3" s="24" t="s">
        <v>8</v>
      </c>
      <c r="H3" s="24" t="s">
        <v>9</v>
      </c>
      <c r="I3" s="24" t="s">
        <v>10</v>
      </c>
      <c r="J3" s="24" t="s">
        <v>11</v>
      </c>
      <c r="K3" s="25" t="s">
        <v>12</v>
      </c>
      <c r="L3" s="25"/>
    </row>
    <row r="4" spans="1:12" ht="0.75" customHeight="1">
      <c r="A4" s="13"/>
      <c r="B4" s="13"/>
      <c r="C4" s="13"/>
      <c r="D4" s="13"/>
      <c r="E4" s="13"/>
      <c r="F4" s="13"/>
      <c r="G4" s="13"/>
      <c r="H4" s="13"/>
      <c r="I4" s="13"/>
      <c r="J4" s="13"/>
      <c r="K4" s="13"/>
      <c r="L4" s="13"/>
    </row>
    <row r="5" spans="1:12" ht="15.75" customHeight="1">
      <c r="A5" s="10" t="s">
        <v>55</v>
      </c>
      <c r="B5" s="10"/>
      <c r="C5" s="10"/>
      <c r="D5" s="10"/>
      <c r="E5" s="10"/>
      <c r="F5" s="10"/>
      <c r="G5" s="10"/>
      <c r="H5" s="10"/>
      <c r="I5" s="10"/>
      <c r="J5" s="10"/>
      <c r="K5" s="13"/>
      <c r="L5" s="13"/>
    </row>
    <row r="6" spans="1:12" ht="27.75" customHeight="1">
      <c r="A6" s="26" t="s">
        <v>56</v>
      </c>
      <c r="B6" s="44" t="s">
        <v>57</v>
      </c>
      <c r="C6" s="44"/>
      <c r="D6" s="44"/>
      <c r="E6" s="13"/>
      <c r="F6" s="13"/>
      <c r="G6" s="13"/>
      <c r="H6" s="13"/>
      <c r="I6" s="13"/>
      <c r="J6" s="13"/>
      <c r="K6" s="13"/>
      <c r="L6" s="13"/>
    </row>
    <row r="7" spans="1:12" ht="27.75" customHeight="1">
      <c r="A7" s="26" t="s">
        <v>58</v>
      </c>
      <c r="B7" s="44">
        <v>34</v>
      </c>
      <c r="C7" s="44"/>
      <c r="D7" s="44"/>
      <c r="E7" s="13"/>
      <c r="F7" s="13"/>
      <c r="G7" s="13"/>
      <c r="H7" s="13"/>
      <c r="I7" s="13"/>
      <c r="J7" s="13"/>
      <c r="K7" s="13"/>
      <c r="L7" s="13"/>
    </row>
    <row r="8" spans="1:12" ht="27.75" customHeight="1">
      <c r="A8" s="26" t="s">
        <v>59</v>
      </c>
      <c r="B8" s="44" t="s">
        <v>60</v>
      </c>
      <c r="C8" s="44"/>
      <c r="D8" s="44"/>
      <c r="E8" s="13"/>
      <c r="F8" s="13"/>
      <c r="G8" s="13"/>
      <c r="H8" s="13"/>
      <c r="I8" s="13"/>
      <c r="J8" s="13"/>
      <c r="K8" s="13"/>
      <c r="L8" s="13"/>
    </row>
    <row r="9" spans="1:12" ht="27.75" customHeight="1">
      <c r="A9" s="26" t="s">
        <v>61</v>
      </c>
      <c r="B9" s="44">
        <v>62</v>
      </c>
      <c r="C9" s="44"/>
      <c r="D9" s="44"/>
      <c r="E9" s="13"/>
      <c r="F9" s="13"/>
      <c r="G9" s="13"/>
      <c r="H9" s="13"/>
      <c r="I9" s="13"/>
      <c r="J9" s="13"/>
      <c r="K9" s="13"/>
      <c r="L9" s="13"/>
    </row>
    <row r="10" spans="1:12" ht="27.75" customHeight="1">
      <c r="A10" s="26" t="s">
        <v>62</v>
      </c>
      <c r="B10" s="44">
        <v>1.6</v>
      </c>
      <c r="C10" s="44"/>
      <c r="D10" s="44"/>
      <c r="E10" s="13"/>
      <c r="F10" s="13"/>
      <c r="G10" s="13"/>
      <c r="H10" s="13"/>
      <c r="I10" s="13"/>
      <c r="J10" s="13"/>
      <c r="K10" s="13"/>
      <c r="L10" s="13"/>
    </row>
    <row r="11" spans="1:12" ht="27.75" customHeight="1">
      <c r="A11" s="26" t="s">
        <v>63</v>
      </c>
      <c r="B11" s="44" t="s">
        <v>64</v>
      </c>
      <c r="C11" s="44"/>
      <c r="D11" s="44"/>
      <c r="E11" s="13"/>
      <c r="F11" s="13"/>
      <c r="G11" s="13"/>
      <c r="H11" s="13"/>
      <c r="I11" s="13"/>
      <c r="J11" s="13"/>
      <c r="K11" s="13"/>
      <c r="L11" s="13"/>
    </row>
    <row r="12" spans="1:12" ht="27.75" customHeight="1">
      <c r="A12" s="26" t="s">
        <v>65</v>
      </c>
      <c r="B12" s="44" t="s">
        <v>66</v>
      </c>
      <c r="C12" s="44"/>
      <c r="D12" s="44"/>
      <c r="E12" s="13"/>
      <c r="F12" s="13"/>
      <c r="G12" s="13"/>
      <c r="H12" s="13"/>
      <c r="I12" s="13"/>
      <c r="J12" s="13"/>
      <c r="K12" s="13"/>
      <c r="L12" s="13"/>
    </row>
    <row r="13" spans="1:12" ht="5.25" customHeight="1">
      <c r="A13" s="13"/>
      <c r="B13" s="13"/>
      <c r="C13" s="13"/>
      <c r="D13" s="13"/>
      <c r="E13" s="13"/>
      <c r="F13" s="13"/>
      <c r="G13" s="13"/>
      <c r="H13" s="13"/>
      <c r="I13" s="13"/>
      <c r="J13" s="13"/>
      <c r="K13" s="13"/>
      <c r="L13" s="13"/>
    </row>
    <row r="14" spans="1:12" ht="15.75" customHeight="1">
      <c r="A14" s="10" t="s">
        <v>67</v>
      </c>
      <c r="B14" s="10"/>
      <c r="C14" s="10"/>
      <c r="D14" s="10"/>
      <c r="E14" s="10"/>
      <c r="F14" s="10"/>
      <c r="G14" s="10"/>
      <c r="H14" s="10"/>
      <c r="I14" s="10"/>
      <c r="J14" s="10"/>
      <c r="K14" s="13"/>
      <c r="L14" s="13"/>
    </row>
    <row r="15" spans="1:12" ht="21.75" customHeight="1">
      <c r="A15" s="26" t="s">
        <v>68</v>
      </c>
      <c r="B15" s="45" t="s">
        <v>69</v>
      </c>
      <c r="C15" s="45"/>
      <c r="D15" s="13"/>
      <c r="E15" s="13"/>
      <c r="F15" s="13"/>
      <c r="G15" s="13"/>
      <c r="H15" s="13"/>
      <c r="I15" s="13"/>
      <c r="J15" s="13"/>
      <c r="K15" s="13"/>
      <c r="L15" s="13"/>
    </row>
    <row r="16" spans="1:12" ht="21.75" customHeight="1">
      <c r="A16" s="26" t="s">
        <v>70</v>
      </c>
      <c r="B16" s="45">
        <v>2000</v>
      </c>
      <c r="C16" s="45"/>
      <c r="D16" s="13"/>
      <c r="E16" s="13"/>
      <c r="F16" s="13"/>
      <c r="G16" s="13"/>
      <c r="H16" s="13"/>
      <c r="I16" s="13"/>
      <c r="J16" s="13"/>
      <c r="K16" s="13"/>
      <c r="L16" s="13"/>
    </row>
    <row r="17" spans="1:12" ht="21.75" customHeight="1">
      <c r="A17" s="26" t="s">
        <v>71</v>
      </c>
      <c r="B17" s="45" t="s">
        <v>66</v>
      </c>
      <c r="C17" s="45"/>
      <c r="D17" s="13"/>
      <c r="E17" s="13"/>
      <c r="F17" s="13"/>
      <c r="G17" s="13"/>
      <c r="H17" s="13"/>
      <c r="I17" s="13"/>
      <c r="J17" s="13"/>
      <c r="K17" s="13"/>
      <c r="L17" s="13"/>
    </row>
    <row r="18" spans="1:12" ht="21.75" customHeight="1">
      <c r="A18" s="27" t="s">
        <v>72</v>
      </c>
      <c r="B18" s="46">
        <f>IF($B$15="Valor directo",IF(NOT(ISNUMBER($B$16)),"ND: falta la energía indicada",$B$16),IF(OR(NOT(ISNUMBER($B$17)),NOT(ISNUMBER($B$9))),"ND: faltan kcal/kg o peso",$B$17*$B$9))</f>
        <v>2000</v>
      </c>
      <c r="C18" s="46"/>
      <c r="D18" s="28" t="s">
        <v>73</v>
      </c>
      <c r="E18" s="13"/>
      <c r="F18" s="13"/>
      <c r="G18" s="13"/>
      <c r="H18" s="13"/>
      <c r="I18" s="13"/>
      <c r="J18" s="13"/>
      <c r="K18" s="13"/>
      <c r="L18" s="13"/>
    </row>
    <row r="19" spans="1:12" ht="3" customHeight="1">
      <c r="A19" s="13"/>
      <c r="B19" s="13"/>
      <c r="C19" s="13"/>
      <c r="D19" s="13"/>
      <c r="E19" s="13"/>
      <c r="F19" s="13"/>
      <c r="G19" s="13"/>
      <c r="H19" s="13"/>
      <c r="I19" s="13"/>
      <c r="J19" s="13"/>
      <c r="K19" s="13"/>
      <c r="L19" s="13"/>
    </row>
    <row r="20" spans="1:12" ht="15.75" customHeight="1">
      <c r="A20" s="10" t="s">
        <v>74</v>
      </c>
      <c r="B20" s="10"/>
      <c r="C20" s="10"/>
      <c r="D20" s="10"/>
      <c r="E20" s="10"/>
      <c r="F20" s="10"/>
      <c r="G20" s="10"/>
      <c r="H20" s="10"/>
      <c r="I20" s="10"/>
      <c r="J20" s="10"/>
      <c r="K20" s="13"/>
      <c r="L20" s="13"/>
    </row>
    <row r="21" spans="1:12" ht="25.5" customHeight="1">
      <c r="A21" s="29" t="s">
        <v>75</v>
      </c>
      <c r="B21" s="29" t="s">
        <v>76</v>
      </c>
      <c r="C21" s="29" t="s">
        <v>77</v>
      </c>
      <c r="D21" s="30" t="s">
        <v>78</v>
      </c>
      <c r="E21" s="30" t="s">
        <v>79</v>
      </c>
      <c r="F21" s="13"/>
      <c r="G21" s="13"/>
      <c r="H21" s="13"/>
      <c r="I21" s="13"/>
      <c r="J21" s="13"/>
      <c r="K21" s="13"/>
      <c r="L21" s="13"/>
    </row>
    <row r="22" spans="1:12" ht="25.5" customHeight="1">
      <c r="A22" s="31" t="s">
        <v>80</v>
      </c>
      <c r="B22" s="47">
        <v>0.15</v>
      </c>
      <c r="C22" s="32">
        <f>IF(NOT(ISNUMBER($B$18)),"ND",$B$18*B22)</f>
        <v>300</v>
      </c>
      <c r="D22" s="32">
        <f>IF(OR(NOT(ISNUMBER(C22)),E22=0),"ND",C22/E22)</f>
        <v>75</v>
      </c>
      <c r="E22" s="33">
        <f>k_prot</f>
        <v>4</v>
      </c>
      <c r="F22" s="13"/>
      <c r="G22" s="13"/>
      <c r="H22" s="13"/>
      <c r="I22" s="13"/>
      <c r="J22" s="13"/>
      <c r="K22" s="13"/>
      <c r="L22" s="13"/>
    </row>
    <row r="23" spans="1:12" ht="25.5" customHeight="1">
      <c r="A23" s="31" t="s">
        <v>81</v>
      </c>
      <c r="B23" s="47">
        <v>0.55000000000000004</v>
      </c>
      <c r="C23" s="32">
        <f>IF(NOT(ISNUMBER($B$18)),"ND",$B$18*B23)</f>
        <v>1100</v>
      </c>
      <c r="D23" s="32">
        <f>IF(OR(NOT(ISNUMBER(C23)),E23=0),"ND",C23/E23)</f>
        <v>275</v>
      </c>
      <c r="E23" s="33">
        <f>k_cho</f>
        <v>4</v>
      </c>
      <c r="F23" s="13"/>
      <c r="G23" s="13"/>
      <c r="H23" s="13"/>
      <c r="I23" s="13"/>
      <c r="J23" s="13"/>
      <c r="K23" s="13"/>
      <c r="L23" s="13"/>
    </row>
    <row r="24" spans="1:12" ht="25.5" customHeight="1">
      <c r="A24" s="31" t="s">
        <v>82</v>
      </c>
      <c r="B24" s="47">
        <v>0.3</v>
      </c>
      <c r="C24" s="32">
        <f>IF(NOT(ISNUMBER($B$18)),"ND",$B$18*B24)</f>
        <v>600</v>
      </c>
      <c r="D24" s="32">
        <f>IF(OR(NOT(ISNUMBER(C24)),E24=0),"ND",C24/E24)</f>
        <v>66.666666666666671</v>
      </c>
      <c r="E24" s="33">
        <f>k_lip</f>
        <v>9</v>
      </c>
      <c r="F24" s="13"/>
      <c r="G24" s="13"/>
      <c r="H24" s="13"/>
      <c r="I24" s="13"/>
      <c r="J24" s="13"/>
      <c r="K24" s="13"/>
      <c r="L24" s="13"/>
    </row>
    <row r="25" spans="1:12" ht="25.5" customHeight="1">
      <c r="A25" s="34" t="s">
        <v>83</v>
      </c>
      <c r="B25" s="35">
        <f>SUM(B22:B24)</f>
        <v>1</v>
      </c>
      <c r="C25" s="36" t="str">
        <f>IF(ABS(B25-1)&gt;0.0001,"REVISAR: la suma debe ser 100%","OK")</f>
        <v>OK</v>
      </c>
      <c r="D25" s="36"/>
      <c r="E25" s="36"/>
      <c r="F25" s="13"/>
      <c r="G25" s="13"/>
      <c r="H25" s="13"/>
      <c r="I25" s="13"/>
      <c r="J25" s="13"/>
      <c r="K25" s="13"/>
      <c r="L25" s="13"/>
    </row>
    <row r="26" spans="1:12">
      <c r="A26" s="13"/>
      <c r="B26" s="13"/>
      <c r="C26" s="13"/>
      <c r="D26" s="13"/>
      <c r="E26" s="13"/>
      <c r="F26" s="13"/>
      <c r="G26" s="13"/>
      <c r="H26" s="13"/>
      <c r="I26" s="13"/>
      <c r="J26" s="13"/>
      <c r="K26" s="13"/>
      <c r="L26" s="13"/>
    </row>
    <row r="27" spans="1:12" ht="15" customHeight="1">
      <c r="A27" s="37" t="s">
        <v>84</v>
      </c>
      <c r="B27" s="37"/>
      <c r="C27" s="37"/>
      <c r="D27" s="37"/>
      <c r="E27" s="37"/>
      <c r="F27" s="37"/>
      <c r="G27" s="37"/>
      <c r="H27" s="37"/>
      <c r="I27" s="37"/>
      <c r="J27" s="37"/>
      <c r="K27" s="13"/>
      <c r="L27" s="13"/>
    </row>
    <row r="28" spans="1:12" ht="15" customHeight="1">
      <c r="A28" s="37"/>
      <c r="B28" s="37"/>
      <c r="C28" s="37"/>
      <c r="D28" s="37"/>
      <c r="E28" s="37"/>
      <c r="F28" s="37"/>
      <c r="G28" s="37"/>
      <c r="H28" s="37"/>
      <c r="I28" s="37"/>
      <c r="J28" s="37"/>
      <c r="K28" s="13"/>
      <c r="L28" s="13"/>
    </row>
    <row r="29" spans="1:12" ht="15" customHeight="1">
      <c r="A29" s="37"/>
      <c r="B29" s="37"/>
      <c r="C29" s="37"/>
      <c r="D29" s="37"/>
      <c r="E29" s="37"/>
      <c r="F29" s="37"/>
      <c r="G29" s="37"/>
      <c r="H29" s="37"/>
      <c r="I29" s="37"/>
      <c r="J29" s="37"/>
      <c r="K29" s="13"/>
      <c r="L29" s="13"/>
    </row>
    <row r="30" spans="1:12" ht="15" customHeight="1">
      <c r="A30" s="38" t="s">
        <v>85</v>
      </c>
      <c r="B30" s="38"/>
      <c r="C30" s="38"/>
      <c r="D30" s="38"/>
      <c r="E30" s="38"/>
      <c r="F30" s="38"/>
      <c r="G30" s="38"/>
      <c r="H30" s="38"/>
      <c r="I30" s="38"/>
      <c r="J30" s="38"/>
      <c r="K30" s="13"/>
      <c r="L30" s="13"/>
    </row>
    <row r="31" spans="1:12" ht="27" customHeight="1">
      <c r="A31" s="39" t="s">
        <v>86</v>
      </c>
      <c r="B31" s="4" t="s">
        <v>87</v>
      </c>
      <c r="C31" s="4"/>
      <c r="D31" s="4"/>
      <c r="E31" s="4"/>
      <c r="F31" s="4"/>
      <c r="G31" s="4"/>
      <c r="H31" s="4"/>
      <c r="I31" s="13"/>
      <c r="J31" s="13"/>
      <c r="K31" s="13"/>
      <c r="L31" s="13"/>
    </row>
    <row r="32" spans="1:12" ht="27" customHeight="1">
      <c r="A32" s="39" t="s">
        <v>88</v>
      </c>
      <c r="B32" s="40" t="s">
        <v>89</v>
      </c>
      <c r="C32" s="40" t="s">
        <v>90</v>
      </c>
      <c r="D32" s="40" t="s">
        <v>91</v>
      </c>
      <c r="E32" s="40" t="s">
        <v>92</v>
      </c>
      <c r="F32" s="40" t="s">
        <v>93</v>
      </c>
      <c r="G32" s="40" t="s">
        <v>94</v>
      </c>
      <c r="H32" s="40" t="s">
        <v>95</v>
      </c>
      <c r="I32" s="13"/>
      <c r="J32" s="13"/>
      <c r="K32" s="13"/>
      <c r="L32" s="13"/>
    </row>
    <row r="33" spans="1:12" ht="27" customHeight="1">
      <c r="A33" s="41" t="s">
        <v>96</v>
      </c>
      <c r="B33" s="1"/>
      <c r="C33" s="1"/>
      <c r="D33" s="1"/>
      <c r="E33" s="1"/>
      <c r="F33" s="1"/>
      <c r="G33" s="1"/>
      <c r="H33" s="1"/>
      <c r="I33" s="13"/>
      <c r="J33" s="13"/>
      <c r="K33" s="13"/>
      <c r="L33" s="13"/>
    </row>
    <row r="34" spans="1:12" ht="27" customHeight="1">
      <c r="A34" s="39" t="s">
        <v>97</v>
      </c>
      <c r="B34" s="42">
        <f t="shared" ref="B34:H34" si="0">IF($B$31="Misma meta para todos los días",v_meta,IF(ISNUMBER(B33),B33,v_meta))</f>
        <v>2000</v>
      </c>
      <c r="C34" s="42">
        <f t="shared" si="0"/>
        <v>2000</v>
      </c>
      <c r="D34" s="42">
        <f t="shared" si="0"/>
        <v>2000</v>
      </c>
      <c r="E34" s="42">
        <f t="shared" si="0"/>
        <v>2000</v>
      </c>
      <c r="F34" s="42">
        <f t="shared" si="0"/>
        <v>2000</v>
      </c>
      <c r="G34" s="42">
        <f t="shared" si="0"/>
        <v>2000</v>
      </c>
      <c r="H34" s="42">
        <f t="shared" si="0"/>
        <v>2000</v>
      </c>
      <c r="I34" s="13"/>
      <c r="J34" s="13"/>
      <c r="K34" s="13"/>
      <c r="L34" s="13"/>
    </row>
    <row r="35" spans="1:12">
      <c r="A35" s="13"/>
      <c r="B35" s="13"/>
      <c r="C35" s="13"/>
      <c r="D35" s="13"/>
      <c r="E35" s="13"/>
      <c r="F35" s="13"/>
      <c r="G35" s="13"/>
      <c r="H35" s="13"/>
      <c r="I35" s="13"/>
      <c r="J35" s="13"/>
      <c r="K35" s="13"/>
      <c r="L35" s="13"/>
    </row>
    <row r="36" spans="1:12" ht="15" customHeight="1">
      <c r="A36" s="43" t="s">
        <v>98</v>
      </c>
      <c r="B36" s="13"/>
      <c r="C36" s="13"/>
      <c r="D36" s="13"/>
      <c r="E36" s="13"/>
      <c r="F36" s="13"/>
      <c r="G36" s="13"/>
      <c r="H36" s="13"/>
      <c r="I36" s="13"/>
      <c r="J36" s="13"/>
      <c r="K36" s="13"/>
      <c r="L36" s="13"/>
    </row>
  </sheetData>
  <sheetProtection algorithmName="SHA-512" hashValue="3KVUOqz5eXXn8GGuiYB0D79KlR0M2Bf9JW1O1fsDMvkEwcs/DQsNON+KTCmG/g1DFDgcflMO+FR87V5z/FO4Ow==" saltValue="q5FfT3J3YBbwXmn22XX2TA==" spinCount="100000" sheet="1" objects="1" scenarios="1" autoFilter="0"/>
  <mergeCells count="21">
    <mergeCell ref="B31:H31"/>
    <mergeCell ref="B18:C18"/>
    <mergeCell ref="A20:J20"/>
    <mergeCell ref="C25:E25"/>
    <mergeCell ref="A27:J29"/>
    <mergeCell ref="A30:J30"/>
    <mergeCell ref="B12:D12"/>
    <mergeCell ref="A14:J14"/>
    <mergeCell ref="B15:C15"/>
    <mergeCell ref="B16:C16"/>
    <mergeCell ref="B17:C17"/>
    <mergeCell ref="B7:D7"/>
    <mergeCell ref="B8:D8"/>
    <mergeCell ref="B9:D9"/>
    <mergeCell ref="B10:D10"/>
    <mergeCell ref="B11:D11"/>
    <mergeCell ref="A1:L1"/>
    <mergeCell ref="A2:L2"/>
    <mergeCell ref="K3:L3"/>
    <mergeCell ref="A5:J5"/>
    <mergeCell ref="B6:D6"/>
  </mergeCells>
  <dataValidations count="3">
    <dataValidation type="list" allowBlank="1" sqref="B8" xr:uid="{00000000-0002-0000-0100-000000000000}">
      <formula1>"Femenino,Masculino"</formula1>
      <formula2>0</formula2>
    </dataValidation>
    <dataValidation type="list" allowBlank="1" sqref="B15" xr:uid="{00000000-0002-0000-0100-000001000000}">
      <formula1>"Valor directo,Por kilo de peso"</formula1>
      <formula2>0</formula2>
    </dataValidation>
    <dataValidation type="list" sqref="B31" xr:uid="{00000000-0002-0000-0100-000002000000}">
      <formula1>"Misma meta para todos los días,Meta diferente por día"</formula1>
      <formula2>0</formula2>
    </dataValidation>
  </dataValidations>
  <hyperlinks>
    <hyperlink ref="A3" location="'INICIO'!A1" display="INICIO" xr:uid="{00000000-0004-0000-0100-000000000000}"/>
    <hyperlink ref="B3" location="'DATOS'!A1" display="DATOS" xr:uid="{00000000-0004-0000-0100-000001000000}"/>
    <hyperlink ref="C3" location="'DIETOSINTESIS'!A1" display="DIETOSINTESIS" xr:uid="{00000000-0004-0000-0100-000002000000}"/>
    <hyperlink ref="D3" location="'DISTRIBUCION'!A1" display="DISTRIBUCION" xr:uid="{00000000-0004-0000-0100-000003000000}"/>
    <hyperlink ref="E3" location="'MENU_SEMANAL'!A1" display="MENU_SEMANAL" xr:uid="{00000000-0004-0000-0100-000004000000}"/>
    <hyperlink ref="F3" location="'SEMANA'!A1" display="SEMANA" xr:uid="{00000000-0004-0000-0100-000005000000}"/>
    <hyperlink ref="G3" location="'RESULTADOS'!A1" display="RESULTADOS" xr:uid="{00000000-0004-0000-0100-000006000000}"/>
    <hyperlink ref="H3" location="'FUENTES'!A1" display="FUENTES" xr:uid="{00000000-0004-0000-0100-000007000000}"/>
    <hyperlink ref="I3" location="'PRUEBAS'!A1" display="PRUEBAS" xr:uid="{00000000-0004-0000-0100-000008000000}"/>
    <hyperlink ref="J3" location="'CONFIG'!A1" display="CONFIG" xr:uid="{00000000-0004-0000-0100-000009000000}"/>
    <hyperlink ref="K3" location="'CHANGELOG'!A1" display="CHANGELOG" xr:uid="{00000000-0004-0000-0100-00000A000000}"/>
  </hyperlinks>
  <pageMargins left="0.75" right="0.75" top="1" bottom="1" header="0.511811023622047" footer="0.511811023622047"/>
  <pageSetup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fitToPage="1"/>
  </sheetPr>
  <dimension ref="A1:L37"/>
  <sheetViews>
    <sheetView showGridLines="0" topLeftCell="A23" zoomScaleNormal="100" workbookViewId="0">
      <selection activeCell="A23" sqref="A23"/>
    </sheetView>
  </sheetViews>
  <sheetFormatPr baseColWidth="10" defaultColWidth="8.7109375" defaultRowHeight="15"/>
  <cols>
    <col min="1" max="1" width="39" customWidth="1"/>
    <col min="2" max="7" width="18" customWidth="1"/>
  </cols>
  <sheetData>
    <row r="1" spans="1:12" ht="25.5" customHeight="1">
      <c r="A1" s="23" t="s">
        <v>99</v>
      </c>
      <c r="B1" s="23"/>
      <c r="C1" s="23"/>
      <c r="D1" s="23"/>
      <c r="E1" s="23"/>
      <c r="F1" s="23"/>
      <c r="G1" s="23"/>
      <c r="H1" s="23"/>
      <c r="I1" s="23"/>
      <c r="J1" s="23"/>
      <c r="K1" s="23"/>
      <c r="L1" s="23"/>
    </row>
    <row r="2" spans="1:12" ht="26.25" customHeight="1">
      <c r="A2" s="10" t="s">
        <v>100</v>
      </c>
      <c r="B2" s="10"/>
      <c r="C2" s="10"/>
      <c r="D2" s="10"/>
      <c r="E2" s="10"/>
      <c r="F2" s="10"/>
      <c r="G2" s="10"/>
      <c r="H2" s="10"/>
      <c r="I2" s="10"/>
      <c r="J2" s="10"/>
      <c r="K2" s="10"/>
      <c r="L2" s="10"/>
    </row>
    <row r="3" spans="1:12" ht="21.75" customHeight="1">
      <c r="A3" s="24" t="s">
        <v>2</v>
      </c>
      <c r="B3" s="24" t="s">
        <v>3</v>
      </c>
      <c r="C3" s="8" t="s">
        <v>4</v>
      </c>
      <c r="D3" s="24" t="s">
        <v>5</v>
      </c>
      <c r="E3" s="24" t="s">
        <v>6</v>
      </c>
      <c r="F3" s="24" t="s">
        <v>7</v>
      </c>
      <c r="G3" s="24" t="s">
        <v>8</v>
      </c>
      <c r="H3" s="24" t="s">
        <v>9</v>
      </c>
      <c r="I3" s="24" t="s">
        <v>10</v>
      </c>
      <c r="J3" s="24" t="s">
        <v>11</v>
      </c>
      <c r="K3" s="25" t="s">
        <v>12</v>
      </c>
      <c r="L3" s="25"/>
    </row>
    <row r="4" spans="1:12">
      <c r="A4" s="13"/>
      <c r="B4" s="13"/>
      <c r="C4" s="13"/>
      <c r="D4" s="13"/>
      <c r="E4" s="13"/>
      <c r="F4" s="13"/>
      <c r="G4" s="13"/>
      <c r="H4" s="13"/>
      <c r="I4" s="13"/>
      <c r="J4" s="13"/>
      <c r="K4" s="13"/>
      <c r="L4" s="13"/>
    </row>
    <row r="5" spans="1:12" ht="15.75" customHeight="1">
      <c r="A5" s="10" t="s">
        <v>101</v>
      </c>
      <c r="B5" s="10"/>
      <c r="C5" s="10"/>
      <c r="D5" s="10"/>
      <c r="E5" s="10"/>
      <c r="F5" s="10"/>
      <c r="G5" s="10"/>
      <c r="H5" s="10"/>
      <c r="I5" s="10"/>
      <c r="J5" s="10"/>
      <c r="K5" s="13"/>
      <c r="L5" s="13"/>
    </row>
    <row r="6" spans="1:12" ht="30" customHeight="1">
      <c r="A6" s="48" t="s">
        <v>102</v>
      </c>
      <c r="B6" s="48" t="s">
        <v>103</v>
      </c>
      <c r="C6" s="48" t="s">
        <v>104</v>
      </c>
      <c r="D6" s="48" t="s">
        <v>105</v>
      </c>
      <c r="E6" s="48" t="s">
        <v>106</v>
      </c>
      <c r="F6" s="48" t="s">
        <v>107</v>
      </c>
      <c r="G6" s="48" t="s">
        <v>76</v>
      </c>
      <c r="H6" s="13"/>
      <c r="I6" s="13"/>
      <c r="J6" s="13"/>
      <c r="K6" s="13"/>
      <c r="L6" s="13"/>
    </row>
    <row r="7" spans="1:12" ht="21" customHeight="1">
      <c r="A7" s="49" t="str">
        <f>INDEX(rng_eq,1,1)</f>
        <v>Lácteos descremados</v>
      </c>
      <c r="B7" s="66">
        <v>1</v>
      </c>
      <c r="C7" s="50">
        <f>IF(NOT(ISNUMBER($B7)),"ND",$B7*INDEX(rng_eq,1,2))</f>
        <v>10</v>
      </c>
      <c r="D7" s="50">
        <f>IF(NOT(ISNUMBER($B7)),"ND",$B7*INDEX(rng_eq,1,3))</f>
        <v>7</v>
      </c>
      <c r="E7" s="50">
        <f>IF(NOT(ISNUMBER($B7)),"ND",$B7*INDEX(rng_eq,1,4))</f>
        <v>0</v>
      </c>
      <c r="F7" s="50">
        <f>IF(NOT(ISNUMBER($B7)),"ND",$B7*INDEX(rng_eq,1,5))</f>
        <v>70</v>
      </c>
      <c r="G7" s="51">
        <f t="shared" ref="G7:G19" si="0">IF(OR(NOT(ISNUMBER(F7)),$F$20=0),"ND",F7/$F$20)</f>
        <v>3.5000000000000003E-2</v>
      </c>
      <c r="H7" s="13"/>
      <c r="I7" s="13"/>
      <c r="J7" s="13"/>
      <c r="K7" s="13"/>
      <c r="L7" s="13"/>
    </row>
    <row r="8" spans="1:12" ht="21" customHeight="1">
      <c r="A8" s="49" t="str">
        <f>INDEX(rng_eq,2,1)</f>
        <v>Lácteos semidescremados</v>
      </c>
      <c r="B8" s="66">
        <v>1</v>
      </c>
      <c r="C8" s="50">
        <f>IF(NOT(ISNUMBER($B8)),"ND",$B8*INDEX(rng_eq,2,2))</f>
        <v>9</v>
      </c>
      <c r="D8" s="50">
        <f>IF(NOT(ISNUMBER($B8)),"ND",$B8*INDEX(rng_eq,2,3))</f>
        <v>5</v>
      </c>
      <c r="E8" s="50">
        <f>IF(NOT(ISNUMBER($B8)),"ND",$B8*INDEX(rng_eq,2,4))</f>
        <v>3</v>
      </c>
      <c r="F8" s="50">
        <f>IF(NOT(ISNUMBER($B8)),"ND",$B8*INDEX(rng_eq,2,5))</f>
        <v>85</v>
      </c>
      <c r="G8" s="51">
        <f t="shared" si="0"/>
        <v>4.2500000000000003E-2</v>
      </c>
      <c r="H8" s="13"/>
      <c r="I8" s="13"/>
      <c r="J8" s="13"/>
      <c r="K8" s="13"/>
      <c r="L8" s="13"/>
    </row>
    <row r="9" spans="1:12" ht="21" customHeight="1">
      <c r="A9" s="49" t="str">
        <f>INDEX(rng_eq,3,1)</f>
        <v>Lácteos enteros</v>
      </c>
      <c r="B9" s="66">
        <v>0</v>
      </c>
      <c r="C9" s="50">
        <f>IF(NOT(ISNUMBER($B9)),"ND",$B9*INDEX(rng_eq,3,2))</f>
        <v>0</v>
      </c>
      <c r="D9" s="50">
        <f>IF(NOT(ISNUMBER($B9)),"ND",$B9*INDEX(rng_eq,3,3))</f>
        <v>0</v>
      </c>
      <c r="E9" s="50">
        <f>IF(NOT(ISNUMBER($B9)),"ND",$B9*INDEX(rng_eq,3,4))</f>
        <v>0</v>
      </c>
      <c r="F9" s="50">
        <f>IF(NOT(ISNUMBER($B9)),"ND",$B9*INDEX(rng_eq,3,5))</f>
        <v>0</v>
      </c>
      <c r="G9" s="51">
        <f t="shared" si="0"/>
        <v>0</v>
      </c>
      <c r="H9" s="13"/>
      <c r="I9" s="13"/>
      <c r="J9" s="13"/>
      <c r="K9" s="13"/>
      <c r="L9" s="13"/>
    </row>
    <row r="10" spans="1:12" ht="21" customHeight="1">
      <c r="A10" s="49" t="str">
        <f>INDEX(rng_eq,4,1)</f>
        <v>Verduras de consumo general</v>
      </c>
      <c r="B10" s="66">
        <v>4</v>
      </c>
      <c r="C10" s="50">
        <f>IF(NOT(ISNUMBER($B10)),"ND",$B10*INDEX(rng_eq,4,2))</f>
        <v>20</v>
      </c>
      <c r="D10" s="50">
        <f>IF(NOT(ISNUMBER($B10)),"ND",$B10*INDEX(rng_eq,4,3))</f>
        <v>8</v>
      </c>
      <c r="E10" s="50">
        <f>IF(NOT(ISNUMBER($B10)),"ND",$B10*INDEX(rng_eq,4,4))</f>
        <v>0</v>
      </c>
      <c r="F10" s="50">
        <f>IF(NOT(ISNUMBER($B10)),"ND",$B10*INDEX(rng_eq,4,5))</f>
        <v>120</v>
      </c>
      <c r="G10" s="51">
        <f t="shared" si="0"/>
        <v>0.06</v>
      </c>
      <c r="H10" s="13"/>
      <c r="I10" s="13"/>
      <c r="J10" s="13"/>
      <c r="K10" s="13"/>
      <c r="L10" s="13"/>
    </row>
    <row r="11" spans="1:12" ht="21" customHeight="1">
      <c r="A11" s="49" t="str">
        <f>INDEX(rng_eq,5,1)</f>
        <v>Verduras de libre consumo</v>
      </c>
      <c r="B11" s="66">
        <v>3</v>
      </c>
      <c r="C11" s="50">
        <f>IF(NOT(ISNUMBER($B11)),"ND",$B11*INDEX(rng_eq,5,2))</f>
        <v>7.5</v>
      </c>
      <c r="D11" s="50">
        <f>IF(NOT(ISNUMBER($B11)),"ND",$B11*INDEX(rng_eq,5,3))</f>
        <v>0</v>
      </c>
      <c r="E11" s="50">
        <f>IF(NOT(ISNUMBER($B11)),"ND",$B11*INDEX(rng_eq,5,4))</f>
        <v>0</v>
      </c>
      <c r="F11" s="50">
        <f>IF(NOT(ISNUMBER($B11)),"ND",$B11*INDEX(rng_eq,5,5))</f>
        <v>30</v>
      </c>
      <c r="G11" s="51">
        <f t="shared" si="0"/>
        <v>1.4999999999999999E-2</v>
      </c>
      <c r="H11" s="13"/>
      <c r="I11" s="13"/>
      <c r="J11" s="13"/>
      <c r="K11" s="13"/>
      <c r="L11" s="13"/>
    </row>
    <row r="12" spans="1:12" ht="21" customHeight="1">
      <c r="A12" s="49" t="str">
        <f>INDEX(rng_eq,6,1)</f>
        <v>Frutas</v>
      </c>
      <c r="B12" s="66">
        <v>4</v>
      </c>
      <c r="C12" s="50">
        <f>IF(NOT(ISNUMBER($B12)),"ND",$B12*INDEX(rng_eq,6,2))</f>
        <v>60</v>
      </c>
      <c r="D12" s="50">
        <f>IF(NOT(ISNUMBER($B12)),"ND",$B12*INDEX(rng_eq,6,3))</f>
        <v>0</v>
      </c>
      <c r="E12" s="50">
        <f>IF(NOT(ISNUMBER($B12)),"ND",$B12*INDEX(rng_eq,6,4))</f>
        <v>0</v>
      </c>
      <c r="F12" s="50">
        <f>IF(NOT(ISNUMBER($B12)),"ND",$B12*INDEX(rng_eq,6,5))</f>
        <v>240</v>
      </c>
      <c r="G12" s="51">
        <f t="shared" si="0"/>
        <v>0.12</v>
      </c>
      <c r="H12" s="13"/>
      <c r="I12" s="13"/>
      <c r="J12" s="13"/>
      <c r="K12" s="13"/>
      <c r="L12" s="13"/>
    </row>
    <row r="13" spans="1:12" ht="30.75" customHeight="1">
      <c r="A13" s="52" t="str">
        <f>INDEX(rng_eq,7,1)</f>
        <v>Panes, cereales, legumbres frescas y tubérculos</v>
      </c>
      <c r="B13" s="66">
        <v>4</v>
      </c>
      <c r="C13" s="50">
        <f>IF(NOT(ISNUMBER($B13)),"ND",$B13*INDEX(rng_eq,7,2))</f>
        <v>120</v>
      </c>
      <c r="D13" s="50">
        <f>IF(NOT(ISNUMBER($B13)),"ND",$B13*INDEX(rng_eq,7,3))</f>
        <v>12</v>
      </c>
      <c r="E13" s="50">
        <f>IF(NOT(ISNUMBER($B13)),"ND",$B13*INDEX(rng_eq,7,4))</f>
        <v>4</v>
      </c>
      <c r="F13" s="50">
        <f>IF(NOT(ISNUMBER($B13)),"ND",$B13*INDEX(rng_eq,7,5))</f>
        <v>560</v>
      </c>
      <c r="G13" s="51">
        <f t="shared" si="0"/>
        <v>0.28000000000000003</v>
      </c>
      <c r="H13" s="13"/>
      <c r="I13" s="13"/>
      <c r="J13" s="13"/>
      <c r="K13" s="13"/>
      <c r="L13" s="13"/>
    </row>
    <row r="14" spans="1:12" ht="21" customHeight="1">
      <c r="A14" s="49" t="str">
        <f>INDEX(rng_eq,8,1)</f>
        <v>Legumbres secas</v>
      </c>
      <c r="B14" s="66">
        <v>1</v>
      </c>
      <c r="C14" s="50">
        <f>IF(NOT(ISNUMBER($B14)),"ND",$B14*INDEX(rng_eq,8,2))</f>
        <v>30</v>
      </c>
      <c r="D14" s="50">
        <f>IF(NOT(ISNUMBER($B14)),"ND",$B14*INDEX(rng_eq,8,3))</f>
        <v>11</v>
      </c>
      <c r="E14" s="50">
        <f>IF(NOT(ISNUMBER($B14)),"ND",$B14*INDEX(rng_eq,8,4))</f>
        <v>1</v>
      </c>
      <c r="F14" s="50">
        <f>IF(NOT(ISNUMBER($B14)),"ND",$B14*INDEX(rng_eq,8,5))</f>
        <v>170</v>
      </c>
      <c r="G14" s="51">
        <f t="shared" si="0"/>
        <v>8.5000000000000006E-2</v>
      </c>
      <c r="H14" s="13"/>
      <c r="I14" s="13"/>
      <c r="J14" s="13"/>
      <c r="K14" s="13"/>
      <c r="L14" s="13"/>
    </row>
    <row r="15" spans="1:12" ht="21" customHeight="1">
      <c r="A15" s="49" t="str">
        <f>INDEX(rng_eq,9,1)</f>
        <v>Carnes bajas en grasa</v>
      </c>
      <c r="B15" s="66">
        <v>2</v>
      </c>
      <c r="C15" s="50">
        <f>IF(NOT(ISNUMBER($B15)),"ND",$B15*INDEX(rng_eq,9,2))</f>
        <v>2</v>
      </c>
      <c r="D15" s="50">
        <f>IF(NOT(ISNUMBER($B15)),"ND",$B15*INDEX(rng_eq,9,3))</f>
        <v>22</v>
      </c>
      <c r="E15" s="50">
        <f>IF(NOT(ISNUMBER($B15)),"ND",$B15*INDEX(rng_eq,9,4))</f>
        <v>4</v>
      </c>
      <c r="F15" s="50">
        <f>IF(NOT(ISNUMBER($B15)),"ND",$B15*INDEX(rng_eq,9,5))</f>
        <v>130</v>
      </c>
      <c r="G15" s="51">
        <f t="shared" si="0"/>
        <v>6.5000000000000002E-2</v>
      </c>
      <c r="H15" s="13"/>
      <c r="I15" s="13"/>
      <c r="J15" s="13"/>
      <c r="K15" s="13"/>
      <c r="L15" s="13"/>
    </row>
    <row r="16" spans="1:12" ht="21" customHeight="1">
      <c r="A16" s="49" t="str">
        <f>INDEX(rng_eq,10,1)</f>
        <v>Carnes altas en grasa</v>
      </c>
      <c r="B16" s="66">
        <v>0</v>
      </c>
      <c r="C16" s="50">
        <f>IF(NOT(ISNUMBER($B16)),"ND",$B16*INDEX(rng_eq,10,2))</f>
        <v>0</v>
      </c>
      <c r="D16" s="50">
        <f>IF(NOT(ISNUMBER($B16)),"ND",$B16*INDEX(rng_eq,10,3))</f>
        <v>0</v>
      </c>
      <c r="E16" s="50">
        <f>IF(NOT(ISNUMBER($B16)),"ND",$B16*INDEX(rng_eq,10,4))</f>
        <v>0</v>
      </c>
      <c r="F16" s="50">
        <f>IF(NOT(ISNUMBER($B16)),"ND",$B16*INDEX(rng_eq,10,5))</f>
        <v>0</v>
      </c>
      <c r="G16" s="51">
        <f t="shared" si="0"/>
        <v>0</v>
      </c>
      <c r="H16" s="13"/>
      <c r="I16" s="13"/>
      <c r="J16" s="13"/>
      <c r="K16" s="13"/>
      <c r="L16" s="13"/>
    </row>
    <row r="17" spans="1:12" ht="21" customHeight="1">
      <c r="A17" s="49" t="str">
        <f>INDEX(rng_eq,11,1)</f>
        <v>Aceites, grasas y semillas</v>
      </c>
      <c r="B17" s="66">
        <v>5</v>
      </c>
      <c r="C17" s="50">
        <f>IF(NOT(ISNUMBER($B17)),"ND",$B17*INDEX(rng_eq,11,2))</f>
        <v>0</v>
      </c>
      <c r="D17" s="50">
        <f>IF(NOT(ISNUMBER($B17)),"ND",$B17*INDEX(rng_eq,11,3))</f>
        <v>0</v>
      </c>
      <c r="E17" s="50">
        <f>IF(NOT(ISNUMBER($B17)),"ND",$B17*INDEX(rng_eq,11,4))</f>
        <v>25</v>
      </c>
      <c r="F17" s="50">
        <f>IF(NOT(ISNUMBER($B17)),"ND",$B17*INDEX(rng_eq,11,5))</f>
        <v>225</v>
      </c>
      <c r="G17" s="51">
        <f t="shared" si="0"/>
        <v>0.1125</v>
      </c>
      <c r="H17" s="13"/>
      <c r="I17" s="13"/>
      <c r="J17" s="13"/>
      <c r="K17" s="13"/>
      <c r="L17" s="13"/>
    </row>
    <row r="18" spans="1:12" ht="21" customHeight="1">
      <c r="A18" s="49" t="str">
        <f>INDEX(rng_eq,12,1)</f>
        <v>Alimentos ricos en lípidos</v>
      </c>
      <c r="B18" s="66">
        <v>2</v>
      </c>
      <c r="C18" s="50">
        <f>IF(NOT(ISNUMBER($B18)),"ND",$B18*INDEX(rng_eq,12,2))</f>
        <v>10</v>
      </c>
      <c r="D18" s="50">
        <f>IF(NOT(ISNUMBER($B18)),"ND",$B18*INDEX(rng_eq,12,3))</f>
        <v>10</v>
      </c>
      <c r="E18" s="50">
        <f>IF(NOT(ISNUMBER($B18)),"ND",$B18*INDEX(rng_eq,12,4))</f>
        <v>30</v>
      </c>
      <c r="F18" s="50">
        <f>IF(NOT(ISNUMBER($B18)),"ND",$B18*INDEX(rng_eq,12,5))</f>
        <v>350</v>
      </c>
      <c r="G18" s="51">
        <f t="shared" si="0"/>
        <v>0.17499999999999999</v>
      </c>
      <c r="H18" s="13"/>
      <c r="I18" s="13"/>
      <c r="J18" s="13"/>
      <c r="K18" s="13"/>
      <c r="L18" s="13"/>
    </row>
    <row r="19" spans="1:12" ht="21" customHeight="1">
      <c r="A19" s="49" t="str">
        <f>INDEX(rng_eq,13,1)</f>
        <v>Azúcares</v>
      </c>
      <c r="B19" s="66">
        <v>1</v>
      </c>
      <c r="C19" s="50">
        <f>IF(NOT(ISNUMBER($B19)),"ND",$B19*INDEX(rng_eq,13,2))</f>
        <v>5</v>
      </c>
      <c r="D19" s="50">
        <f>IF(NOT(ISNUMBER($B19)),"ND",$B19*INDEX(rng_eq,13,3))</f>
        <v>0</v>
      </c>
      <c r="E19" s="50">
        <f>IF(NOT(ISNUMBER($B19)),"ND",$B19*INDEX(rng_eq,13,4))</f>
        <v>0</v>
      </c>
      <c r="F19" s="50">
        <f>IF(NOT(ISNUMBER($B19)),"ND",$B19*INDEX(rng_eq,13,5))</f>
        <v>20</v>
      </c>
      <c r="G19" s="51">
        <f t="shared" si="0"/>
        <v>0.01</v>
      </c>
      <c r="H19" s="13"/>
      <c r="I19" s="13"/>
      <c r="J19" s="13"/>
      <c r="K19" s="13"/>
      <c r="L19" s="13"/>
    </row>
    <row r="20" spans="1:12" ht="21" customHeight="1">
      <c r="A20" s="53" t="s">
        <v>108</v>
      </c>
      <c r="B20" s="54">
        <f t="shared" ref="B20:G20" si="1">SUM(B7:B19)</f>
        <v>28</v>
      </c>
      <c r="C20" s="54">
        <f t="shared" si="1"/>
        <v>273.5</v>
      </c>
      <c r="D20" s="54">
        <f t="shared" si="1"/>
        <v>75</v>
      </c>
      <c r="E20" s="54">
        <f t="shared" si="1"/>
        <v>67</v>
      </c>
      <c r="F20" s="54">
        <f t="shared" si="1"/>
        <v>2000</v>
      </c>
      <c r="G20" s="55">
        <f t="shared" si="1"/>
        <v>1</v>
      </c>
      <c r="H20" s="13"/>
      <c r="I20" s="13"/>
      <c r="J20" s="13"/>
      <c r="K20" s="13"/>
      <c r="L20" s="13"/>
    </row>
    <row r="21" spans="1:12">
      <c r="A21" s="13"/>
      <c r="B21" s="13"/>
      <c r="C21" s="13"/>
      <c r="D21" s="13"/>
      <c r="E21" s="13"/>
      <c r="F21" s="13"/>
      <c r="G21" s="13"/>
      <c r="H21" s="13"/>
      <c r="I21" s="13"/>
      <c r="J21" s="13"/>
      <c r="K21" s="13"/>
      <c r="L21" s="13"/>
    </row>
    <row r="22" spans="1:12" ht="15.75" customHeight="1">
      <c r="A22" s="10" t="s">
        <v>109</v>
      </c>
      <c r="B22" s="10"/>
      <c r="C22" s="10"/>
      <c r="D22" s="10"/>
      <c r="E22" s="10"/>
      <c r="F22" s="10"/>
      <c r="G22" s="10"/>
      <c r="H22" s="10"/>
      <c r="I22" s="10"/>
      <c r="J22" s="10"/>
      <c r="K22" s="13"/>
      <c r="L22" s="13"/>
    </row>
    <row r="23" spans="1:12" ht="24" customHeight="1">
      <c r="A23" s="48" t="s">
        <v>110</v>
      </c>
      <c r="B23" s="48" t="s">
        <v>111</v>
      </c>
      <c r="C23" s="48" t="s">
        <v>112</v>
      </c>
      <c r="D23" s="56" t="s">
        <v>113</v>
      </c>
      <c r="E23" s="56" t="s">
        <v>114</v>
      </c>
      <c r="F23" s="57" t="s">
        <v>115</v>
      </c>
      <c r="G23" s="57"/>
      <c r="H23" s="13"/>
      <c r="I23" s="13"/>
      <c r="J23" s="13"/>
      <c r="K23" s="13"/>
      <c r="L23" s="13"/>
    </row>
    <row r="24" spans="1:12" ht="27" customHeight="1">
      <c r="A24" s="58" t="s">
        <v>107</v>
      </c>
      <c r="B24" s="59">
        <f>F20</f>
        <v>2000</v>
      </c>
      <c r="C24" s="59">
        <f>v_meta</f>
        <v>2000</v>
      </c>
      <c r="D24" s="59">
        <f>IF(OR(NOT(ISNUMBER(B24)),NOT(ISNUMBER(C24))),"ND",B24-C24)</f>
        <v>0</v>
      </c>
      <c r="E24" s="60">
        <f>IF(OR(NOT(ISNUMBER(B24)),NOT(ISNUMBER(C24)),C24=0),"ND",B24/C24)</f>
        <v>1</v>
      </c>
      <c r="F24" s="61" t="str">
        <f>IF(NOT(ISNUMBER(E24)),"ND",IF(E24&lt;u_inf,"Bajo la meta: agregue equivalentes",IF(E24&lt;=u_sup,"Ajustado","Sobre la meta: reduzca equivalentes")))</f>
        <v>Ajustado</v>
      </c>
      <c r="G24" s="61"/>
      <c r="H24" s="13"/>
      <c r="I24" s="13"/>
      <c r="J24" s="13"/>
      <c r="K24" s="13"/>
      <c r="L24" s="13"/>
    </row>
    <row r="25" spans="1:12" ht="27" customHeight="1">
      <c r="A25" s="49" t="s">
        <v>116</v>
      </c>
      <c r="B25" s="50">
        <f>C20</f>
        <v>273.5</v>
      </c>
      <c r="C25" s="50">
        <f>INDEX(rng_macro,2,4)</f>
        <v>275</v>
      </c>
      <c r="D25" s="50">
        <f>IF(OR(NOT(ISNUMBER(B25)),NOT(ISNUMBER(C25))),"ND",B25-C25)</f>
        <v>-1.5</v>
      </c>
      <c r="E25" s="62">
        <f>IF(OR(NOT(ISNUMBER(B25)),NOT(ISNUMBER(C25)),C25=0),"ND",B25/C25)</f>
        <v>0.99454545454545451</v>
      </c>
      <c r="F25" s="63" t="str">
        <f>IF(NOT(ISNUMBER(E25)),"ND",IF(E25&lt;u_inf,"Bajo la meta: agregue equivalentes",IF(E25&lt;=u_sup,"Ajustado","Sobre la meta: reduzca equivalentes")))</f>
        <v>Ajustado</v>
      </c>
      <c r="G25" s="63"/>
      <c r="H25" s="13"/>
      <c r="I25" s="13"/>
      <c r="J25" s="13"/>
      <c r="K25" s="13"/>
      <c r="L25" s="13"/>
    </row>
    <row r="26" spans="1:12" ht="27" customHeight="1">
      <c r="A26" s="49" t="s">
        <v>105</v>
      </c>
      <c r="B26" s="50">
        <f>D20</f>
        <v>75</v>
      </c>
      <c r="C26" s="50">
        <f>INDEX(rng_macro,1,4)</f>
        <v>75</v>
      </c>
      <c r="D26" s="50">
        <f>IF(OR(NOT(ISNUMBER(B26)),NOT(ISNUMBER(C26))),"ND",B26-C26)</f>
        <v>0</v>
      </c>
      <c r="E26" s="62">
        <f>IF(OR(NOT(ISNUMBER(B26)),NOT(ISNUMBER(C26)),C26=0),"ND",B26/C26)</f>
        <v>1</v>
      </c>
      <c r="F26" s="63" t="str">
        <f>IF(NOT(ISNUMBER(E26)),"ND",IF(E26&lt;u_inf,"Bajo la meta: agregue equivalentes",IF(E26&lt;=u_sup,"Ajustado","Sobre la meta: reduzca equivalentes")))</f>
        <v>Ajustado</v>
      </c>
      <c r="G26" s="63"/>
      <c r="H26" s="13"/>
      <c r="I26" s="13"/>
      <c r="J26" s="13"/>
      <c r="K26" s="13"/>
      <c r="L26" s="13"/>
    </row>
    <row r="27" spans="1:12" ht="27" customHeight="1">
      <c r="A27" s="49" t="s">
        <v>106</v>
      </c>
      <c r="B27" s="50">
        <f>E20</f>
        <v>67</v>
      </c>
      <c r="C27" s="50">
        <f>INDEX(rng_macro,3,4)</f>
        <v>66.666666666666671</v>
      </c>
      <c r="D27" s="50">
        <f>IF(OR(NOT(ISNUMBER(B27)),NOT(ISNUMBER(C27))),"ND",B27-C27)</f>
        <v>0.3333333333333286</v>
      </c>
      <c r="E27" s="62">
        <f>IF(OR(NOT(ISNUMBER(B27)),NOT(ISNUMBER(C27)),C27=0),"ND",B27/C27)</f>
        <v>1.0049999999999999</v>
      </c>
      <c r="F27" s="63" t="str">
        <f>IF(NOT(ISNUMBER(E27)),"ND",IF(E27&lt;u_inf,"Bajo la meta: agregue equivalentes",IF(E27&lt;=u_sup,"Ajustado","Sobre la meta: reduzca equivalentes")))</f>
        <v>Ajustado</v>
      </c>
      <c r="G27" s="63"/>
      <c r="H27" s="13"/>
      <c r="I27" s="13"/>
      <c r="J27" s="13"/>
      <c r="K27" s="13"/>
      <c r="L27" s="13"/>
    </row>
    <row r="28" spans="1:12">
      <c r="A28" s="13"/>
      <c r="B28" s="13"/>
      <c r="C28" s="13"/>
      <c r="D28" s="13"/>
      <c r="E28" s="13"/>
      <c r="F28" s="13"/>
      <c r="G28" s="13"/>
      <c r="H28" s="13"/>
      <c r="I28" s="13"/>
      <c r="J28" s="13"/>
      <c r="K28" s="13"/>
      <c r="L28" s="13"/>
    </row>
    <row r="29" spans="1:12" ht="15.75" customHeight="1">
      <c r="A29" s="10" t="s">
        <v>117</v>
      </c>
      <c r="B29" s="10"/>
      <c r="C29" s="10"/>
      <c r="D29" s="10"/>
      <c r="E29" s="10"/>
      <c r="F29" s="10"/>
      <c r="G29" s="10"/>
      <c r="H29" s="10"/>
      <c r="I29" s="10"/>
      <c r="J29" s="10"/>
      <c r="K29" s="13"/>
      <c r="L29" s="13"/>
    </row>
    <row r="30" spans="1:12" ht="25.5" customHeight="1">
      <c r="A30" s="48" t="s">
        <v>75</v>
      </c>
      <c r="B30" s="48" t="s">
        <v>118</v>
      </c>
      <c r="C30" s="48" t="s">
        <v>119</v>
      </c>
      <c r="D30" s="64" t="s">
        <v>113</v>
      </c>
      <c r="E30" s="64"/>
      <c r="F30" s="13"/>
      <c r="G30" s="13"/>
      <c r="H30" s="13"/>
      <c r="I30" s="13"/>
      <c r="J30" s="13"/>
      <c r="K30" s="13"/>
      <c r="L30" s="13"/>
    </row>
    <row r="31" spans="1:12" ht="25.5" customHeight="1">
      <c r="A31" s="49" t="s">
        <v>80</v>
      </c>
      <c r="B31" s="62">
        <f>IF(OR(NOT(ISNUMBER(D20)),$F$20=0),"ND",D20*k_prot/$F$20)</f>
        <v>0.15</v>
      </c>
      <c r="C31" s="62">
        <f>DATOS!B22</f>
        <v>0.15</v>
      </c>
      <c r="D31" s="63">
        <f>IF(OR(NOT(ISNUMBER(B31)),NOT(ISNUMBER(C31))),"ND",B31-C31)</f>
        <v>0</v>
      </c>
      <c r="E31" s="63"/>
      <c r="F31" s="13"/>
      <c r="G31" s="13"/>
      <c r="H31" s="13"/>
      <c r="I31" s="13"/>
      <c r="J31" s="13"/>
      <c r="K31" s="13"/>
      <c r="L31" s="13"/>
    </row>
    <row r="32" spans="1:12" ht="25.5" customHeight="1">
      <c r="A32" s="49" t="s">
        <v>81</v>
      </c>
      <c r="B32" s="62">
        <f>IF(OR(NOT(ISNUMBER(C20)),$F$20=0),"ND",C20*k_cho/$F$20)</f>
        <v>0.54700000000000004</v>
      </c>
      <c r="C32" s="62">
        <f>DATOS!B23</f>
        <v>0.55000000000000004</v>
      </c>
      <c r="D32" s="63">
        <f>IF(OR(NOT(ISNUMBER(B32)),NOT(ISNUMBER(C32))),"ND",B32-C32)</f>
        <v>-3.0000000000000027E-3</v>
      </c>
      <c r="E32" s="63"/>
      <c r="F32" s="13"/>
      <c r="G32" s="13"/>
      <c r="H32" s="13"/>
      <c r="I32" s="13"/>
      <c r="J32" s="13"/>
      <c r="K32" s="13"/>
      <c r="L32" s="13"/>
    </row>
    <row r="33" spans="1:12" ht="25.5" customHeight="1">
      <c r="A33" s="49" t="s">
        <v>82</v>
      </c>
      <c r="B33" s="62">
        <f>IF(OR(NOT(ISNUMBER(E20)),$F$20=0),"ND",E20*k_lip/$F$20)</f>
        <v>0.30149999999999999</v>
      </c>
      <c r="C33" s="62">
        <f>DATOS!B24</f>
        <v>0.3</v>
      </c>
      <c r="D33" s="63">
        <f>IF(OR(NOT(ISNUMBER(B33)),NOT(ISNUMBER(C33))),"ND",B33-C33)</f>
        <v>1.5000000000000013E-3</v>
      </c>
      <c r="E33" s="63"/>
      <c r="F33" s="13"/>
      <c r="G33" s="13"/>
      <c r="H33" s="13"/>
      <c r="I33" s="13"/>
      <c r="J33" s="13"/>
      <c r="K33" s="13"/>
      <c r="L33" s="13"/>
    </row>
    <row r="34" spans="1:12">
      <c r="A34" s="13"/>
      <c r="B34" s="13"/>
      <c r="C34" s="13"/>
      <c r="D34" s="13"/>
      <c r="E34" s="13"/>
      <c r="F34" s="13"/>
      <c r="G34" s="13"/>
      <c r="H34" s="13"/>
      <c r="I34" s="13"/>
      <c r="J34" s="13"/>
      <c r="K34" s="13"/>
      <c r="L34" s="13"/>
    </row>
    <row r="35" spans="1:12" ht="15" customHeight="1">
      <c r="A35" s="65" t="s">
        <v>120</v>
      </c>
      <c r="B35" s="65"/>
      <c r="C35" s="65"/>
      <c r="D35" s="65"/>
      <c r="E35" s="65"/>
      <c r="F35" s="65"/>
      <c r="G35" s="65"/>
      <c r="H35" s="65"/>
      <c r="I35" s="65"/>
      <c r="J35" s="65"/>
      <c r="K35" s="13"/>
      <c r="L35" s="13"/>
    </row>
    <row r="36" spans="1:12" ht="15" customHeight="1">
      <c r="A36" s="65"/>
      <c r="B36" s="65"/>
      <c r="C36" s="65"/>
      <c r="D36" s="65"/>
      <c r="E36" s="65"/>
      <c r="F36" s="65"/>
      <c r="G36" s="65"/>
      <c r="H36" s="65"/>
      <c r="I36" s="65"/>
      <c r="J36" s="65"/>
      <c r="K36" s="13"/>
      <c r="L36" s="13"/>
    </row>
    <row r="37" spans="1:12" ht="15" customHeight="1">
      <c r="A37" s="65"/>
      <c r="B37" s="65"/>
      <c r="C37" s="65"/>
      <c r="D37" s="65"/>
      <c r="E37" s="65"/>
      <c r="F37" s="65"/>
      <c r="G37" s="65"/>
      <c r="H37" s="65"/>
      <c r="I37" s="65"/>
      <c r="J37" s="65"/>
      <c r="K37" s="13"/>
      <c r="L37" s="13"/>
    </row>
  </sheetData>
  <sheetProtection algorithmName="SHA-512" hashValue="sueYdwMMznhZnt/bjOmbYzUzCqPR4rho2DTz2m1pRIFx0Cqa2hO1opbBuIuU7FSXXopWTZdg8v4xgwIVzPUBWQ==" saltValue="LGzhw++1XD2PB5gu6lZ87g==" spinCount="100000" sheet="1" objects="1" scenarios="1" autoFilter="0"/>
  <mergeCells count="16">
    <mergeCell ref="A35:J37"/>
    <mergeCell ref="A29:J29"/>
    <mergeCell ref="D30:E30"/>
    <mergeCell ref="D31:E31"/>
    <mergeCell ref="D32:E32"/>
    <mergeCell ref="D33:E33"/>
    <mergeCell ref="F23:G23"/>
    <mergeCell ref="F24:G24"/>
    <mergeCell ref="F25:G25"/>
    <mergeCell ref="F26:G26"/>
    <mergeCell ref="F27:G27"/>
    <mergeCell ref="A1:L1"/>
    <mergeCell ref="A2:L2"/>
    <mergeCell ref="K3:L3"/>
    <mergeCell ref="A5:J5"/>
    <mergeCell ref="A22:J22"/>
  </mergeCells>
  <hyperlinks>
    <hyperlink ref="A3" location="'INICIO'!A1" display="INICIO" xr:uid="{00000000-0004-0000-0200-000000000000}"/>
    <hyperlink ref="B3" location="'DATOS'!A1" display="DATOS" xr:uid="{00000000-0004-0000-0200-000001000000}"/>
    <hyperlink ref="C3" location="'DIETOSINTESIS'!A1" display="DIETOSINTESIS" xr:uid="{00000000-0004-0000-0200-000002000000}"/>
    <hyperlink ref="D3" location="'DISTRIBUCION'!A1" display="DISTRIBUCION" xr:uid="{00000000-0004-0000-0200-000003000000}"/>
    <hyperlink ref="E3" location="'MENU_SEMANAL'!A1" display="MENU_SEMANAL" xr:uid="{00000000-0004-0000-0200-000004000000}"/>
    <hyperlink ref="F3" location="'SEMANA'!A1" display="SEMANA" xr:uid="{00000000-0004-0000-0200-000005000000}"/>
    <hyperlink ref="G3" location="'RESULTADOS'!A1" display="RESULTADOS" xr:uid="{00000000-0004-0000-0200-000006000000}"/>
    <hyperlink ref="H3" location="'FUENTES'!A1" display="FUENTES" xr:uid="{00000000-0004-0000-0200-000007000000}"/>
    <hyperlink ref="I3" location="'PRUEBAS'!A1" display="PRUEBAS" xr:uid="{00000000-0004-0000-0200-000008000000}"/>
    <hyperlink ref="J3" location="'CONFIG'!A1" display="CONFIG" xr:uid="{00000000-0004-0000-0200-000009000000}"/>
    <hyperlink ref="K3" location="'CHANGELOG'!A1" display="CHANGELOG" xr:uid="{00000000-0004-0000-0200-00000A000000}"/>
  </hyperlinks>
  <pageMargins left="0.75" right="0.75" top="1" bottom="1" header="0.511811023622047" footer="0.511811023622047"/>
  <pageSetup fitToHeight="0"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V27"/>
  <sheetViews>
    <sheetView showGridLines="0" zoomScale="85" zoomScaleNormal="85" workbookViewId="0">
      <selection activeCell="D45" sqref="D45"/>
    </sheetView>
  </sheetViews>
  <sheetFormatPr baseColWidth="10" defaultColWidth="8.7109375" defaultRowHeight="15"/>
  <cols>
    <col min="1" max="1" width="30" customWidth="1"/>
    <col min="2" max="6" width="15" customWidth="1"/>
    <col min="7" max="7" width="17.5703125" customWidth="1"/>
    <col min="8" max="9" width="15" customWidth="1"/>
    <col min="10" max="10" width="11.140625" customWidth="1"/>
    <col min="11" max="11" width="3.85546875" customWidth="1"/>
  </cols>
  <sheetData>
    <row r="1" spans="1:22" ht="28.5" customHeight="1">
      <c r="A1" s="23" t="s">
        <v>121</v>
      </c>
      <c r="B1" s="23"/>
      <c r="C1" s="23"/>
      <c r="D1" s="23"/>
      <c r="E1" s="23"/>
      <c r="F1" s="23"/>
      <c r="G1" s="23"/>
      <c r="H1" s="23"/>
      <c r="I1" s="23"/>
      <c r="J1" s="23"/>
      <c r="K1" s="23"/>
      <c r="L1" s="23"/>
      <c r="M1" s="13"/>
      <c r="N1" s="13"/>
      <c r="O1" s="13"/>
      <c r="P1" s="13"/>
      <c r="Q1" s="13"/>
      <c r="R1" s="13"/>
      <c r="S1" s="13"/>
      <c r="T1" s="13"/>
      <c r="U1" s="13"/>
      <c r="V1" s="13"/>
    </row>
    <row r="2" spans="1:22" ht="23.25" customHeight="1">
      <c r="A2" s="10" t="s">
        <v>122</v>
      </c>
      <c r="B2" s="10"/>
      <c r="C2" s="10"/>
      <c r="D2" s="10"/>
      <c r="E2" s="10"/>
      <c r="F2" s="10"/>
      <c r="G2" s="10"/>
      <c r="H2" s="10"/>
      <c r="I2" s="10"/>
      <c r="J2" s="10"/>
      <c r="K2" s="10"/>
      <c r="L2" s="10"/>
      <c r="M2" s="13"/>
      <c r="N2" s="13"/>
      <c r="O2" s="13"/>
      <c r="P2" s="13"/>
      <c r="Q2" s="13"/>
      <c r="R2" s="13"/>
      <c r="S2" s="13"/>
      <c r="T2" s="13"/>
      <c r="U2" s="13"/>
      <c r="V2" s="13"/>
    </row>
    <row r="3" spans="1:22" ht="24.75" customHeight="1">
      <c r="A3" s="8" t="s">
        <v>2</v>
      </c>
      <c r="B3" s="8" t="s">
        <v>3</v>
      </c>
      <c r="C3" s="8" t="s">
        <v>4</v>
      </c>
      <c r="D3" s="8" t="s">
        <v>5</v>
      </c>
      <c r="E3" s="8" t="s">
        <v>6</v>
      </c>
      <c r="F3" s="8" t="s">
        <v>7</v>
      </c>
      <c r="G3" s="8" t="s">
        <v>8</v>
      </c>
      <c r="H3" s="8" t="s">
        <v>9</v>
      </c>
      <c r="I3" s="8" t="s">
        <v>10</v>
      </c>
      <c r="J3" s="67" t="s">
        <v>11</v>
      </c>
      <c r="K3" s="68" t="s">
        <v>12</v>
      </c>
      <c r="L3" s="68"/>
      <c r="M3" s="13"/>
      <c r="N3" s="13"/>
      <c r="O3" s="13"/>
      <c r="P3" s="13"/>
      <c r="Q3" s="13"/>
      <c r="R3" s="13"/>
      <c r="S3" s="13"/>
      <c r="T3" s="13"/>
      <c r="U3" s="13"/>
      <c r="V3" s="13"/>
    </row>
    <row r="4" spans="1:22">
      <c r="A4" s="13"/>
      <c r="B4" s="13"/>
      <c r="C4" s="13"/>
      <c r="D4" s="13"/>
      <c r="E4" s="13"/>
      <c r="F4" s="13"/>
      <c r="G4" s="13"/>
      <c r="H4" s="13"/>
      <c r="I4" s="13"/>
      <c r="J4" s="13"/>
      <c r="K4" s="13"/>
      <c r="L4" s="13"/>
      <c r="M4" s="13"/>
      <c r="N4" s="13"/>
      <c r="O4" s="13"/>
      <c r="P4" s="13"/>
      <c r="Q4" s="13"/>
      <c r="R4" s="13"/>
      <c r="S4" s="13"/>
      <c r="T4" s="13"/>
      <c r="U4" s="13"/>
      <c r="V4" s="13"/>
    </row>
    <row r="5" spans="1:22" ht="15.75" customHeight="1">
      <c r="A5" s="10" t="s">
        <v>123</v>
      </c>
      <c r="B5" s="10"/>
      <c r="C5" s="10"/>
      <c r="D5" s="10"/>
      <c r="E5" s="10"/>
      <c r="F5" s="10"/>
      <c r="G5" s="10"/>
      <c r="H5" s="10"/>
      <c r="I5" s="10"/>
      <c r="J5" s="10"/>
      <c r="K5" s="10"/>
      <c r="L5" s="10"/>
      <c r="M5" s="10"/>
      <c r="N5" s="10"/>
      <c r="O5" s="10"/>
      <c r="P5" s="10"/>
      <c r="Q5" s="10"/>
      <c r="R5" s="10"/>
      <c r="S5" s="10"/>
      <c r="T5" s="10"/>
      <c r="U5" s="10"/>
      <c r="V5" s="10"/>
    </row>
    <row r="6" spans="1:22" ht="29.25" customHeight="1">
      <c r="A6" s="29" t="s">
        <v>102</v>
      </c>
      <c r="B6" s="29" t="str">
        <f>INDEX(rng_tiempos,1,1)</f>
        <v>Desayuno</v>
      </c>
      <c r="C6" s="29" t="str">
        <f>INDEX(rng_tiempos,2,1)</f>
        <v>Colación AM</v>
      </c>
      <c r="D6" s="29" t="str">
        <f>INDEX(rng_tiempos,3,1)</f>
        <v>Almuerzo</v>
      </c>
      <c r="E6" s="29" t="str">
        <f>INDEX(rng_tiempos,4,1)</f>
        <v>Once</v>
      </c>
      <c r="F6" s="29" t="str">
        <f>INDEX(rng_tiempos,5,1)</f>
        <v>Cena</v>
      </c>
      <c r="G6" s="29" t="str">
        <f>INDEX(rng_tiempos,6,1)</f>
        <v>Colación nocturna</v>
      </c>
      <c r="H6" s="29" t="s">
        <v>124</v>
      </c>
      <c r="I6" s="29" t="s">
        <v>125</v>
      </c>
      <c r="J6" s="69" t="s">
        <v>126</v>
      </c>
      <c r="K6" s="69"/>
      <c r="L6" s="13"/>
      <c r="M6" s="13"/>
      <c r="N6" s="13"/>
      <c r="O6" s="13"/>
      <c r="P6" s="13"/>
      <c r="Q6" s="13"/>
      <c r="R6" s="13"/>
      <c r="S6" s="13"/>
      <c r="T6" s="13"/>
      <c r="U6" s="13"/>
      <c r="V6" s="13"/>
    </row>
    <row r="7" spans="1:22" ht="19.5" customHeight="1">
      <c r="A7" s="70" t="str">
        <f>INDEX(rng_eq,1,1)</f>
        <v>Lácteos descremados</v>
      </c>
      <c r="B7" s="79"/>
      <c r="C7" s="79"/>
      <c r="D7" s="79"/>
      <c r="E7" s="79">
        <v>1</v>
      </c>
      <c r="F7" s="79"/>
      <c r="G7" s="79"/>
      <c r="H7" s="71">
        <f t="shared" ref="H7:H19" si="0">SUM(B7:G7)</f>
        <v>1</v>
      </c>
      <c r="I7" s="71">
        <f>DIETOSINTESIS!B7</f>
        <v>1</v>
      </c>
      <c r="J7" s="72" t="str">
        <f t="shared" ref="J7:J19" si="1">IF(NOT(ISNUMBER(I7)),"ND",IF(ABS(H7-I7)&lt;=u_rep,"OK",IF(H7&lt;I7,"FALTAN "&amp;TEXT(I7-H7,"0,0")&amp;" equivalentes","SOBRAN "&amp;TEXT(H7-I7,"0,0")&amp;" equivalentes")))</f>
        <v>OK</v>
      </c>
      <c r="K7" s="72"/>
      <c r="L7" s="13"/>
      <c r="M7" s="13"/>
      <c r="N7" s="13"/>
      <c r="O7" s="13"/>
      <c r="P7" s="13"/>
      <c r="Q7" s="13"/>
      <c r="R7" s="13"/>
      <c r="S7" s="13"/>
      <c r="T7" s="13"/>
      <c r="U7" s="13"/>
      <c r="V7" s="13"/>
    </row>
    <row r="8" spans="1:22" ht="19.5" customHeight="1">
      <c r="A8" s="70" t="str">
        <f>INDEX(rng_eq,2,1)</f>
        <v>Lácteos semidescremados</v>
      </c>
      <c r="B8" s="79">
        <v>1</v>
      </c>
      <c r="C8" s="79"/>
      <c r="D8" s="79"/>
      <c r="E8" s="79"/>
      <c r="F8" s="79"/>
      <c r="G8" s="79"/>
      <c r="H8" s="71">
        <f t="shared" si="0"/>
        <v>1</v>
      </c>
      <c r="I8" s="71">
        <f>DIETOSINTESIS!B8</f>
        <v>1</v>
      </c>
      <c r="J8" s="73" t="str">
        <f t="shared" si="1"/>
        <v>OK</v>
      </c>
      <c r="K8" s="73"/>
      <c r="L8" s="13"/>
      <c r="M8" s="13"/>
      <c r="N8" s="13"/>
      <c r="O8" s="13"/>
      <c r="P8" s="13"/>
      <c r="Q8" s="13"/>
      <c r="R8" s="13"/>
      <c r="S8" s="13"/>
      <c r="T8" s="13"/>
      <c r="U8" s="13"/>
      <c r="V8" s="13"/>
    </row>
    <row r="9" spans="1:22" ht="19.5" customHeight="1">
      <c r="A9" s="70" t="str">
        <f>INDEX(rng_eq,3,1)</f>
        <v>Lácteos enteros</v>
      </c>
      <c r="B9" s="79"/>
      <c r="C9" s="79"/>
      <c r="D9" s="79"/>
      <c r="E9" s="79"/>
      <c r="F9" s="79"/>
      <c r="G9" s="79"/>
      <c r="H9" s="71">
        <f t="shared" si="0"/>
        <v>0</v>
      </c>
      <c r="I9" s="71">
        <f>DIETOSINTESIS!B9</f>
        <v>0</v>
      </c>
      <c r="J9" s="73" t="str">
        <f t="shared" si="1"/>
        <v>OK</v>
      </c>
      <c r="K9" s="73"/>
      <c r="L9" s="13"/>
      <c r="M9" s="13"/>
      <c r="N9" s="13"/>
      <c r="O9" s="13"/>
      <c r="P9" s="13"/>
      <c r="Q9" s="13"/>
      <c r="R9" s="13"/>
      <c r="S9" s="13"/>
      <c r="T9" s="13"/>
      <c r="U9" s="13"/>
      <c r="V9" s="13"/>
    </row>
    <row r="10" spans="1:22" ht="19.5" customHeight="1">
      <c r="A10" s="70" t="str">
        <f>INDEX(rng_eq,4,1)</f>
        <v>Verduras de consumo general</v>
      </c>
      <c r="B10" s="79"/>
      <c r="C10" s="79"/>
      <c r="D10" s="79">
        <v>2</v>
      </c>
      <c r="E10" s="79"/>
      <c r="F10" s="79">
        <v>2</v>
      </c>
      <c r="G10" s="79"/>
      <c r="H10" s="71">
        <f t="shared" si="0"/>
        <v>4</v>
      </c>
      <c r="I10" s="71">
        <f>DIETOSINTESIS!B10</f>
        <v>4</v>
      </c>
      <c r="J10" s="73" t="str">
        <f t="shared" si="1"/>
        <v>OK</v>
      </c>
      <c r="K10" s="73"/>
      <c r="L10" s="13"/>
      <c r="M10" s="13"/>
      <c r="N10" s="13"/>
      <c r="O10" s="13"/>
      <c r="P10" s="13"/>
      <c r="Q10" s="13"/>
      <c r="R10" s="13"/>
      <c r="S10" s="13"/>
      <c r="T10" s="13"/>
      <c r="U10" s="13"/>
      <c r="V10" s="13"/>
    </row>
    <row r="11" spans="1:22" ht="19.5" customHeight="1">
      <c r="A11" s="70" t="str">
        <f>INDEX(rng_eq,5,1)</f>
        <v>Verduras de libre consumo</v>
      </c>
      <c r="B11" s="79"/>
      <c r="C11" s="79"/>
      <c r="D11" s="79">
        <v>1</v>
      </c>
      <c r="E11" s="79">
        <v>1</v>
      </c>
      <c r="F11" s="79">
        <v>1</v>
      </c>
      <c r="G11" s="79"/>
      <c r="H11" s="71">
        <f t="shared" si="0"/>
        <v>3</v>
      </c>
      <c r="I11" s="71">
        <f>DIETOSINTESIS!B11</f>
        <v>3</v>
      </c>
      <c r="J11" s="73" t="str">
        <f t="shared" si="1"/>
        <v>OK</v>
      </c>
      <c r="K11" s="73"/>
      <c r="L11" s="13"/>
      <c r="M11" s="13"/>
      <c r="N11" s="13"/>
      <c r="O11" s="13"/>
      <c r="P11" s="13"/>
      <c r="Q11" s="13"/>
      <c r="R11" s="13"/>
      <c r="S11" s="13"/>
      <c r="T11" s="13"/>
      <c r="U11" s="13"/>
      <c r="V11" s="13"/>
    </row>
    <row r="12" spans="1:22" ht="19.5" customHeight="1">
      <c r="A12" s="70" t="str">
        <f>INDEX(rng_eq,6,1)</f>
        <v>Frutas</v>
      </c>
      <c r="B12" s="79">
        <v>1</v>
      </c>
      <c r="C12" s="79">
        <v>1</v>
      </c>
      <c r="D12" s="79"/>
      <c r="E12" s="79">
        <v>1</v>
      </c>
      <c r="F12" s="79"/>
      <c r="G12" s="79">
        <v>1</v>
      </c>
      <c r="H12" s="71">
        <f t="shared" si="0"/>
        <v>4</v>
      </c>
      <c r="I12" s="71">
        <f>DIETOSINTESIS!B12</f>
        <v>4</v>
      </c>
      <c r="J12" s="73" t="str">
        <f t="shared" si="1"/>
        <v>OK</v>
      </c>
      <c r="K12" s="73"/>
      <c r="L12" s="13"/>
      <c r="M12" s="13"/>
      <c r="N12" s="13"/>
      <c r="O12" s="13"/>
      <c r="P12" s="13"/>
      <c r="Q12" s="13"/>
      <c r="R12" s="13"/>
      <c r="S12" s="13"/>
      <c r="T12" s="13"/>
      <c r="U12" s="13"/>
      <c r="V12" s="13"/>
    </row>
    <row r="13" spans="1:22" ht="19.5" customHeight="1">
      <c r="A13" s="70" t="str">
        <f>INDEX(rng_eq,7,1)</f>
        <v>Panes, cereales, legumbres frescas y tubérculos</v>
      </c>
      <c r="B13" s="79">
        <v>1</v>
      </c>
      <c r="C13" s="79"/>
      <c r="D13" s="79">
        <v>1</v>
      </c>
      <c r="E13" s="79">
        <v>1</v>
      </c>
      <c r="F13" s="79">
        <v>1</v>
      </c>
      <c r="G13" s="79"/>
      <c r="H13" s="71">
        <f t="shared" si="0"/>
        <v>4</v>
      </c>
      <c r="I13" s="71">
        <f>DIETOSINTESIS!B13</f>
        <v>4</v>
      </c>
      <c r="J13" s="73" t="str">
        <f t="shared" si="1"/>
        <v>OK</v>
      </c>
      <c r="K13" s="73"/>
      <c r="L13" s="13"/>
      <c r="M13" s="13"/>
      <c r="N13" s="13"/>
      <c r="O13" s="13"/>
      <c r="P13" s="13"/>
      <c r="Q13" s="13"/>
      <c r="R13" s="13"/>
      <c r="S13" s="13"/>
      <c r="T13" s="13"/>
      <c r="U13" s="13"/>
      <c r="V13" s="13"/>
    </row>
    <row r="14" spans="1:22" ht="19.5" customHeight="1">
      <c r="A14" s="70" t="str">
        <f>INDEX(rng_eq,8,1)</f>
        <v>Legumbres secas</v>
      </c>
      <c r="B14" s="79"/>
      <c r="C14" s="79"/>
      <c r="D14" s="79">
        <v>1</v>
      </c>
      <c r="E14" s="79"/>
      <c r="F14" s="79"/>
      <c r="G14" s="79"/>
      <c r="H14" s="71">
        <f t="shared" si="0"/>
        <v>1</v>
      </c>
      <c r="I14" s="71">
        <f>DIETOSINTESIS!B14</f>
        <v>1</v>
      </c>
      <c r="J14" s="73" t="str">
        <f t="shared" si="1"/>
        <v>OK</v>
      </c>
      <c r="K14" s="73"/>
      <c r="L14" s="13"/>
      <c r="M14" s="13"/>
      <c r="N14" s="13"/>
      <c r="O14" s="13"/>
      <c r="P14" s="13"/>
      <c r="Q14" s="13"/>
      <c r="R14" s="13"/>
      <c r="S14" s="13"/>
      <c r="T14" s="13"/>
      <c r="U14" s="13"/>
      <c r="V14" s="13"/>
    </row>
    <row r="15" spans="1:22" ht="19.5" customHeight="1">
      <c r="A15" s="70" t="str">
        <f>INDEX(rng_eq,9,1)</f>
        <v>Carnes bajas en grasa</v>
      </c>
      <c r="B15" s="79"/>
      <c r="C15" s="79"/>
      <c r="D15" s="79">
        <v>1</v>
      </c>
      <c r="E15" s="79"/>
      <c r="F15" s="79">
        <v>1</v>
      </c>
      <c r="G15" s="79"/>
      <c r="H15" s="71">
        <f t="shared" si="0"/>
        <v>2</v>
      </c>
      <c r="I15" s="71">
        <f>DIETOSINTESIS!B15</f>
        <v>2</v>
      </c>
      <c r="J15" s="73" t="str">
        <f t="shared" si="1"/>
        <v>OK</v>
      </c>
      <c r="K15" s="73"/>
      <c r="L15" s="13"/>
      <c r="M15" s="13"/>
      <c r="N15" s="13"/>
      <c r="O15" s="13"/>
      <c r="P15" s="13"/>
      <c r="Q15" s="13"/>
      <c r="R15" s="13"/>
      <c r="S15" s="13"/>
      <c r="T15" s="13"/>
      <c r="U15" s="13"/>
      <c r="V15" s="13"/>
    </row>
    <row r="16" spans="1:22" ht="19.5" customHeight="1">
      <c r="A16" s="70" t="str">
        <f>INDEX(rng_eq,10,1)</f>
        <v>Carnes altas en grasa</v>
      </c>
      <c r="B16" s="79"/>
      <c r="C16" s="79"/>
      <c r="D16" s="79"/>
      <c r="E16" s="79"/>
      <c r="F16" s="79"/>
      <c r="G16" s="79"/>
      <c r="H16" s="71">
        <f t="shared" si="0"/>
        <v>0</v>
      </c>
      <c r="I16" s="71">
        <f>DIETOSINTESIS!B16</f>
        <v>0</v>
      </c>
      <c r="J16" s="73" t="str">
        <f t="shared" si="1"/>
        <v>OK</v>
      </c>
      <c r="K16" s="73"/>
      <c r="L16" s="13"/>
      <c r="M16" s="13"/>
      <c r="N16" s="13"/>
      <c r="O16" s="13"/>
      <c r="P16" s="13"/>
      <c r="Q16" s="13"/>
      <c r="R16" s="13"/>
      <c r="S16" s="13"/>
      <c r="T16" s="13"/>
      <c r="U16" s="13"/>
      <c r="V16" s="13"/>
    </row>
    <row r="17" spans="1:22" ht="19.5" customHeight="1">
      <c r="A17" s="70" t="str">
        <f>INDEX(rng_eq,11,1)</f>
        <v>Aceites, grasas y semillas</v>
      </c>
      <c r="B17" s="79">
        <v>1</v>
      </c>
      <c r="C17" s="79"/>
      <c r="D17" s="79">
        <v>2</v>
      </c>
      <c r="E17" s="79"/>
      <c r="F17" s="79">
        <v>2</v>
      </c>
      <c r="G17" s="79"/>
      <c r="H17" s="71">
        <f t="shared" si="0"/>
        <v>5</v>
      </c>
      <c r="I17" s="71">
        <f>DIETOSINTESIS!B17</f>
        <v>5</v>
      </c>
      <c r="J17" s="73" t="str">
        <f t="shared" si="1"/>
        <v>OK</v>
      </c>
      <c r="K17" s="73"/>
      <c r="L17" s="13"/>
      <c r="M17" s="13"/>
      <c r="N17" s="13"/>
      <c r="O17" s="13"/>
      <c r="P17" s="13"/>
      <c r="Q17" s="13"/>
      <c r="R17" s="13"/>
      <c r="S17" s="13"/>
      <c r="T17" s="13"/>
      <c r="U17" s="13"/>
      <c r="V17" s="13"/>
    </row>
    <row r="18" spans="1:22" ht="19.5" customHeight="1">
      <c r="A18" s="70" t="str">
        <f>INDEX(rng_eq,12,1)</f>
        <v>Alimentos ricos en lípidos</v>
      </c>
      <c r="B18" s="79"/>
      <c r="C18" s="79"/>
      <c r="D18" s="79"/>
      <c r="E18" s="79">
        <v>1</v>
      </c>
      <c r="F18" s="79">
        <v>1</v>
      </c>
      <c r="G18" s="79"/>
      <c r="H18" s="71">
        <f t="shared" si="0"/>
        <v>2</v>
      </c>
      <c r="I18" s="71">
        <f>DIETOSINTESIS!B18</f>
        <v>2</v>
      </c>
      <c r="J18" s="73" t="str">
        <f t="shared" si="1"/>
        <v>OK</v>
      </c>
      <c r="K18" s="73"/>
      <c r="L18" s="13"/>
      <c r="M18" s="13"/>
      <c r="N18" s="13"/>
      <c r="O18" s="13"/>
      <c r="P18" s="13"/>
      <c r="Q18" s="13"/>
      <c r="R18" s="13"/>
      <c r="S18" s="13"/>
      <c r="T18" s="13"/>
      <c r="U18" s="13"/>
      <c r="V18" s="13"/>
    </row>
    <row r="19" spans="1:22" ht="19.5" customHeight="1">
      <c r="A19" s="70" t="str">
        <f>INDEX(rng_eq,13,1)</f>
        <v>Azúcares</v>
      </c>
      <c r="B19" s="79">
        <v>1</v>
      </c>
      <c r="C19" s="79"/>
      <c r="D19" s="79"/>
      <c r="E19" s="79"/>
      <c r="F19" s="79"/>
      <c r="G19" s="79"/>
      <c r="H19" s="71">
        <f t="shared" si="0"/>
        <v>1</v>
      </c>
      <c r="I19" s="71">
        <f>DIETOSINTESIS!B19</f>
        <v>1</v>
      </c>
      <c r="J19" s="73" t="str">
        <f t="shared" si="1"/>
        <v>OK</v>
      </c>
      <c r="K19" s="73"/>
      <c r="L19" s="13"/>
      <c r="M19" s="13"/>
      <c r="N19" s="13"/>
      <c r="O19" s="13"/>
      <c r="P19" s="13"/>
      <c r="Q19" s="13"/>
      <c r="R19" s="13"/>
      <c r="S19" s="13"/>
      <c r="T19" s="13"/>
      <c r="U19" s="13"/>
      <c r="V19" s="13"/>
    </row>
    <row r="20" spans="1:22" ht="19.5" customHeight="1">
      <c r="A20" s="74" t="s">
        <v>127</v>
      </c>
      <c r="B20" s="75">
        <f t="shared" ref="B20:I20" si="2">SUM(B7:B19)</f>
        <v>5</v>
      </c>
      <c r="C20" s="75">
        <f t="shared" si="2"/>
        <v>1</v>
      </c>
      <c r="D20" s="75">
        <f t="shared" si="2"/>
        <v>8</v>
      </c>
      <c r="E20" s="75">
        <f t="shared" si="2"/>
        <v>5</v>
      </c>
      <c r="F20" s="75">
        <f t="shared" si="2"/>
        <v>8</v>
      </c>
      <c r="G20" s="75">
        <f t="shared" si="2"/>
        <v>1</v>
      </c>
      <c r="H20" s="75">
        <f t="shared" si="2"/>
        <v>28</v>
      </c>
      <c r="I20" s="75">
        <f t="shared" si="2"/>
        <v>28</v>
      </c>
      <c r="J20" s="76"/>
      <c r="K20" s="76"/>
      <c r="L20" s="13"/>
      <c r="M20" s="13"/>
      <c r="N20" s="13"/>
      <c r="O20" s="13"/>
      <c r="P20" s="13"/>
      <c r="Q20" s="13"/>
      <c r="R20" s="13"/>
      <c r="S20" s="13"/>
      <c r="T20" s="13"/>
      <c r="U20" s="13"/>
      <c r="V20" s="13"/>
    </row>
    <row r="21" spans="1:22" ht="19.5" customHeight="1">
      <c r="A21" s="74" t="s">
        <v>128</v>
      </c>
      <c r="B21" s="75">
        <f>SUMPRODUCT(B7:B19,CONFIG!$E$17:$E$29)</f>
        <v>350</v>
      </c>
      <c r="C21" s="75">
        <f>SUMPRODUCT(C7:C19,CONFIG!$E$17:$E$29)</f>
        <v>60</v>
      </c>
      <c r="D21" s="75">
        <f>SUMPRODUCT(D7:D19,CONFIG!$E$17:$E$29)</f>
        <v>535</v>
      </c>
      <c r="E21" s="75">
        <f>SUMPRODUCT(E7:E19,CONFIG!$E$17:$E$29)</f>
        <v>455</v>
      </c>
      <c r="F21" s="75">
        <f>SUMPRODUCT(F7:F19,CONFIG!$E$17:$E$29)</f>
        <v>540</v>
      </c>
      <c r="G21" s="75">
        <f>SUMPRODUCT(G7:G19,CONFIG!$E$17:$E$29)</f>
        <v>60</v>
      </c>
      <c r="H21" s="75">
        <f>SUM(B21:G21)</f>
        <v>2000</v>
      </c>
      <c r="I21" s="75"/>
      <c r="J21" s="76"/>
      <c r="K21" s="76"/>
      <c r="L21" s="13"/>
      <c r="M21" s="13"/>
      <c r="N21" s="13"/>
      <c r="O21" s="13"/>
      <c r="P21" s="13"/>
      <c r="Q21" s="13"/>
      <c r="R21" s="13"/>
      <c r="S21" s="13"/>
      <c r="T21" s="13"/>
      <c r="U21" s="13"/>
      <c r="V21" s="13"/>
    </row>
    <row r="22" spans="1:22" ht="19.5" customHeight="1">
      <c r="A22" s="74" t="s">
        <v>129</v>
      </c>
      <c r="B22" s="77">
        <f>IF(H$21=0,"ND",B21/$H$21)</f>
        <v>0.17499999999999999</v>
      </c>
      <c r="C22" s="77">
        <f>IF(H$21=0,"ND",C21/$H$21)</f>
        <v>0.03</v>
      </c>
      <c r="D22" s="77">
        <f>IF(H$21=0,"ND",D21/$H$21)</f>
        <v>0.26750000000000002</v>
      </c>
      <c r="E22" s="77">
        <f>IF(H$21=0,"ND",E21/$H$21)</f>
        <v>0.22750000000000001</v>
      </c>
      <c r="F22" s="77">
        <f>IF(H$21=0,"ND",F21/$H$21)</f>
        <v>0.27</v>
      </c>
      <c r="G22" s="77">
        <f>IF(H$21=0,"ND",G21/$H$21)</f>
        <v>0.03</v>
      </c>
      <c r="H22" s="78"/>
      <c r="I22" s="78"/>
      <c r="J22" s="76"/>
      <c r="K22" s="76"/>
      <c r="L22" s="13"/>
      <c r="M22" s="13"/>
      <c r="N22" s="13"/>
      <c r="O22" s="13"/>
      <c r="P22" s="13"/>
      <c r="Q22" s="13"/>
      <c r="R22" s="13"/>
      <c r="S22" s="13"/>
      <c r="T22" s="13"/>
      <c r="U22" s="13"/>
      <c r="V22" s="13"/>
    </row>
    <row r="23" spans="1:22" ht="19.5" customHeight="1">
      <c r="A23" s="74" t="s">
        <v>130</v>
      </c>
      <c r="B23" s="77">
        <f>INDEX(rng_tiempos,1,2)</f>
        <v>0.2</v>
      </c>
      <c r="C23" s="77">
        <f>INDEX(rng_tiempos,2,2)</f>
        <v>0.05</v>
      </c>
      <c r="D23" s="77">
        <f>INDEX(rng_tiempos,3,2)</f>
        <v>0.3</v>
      </c>
      <c r="E23" s="77">
        <f>INDEX(rng_tiempos,4,2)</f>
        <v>0.2</v>
      </c>
      <c r="F23" s="77">
        <f>INDEX(rng_tiempos,5,2)</f>
        <v>0.2</v>
      </c>
      <c r="G23" s="77">
        <f>INDEX(rng_tiempos,6,2)</f>
        <v>0.05</v>
      </c>
      <c r="H23" s="78"/>
      <c r="I23" s="78"/>
      <c r="J23" s="76"/>
      <c r="K23" s="76"/>
      <c r="L23" s="13"/>
      <c r="M23" s="13"/>
      <c r="N23" s="13"/>
      <c r="O23" s="13"/>
      <c r="P23" s="13"/>
      <c r="Q23" s="13"/>
      <c r="R23" s="13"/>
      <c r="S23" s="13"/>
      <c r="T23" s="13"/>
      <c r="U23" s="13"/>
      <c r="V23" s="13"/>
    </row>
    <row r="24" spans="1:22" ht="15.75" customHeight="1">
      <c r="A24" s="10"/>
      <c r="B24" s="10"/>
      <c r="C24" s="10"/>
      <c r="D24" s="10"/>
      <c r="E24" s="10"/>
      <c r="F24" s="10"/>
      <c r="G24" s="10"/>
      <c r="H24" s="10"/>
      <c r="I24" s="10"/>
      <c r="J24" s="10"/>
      <c r="K24" s="10"/>
      <c r="L24" s="10"/>
      <c r="M24" s="10"/>
      <c r="N24" s="10"/>
      <c r="O24" s="10"/>
      <c r="P24" s="10"/>
      <c r="Q24" s="10"/>
      <c r="R24" s="10"/>
      <c r="S24" s="10"/>
      <c r="T24" s="10"/>
      <c r="U24" s="10"/>
      <c r="V24" s="10"/>
    </row>
    <row r="25" spans="1:22" ht="15" customHeight="1">
      <c r="A25" s="65" t="s">
        <v>131</v>
      </c>
      <c r="B25" s="65"/>
      <c r="C25" s="65"/>
      <c r="D25" s="65"/>
      <c r="E25" s="65"/>
      <c r="F25" s="65"/>
      <c r="G25" s="65"/>
      <c r="H25" s="65"/>
      <c r="I25" s="65"/>
      <c r="J25" s="65"/>
      <c r="K25" s="65"/>
      <c r="L25" s="65"/>
      <c r="M25" s="13"/>
      <c r="N25" s="13"/>
      <c r="O25" s="13"/>
      <c r="P25" s="13"/>
      <c r="Q25" s="13"/>
      <c r="R25" s="13"/>
      <c r="S25" s="13"/>
      <c r="T25" s="13"/>
      <c r="U25" s="13"/>
      <c r="V25" s="13"/>
    </row>
    <row r="26" spans="1:22" ht="15" customHeight="1">
      <c r="A26" s="65"/>
      <c r="B26" s="65"/>
      <c r="C26" s="65"/>
      <c r="D26" s="65"/>
      <c r="E26" s="65"/>
      <c r="F26" s="65"/>
      <c r="G26" s="65"/>
      <c r="H26" s="65"/>
      <c r="I26" s="65"/>
      <c r="J26" s="65"/>
      <c r="K26" s="65"/>
      <c r="L26" s="65"/>
      <c r="M26" s="13"/>
      <c r="N26" s="13"/>
      <c r="O26" s="13"/>
      <c r="P26" s="13"/>
      <c r="Q26" s="13"/>
      <c r="R26" s="13"/>
      <c r="S26" s="13"/>
      <c r="T26" s="13"/>
      <c r="U26" s="13"/>
      <c r="V26" s="13"/>
    </row>
    <row r="27" spans="1:22" ht="15" customHeight="1">
      <c r="A27" s="65"/>
      <c r="B27" s="65"/>
      <c r="C27" s="65"/>
      <c r="D27" s="65"/>
      <c r="E27" s="65"/>
      <c r="F27" s="65"/>
      <c r="G27" s="65"/>
      <c r="H27" s="65"/>
      <c r="I27" s="65"/>
      <c r="J27" s="65"/>
      <c r="K27" s="65"/>
      <c r="L27" s="65"/>
      <c r="M27" s="13"/>
      <c r="N27" s="13"/>
      <c r="O27" s="13"/>
      <c r="P27" s="13"/>
      <c r="Q27" s="13"/>
      <c r="R27" s="13"/>
      <c r="S27" s="13"/>
      <c r="T27" s="13"/>
      <c r="U27" s="13"/>
      <c r="V27" s="13"/>
    </row>
  </sheetData>
  <sheetProtection algorithmName="SHA-512" hashValue="B7vKVw06OoOyCe6TmTUbs8pxK5yOtDEMknqBh1GmzL3jKWmBXUL1SnLg3wzgZAo/UhXjLoWx1ONABPf0gkgbXQ==" saltValue="HghGryO1jYrR76oq1/RUJA==" spinCount="100000" sheet="1" objects="1" scenarios="1" autoFilter="0"/>
  <mergeCells count="24">
    <mergeCell ref="J22:K22"/>
    <mergeCell ref="J23:K23"/>
    <mergeCell ref="A24:V24"/>
    <mergeCell ref="A25:L27"/>
    <mergeCell ref="J17:K17"/>
    <mergeCell ref="J18:K18"/>
    <mergeCell ref="J19:K19"/>
    <mergeCell ref="J20:K20"/>
    <mergeCell ref="J21:K21"/>
    <mergeCell ref="J12:K12"/>
    <mergeCell ref="J13:K13"/>
    <mergeCell ref="J14:K14"/>
    <mergeCell ref="J15:K15"/>
    <mergeCell ref="J16:K16"/>
    <mergeCell ref="J7:K7"/>
    <mergeCell ref="J8:K8"/>
    <mergeCell ref="J9:K9"/>
    <mergeCell ref="J10:K10"/>
    <mergeCell ref="J11:K11"/>
    <mergeCell ref="A1:L1"/>
    <mergeCell ref="A2:L2"/>
    <mergeCell ref="K3:L3"/>
    <mergeCell ref="A5:V5"/>
    <mergeCell ref="J6:K6"/>
  </mergeCells>
  <hyperlinks>
    <hyperlink ref="A3" location="'INICIO'!A1" display="INICIO" xr:uid="{00000000-0004-0000-0300-000000000000}"/>
    <hyperlink ref="B3" location="'DATOS'!A1" display="DATOS" xr:uid="{00000000-0004-0000-0300-000001000000}"/>
    <hyperlink ref="C3" location="'DIETOSINTESIS'!A1" display="DIETOSINTESIS" xr:uid="{00000000-0004-0000-0300-000002000000}"/>
    <hyperlink ref="D3" location="'DISTRIBUCION'!A1" display="DISTRIBUCION" xr:uid="{00000000-0004-0000-0300-000003000000}"/>
    <hyperlink ref="E3" location="'MENU_SEMANAL'!A1" display="MENU_SEMANAL" xr:uid="{00000000-0004-0000-0300-000004000000}"/>
    <hyperlink ref="F3" location="'SEMANA'!A1" display="SEMANA" xr:uid="{00000000-0004-0000-0300-000005000000}"/>
    <hyperlink ref="G3" location="'RESULTADOS'!A1" display="RESULTADOS" xr:uid="{00000000-0004-0000-0300-000006000000}"/>
    <hyperlink ref="H3" location="'FUENTES'!A1" display="FUENTES" xr:uid="{00000000-0004-0000-0300-000007000000}"/>
    <hyperlink ref="I3" location="'PRUEBAS'!A1" display="PRUEBAS" xr:uid="{00000000-0004-0000-0300-000008000000}"/>
    <hyperlink ref="J3" location="'CONFIG'!A1" display="CONFIG" xr:uid="{00000000-0004-0000-0300-000009000000}"/>
    <hyperlink ref="K3" location="'CHANGELOG'!A1" display="CHANGELOG" xr:uid="{00000000-0004-0000-0300-00000A000000}"/>
  </hyperlinks>
  <pageMargins left="0.75" right="0.75" top="1" bottom="1" header="0.511811023622047" footer="0.511811023622047"/>
  <pageSetup fitToHeight="0"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A1:L37"/>
  <sheetViews>
    <sheetView showGridLines="0" zoomScale="85" zoomScaleNormal="85" workbookViewId="0">
      <selection activeCell="D45" sqref="D45"/>
    </sheetView>
  </sheetViews>
  <sheetFormatPr baseColWidth="10" defaultColWidth="8.7109375" defaultRowHeight="15"/>
  <cols>
    <col min="1" max="1" width="41.5703125" customWidth="1"/>
    <col min="2" max="11" width="14" customWidth="1"/>
    <col min="12" max="12" width="20" customWidth="1"/>
  </cols>
  <sheetData>
    <row r="1" spans="1:12" ht="25.5" customHeight="1">
      <c r="A1" s="23" t="s">
        <v>132</v>
      </c>
      <c r="B1" s="23"/>
      <c r="C1" s="23"/>
      <c r="D1" s="23"/>
      <c r="E1" s="23"/>
      <c r="F1" s="23"/>
      <c r="G1" s="23"/>
      <c r="H1" s="23"/>
      <c r="I1" s="23"/>
      <c r="J1" s="23"/>
      <c r="K1" s="23"/>
      <c r="L1" s="23"/>
    </row>
    <row r="2" spans="1:12" ht="26.25" customHeight="1">
      <c r="A2" s="80" t="s">
        <v>133</v>
      </c>
      <c r="B2" s="80"/>
      <c r="C2" s="80"/>
      <c r="D2" s="80"/>
      <c r="E2" s="80"/>
      <c r="F2" s="80"/>
      <c r="G2" s="80"/>
      <c r="H2" s="80"/>
      <c r="I2" s="80"/>
      <c r="J2" s="80"/>
      <c r="K2" s="80"/>
      <c r="L2" s="80"/>
    </row>
    <row r="3" spans="1:12" ht="24" customHeight="1">
      <c r="A3" s="24" t="s">
        <v>2</v>
      </c>
      <c r="B3" s="24" t="s">
        <v>3</v>
      </c>
      <c r="C3" s="24" t="s">
        <v>4</v>
      </c>
      <c r="D3" s="24" t="s">
        <v>5</v>
      </c>
      <c r="E3" s="24" t="s">
        <v>6</v>
      </c>
      <c r="F3" s="8" t="s">
        <v>7</v>
      </c>
      <c r="G3" s="24" t="s">
        <v>8</v>
      </c>
      <c r="H3" s="24" t="s">
        <v>9</v>
      </c>
      <c r="I3" s="24" t="s">
        <v>10</v>
      </c>
      <c r="J3" s="24" t="s">
        <v>11</v>
      </c>
      <c r="K3" s="25" t="s">
        <v>12</v>
      </c>
      <c r="L3" s="25"/>
    </row>
    <row r="4" spans="1:12" ht="15" customHeight="1">
      <c r="A4" s="81" t="s">
        <v>134</v>
      </c>
      <c r="B4" s="81"/>
      <c r="C4" s="81"/>
      <c r="D4" s="81"/>
      <c r="E4" s="81"/>
      <c r="F4" s="81"/>
      <c r="G4" s="81"/>
      <c r="H4" s="81"/>
      <c r="I4" s="81"/>
      <c r="J4" s="81"/>
      <c r="K4" s="81"/>
      <c r="L4" s="81"/>
    </row>
    <row r="5" spans="1:12" ht="15.75" customHeight="1">
      <c r="A5" s="81"/>
      <c r="B5" s="81"/>
      <c r="C5" s="81"/>
      <c r="D5" s="81"/>
      <c r="E5" s="81"/>
      <c r="F5" s="81"/>
      <c r="G5" s="81"/>
      <c r="H5" s="81"/>
      <c r="I5" s="81"/>
      <c r="J5" s="81"/>
      <c r="K5" s="81"/>
      <c r="L5" s="81"/>
    </row>
    <row r="6" spans="1:12" ht="31.5" customHeight="1">
      <c r="A6" s="82" t="s">
        <v>102</v>
      </c>
      <c r="B6" s="82" t="s">
        <v>89</v>
      </c>
      <c r="C6" s="82" t="s">
        <v>90</v>
      </c>
      <c r="D6" s="82" t="s">
        <v>91</v>
      </c>
      <c r="E6" s="82" t="s">
        <v>92</v>
      </c>
      <c r="F6" s="82" t="s">
        <v>93</v>
      </c>
      <c r="G6" s="82" t="s">
        <v>94</v>
      </c>
      <c r="H6" s="82" t="s">
        <v>95</v>
      </c>
      <c r="I6" s="82" t="s">
        <v>135</v>
      </c>
      <c r="J6" s="82" t="s">
        <v>136</v>
      </c>
      <c r="K6" s="82" t="s">
        <v>137</v>
      </c>
      <c r="L6" s="82" t="s">
        <v>138</v>
      </c>
    </row>
    <row r="7" spans="1:12" ht="24.75" customHeight="1">
      <c r="A7" s="31" t="str">
        <f>INDEX(rng_eq,1,1)</f>
        <v>Lácteos descremados</v>
      </c>
      <c r="B7" s="79">
        <f>DIETOSINTESIS!$B$7</f>
        <v>1</v>
      </c>
      <c r="C7" s="79">
        <f>DIETOSINTESIS!$B$7</f>
        <v>1</v>
      </c>
      <c r="D7" s="79">
        <f>DIETOSINTESIS!$B$7</f>
        <v>1</v>
      </c>
      <c r="E7" s="79">
        <f>DIETOSINTESIS!$B$7</f>
        <v>1</v>
      </c>
      <c r="F7" s="79">
        <f>DIETOSINTESIS!$B$7</f>
        <v>1</v>
      </c>
      <c r="G7" s="79">
        <f>DIETOSINTESIS!$B$7</f>
        <v>1</v>
      </c>
      <c r="H7" s="79">
        <f>DIETOSINTESIS!$B$7</f>
        <v>1</v>
      </c>
      <c r="I7" s="71">
        <f t="shared" ref="I7:I19" si="0">SUM(B7:H7)</f>
        <v>7</v>
      </c>
      <c r="J7" s="71">
        <f t="shared" ref="J7:J19" si="1">AVERAGE(B7:H7)</f>
        <v>1</v>
      </c>
      <c r="K7" s="71">
        <f>DIETOSINTESIS!$B$7</f>
        <v>1</v>
      </c>
      <c r="L7" s="83" t="str">
        <f t="shared" ref="L7:L19" si="2">IF(NOT(ISNUMBER(K7)),"ND",IF(COUNTIF(B7:H7,K7)=7,"Sin variación","Varía en "&amp;(7-COUNTIF(B7:H7,K7))&amp;" día(s)"))</f>
        <v>Sin variación</v>
      </c>
    </row>
    <row r="8" spans="1:12" ht="24.75" customHeight="1">
      <c r="A8" s="31" t="str">
        <f>INDEX(rng_eq,2,1)</f>
        <v>Lácteos semidescremados</v>
      </c>
      <c r="B8" s="79">
        <f>DIETOSINTESIS!$B$8</f>
        <v>1</v>
      </c>
      <c r="C8" s="79">
        <f>DIETOSINTESIS!$B$8</f>
        <v>1</v>
      </c>
      <c r="D8" s="79">
        <f>DIETOSINTESIS!$B$8</f>
        <v>1</v>
      </c>
      <c r="E8" s="79">
        <f>DIETOSINTESIS!$B$8</f>
        <v>1</v>
      </c>
      <c r="F8" s="79">
        <f>DIETOSINTESIS!$B$8</f>
        <v>1</v>
      </c>
      <c r="G8" s="79">
        <f>DIETOSINTESIS!$B$8</f>
        <v>1</v>
      </c>
      <c r="H8" s="79">
        <f>DIETOSINTESIS!$B$8</f>
        <v>1</v>
      </c>
      <c r="I8" s="71">
        <f t="shared" si="0"/>
        <v>7</v>
      </c>
      <c r="J8" s="71">
        <f t="shared" si="1"/>
        <v>1</v>
      </c>
      <c r="K8" s="71">
        <f>DIETOSINTESIS!$B$8</f>
        <v>1</v>
      </c>
      <c r="L8" s="83" t="str">
        <f t="shared" si="2"/>
        <v>Sin variación</v>
      </c>
    </row>
    <row r="9" spans="1:12" ht="24.75" customHeight="1">
      <c r="A9" s="31" t="str">
        <f>INDEX(rng_eq,3,1)</f>
        <v>Lácteos enteros</v>
      </c>
      <c r="B9" s="79">
        <f>DIETOSINTESIS!$B$9</f>
        <v>0</v>
      </c>
      <c r="C9" s="79">
        <f>DIETOSINTESIS!$B$9</f>
        <v>0</v>
      </c>
      <c r="D9" s="79">
        <f>DIETOSINTESIS!$B$9</f>
        <v>0</v>
      </c>
      <c r="E9" s="79">
        <f>DIETOSINTESIS!$B$9</f>
        <v>0</v>
      </c>
      <c r="F9" s="79">
        <f>DIETOSINTESIS!$B$9</f>
        <v>0</v>
      </c>
      <c r="G9" s="79">
        <f>DIETOSINTESIS!$B$9</f>
        <v>0</v>
      </c>
      <c r="H9" s="79">
        <f>DIETOSINTESIS!$B$9</f>
        <v>0</v>
      </c>
      <c r="I9" s="71">
        <f t="shared" si="0"/>
        <v>0</v>
      </c>
      <c r="J9" s="71">
        <f t="shared" si="1"/>
        <v>0</v>
      </c>
      <c r="K9" s="71">
        <f>DIETOSINTESIS!$B$9</f>
        <v>0</v>
      </c>
      <c r="L9" s="83" t="str">
        <f t="shared" si="2"/>
        <v>Sin variación</v>
      </c>
    </row>
    <row r="10" spans="1:12" ht="24.75" customHeight="1">
      <c r="A10" s="31" t="str">
        <f>INDEX(rng_eq,4,1)</f>
        <v>Verduras de consumo general</v>
      </c>
      <c r="B10" s="79">
        <f>DIETOSINTESIS!$B$10</f>
        <v>4</v>
      </c>
      <c r="C10" s="79">
        <f>DIETOSINTESIS!$B$10</f>
        <v>4</v>
      </c>
      <c r="D10" s="79">
        <f>DIETOSINTESIS!$B$10</f>
        <v>4</v>
      </c>
      <c r="E10" s="79">
        <f>DIETOSINTESIS!$B$10</f>
        <v>4</v>
      </c>
      <c r="F10" s="79">
        <f>DIETOSINTESIS!$B$10</f>
        <v>4</v>
      </c>
      <c r="G10" s="79">
        <f>DIETOSINTESIS!$B$10</f>
        <v>4</v>
      </c>
      <c r="H10" s="79">
        <f>DIETOSINTESIS!$B$10</f>
        <v>4</v>
      </c>
      <c r="I10" s="71">
        <f t="shared" si="0"/>
        <v>28</v>
      </c>
      <c r="J10" s="71">
        <f t="shared" si="1"/>
        <v>4</v>
      </c>
      <c r="K10" s="71">
        <f>DIETOSINTESIS!$B$10</f>
        <v>4</v>
      </c>
      <c r="L10" s="83" t="str">
        <f t="shared" si="2"/>
        <v>Sin variación</v>
      </c>
    </row>
    <row r="11" spans="1:12" ht="24.75" customHeight="1">
      <c r="A11" s="31" t="str">
        <f>INDEX(rng_eq,5,1)</f>
        <v>Verduras de libre consumo</v>
      </c>
      <c r="B11" s="79">
        <f>DIETOSINTESIS!$B$11</f>
        <v>3</v>
      </c>
      <c r="C11" s="79">
        <f>DIETOSINTESIS!$B$11</f>
        <v>3</v>
      </c>
      <c r="D11" s="79">
        <f>DIETOSINTESIS!$B$11</f>
        <v>3</v>
      </c>
      <c r="E11" s="79">
        <f>DIETOSINTESIS!$B$11</f>
        <v>3</v>
      </c>
      <c r="F11" s="79">
        <f>DIETOSINTESIS!$B$11</f>
        <v>3</v>
      </c>
      <c r="G11" s="79">
        <f>DIETOSINTESIS!$B$11</f>
        <v>3</v>
      </c>
      <c r="H11" s="79">
        <f>DIETOSINTESIS!$B$11</f>
        <v>3</v>
      </c>
      <c r="I11" s="71">
        <f t="shared" si="0"/>
        <v>21</v>
      </c>
      <c r="J11" s="71">
        <f t="shared" si="1"/>
        <v>3</v>
      </c>
      <c r="K11" s="71">
        <f>DIETOSINTESIS!$B$11</f>
        <v>3</v>
      </c>
      <c r="L11" s="83" t="str">
        <f t="shared" si="2"/>
        <v>Sin variación</v>
      </c>
    </row>
    <row r="12" spans="1:12" ht="24.75" customHeight="1">
      <c r="A12" s="31" t="str">
        <f>INDEX(rng_eq,6,1)</f>
        <v>Frutas</v>
      </c>
      <c r="B12" s="79">
        <f>DIETOSINTESIS!$B$12</f>
        <v>4</v>
      </c>
      <c r="C12" s="79">
        <f>DIETOSINTESIS!$B$12</f>
        <v>4</v>
      </c>
      <c r="D12" s="79">
        <f>DIETOSINTESIS!$B$12</f>
        <v>4</v>
      </c>
      <c r="E12" s="79">
        <f>DIETOSINTESIS!$B$12</f>
        <v>4</v>
      </c>
      <c r="F12" s="79">
        <f>DIETOSINTESIS!$B$12</f>
        <v>4</v>
      </c>
      <c r="G12" s="79">
        <f>DIETOSINTESIS!$B$12</f>
        <v>4</v>
      </c>
      <c r="H12" s="79">
        <f>DIETOSINTESIS!$B$12</f>
        <v>4</v>
      </c>
      <c r="I12" s="71">
        <f t="shared" si="0"/>
        <v>28</v>
      </c>
      <c r="J12" s="71">
        <f t="shared" si="1"/>
        <v>4</v>
      </c>
      <c r="K12" s="71">
        <f>DIETOSINTESIS!$B$12</f>
        <v>4</v>
      </c>
      <c r="L12" s="83" t="str">
        <f t="shared" si="2"/>
        <v>Sin variación</v>
      </c>
    </row>
    <row r="13" spans="1:12" ht="24.75" customHeight="1">
      <c r="A13" s="31" t="str">
        <f>INDEX(rng_eq,7,1)</f>
        <v>Panes, cereales, legumbres frescas y tubérculos</v>
      </c>
      <c r="B13" s="79">
        <f>DIETOSINTESIS!$B$13</f>
        <v>4</v>
      </c>
      <c r="C13" s="79">
        <f>DIETOSINTESIS!$B$13</f>
        <v>4</v>
      </c>
      <c r="D13" s="79">
        <f>DIETOSINTESIS!$B$13</f>
        <v>4</v>
      </c>
      <c r="E13" s="79">
        <f>DIETOSINTESIS!$B$13</f>
        <v>4</v>
      </c>
      <c r="F13" s="79">
        <f>DIETOSINTESIS!$B$13</f>
        <v>4</v>
      </c>
      <c r="G13" s="79">
        <f>DIETOSINTESIS!$B$13</f>
        <v>4</v>
      </c>
      <c r="H13" s="79">
        <f>DIETOSINTESIS!$B$13</f>
        <v>4</v>
      </c>
      <c r="I13" s="71">
        <f t="shared" si="0"/>
        <v>28</v>
      </c>
      <c r="J13" s="71">
        <f t="shared" si="1"/>
        <v>4</v>
      </c>
      <c r="K13" s="71">
        <f>DIETOSINTESIS!$B$13</f>
        <v>4</v>
      </c>
      <c r="L13" s="83" t="str">
        <f t="shared" si="2"/>
        <v>Sin variación</v>
      </c>
    </row>
    <row r="14" spans="1:12" ht="24.75" customHeight="1">
      <c r="A14" s="31" t="str">
        <f>INDEX(rng_eq,8,1)</f>
        <v>Legumbres secas</v>
      </c>
      <c r="B14" s="79">
        <f>DIETOSINTESIS!$B$14</f>
        <v>1</v>
      </c>
      <c r="C14" s="79">
        <f>DIETOSINTESIS!$B$14</f>
        <v>1</v>
      </c>
      <c r="D14" s="79">
        <f>DIETOSINTESIS!$B$14</f>
        <v>1</v>
      </c>
      <c r="E14" s="79">
        <f>DIETOSINTESIS!$B$14</f>
        <v>1</v>
      </c>
      <c r="F14" s="79">
        <f>DIETOSINTESIS!$B$14</f>
        <v>1</v>
      </c>
      <c r="G14" s="79">
        <f>DIETOSINTESIS!$B$14</f>
        <v>1</v>
      </c>
      <c r="H14" s="79">
        <f>DIETOSINTESIS!$B$14</f>
        <v>1</v>
      </c>
      <c r="I14" s="71">
        <f t="shared" si="0"/>
        <v>7</v>
      </c>
      <c r="J14" s="71">
        <f t="shared" si="1"/>
        <v>1</v>
      </c>
      <c r="K14" s="71">
        <f>DIETOSINTESIS!$B$14</f>
        <v>1</v>
      </c>
      <c r="L14" s="83" t="str">
        <f t="shared" si="2"/>
        <v>Sin variación</v>
      </c>
    </row>
    <row r="15" spans="1:12" ht="24.75" customHeight="1">
      <c r="A15" s="31" t="str">
        <f>INDEX(rng_eq,9,1)</f>
        <v>Carnes bajas en grasa</v>
      </c>
      <c r="B15" s="79">
        <f>DIETOSINTESIS!$B$15</f>
        <v>2</v>
      </c>
      <c r="C15" s="79">
        <f>DIETOSINTESIS!$B$15</f>
        <v>2</v>
      </c>
      <c r="D15" s="79">
        <f>DIETOSINTESIS!$B$15</f>
        <v>2</v>
      </c>
      <c r="E15" s="79">
        <f>DIETOSINTESIS!$B$15</f>
        <v>2</v>
      </c>
      <c r="F15" s="79">
        <f>DIETOSINTESIS!$B$15</f>
        <v>2</v>
      </c>
      <c r="G15" s="79">
        <f>DIETOSINTESIS!$B$15</f>
        <v>2</v>
      </c>
      <c r="H15" s="79">
        <f>DIETOSINTESIS!$B$15</f>
        <v>2</v>
      </c>
      <c r="I15" s="71">
        <f t="shared" si="0"/>
        <v>14</v>
      </c>
      <c r="J15" s="71">
        <f t="shared" si="1"/>
        <v>2</v>
      </c>
      <c r="K15" s="71">
        <f>DIETOSINTESIS!$B$15</f>
        <v>2</v>
      </c>
      <c r="L15" s="83" t="str">
        <f t="shared" si="2"/>
        <v>Sin variación</v>
      </c>
    </row>
    <row r="16" spans="1:12" ht="24.75" customHeight="1">
      <c r="A16" s="31" t="str">
        <f>INDEX(rng_eq,10,1)</f>
        <v>Carnes altas en grasa</v>
      </c>
      <c r="B16" s="79">
        <f>DIETOSINTESIS!$B$16</f>
        <v>0</v>
      </c>
      <c r="C16" s="79">
        <f>DIETOSINTESIS!$B$16</f>
        <v>0</v>
      </c>
      <c r="D16" s="79">
        <f>DIETOSINTESIS!$B$16</f>
        <v>0</v>
      </c>
      <c r="E16" s="79">
        <f>DIETOSINTESIS!$B$16</f>
        <v>0</v>
      </c>
      <c r="F16" s="79">
        <f>DIETOSINTESIS!$B$16</f>
        <v>0</v>
      </c>
      <c r="G16" s="79">
        <f>DIETOSINTESIS!$B$16</f>
        <v>0</v>
      </c>
      <c r="H16" s="79">
        <f>DIETOSINTESIS!$B$16</f>
        <v>0</v>
      </c>
      <c r="I16" s="71">
        <f t="shared" si="0"/>
        <v>0</v>
      </c>
      <c r="J16" s="71">
        <f t="shared" si="1"/>
        <v>0</v>
      </c>
      <c r="K16" s="71">
        <f>DIETOSINTESIS!$B$16</f>
        <v>0</v>
      </c>
      <c r="L16" s="83" t="str">
        <f t="shared" si="2"/>
        <v>Sin variación</v>
      </c>
    </row>
    <row r="17" spans="1:12" ht="24.75" customHeight="1">
      <c r="A17" s="31" t="str">
        <f>INDEX(rng_eq,11,1)</f>
        <v>Aceites, grasas y semillas</v>
      </c>
      <c r="B17" s="79">
        <f>DIETOSINTESIS!$B$17</f>
        <v>5</v>
      </c>
      <c r="C17" s="79">
        <f>DIETOSINTESIS!$B$17</f>
        <v>5</v>
      </c>
      <c r="D17" s="79">
        <f>DIETOSINTESIS!$B$17</f>
        <v>5</v>
      </c>
      <c r="E17" s="79">
        <f>DIETOSINTESIS!$B$17</f>
        <v>5</v>
      </c>
      <c r="F17" s="79">
        <f>DIETOSINTESIS!$B$17</f>
        <v>5</v>
      </c>
      <c r="G17" s="79">
        <f>DIETOSINTESIS!$B$17</f>
        <v>5</v>
      </c>
      <c r="H17" s="79">
        <f>DIETOSINTESIS!$B$17</f>
        <v>5</v>
      </c>
      <c r="I17" s="71">
        <f t="shared" si="0"/>
        <v>35</v>
      </c>
      <c r="J17" s="71">
        <f t="shared" si="1"/>
        <v>5</v>
      </c>
      <c r="K17" s="71">
        <f>DIETOSINTESIS!$B$17</f>
        <v>5</v>
      </c>
      <c r="L17" s="83" t="str">
        <f t="shared" si="2"/>
        <v>Sin variación</v>
      </c>
    </row>
    <row r="18" spans="1:12" ht="24.75" customHeight="1">
      <c r="A18" s="31" t="str">
        <f>INDEX(rng_eq,12,1)</f>
        <v>Alimentos ricos en lípidos</v>
      </c>
      <c r="B18" s="79">
        <f>DIETOSINTESIS!$B$18</f>
        <v>2</v>
      </c>
      <c r="C18" s="79">
        <f>DIETOSINTESIS!$B$18</f>
        <v>2</v>
      </c>
      <c r="D18" s="79">
        <f>DIETOSINTESIS!$B$18</f>
        <v>2</v>
      </c>
      <c r="E18" s="79">
        <f>DIETOSINTESIS!$B$18</f>
        <v>2</v>
      </c>
      <c r="F18" s="79">
        <f>DIETOSINTESIS!$B$18</f>
        <v>2</v>
      </c>
      <c r="G18" s="79">
        <f>DIETOSINTESIS!$B$18</f>
        <v>2</v>
      </c>
      <c r="H18" s="79">
        <f>DIETOSINTESIS!$B$18</f>
        <v>2</v>
      </c>
      <c r="I18" s="71">
        <f t="shared" si="0"/>
        <v>14</v>
      </c>
      <c r="J18" s="71">
        <f t="shared" si="1"/>
        <v>2</v>
      </c>
      <c r="K18" s="71">
        <f>DIETOSINTESIS!$B$18</f>
        <v>2</v>
      </c>
      <c r="L18" s="83" t="str">
        <f t="shared" si="2"/>
        <v>Sin variación</v>
      </c>
    </row>
    <row r="19" spans="1:12" ht="24.75" customHeight="1">
      <c r="A19" s="31" t="str">
        <f>INDEX(rng_eq,13,1)</f>
        <v>Azúcares</v>
      </c>
      <c r="B19" s="79">
        <f>DIETOSINTESIS!$B$19</f>
        <v>1</v>
      </c>
      <c r="C19" s="79">
        <f>DIETOSINTESIS!$B$19</f>
        <v>1</v>
      </c>
      <c r="D19" s="79">
        <f>DIETOSINTESIS!$B$19</f>
        <v>1</v>
      </c>
      <c r="E19" s="79">
        <f>DIETOSINTESIS!$B$19</f>
        <v>1</v>
      </c>
      <c r="F19" s="79">
        <f>DIETOSINTESIS!$B$19</f>
        <v>1</v>
      </c>
      <c r="G19" s="79">
        <f>DIETOSINTESIS!$B$19</f>
        <v>1</v>
      </c>
      <c r="H19" s="79">
        <f>DIETOSINTESIS!$B$19</f>
        <v>1</v>
      </c>
      <c r="I19" s="71">
        <f t="shared" si="0"/>
        <v>7</v>
      </c>
      <c r="J19" s="71">
        <f t="shared" si="1"/>
        <v>1</v>
      </c>
      <c r="K19" s="71">
        <f>DIETOSINTESIS!$B$19</f>
        <v>1</v>
      </c>
      <c r="L19" s="83" t="str">
        <f t="shared" si="2"/>
        <v>Sin variación</v>
      </c>
    </row>
    <row r="20" spans="1:12" ht="24.75" customHeight="1">
      <c r="A20" s="34" t="s">
        <v>127</v>
      </c>
      <c r="B20" s="75">
        <f t="shared" ref="B20:J20" si="3">SUM(B7:B19)</f>
        <v>28</v>
      </c>
      <c r="C20" s="75">
        <f t="shared" si="3"/>
        <v>28</v>
      </c>
      <c r="D20" s="75">
        <f t="shared" si="3"/>
        <v>28</v>
      </c>
      <c r="E20" s="75">
        <f t="shared" si="3"/>
        <v>28</v>
      </c>
      <c r="F20" s="75">
        <f t="shared" si="3"/>
        <v>28</v>
      </c>
      <c r="G20" s="75">
        <f t="shared" si="3"/>
        <v>28</v>
      </c>
      <c r="H20" s="75">
        <f t="shared" si="3"/>
        <v>28</v>
      </c>
      <c r="I20" s="75">
        <f t="shared" si="3"/>
        <v>196</v>
      </c>
      <c r="J20" s="75">
        <f t="shared" si="3"/>
        <v>28</v>
      </c>
      <c r="K20" s="78"/>
      <c r="L20" s="78"/>
    </row>
    <row r="21" spans="1:12" ht="34.5" customHeight="1">
      <c r="A21" s="84" t="s">
        <v>139</v>
      </c>
      <c r="B21" s="85">
        <f>SUMIFS(MENU_SEMANAL!$M$9:$M$218,MENU_SEMANAL!$A$9:$A$218,B$6)</f>
        <v>2108.1999999999998</v>
      </c>
      <c r="C21" s="85">
        <f>SUMIFS(MENU_SEMANAL!$M$9:$M$218,MENU_SEMANAL!$A$9:$A$218,C$6)</f>
        <v>1647.4</v>
      </c>
      <c r="D21" s="85">
        <f>SUMIFS(MENU_SEMANAL!$M$9:$M$218,MENU_SEMANAL!$A$9:$A$218,D$6)</f>
        <v>1924.1</v>
      </c>
      <c r="E21" s="85">
        <f>SUMIFS(MENU_SEMANAL!$M$9:$M$218,MENU_SEMANAL!$A$9:$A$218,E$6)</f>
        <v>2264</v>
      </c>
      <c r="F21" s="85">
        <f>SUMIFS(MENU_SEMANAL!$M$9:$M$218,MENU_SEMANAL!$A$9:$A$218,F$6)</f>
        <v>2018.6999999999998</v>
      </c>
      <c r="G21" s="85">
        <f>SUMIFS(MENU_SEMANAL!$M$9:$M$218,MENU_SEMANAL!$A$9:$A$218,G$6)</f>
        <v>1387.4</v>
      </c>
      <c r="H21" s="85">
        <f>SUMIFS(MENU_SEMANAL!$M$9:$M$218,MENU_SEMANAL!$A$9:$A$218,H$6)</f>
        <v>1994.3</v>
      </c>
      <c r="I21" s="85">
        <f>SUM(B21:H21)</f>
        <v>13344.099999999999</v>
      </c>
      <c r="J21" s="85">
        <f>AVERAGE(B21:H21)</f>
        <v>1906.2999999999997</v>
      </c>
      <c r="K21" s="78"/>
      <c r="L21" s="78"/>
    </row>
    <row r="22" spans="1:12" ht="24.75" customHeight="1">
      <c r="A22" s="34" t="s">
        <v>140</v>
      </c>
      <c r="B22" s="77">
        <f>IF(OR(NOT(ISNUMBER(DATOS!B$34)),DATOS!B$34=0),"ND",B21/DATOS!B$34)</f>
        <v>1.0540999999999998</v>
      </c>
      <c r="C22" s="77">
        <f>IF(OR(NOT(ISNUMBER(DATOS!C$34)),DATOS!C$34=0),"ND",C21/DATOS!C$34)</f>
        <v>0.8237000000000001</v>
      </c>
      <c r="D22" s="77">
        <f>IF(OR(NOT(ISNUMBER(DATOS!D$34)),DATOS!D$34=0),"ND",D21/DATOS!D$34)</f>
        <v>0.96204999999999996</v>
      </c>
      <c r="E22" s="77">
        <f>IF(OR(NOT(ISNUMBER(DATOS!E$34)),DATOS!E$34=0),"ND",E21/DATOS!E$34)</f>
        <v>1.1319999999999999</v>
      </c>
      <c r="F22" s="77">
        <f>IF(OR(NOT(ISNUMBER(DATOS!F$34)),DATOS!F$34=0),"ND",F21/DATOS!F$34)</f>
        <v>1.00935</v>
      </c>
      <c r="G22" s="77">
        <f>IF(OR(NOT(ISNUMBER(DATOS!G$34)),DATOS!G$34=0),"ND",G21/DATOS!G$34)</f>
        <v>0.69370000000000009</v>
      </c>
      <c r="H22" s="77">
        <f>IF(OR(NOT(ISNUMBER(DATOS!H$34)),DATOS!H$34=0),"ND",H21/DATOS!H$34)</f>
        <v>0.99714999999999998</v>
      </c>
      <c r="I22" s="77"/>
      <c r="J22" s="77">
        <f>IF(OR(NOT(ISNUMBER(J21)),AVERAGE(DATOS!$B$34:$H$34)=0),"ND",J21/AVERAGE(DATOS!$B$34:$H$34))</f>
        <v>0.95314999999999983</v>
      </c>
      <c r="K22" s="78"/>
      <c r="L22" s="78"/>
    </row>
    <row r="23" spans="1:12" ht="24.75" customHeight="1">
      <c r="A23" s="86" t="s">
        <v>141</v>
      </c>
      <c r="B23" s="87" t="str">
        <f t="shared" ref="B23:H23" si="4">IF(NOT(ISNUMBER(B22)),"ND",IF(B22&lt;u_inf,"Bajo",IF(B22&lt;=u_sup,"Ajustado","Sobre")))</f>
        <v>Sobre</v>
      </c>
      <c r="C23" s="87" t="str">
        <f t="shared" si="4"/>
        <v>Bajo</v>
      </c>
      <c r="D23" s="87" t="str">
        <f t="shared" si="4"/>
        <v>Ajustado</v>
      </c>
      <c r="E23" s="87" t="str">
        <f t="shared" si="4"/>
        <v>Sobre</v>
      </c>
      <c r="F23" s="87" t="str">
        <f t="shared" si="4"/>
        <v>Ajustado</v>
      </c>
      <c r="G23" s="87" t="str">
        <f t="shared" si="4"/>
        <v>Bajo</v>
      </c>
      <c r="H23" s="87" t="str">
        <f t="shared" si="4"/>
        <v>Ajustado</v>
      </c>
      <c r="I23" s="88"/>
      <c r="J23" s="88"/>
      <c r="K23" s="88"/>
      <c r="L23" s="88"/>
    </row>
    <row r="24" spans="1:12" ht="15" customHeight="1">
      <c r="A24" s="89" t="s">
        <v>142</v>
      </c>
      <c r="B24" s="89"/>
      <c r="C24" s="89"/>
      <c r="D24" s="89"/>
      <c r="E24" s="89"/>
      <c r="F24" s="89"/>
      <c r="G24" s="89"/>
      <c r="H24" s="89"/>
      <c r="I24" s="89"/>
      <c r="J24" s="89"/>
      <c r="K24" s="89"/>
      <c r="L24" s="89"/>
    </row>
    <row r="25" spans="1:12" ht="17.25" customHeight="1">
      <c r="A25" s="89"/>
      <c r="B25" s="89"/>
      <c r="C25" s="89"/>
      <c r="D25" s="89"/>
      <c r="E25" s="89"/>
      <c r="F25" s="89"/>
      <c r="G25" s="89"/>
      <c r="H25" s="89"/>
      <c r="I25" s="89"/>
      <c r="J25" s="89"/>
      <c r="K25" s="89"/>
      <c r="L25" s="89"/>
    </row>
    <row r="26" spans="1:12" ht="15" customHeight="1">
      <c r="A26" s="89"/>
      <c r="B26" s="89"/>
      <c r="C26" s="89"/>
      <c r="D26" s="89"/>
      <c r="E26" s="89"/>
      <c r="F26" s="89"/>
      <c r="G26" s="89"/>
      <c r="H26" s="89"/>
      <c r="I26" s="89"/>
      <c r="J26" s="89"/>
      <c r="K26" s="89"/>
      <c r="L26" s="89"/>
    </row>
    <row r="27" spans="1:12" ht="15" customHeight="1">
      <c r="A27" s="38" t="s">
        <v>143</v>
      </c>
      <c r="B27" s="38"/>
      <c r="C27" s="38"/>
      <c r="D27" s="38"/>
      <c r="E27" s="38"/>
      <c r="F27" s="38"/>
      <c r="G27" s="38"/>
      <c r="H27" s="38"/>
      <c r="I27" s="38"/>
      <c r="J27" s="38"/>
      <c r="K27" s="38"/>
      <c r="L27" s="38"/>
    </row>
    <row r="28" spans="1:12" ht="27" customHeight="1">
      <c r="A28" s="90" t="s">
        <v>144</v>
      </c>
      <c r="B28" s="90" t="s">
        <v>89</v>
      </c>
      <c r="C28" s="90" t="s">
        <v>90</v>
      </c>
      <c r="D28" s="90" t="s">
        <v>91</v>
      </c>
      <c r="E28" s="90" t="s">
        <v>92</v>
      </c>
      <c r="F28" s="90" t="s">
        <v>93</v>
      </c>
      <c r="G28" s="90" t="s">
        <v>94</v>
      </c>
      <c r="H28" s="90" t="s">
        <v>95</v>
      </c>
      <c r="I28" s="91" t="s">
        <v>135</v>
      </c>
      <c r="J28" s="91"/>
      <c r="K28" s="90" t="s">
        <v>145</v>
      </c>
      <c r="L28" s="13"/>
    </row>
    <row r="29" spans="1:12" ht="19.5" customHeight="1">
      <c r="A29" s="31" t="s">
        <v>146</v>
      </c>
      <c r="B29" s="92">
        <f t="shared" ref="B29:H29" si="5">B21</f>
        <v>2108.1999999999998</v>
      </c>
      <c r="C29" s="92">
        <f t="shared" si="5"/>
        <v>1647.4</v>
      </c>
      <c r="D29" s="92">
        <f t="shared" si="5"/>
        <v>1924.1</v>
      </c>
      <c r="E29" s="92">
        <f t="shared" si="5"/>
        <v>2264</v>
      </c>
      <c r="F29" s="92">
        <f t="shared" si="5"/>
        <v>2018.6999999999998</v>
      </c>
      <c r="G29" s="92">
        <f t="shared" si="5"/>
        <v>1387.4</v>
      </c>
      <c r="H29" s="92">
        <f t="shared" si="5"/>
        <v>1994.3</v>
      </c>
      <c r="I29" s="93">
        <f t="shared" ref="I29:I35" si="6">SUM(B29:H29)</f>
        <v>13344.099999999999</v>
      </c>
      <c r="J29" s="93"/>
      <c r="K29" s="92">
        <f>AVERAGE(B29:H29)</f>
        <v>1906.2999999999997</v>
      </c>
      <c r="L29" s="13"/>
    </row>
    <row r="30" spans="1:12" ht="19.5" customHeight="1">
      <c r="A30" s="31" t="s">
        <v>105</v>
      </c>
      <c r="B30" s="92">
        <f>SUMIFS(MENU_SEMANAL!$N$9:$N$218,MENU_SEMANAL!$A$9:$A$218,SEMANA!B$6)</f>
        <v>166.1</v>
      </c>
      <c r="C30" s="92">
        <f>SUMIFS(MENU_SEMANAL!$N$9:$N$218,MENU_SEMANAL!$A$9:$A$218,SEMANA!C$6)</f>
        <v>200.57</v>
      </c>
      <c r="D30" s="92">
        <f>SUMIFS(MENU_SEMANAL!$N$9:$N$218,MENU_SEMANAL!$A$9:$A$218,SEMANA!D$6)</f>
        <v>93.000000000000014</v>
      </c>
      <c r="E30" s="92">
        <f>SUMIFS(MENU_SEMANAL!$N$9:$N$218,MENU_SEMANAL!$A$9:$A$218,SEMANA!E$6)</f>
        <v>104.52000000000001</v>
      </c>
      <c r="F30" s="92">
        <f>SUMIFS(MENU_SEMANAL!$N$9:$N$218,MENU_SEMANAL!$A$9:$A$218,SEMANA!F$6)</f>
        <v>105.04</v>
      </c>
      <c r="G30" s="92">
        <f>SUMIFS(MENU_SEMANAL!$N$9:$N$218,MENU_SEMANAL!$A$9:$A$218,SEMANA!G$6)</f>
        <v>70.3</v>
      </c>
      <c r="H30" s="92">
        <f>SUMIFS(MENU_SEMANAL!$N$9:$N$218,MENU_SEMANAL!$A$9:$A$218,SEMANA!H$6)</f>
        <v>63.28</v>
      </c>
      <c r="I30" s="93">
        <f t="shared" si="6"/>
        <v>802.80999999999983</v>
      </c>
      <c r="J30" s="93"/>
      <c r="K30" s="92">
        <f>AVERAGE(B30:H30)</f>
        <v>114.68714285714283</v>
      </c>
      <c r="L30" s="13"/>
    </row>
    <row r="31" spans="1:12" ht="19.5" customHeight="1">
      <c r="A31" s="31" t="s">
        <v>147</v>
      </c>
      <c r="B31" s="92">
        <f>SUMIFS(MENU_SEMANAL!$O$9:$O$218,MENU_SEMANAL!$A$9:$A$218,SEMANA!B$6)</f>
        <v>68.94</v>
      </c>
      <c r="C31" s="92">
        <f>SUMIFS(MENU_SEMANAL!$O$9:$O$218,MENU_SEMANAL!$A$9:$A$218,SEMANA!C$6)</f>
        <v>35.950000000000003</v>
      </c>
      <c r="D31" s="92">
        <f>SUMIFS(MENU_SEMANAL!$O$9:$O$218,MENU_SEMANAL!$A$9:$A$218,SEMANA!D$6)</f>
        <v>101.08</v>
      </c>
      <c r="E31" s="92">
        <f>SUMIFS(MENU_SEMANAL!$O$9:$O$218,MENU_SEMANAL!$A$9:$A$218,SEMANA!E$6)</f>
        <v>268.39999999999998</v>
      </c>
      <c r="F31" s="92">
        <f>SUMIFS(MENU_SEMANAL!$O$9:$O$218,MENU_SEMANAL!$A$9:$A$218,SEMANA!F$6)</f>
        <v>107.71000000000001</v>
      </c>
      <c r="G31" s="92">
        <f>SUMIFS(MENU_SEMANAL!$O$9:$O$218,MENU_SEMANAL!$A$9:$A$218,SEMANA!G$6)</f>
        <v>130.36000000000001</v>
      </c>
      <c r="H31" s="92">
        <f>SUMIFS(MENU_SEMANAL!$O$9:$O$218,MENU_SEMANAL!$A$9:$A$218,SEMANA!H$6)</f>
        <v>393.36</v>
      </c>
      <c r="I31" s="93">
        <f t="shared" si="6"/>
        <v>1105.8000000000002</v>
      </c>
      <c r="J31" s="93"/>
      <c r="K31" s="92">
        <f>AVERAGE(B31:H31)</f>
        <v>157.97142857142859</v>
      </c>
      <c r="L31" s="13"/>
    </row>
    <row r="32" spans="1:12" ht="19.5" customHeight="1">
      <c r="A32" s="31" t="s">
        <v>106</v>
      </c>
      <c r="B32" s="92">
        <f>SUMIFS(MENU_SEMANAL!$P$9:$P$218,MENU_SEMANAL!$A$9:$A$218,SEMANA!B$6)</f>
        <v>114.72</v>
      </c>
      <c r="C32" s="92">
        <f>SUMIFS(MENU_SEMANAL!$P$9:$P$218,MENU_SEMANAL!$A$9:$A$218,SEMANA!C$6)</f>
        <v>73.53</v>
      </c>
      <c r="D32" s="92">
        <f>SUMIFS(MENU_SEMANAL!$P$9:$P$218,MENU_SEMANAL!$A$9:$A$218,SEMANA!D$6)</f>
        <v>118.49000000000001</v>
      </c>
      <c r="E32" s="92">
        <f>SUMIFS(MENU_SEMANAL!$P$9:$P$218,MENU_SEMANAL!$A$9:$A$218,SEMANA!E$6)</f>
        <v>65.95</v>
      </c>
      <c r="F32" s="92">
        <f>SUMIFS(MENU_SEMANAL!$P$9:$P$218,MENU_SEMANAL!$A$9:$A$218,SEMANA!F$6)</f>
        <v>121.19999999999999</v>
      </c>
      <c r="G32" s="92">
        <f>SUMIFS(MENU_SEMANAL!$P$9:$P$218,MENU_SEMANAL!$A$9:$A$218,SEMANA!G$6)</f>
        <v>55.08</v>
      </c>
      <c r="H32" s="92">
        <f>SUMIFS(MENU_SEMANAL!$P$9:$P$218,MENU_SEMANAL!$A$9:$A$218,SEMANA!H$6)</f>
        <v>11.989999999999998</v>
      </c>
      <c r="I32" s="93">
        <f t="shared" si="6"/>
        <v>560.96</v>
      </c>
      <c r="J32" s="93"/>
      <c r="K32" s="92">
        <f>AVERAGE(B32:H32)</f>
        <v>80.137142857142862</v>
      </c>
      <c r="L32" s="13"/>
    </row>
    <row r="33" spans="1:12" ht="19.5" customHeight="1">
      <c r="A33" s="31" t="s">
        <v>148</v>
      </c>
      <c r="B33" s="92">
        <f>SUMIFS(MENU_SEMANAL!$Q$9:$Q$218,MENU_SEMANAL!$A$9:$A$218,SEMANA!B$6)</f>
        <v>118.38</v>
      </c>
      <c r="C33" s="92">
        <f>SUMIFS(MENU_SEMANAL!$Q$9:$Q$218,MENU_SEMANAL!$A$9:$A$218,SEMANA!C$6)</f>
        <v>2.4500000000000002</v>
      </c>
      <c r="D33" s="92">
        <f>SUMIFS(MENU_SEMANAL!$Q$9:$Q$218,MENU_SEMANAL!$A$9:$A$218,SEMANA!D$6)</f>
        <v>17.809999999999999</v>
      </c>
      <c r="E33" s="92">
        <f>SUMIFS(MENU_SEMANAL!$Q$9:$Q$218,MENU_SEMANAL!$A$9:$A$218,SEMANA!E$6)</f>
        <v>119.52</v>
      </c>
      <c r="F33" s="92">
        <f>SUMIFS(MENU_SEMANAL!$Q$9:$Q$218,MENU_SEMANAL!$A$9:$A$218,SEMANA!F$6)</f>
        <v>44.45</v>
      </c>
      <c r="G33" s="92">
        <f>SUMIFS(MENU_SEMANAL!$Q$9:$Q$218,MENU_SEMANAL!$A$9:$A$218,SEMANA!G$6)</f>
        <v>32.43</v>
      </c>
      <c r="H33" s="92">
        <f>SUMIFS(MENU_SEMANAL!$Q$9:$Q$218,MENU_SEMANAL!$A$9:$A$218,SEMANA!H$6)</f>
        <v>34.56</v>
      </c>
      <c r="I33" s="93">
        <f t="shared" si="6"/>
        <v>369.59999999999997</v>
      </c>
      <c r="J33" s="93"/>
      <c r="K33" s="92">
        <f>AVERAGE(B33:H33)</f>
        <v>52.8</v>
      </c>
      <c r="L33" s="13"/>
    </row>
    <row r="34" spans="1:12" ht="19.5" customHeight="1">
      <c r="A34" s="31" t="s">
        <v>149</v>
      </c>
      <c r="B34" s="94">
        <f>COUNTIFS(MENU_SEMANAL!$A$9:$A$218,B$6,MENU_SEMANAL!$D$9:$D$218,"&lt;&gt;")</f>
        <v>5</v>
      </c>
      <c r="C34" s="94">
        <f>COUNTIFS(MENU_SEMANAL!$A$9:$A$218,C$6,MENU_SEMANAL!$D$9:$D$218,"&lt;&gt;")</f>
        <v>5</v>
      </c>
      <c r="D34" s="94">
        <f>COUNTIFS(MENU_SEMANAL!$A$9:$A$218,D$6,MENU_SEMANAL!$D$9:$D$218,"&lt;&gt;")</f>
        <v>5</v>
      </c>
      <c r="E34" s="94">
        <f>COUNTIFS(MENU_SEMANAL!$A$9:$A$218,E$6,MENU_SEMANAL!$D$9:$D$218,"&lt;&gt;")</f>
        <v>5</v>
      </c>
      <c r="F34" s="94">
        <f>COUNTIFS(MENU_SEMANAL!$A$9:$A$218,F$6,MENU_SEMANAL!$D$9:$D$218,"&lt;&gt;")</f>
        <v>5</v>
      </c>
      <c r="G34" s="94">
        <f>COUNTIFS(MENU_SEMANAL!$A$9:$A$218,G$6,MENU_SEMANAL!$D$9:$D$218,"&lt;&gt;")</f>
        <v>5</v>
      </c>
      <c r="H34" s="94">
        <f>COUNTIFS(MENU_SEMANAL!$A$9:$A$218,H$6,MENU_SEMANAL!$D$9:$D$218,"&lt;&gt;")</f>
        <v>5</v>
      </c>
      <c r="I34" s="93">
        <f t="shared" si="6"/>
        <v>35</v>
      </c>
      <c r="J34" s="93"/>
      <c r="K34" s="95"/>
      <c r="L34" s="13"/>
    </row>
    <row r="35" spans="1:12" ht="19.5" customHeight="1">
      <c r="A35" s="31" t="s">
        <v>150</v>
      </c>
      <c r="B35" s="94">
        <f>COUNTIFS(MENU_SEMANAL!$A$9:$A$218,B$6,MENU_SEMANAL!$R$9:$R$218,"*incompleto*")</f>
        <v>0</v>
      </c>
      <c r="C35" s="94">
        <f>COUNTIFS(MENU_SEMANAL!$A$9:$A$218,C$6,MENU_SEMANAL!$R$9:$R$218,"*incompleto*")</f>
        <v>0</v>
      </c>
      <c r="D35" s="94">
        <f>COUNTIFS(MENU_SEMANAL!$A$9:$A$218,D$6,MENU_SEMANAL!$R$9:$R$218,"*incompleto*")</f>
        <v>0</v>
      </c>
      <c r="E35" s="94">
        <f>COUNTIFS(MENU_SEMANAL!$A$9:$A$218,E$6,MENU_SEMANAL!$R$9:$R$218,"*incompleto*")</f>
        <v>0</v>
      </c>
      <c r="F35" s="94">
        <f>COUNTIFS(MENU_SEMANAL!$A$9:$A$218,F$6,MENU_SEMANAL!$R$9:$R$218,"*incompleto*")</f>
        <v>0</v>
      </c>
      <c r="G35" s="94">
        <f>COUNTIFS(MENU_SEMANAL!$A$9:$A$218,G$6,MENU_SEMANAL!$R$9:$R$218,"*incompleto*")</f>
        <v>0</v>
      </c>
      <c r="H35" s="94">
        <f>COUNTIFS(MENU_SEMANAL!$A$9:$A$218,H$6,MENU_SEMANAL!$R$9:$R$218,"*incompleto*")</f>
        <v>0</v>
      </c>
      <c r="I35" s="93">
        <f t="shared" si="6"/>
        <v>0</v>
      </c>
      <c r="J35" s="93"/>
      <c r="K35" s="95"/>
      <c r="L35" s="13"/>
    </row>
    <row r="36" spans="1:12" ht="19.5" customHeight="1">
      <c r="A36" s="31" t="s">
        <v>151</v>
      </c>
      <c r="B36" s="96">
        <f t="shared" ref="B36:H37" si="7">B22</f>
        <v>1.0540999999999998</v>
      </c>
      <c r="C36" s="96">
        <f t="shared" si="7"/>
        <v>0.8237000000000001</v>
      </c>
      <c r="D36" s="96">
        <f t="shared" si="7"/>
        <v>0.96204999999999996</v>
      </c>
      <c r="E36" s="96">
        <f t="shared" si="7"/>
        <v>1.1319999999999999</v>
      </c>
      <c r="F36" s="96">
        <f t="shared" si="7"/>
        <v>1.00935</v>
      </c>
      <c r="G36" s="96">
        <f t="shared" si="7"/>
        <v>0.69370000000000009</v>
      </c>
      <c r="H36" s="96">
        <f t="shared" si="7"/>
        <v>0.99714999999999998</v>
      </c>
      <c r="I36" s="95"/>
      <c r="J36" s="95"/>
      <c r="K36" s="97">
        <f>IF(OR(NOT(ISNUMBER(J21)),AVERAGE(DATOS!$B$34:$H$34)=0),"ND",J21/AVERAGE(DATOS!$B$34:$H$34))</f>
        <v>0.95314999999999983</v>
      </c>
      <c r="L36" s="13"/>
    </row>
    <row r="37" spans="1:12" ht="19.5" customHeight="1">
      <c r="A37" s="31" t="s">
        <v>152</v>
      </c>
      <c r="B37" s="98" t="str">
        <f t="shared" si="7"/>
        <v>Sobre</v>
      </c>
      <c r="C37" s="98" t="str">
        <f t="shared" si="7"/>
        <v>Bajo</v>
      </c>
      <c r="D37" s="98" t="str">
        <f t="shared" si="7"/>
        <v>Ajustado</v>
      </c>
      <c r="E37" s="98" t="str">
        <f t="shared" si="7"/>
        <v>Sobre</v>
      </c>
      <c r="F37" s="98" t="str">
        <f t="shared" si="7"/>
        <v>Ajustado</v>
      </c>
      <c r="G37" s="98" t="str">
        <f t="shared" si="7"/>
        <v>Bajo</v>
      </c>
      <c r="H37" s="98" t="str">
        <f t="shared" si="7"/>
        <v>Ajustado</v>
      </c>
      <c r="I37" s="95"/>
      <c r="J37" s="95"/>
      <c r="K37" s="95"/>
      <c r="L37" s="13"/>
    </row>
  </sheetData>
  <sheetProtection algorithmName="SHA-512" hashValue="Ow8oR7pvPoEUGhklyu71mW2iZhFclLuo9WIJ0CbZgutD44Ud/Ubqwv3Yf5wruK9kXGaEIhD6c/Avfor0VYIgbA==" saltValue="grsx4jG5xswO8Anz/c5gHw==" spinCount="100000" sheet="1" objects="1" scenarios="1" autoFilter="0"/>
  <mergeCells count="14">
    <mergeCell ref="I32:J32"/>
    <mergeCell ref="I33:J33"/>
    <mergeCell ref="I34:J34"/>
    <mergeCell ref="I35:J35"/>
    <mergeCell ref="A27:L27"/>
    <mergeCell ref="I28:J28"/>
    <mergeCell ref="I29:J29"/>
    <mergeCell ref="I30:J30"/>
    <mergeCell ref="I31:J31"/>
    <mergeCell ref="A1:L1"/>
    <mergeCell ref="A2:L2"/>
    <mergeCell ref="K3:L3"/>
    <mergeCell ref="A4:L5"/>
    <mergeCell ref="A24:L26"/>
  </mergeCells>
  <hyperlinks>
    <hyperlink ref="A3" location="'INICIO'!A1" display="INICIO" xr:uid="{00000000-0004-0000-0400-000000000000}"/>
    <hyperlink ref="B3" location="'DATOS'!A1" display="DATOS" xr:uid="{00000000-0004-0000-0400-000001000000}"/>
    <hyperlink ref="C3" location="'DIETOSINTESIS'!A1" display="DIETOSINTESIS" xr:uid="{00000000-0004-0000-0400-000002000000}"/>
    <hyperlink ref="D3" location="'DISTRIBUCION'!A1" display="DISTRIBUCION" xr:uid="{00000000-0004-0000-0400-000003000000}"/>
    <hyperlink ref="E3" location="'MENU_SEMANAL'!A1" display="MENU_SEMANAL" xr:uid="{00000000-0004-0000-0400-000004000000}"/>
    <hyperlink ref="F3" location="'SEMANA'!A1" display="SEMANA" xr:uid="{00000000-0004-0000-0400-000005000000}"/>
    <hyperlink ref="G3" location="'RESULTADOS'!A1" display="RESULTADOS" xr:uid="{00000000-0004-0000-0400-000006000000}"/>
    <hyperlink ref="H3" location="'FUENTES'!A1" display="FUENTES" xr:uid="{00000000-0004-0000-0400-000007000000}"/>
    <hyperlink ref="I3" location="'PRUEBAS'!A1" display="PRUEBAS" xr:uid="{00000000-0004-0000-0400-000008000000}"/>
    <hyperlink ref="J3" location="'CONFIG'!A1" display="CONFIG" xr:uid="{00000000-0004-0000-0400-000009000000}"/>
    <hyperlink ref="K3" location="'CHANGELOG'!A1" display="CHANGELOG" xr:uid="{00000000-0004-0000-0400-00000A000000}"/>
  </hyperlinks>
  <pageMargins left="0.75" right="0.75" top="1" bottom="1" header="0.511811023622047" footer="0.511811023622047"/>
  <pageSetup fitToHeight="0"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A1:L62"/>
  <sheetViews>
    <sheetView showGridLines="0" topLeftCell="A49" zoomScaleNormal="100" workbookViewId="0">
      <selection activeCell="D45" sqref="D45:E45"/>
    </sheetView>
  </sheetViews>
  <sheetFormatPr baseColWidth="10" defaultColWidth="8.7109375" defaultRowHeight="15"/>
  <cols>
    <col min="1" max="1" width="46" customWidth="1"/>
    <col min="2" max="5" width="16" customWidth="1"/>
    <col min="6" max="10" width="13.85546875" customWidth="1"/>
  </cols>
  <sheetData>
    <row r="1" spans="1:12" ht="25.5" customHeight="1">
      <c r="A1" s="99" t="s">
        <v>153</v>
      </c>
      <c r="B1" s="99"/>
      <c r="C1" s="99"/>
      <c r="D1" s="99"/>
      <c r="E1" s="99"/>
      <c r="F1" s="99"/>
      <c r="G1" s="99"/>
      <c r="H1" s="99"/>
      <c r="I1" s="99"/>
      <c r="J1" s="99"/>
      <c r="K1" s="99"/>
      <c r="L1" s="99"/>
    </row>
    <row r="2" spans="1:12" ht="15" customHeight="1">
      <c r="A2" s="99"/>
      <c r="B2" s="99"/>
      <c r="C2" s="99"/>
      <c r="D2" s="99"/>
      <c r="E2" s="99"/>
      <c r="F2" s="99"/>
      <c r="G2" s="99"/>
      <c r="H2" s="99"/>
      <c r="I2" s="99"/>
      <c r="J2" s="99"/>
      <c r="K2" s="99"/>
      <c r="L2" s="99"/>
    </row>
    <row r="3" spans="1:12" ht="15.75" customHeight="1">
      <c r="A3" s="24" t="s">
        <v>2</v>
      </c>
      <c r="B3" s="24" t="s">
        <v>3</v>
      </c>
      <c r="C3" s="24" t="s">
        <v>4</v>
      </c>
      <c r="D3" s="24" t="s">
        <v>5</v>
      </c>
      <c r="E3" s="24" t="s">
        <v>6</v>
      </c>
      <c r="F3" s="24" t="s">
        <v>7</v>
      </c>
      <c r="G3" s="8" t="s">
        <v>8</v>
      </c>
      <c r="H3" s="24" t="s">
        <v>9</v>
      </c>
      <c r="I3" s="24" t="s">
        <v>10</v>
      </c>
      <c r="J3" s="24" t="s">
        <v>11</v>
      </c>
      <c r="K3" s="25" t="s">
        <v>12</v>
      </c>
      <c r="L3" s="25"/>
    </row>
    <row r="4" spans="1:12">
      <c r="A4" s="13"/>
      <c r="B4" s="13"/>
      <c r="C4" s="13"/>
      <c r="D4" s="13"/>
      <c r="E4" s="13"/>
      <c r="F4" s="13"/>
      <c r="G4" s="13"/>
      <c r="H4" s="13"/>
      <c r="I4" s="13"/>
      <c r="J4" s="13"/>
      <c r="K4" s="13"/>
      <c r="L4" s="13"/>
    </row>
    <row r="5" spans="1:12" ht="26.25" customHeight="1">
      <c r="A5" s="10" t="s">
        <v>154</v>
      </c>
      <c r="B5" s="10"/>
      <c r="C5" s="10"/>
      <c r="D5" s="10"/>
      <c r="E5" s="10"/>
      <c r="F5" s="10"/>
      <c r="G5" s="10"/>
      <c r="H5" s="10"/>
      <c r="I5" s="10"/>
      <c r="J5" s="10"/>
      <c r="K5" s="10"/>
      <c r="L5" s="10"/>
    </row>
    <row r="6" spans="1:12" ht="21.75" customHeight="1">
      <c r="A6" s="70" t="s">
        <v>155</v>
      </c>
      <c r="B6" s="100">
        <f>v_meta</f>
        <v>2000</v>
      </c>
      <c r="C6" s="101" t="s">
        <v>73</v>
      </c>
      <c r="D6" s="13"/>
      <c r="E6" s="13"/>
      <c r="F6" s="13"/>
      <c r="G6" s="13"/>
      <c r="H6" s="13"/>
      <c r="I6" s="13"/>
      <c r="J6" s="13"/>
      <c r="K6" s="13"/>
      <c r="L6" s="13"/>
    </row>
    <row r="7" spans="1:12" ht="21.75" customHeight="1">
      <c r="A7" s="70" t="s">
        <v>156</v>
      </c>
      <c r="B7" s="100">
        <f>DIETOSINTESIS!F20</f>
        <v>2000</v>
      </c>
      <c r="C7" s="101" t="s">
        <v>73</v>
      </c>
      <c r="D7" s="13"/>
      <c r="E7" s="13"/>
      <c r="F7" s="13"/>
      <c r="G7" s="13"/>
      <c r="H7" s="13"/>
      <c r="I7" s="13"/>
      <c r="J7" s="13"/>
      <c r="K7" s="13"/>
      <c r="L7" s="13"/>
    </row>
    <row r="8" spans="1:12" ht="21.75" customHeight="1">
      <c r="A8" s="70" t="s">
        <v>157</v>
      </c>
      <c r="B8" s="102">
        <f>DIETOSINTESIS!E24</f>
        <v>1</v>
      </c>
      <c r="C8" s="101"/>
      <c r="D8" s="13"/>
      <c r="E8" s="13"/>
      <c r="F8" s="13"/>
      <c r="G8" s="13"/>
      <c r="H8" s="13"/>
      <c r="I8" s="13"/>
      <c r="J8" s="13"/>
      <c r="K8" s="13"/>
      <c r="L8" s="13"/>
    </row>
    <row r="9" spans="1:12" ht="21.75" customHeight="1">
      <c r="A9" s="70" t="s">
        <v>158</v>
      </c>
      <c r="B9" s="100">
        <f>SEMANA!J21</f>
        <v>1906.2999999999997</v>
      </c>
      <c r="C9" s="101" t="s">
        <v>73</v>
      </c>
      <c r="D9" s="13"/>
      <c r="E9" s="13"/>
      <c r="F9" s="13"/>
      <c r="G9" s="13"/>
      <c r="H9" s="13"/>
      <c r="I9" s="13"/>
      <c r="J9" s="13"/>
      <c r="K9" s="13"/>
      <c r="L9" s="13"/>
    </row>
    <row r="10" spans="1:12" ht="21.75" customHeight="1">
      <c r="A10" s="70" t="s">
        <v>159</v>
      </c>
      <c r="B10" s="100">
        <f>SEMANA!I21</f>
        <v>13344.099999999999</v>
      </c>
      <c r="C10" s="101" t="s">
        <v>77</v>
      </c>
      <c r="D10" s="13"/>
      <c r="E10" s="13"/>
      <c r="F10" s="13"/>
      <c r="G10" s="13"/>
      <c r="H10" s="13"/>
      <c r="I10" s="13"/>
      <c r="J10" s="13"/>
      <c r="K10" s="13"/>
      <c r="L10" s="13"/>
    </row>
    <row r="11" spans="1:12" ht="21.75" customHeight="1">
      <c r="A11" s="70" t="s">
        <v>160</v>
      </c>
      <c r="B11" s="100">
        <f>DIETOSINTESIS!B20</f>
        <v>28</v>
      </c>
      <c r="C11" s="101" t="s">
        <v>161</v>
      </c>
      <c r="D11" s="13"/>
      <c r="E11" s="13"/>
      <c r="F11" s="13"/>
      <c r="G11" s="13"/>
      <c r="H11" s="13"/>
      <c r="I11" s="13"/>
      <c r="J11" s="13"/>
      <c r="K11" s="13"/>
      <c r="L11" s="13"/>
    </row>
    <row r="12" spans="1:12">
      <c r="A12" s="13"/>
      <c r="B12" s="13"/>
      <c r="C12" s="13"/>
      <c r="D12" s="13"/>
      <c r="E12" s="13"/>
      <c r="F12" s="13"/>
      <c r="G12" s="13"/>
      <c r="H12" s="13"/>
      <c r="I12" s="13"/>
      <c r="J12" s="13"/>
      <c r="K12" s="13"/>
      <c r="L12" s="13"/>
    </row>
    <row r="13" spans="1:12" ht="21.75" customHeight="1">
      <c r="A13" s="10" t="s">
        <v>162</v>
      </c>
      <c r="B13" s="10"/>
      <c r="C13" s="10"/>
      <c r="D13" s="10"/>
      <c r="E13" s="10"/>
      <c r="F13" s="10"/>
      <c r="G13" s="10"/>
      <c r="H13" s="10"/>
      <c r="I13" s="10"/>
      <c r="J13" s="10"/>
      <c r="K13" s="10"/>
      <c r="L13" s="10"/>
    </row>
    <row r="14" spans="1:12" ht="21.75" customHeight="1">
      <c r="A14" s="103" t="s">
        <v>163</v>
      </c>
      <c r="B14" s="103"/>
      <c r="C14" s="104" t="str">
        <f>IF(ABS(SUM(DATOS!B22:B24)-1)&gt;0.0001,"REVISAR: la suma no es 100%","OK")</f>
        <v>OK</v>
      </c>
      <c r="D14" s="104"/>
      <c r="E14" s="104"/>
      <c r="F14" s="104"/>
      <c r="G14" s="104"/>
      <c r="H14" s="104"/>
      <c r="I14" s="104"/>
      <c r="J14" s="104"/>
      <c r="K14" s="104"/>
      <c r="L14" s="104"/>
    </row>
    <row r="15" spans="1:12" ht="21.75" customHeight="1">
      <c r="A15" s="103" t="s">
        <v>164</v>
      </c>
      <c r="B15" s="103"/>
      <c r="C15" s="104" t="str">
        <f>IF(NOT(ISNUMBER(DIETOSINTESIS!E24)),"ND",IF(AND(DIETOSINTESIS!E24&gt;=u_inf,DIETOSINTESIS!E24&lt;=u_sup),"OK: patrón ajustado a la meta","REVISAR: ajuste el número de equivalentes"))</f>
        <v>OK: patrón ajustado a la meta</v>
      </c>
      <c r="D15" s="104"/>
      <c r="E15" s="104"/>
      <c r="F15" s="104"/>
      <c r="G15" s="104"/>
      <c r="H15" s="104"/>
      <c r="I15" s="104"/>
      <c r="J15" s="104"/>
      <c r="K15" s="104"/>
      <c r="L15" s="104"/>
    </row>
    <row r="16" spans="1:12" ht="21.75" customHeight="1">
      <c r="A16" s="103" t="s">
        <v>165</v>
      </c>
      <c r="B16" s="103"/>
      <c r="C16" s="104" t="str">
        <f>IF(COUNTIF(DISTRIBUCION!$J$7:$J$19,"OK")=13,"OK: los 13 grupos cuadran","REVISAR: "&amp;(13-COUNTIF(DISTRIBUCION!$J$7:$J$19,"OK"))&amp;" grupo(s) sin cuadrar")</f>
        <v>OK: los 13 grupos cuadran</v>
      </c>
      <c r="D16" s="104"/>
      <c r="E16" s="104"/>
      <c r="F16" s="104"/>
      <c r="G16" s="104"/>
      <c r="H16" s="104"/>
      <c r="I16" s="104"/>
      <c r="J16" s="104"/>
      <c r="K16" s="104"/>
      <c r="L16" s="104"/>
    </row>
    <row r="17" spans="1:12" ht="21.75" customHeight="1">
      <c r="A17" s="103" t="s">
        <v>166</v>
      </c>
      <c r="B17" s="103"/>
      <c r="C17" s="104" t="str">
        <f>IF(COUNTIF(SEMANA!$B$23:$H$23,"Ajustado")=7,"OK: los 7 días ajustados","REVISAR: "&amp;(7-COUNTIF(SEMANA!$B$23:$H$23,"Ajustado"))&amp;" día(s) fuera de rango")</f>
        <v>REVISAR: 4 día(s) fuera de rango</v>
      </c>
      <c r="D17" s="104"/>
      <c r="E17" s="104"/>
      <c r="F17" s="104"/>
      <c r="G17" s="104"/>
      <c r="H17" s="104"/>
      <c r="I17" s="104"/>
      <c r="J17" s="104"/>
      <c r="K17" s="104"/>
      <c r="L17" s="104"/>
    </row>
    <row r="18" spans="1:12" ht="21.75" customHeight="1">
      <c r="A18" s="103" t="s">
        <v>167</v>
      </c>
      <c r="B18" s="103"/>
      <c r="C18" s="104" t="str">
        <f>IF(ABS(SUM(CONFIG!$B$34:$B$39)-1)&gt;0.0001,"REVISAR la referencia de CONFIG","OK")</f>
        <v>OK</v>
      </c>
      <c r="D18" s="104"/>
      <c r="E18" s="104"/>
      <c r="F18" s="104"/>
      <c r="G18" s="104"/>
      <c r="H18" s="104"/>
      <c r="I18" s="104"/>
      <c r="J18" s="104"/>
      <c r="K18" s="104"/>
      <c r="L18" s="104"/>
    </row>
    <row r="19" spans="1:12">
      <c r="A19" s="13"/>
      <c r="B19" s="13"/>
      <c r="C19" s="13"/>
      <c r="D19" s="13"/>
      <c r="E19" s="13"/>
      <c r="F19" s="13"/>
      <c r="G19" s="13"/>
      <c r="H19" s="13"/>
      <c r="I19" s="13"/>
      <c r="J19" s="13"/>
      <c r="K19" s="13"/>
      <c r="L19" s="13"/>
    </row>
    <row r="20" spans="1:12" ht="15.75" customHeight="1">
      <c r="A20" s="10" t="s">
        <v>168</v>
      </c>
      <c r="B20" s="10"/>
      <c r="C20" s="10"/>
      <c r="D20" s="10"/>
      <c r="E20" s="10"/>
      <c r="F20" s="10"/>
      <c r="G20" s="10"/>
      <c r="H20" s="10"/>
      <c r="I20" s="10"/>
      <c r="J20" s="10"/>
      <c r="K20" s="10"/>
      <c r="L20" s="10"/>
    </row>
    <row r="21" spans="1:12" ht="30.75" customHeight="1">
      <c r="A21" s="82" t="s">
        <v>169</v>
      </c>
      <c r="B21" s="82" t="s">
        <v>107</v>
      </c>
      <c r="C21" s="82" t="s">
        <v>170</v>
      </c>
      <c r="D21" s="105" t="s">
        <v>171</v>
      </c>
      <c r="E21" s="105" t="s">
        <v>113</v>
      </c>
      <c r="F21" s="13"/>
      <c r="G21" s="13"/>
      <c r="H21" s="13"/>
      <c r="I21" s="13"/>
      <c r="J21" s="13"/>
      <c r="K21" s="13"/>
      <c r="L21" s="13"/>
    </row>
    <row r="22" spans="1:12" ht="30" customHeight="1">
      <c r="A22" s="49" t="str">
        <f>INDEX(rng_tiempos,1,1)</f>
        <v>Desayuno</v>
      </c>
      <c r="B22" s="50">
        <f>DISTRIBUCION!B21</f>
        <v>350</v>
      </c>
      <c r="C22" s="51">
        <f>DISTRIBUCION!B22</f>
        <v>0.17499999999999999</v>
      </c>
      <c r="D22" s="51">
        <f>INDEX(rng_tiempos,1,2)</f>
        <v>0.2</v>
      </c>
      <c r="E22" s="51">
        <f t="shared" ref="E22:E27" si="0">IF(OR(NOT(ISNUMBER(C22)),NOT(ISNUMBER(D22))),"ND",C22-D22)</f>
        <v>-2.5000000000000022E-2</v>
      </c>
      <c r="F22" s="13"/>
      <c r="G22" s="13"/>
      <c r="H22" s="13"/>
      <c r="I22" s="13"/>
      <c r="J22" s="13"/>
      <c r="K22" s="13"/>
      <c r="L22" s="13"/>
    </row>
    <row r="23" spans="1:12" ht="30" customHeight="1">
      <c r="A23" s="49" t="str">
        <f>INDEX(rng_tiempos,2,1)</f>
        <v>Colación AM</v>
      </c>
      <c r="B23" s="50">
        <f>DISTRIBUCION!C21</f>
        <v>60</v>
      </c>
      <c r="C23" s="51">
        <f>DISTRIBUCION!C22</f>
        <v>0.03</v>
      </c>
      <c r="D23" s="51">
        <f>INDEX(rng_tiempos,2,2)</f>
        <v>0.05</v>
      </c>
      <c r="E23" s="51">
        <f t="shared" si="0"/>
        <v>-2.0000000000000004E-2</v>
      </c>
      <c r="F23" s="13"/>
      <c r="G23" s="13"/>
      <c r="H23" s="13"/>
      <c r="I23" s="13"/>
      <c r="J23" s="13"/>
      <c r="K23" s="13"/>
      <c r="L23" s="13"/>
    </row>
    <row r="24" spans="1:12" ht="30" customHeight="1">
      <c r="A24" s="49" t="str">
        <f>INDEX(rng_tiempos,3,1)</f>
        <v>Almuerzo</v>
      </c>
      <c r="B24" s="50">
        <f>DISTRIBUCION!D21</f>
        <v>535</v>
      </c>
      <c r="C24" s="51">
        <f>DISTRIBUCION!D22</f>
        <v>0.26750000000000002</v>
      </c>
      <c r="D24" s="51">
        <f>INDEX(rng_tiempos,3,2)</f>
        <v>0.3</v>
      </c>
      <c r="E24" s="51">
        <f t="shared" si="0"/>
        <v>-3.2499999999999973E-2</v>
      </c>
      <c r="F24" s="13"/>
      <c r="G24" s="13"/>
      <c r="H24" s="13"/>
      <c r="I24" s="13"/>
      <c r="J24" s="13"/>
      <c r="K24" s="13"/>
      <c r="L24" s="13"/>
    </row>
    <row r="25" spans="1:12" ht="30" customHeight="1">
      <c r="A25" s="49" t="str">
        <f>INDEX(rng_tiempos,4,1)</f>
        <v>Once</v>
      </c>
      <c r="B25" s="50">
        <f>DISTRIBUCION!E21</f>
        <v>455</v>
      </c>
      <c r="C25" s="51">
        <f>DISTRIBUCION!E22</f>
        <v>0.22750000000000001</v>
      </c>
      <c r="D25" s="51">
        <f>INDEX(rng_tiempos,4,2)</f>
        <v>0.2</v>
      </c>
      <c r="E25" s="51">
        <f t="shared" si="0"/>
        <v>2.7499999999999997E-2</v>
      </c>
      <c r="F25" s="13"/>
      <c r="G25" s="13"/>
      <c r="H25" s="13"/>
      <c r="I25" s="13"/>
      <c r="J25" s="13"/>
      <c r="K25" s="13"/>
      <c r="L25" s="13"/>
    </row>
    <row r="26" spans="1:12" ht="30" customHeight="1">
      <c r="A26" s="49" t="str">
        <f>INDEX(rng_tiempos,5,1)</f>
        <v>Cena</v>
      </c>
      <c r="B26" s="50">
        <f>DISTRIBUCION!F21</f>
        <v>540</v>
      </c>
      <c r="C26" s="51">
        <f>DISTRIBUCION!F22</f>
        <v>0.27</v>
      </c>
      <c r="D26" s="51">
        <f>INDEX(rng_tiempos,5,2)</f>
        <v>0.2</v>
      </c>
      <c r="E26" s="51">
        <f t="shared" si="0"/>
        <v>7.0000000000000007E-2</v>
      </c>
      <c r="F26" s="13"/>
      <c r="G26" s="13"/>
      <c r="H26" s="13"/>
      <c r="I26" s="13"/>
      <c r="J26" s="13"/>
      <c r="K26" s="13"/>
      <c r="L26" s="13"/>
    </row>
    <row r="27" spans="1:12" ht="30" customHeight="1">
      <c r="A27" s="49" t="str">
        <f>INDEX(rng_tiempos,6,1)</f>
        <v>Colación nocturna</v>
      </c>
      <c r="B27" s="50">
        <f>DISTRIBUCION!G21</f>
        <v>60</v>
      </c>
      <c r="C27" s="51">
        <f>DISTRIBUCION!G22</f>
        <v>0.03</v>
      </c>
      <c r="D27" s="51">
        <f>INDEX(rng_tiempos,6,2)</f>
        <v>0.05</v>
      </c>
      <c r="E27" s="51">
        <f t="shared" si="0"/>
        <v>-2.0000000000000004E-2</v>
      </c>
      <c r="F27" s="13"/>
      <c r="G27" s="13"/>
      <c r="H27" s="13"/>
      <c r="I27" s="13"/>
      <c r="J27" s="13"/>
      <c r="K27" s="13"/>
      <c r="L27" s="13"/>
    </row>
    <row r="28" spans="1:12" ht="30" customHeight="1">
      <c r="A28" s="106" t="s">
        <v>172</v>
      </c>
      <c r="B28" s="107">
        <f>SUM(B22:B27)</f>
        <v>2000</v>
      </c>
      <c r="C28" s="108">
        <f>SUM(C22:C27)</f>
        <v>1</v>
      </c>
      <c r="D28" s="109"/>
      <c r="E28" s="109"/>
      <c r="F28" s="13"/>
      <c r="G28" s="13"/>
      <c r="H28" s="13"/>
      <c r="I28" s="13"/>
      <c r="J28" s="13"/>
      <c r="K28" s="13"/>
      <c r="L28" s="13"/>
    </row>
    <row r="29" spans="1:12">
      <c r="A29" s="13"/>
      <c r="B29" s="13"/>
      <c r="C29" s="13"/>
      <c r="D29" s="13"/>
      <c r="E29" s="13"/>
      <c r="F29" s="13"/>
      <c r="G29" s="13"/>
      <c r="H29" s="13"/>
      <c r="I29" s="13"/>
      <c r="J29" s="13"/>
      <c r="K29" s="13"/>
      <c r="L29" s="13"/>
    </row>
    <row r="30" spans="1:12" ht="15" customHeight="1">
      <c r="A30" s="37" t="s">
        <v>173</v>
      </c>
      <c r="B30" s="37"/>
      <c r="C30" s="37"/>
      <c r="D30" s="37"/>
      <c r="E30" s="37"/>
      <c r="F30" s="37"/>
      <c r="G30" s="37"/>
      <c r="H30" s="37"/>
      <c r="I30" s="37"/>
      <c r="J30" s="37"/>
      <c r="K30" s="37"/>
      <c r="L30" s="37"/>
    </row>
    <row r="31" spans="1:12" ht="15" customHeight="1">
      <c r="A31" s="37"/>
      <c r="B31" s="37"/>
      <c r="C31" s="37"/>
      <c r="D31" s="37"/>
      <c r="E31" s="37"/>
      <c r="F31" s="37"/>
      <c r="G31" s="37"/>
      <c r="H31" s="37"/>
      <c r="I31" s="37"/>
      <c r="J31" s="37"/>
      <c r="K31" s="37"/>
      <c r="L31" s="37"/>
    </row>
    <row r="32" spans="1:12" ht="15" customHeight="1">
      <c r="A32" s="37"/>
      <c r="B32" s="37"/>
      <c r="C32" s="37"/>
      <c r="D32" s="37"/>
      <c r="E32" s="37"/>
      <c r="F32" s="37"/>
      <c r="G32" s="37"/>
      <c r="H32" s="37"/>
      <c r="I32" s="37"/>
      <c r="J32" s="37"/>
      <c r="K32" s="37"/>
      <c r="L32" s="37"/>
    </row>
    <row r="33" spans="1:12" ht="15" customHeight="1">
      <c r="A33" s="37"/>
      <c r="B33" s="37"/>
      <c r="C33" s="37"/>
      <c r="D33" s="37"/>
      <c r="E33" s="37"/>
      <c r="F33" s="37"/>
      <c r="G33" s="37"/>
      <c r="H33" s="37"/>
      <c r="I33" s="37"/>
      <c r="J33" s="37"/>
      <c r="K33" s="37"/>
      <c r="L33" s="37"/>
    </row>
    <row r="34" spans="1:12">
      <c r="A34" s="13"/>
      <c r="B34" s="13"/>
      <c r="C34" s="13"/>
      <c r="D34" s="13"/>
      <c r="E34" s="13"/>
      <c r="F34" s="13"/>
      <c r="G34" s="13"/>
      <c r="H34" s="13"/>
      <c r="I34" s="13"/>
      <c r="J34" s="13"/>
      <c r="K34" s="13"/>
      <c r="L34" s="13"/>
    </row>
    <row r="35" spans="1:12" ht="15" customHeight="1">
      <c r="A35" s="37" t="s">
        <v>174</v>
      </c>
      <c r="B35" s="37"/>
      <c r="C35" s="37"/>
      <c r="D35" s="37"/>
      <c r="E35" s="37"/>
      <c r="F35" s="37"/>
      <c r="G35" s="37"/>
      <c r="H35" s="37"/>
      <c r="I35" s="37"/>
      <c r="J35" s="37"/>
      <c r="K35" s="37"/>
      <c r="L35" s="37"/>
    </row>
    <row r="36" spans="1:12" ht="15" customHeight="1">
      <c r="A36" s="37"/>
      <c r="B36" s="37"/>
      <c r="C36" s="37"/>
      <c r="D36" s="37"/>
      <c r="E36" s="37"/>
      <c r="F36" s="37"/>
      <c r="G36" s="37"/>
      <c r="H36" s="37"/>
      <c r="I36" s="37"/>
      <c r="J36" s="37"/>
      <c r="K36" s="37"/>
      <c r="L36" s="37"/>
    </row>
    <row r="37" spans="1:12">
      <c r="A37" s="13"/>
      <c r="B37" s="13"/>
      <c r="C37" s="13"/>
      <c r="D37" s="13"/>
      <c r="E37" s="13"/>
      <c r="F37" s="13"/>
      <c r="G37" s="13"/>
      <c r="H37" s="13"/>
      <c r="I37" s="13"/>
      <c r="J37" s="13"/>
      <c r="K37" s="13"/>
      <c r="L37" s="13"/>
    </row>
    <row r="38" spans="1:12" ht="15" customHeight="1">
      <c r="A38" s="38" t="s">
        <v>175</v>
      </c>
      <c r="B38" s="38"/>
      <c r="C38" s="38"/>
      <c r="D38" s="38"/>
      <c r="E38" s="38"/>
      <c r="F38" s="13"/>
      <c r="G38" s="13"/>
      <c r="H38" s="13"/>
      <c r="I38" s="13"/>
      <c r="J38" s="13"/>
      <c r="K38" s="13"/>
      <c r="L38" s="13"/>
    </row>
    <row r="39" spans="1:12" ht="15" customHeight="1">
      <c r="A39" s="110" t="s">
        <v>176</v>
      </c>
      <c r="B39" s="110"/>
      <c r="C39" s="110"/>
      <c r="D39" s="111">
        <f>AVERAGE(DATOS!$B$34:$H$34)</f>
        <v>2000</v>
      </c>
      <c r="E39" s="111"/>
      <c r="F39" s="13"/>
      <c r="G39" s="13"/>
      <c r="H39" s="13"/>
      <c r="I39" s="13"/>
      <c r="J39" s="13"/>
      <c r="K39" s="13"/>
      <c r="L39" s="13"/>
    </row>
    <row r="40" spans="1:12" ht="15" customHeight="1">
      <c r="A40" s="110" t="s">
        <v>177</v>
      </c>
      <c r="B40" s="110"/>
      <c r="C40" s="110"/>
      <c r="D40" s="111">
        <f>SEMANA!I21</f>
        <v>13344.099999999999</v>
      </c>
      <c r="E40" s="111"/>
      <c r="F40" s="13"/>
      <c r="G40" s="13"/>
      <c r="H40" s="13"/>
      <c r="I40" s="13"/>
      <c r="J40" s="13"/>
      <c r="K40" s="13"/>
      <c r="L40" s="13"/>
    </row>
    <row r="41" spans="1:12" ht="15" customHeight="1">
      <c r="A41" s="110" t="s">
        <v>178</v>
      </c>
      <c r="B41" s="110"/>
      <c r="C41" s="110"/>
      <c r="D41" s="111">
        <f>SEMANA!J21</f>
        <v>1906.2999999999997</v>
      </c>
      <c r="E41" s="111"/>
      <c r="F41" s="13"/>
      <c r="G41" s="13"/>
      <c r="H41" s="13"/>
      <c r="I41" s="13"/>
      <c r="J41" s="13"/>
      <c r="K41" s="13"/>
      <c r="L41" s="13"/>
    </row>
    <row r="42" spans="1:12" ht="15" customHeight="1">
      <c r="A42" s="110" t="s">
        <v>179</v>
      </c>
      <c r="B42" s="110"/>
      <c r="C42" s="110"/>
      <c r="D42" s="112" t="str">
        <f>INDEX(SEMANA!$B$6:$H$6,MATCH(MAX(SEMANA!$B$21:$H$21),SEMANA!$B$21:$H$21,0))</f>
        <v>Jueves</v>
      </c>
      <c r="E42" s="112"/>
      <c r="F42" s="13"/>
      <c r="G42" s="13"/>
      <c r="H42" s="13"/>
      <c r="I42" s="13"/>
      <c r="J42" s="13"/>
      <c r="K42" s="13"/>
      <c r="L42" s="13"/>
    </row>
    <row r="43" spans="1:12" ht="15" customHeight="1">
      <c r="A43" s="110" t="s">
        <v>180</v>
      </c>
      <c r="B43" s="110"/>
      <c r="C43" s="110"/>
      <c r="D43" s="112" t="str">
        <f>INDEX(SEMANA!$B$6:$H$6,MATCH(MIN(SEMANA!$B$21:$H$21),SEMANA!$B$21:$H$21,0))</f>
        <v>Sábado</v>
      </c>
      <c r="E43" s="112"/>
      <c r="F43" s="13"/>
      <c r="G43" s="13"/>
      <c r="H43" s="13"/>
      <c r="I43" s="13"/>
      <c r="J43" s="13"/>
      <c r="K43" s="13"/>
      <c r="L43" s="13"/>
    </row>
    <row r="44" spans="1:12" ht="15" customHeight="1">
      <c r="A44" s="110" t="s">
        <v>181</v>
      </c>
      <c r="B44" s="110"/>
      <c r="C44" s="110"/>
      <c r="D44" s="111">
        <f>MAX(SEMANA!$B$21:$H$21)-MIN(SEMANA!$B$21:$H$21)</f>
        <v>876.59999999999991</v>
      </c>
      <c r="E44" s="111"/>
      <c r="F44" s="13"/>
      <c r="G44" s="13"/>
      <c r="H44" s="13"/>
      <c r="I44" s="13"/>
      <c r="J44" s="13"/>
      <c r="K44" s="13"/>
      <c r="L44" s="13"/>
    </row>
    <row r="45" spans="1:12" ht="15" customHeight="1">
      <c r="A45" s="110" t="s">
        <v>182</v>
      </c>
      <c r="B45" s="110"/>
      <c r="C45" s="110"/>
      <c r="D45" s="113">
        <f>COUNTIF(SEMANA!$B$37:$H$37,"Ajustado")</f>
        <v>3</v>
      </c>
      <c r="E45" s="113"/>
      <c r="F45" s="13"/>
      <c r="G45" s="13"/>
      <c r="H45" s="13"/>
      <c r="I45" s="13"/>
      <c r="J45" s="13"/>
      <c r="K45" s="13"/>
      <c r="L45" s="13"/>
    </row>
    <row r="46" spans="1:12" ht="15" customHeight="1">
      <c r="A46" s="110" t="s">
        <v>183</v>
      </c>
      <c r="B46" s="110"/>
      <c r="C46" s="110"/>
      <c r="D46" s="113">
        <f>COUNTIF(SEMANA!$B$37:$H$37,"Bajo")</f>
        <v>2</v>
      </c>
      <c r="E46" s="113"/>
      <c r="F46" s="13"/>
      <c r="G46" s="13"/>
      <c r="H46" s="13"/>
      <c r="I46" s="13"/>
      <c r="J46" s="13"/>
      <c r="K46" s="13"/>
      <c r="L46" s="13"/>
    </row>
    <row r="47" spans="1:12" ht="15" customHeight="1">
      <c r="A47" s="110" t="s">
        <v>184</v>
      </c>
      <c r="B47" s="110"/>
      <c r="C47" s="110"/>
      <c r="D47" s="113">
        <f>COUNTIF(SEMANA!$B$37:$H$37,"Sobre")</f>
        <v>2</v>
      </c>
      <c r="E47" s="113"/>
      <c r="F47" s="13"/>
      <c r="G47" s="13"/>
      <c r="H47" s="13"/>
      <c r="I47" s="13"/>
      <c r="J47" s="13"/>
      <c r="K47" s="13"/>
      <c r="L47" s="13"/>
    </row>
    <row r="48" spans="1:12" ht="15" customHeight="1">
      <c r="A48" s="38" t="s">
        <v>185</v>
      </c>
      <c r="B48" s="38"/>
      <c r="C48" s="38"/>
      <c r="D48" s="38"/>
      <c r="E48" s="38"/>
      <c r="F48" s="13"/>
      <c r="G48" s="13"/>
      <c r="H48" s="13"/>
      <c r="I48" s="13"/>
      <c r="J48" s="13"/>
      <c r="K48" s="13"/>
      <c r="L48" s="13"/>
    </row>
    <row r="49" spans="1:12" ht="15" customHeight="1">
      <c r="A49" s="114" t="s">
        <v>88</v>
      </c>
      <c r="B49" s="115" t="s">
        <v>89</v>
      </c>
      <c r="C49" s="115" t="s">
        <v>90</v>
      </c>
      <c r="D49" s="115" t="s">
        <v>91</v>
      </c>
      <c r="E49" s="115" t="s">
        <v>92</v>
      </c>
      <c r="F49" s="115" t="s">
        <v>93</v>
      </c>
      <c r="G49" s="115" t="s">
        <v>94</v>
      </c>
      <c r="H49" s="115" t="s">
        <v>95</v>
      </c>
      <c r="I49" s="13"/>
      <c r="J49" s="13"/>
      <c r="K49" s="13"/>
      <c r="L49" s="13"/>
    </row>
    <row r="50" spans="1:12" ht="15" customHeight="1">
      <c r="A50" s="114" t="s">
        <v>186</v>
      </c>
      <c r="B50" s="116">
        <f>SEMANA!B21</f>
        <v>2108.1999999999998</v>
      </c>
      <c r="C50" s="116">
        <f>SEMANA!C21</f>
        <v>1647.4</v>
      </c>
      <c r="D50" s="116">
        <f>SEMANA!D21</f>
        <v>1924.1</v>
      </c>
      <c r="E50" s="116">
        <f>SEMANA!E21</f>
        <v>2264</v>
      </c>
      <c r="F50" s="116">
        <f>SEMANA!F21</f>
        <v>2018.6999999999998</v>
      </c>
      <c r="G50" s="116">
        <f>SEMANA!G21</f>
        <v>1387.4</v>
      </c>
      <c r="H50" s="116">
        <f>SEMANA!H21</f>
        <v>1994.3</v>
      </c>
      <c r="I50" s="13"/>
      <c r="J50" s="13"/>
      <c r="K50" s="13"/>
      <c r="L50" s="13"/>
    </row>
    <row r="51" spans="1:12">
      <c r="A51" s="13"/>
      <c r="B51" s="13"/>
      <c r="C51" s="13"/>
      <c r="D51" s="13"/>
      <c r="E51" s="13"/>
      <c r="F51" s="13"/>
      <c r="G51" s="13"/>
      <c r="H51" s="13"/>
      <c r="I51" s="13"/>
      <c r="J51" s="13"/>
      <c r="K51" s="13"/>
      <c r="L51" s="13"/>
    </row>
    <row r="52" spans="1:12" ht="15" customHeight="1">
      <c r="A52" s="38" t="s">
        <v>187</v>
      </c>
      <c r="B52" s="38"/>
      <c r="C52" s="38"/>
      <c r="D52" s="38"/>
      <c r="E52" s="38"/>
      <c r="F52" s="13"/>
      <c r="G52" s="13"/>
      <c r="H52" s="13"/>
      <c r="I52" s="13"/>
      <c r="J52" s="13"/>
      <c r="K52" s="13"/>
      <c r="L52" s="13"/>
    </row>
    <row r="53" spans="1:12" ht="15" customHeight="1">
      <c r="A53" s="110" t="s">
        <v>80</v>
      </c>
      <c r="B53" s="110"/>
      <c r="C53" s="110"/>
      <c r="D53" s="111">
        <f>SEMANA!K30</f>
        <v>114.68714285714283</v>
      </c>
      <c r="E53" s="111"/>
      <c r="F53" s="13"/>
      <c r="G53" s="13"/>
      <c r="H53" s="13"/>
      <c r="I53" s="13"/>
      <c r="J53" s="13"/>
      <c r="K53" s="13"/>
      <c r="L53" s="13"/>
    </row>
    <row r="54" spans="1:12" ht="15" customHeight="1">
      <c r="A54" s="110" t="s">
        <v>188</v>
      </c>
      <c r="B54" s="110"/>
      <c r="C54" s="110"/>
      <c r="D54" s="111">
        <f>SEMANA!K31</f>
        <v>157.97142857142859</v>
      </c>
      <c r="E54" s="111"/>
      <c r="F54" s="13"/>
      <c r="G54" s="13"/>
      <c r="H54" s="13"/>
      <c r="I54" s="13"/>
      <c r="J54" s="13"/>
      <c r="K54" s="13"/>
      <c r="L54" s="13"/>
    </row>
    <row r="55" spans="1:12" ht="15" customHeight="1">
      <c r="A55" s="110" t="s">
        <v>82</v>
      </c>
      <c r="B55" s="110"/>
      <c r="C55" s="110"/>
      <c r="D55" s="111">
        <f>SEMANA!K32</f>
        <v>80.137142857142862</v>
      </c>
      <c r="E55" s="111"/>
      <c r="F55" s="13"/>
      <c r="G55" s="13"/>
      <c r="H55" s="13"/>
      <c r="I55" s="13"/>
      <c r="J55" s="13"/>
      <c r="K55" s="13"/>
      <c r="L55" s="13"/>
    </row>
    <row r="56" spans="1:12" ht="15" customHeight="1">
      <c r="A56" s="110" t="s">
        <v>189</v>
      </c>
      <c r="B56" s="110"/>
      <c r="C56" s="110"/>
      <c r="D56" s="111">
        <f>SEMANA!K33</f>
        <v>52.8</v>
      </c>
      <c r="E56" s="111"/>
      <c r="F56" s="13"/>
      <c r="G56" s="13"/>
      <c r="H56" s="13"/>
      <c r="I56" s="13"/>
      <c r="J56" s="13"/>
      <c r="K56" s="13"/>
      <c r="L56" s="13"/>
    </row>
    <row r="57" spans="1:12" ht="15" customHeight="1">
      <c r="A57" s="38" t="s">
        <v>190</v>
      </c>
      <c r="B57" s="38"/>
      <c r="C57" s="38"/>
      <c r="D57" s="38"/>
      <c r="E57" s="38"/>
      <c r="F57" s="13"/>
      <c r="G57" s="13"/>
      <c r="H57" s="13"/>
      <c r="I57" s="13"/>
      <c r="J57" s="13"/>
      <c r="K57" s="13"/>
      <c r="L57" s="13"/>
    </row>
    <row r="58" spans="1:12" ht="15" customHeight="1">
      <c r="A58" s="110" t="s">
        <v>191</v>
      </c>
      <c r="B58" s="110"/>
      <c r="C58" s="110"/>
      <c r="D58" s="111">
        <f>DIETOSINTESIS!F20*7</f>
        <v>14000</v>
      </c>
      <c r="E58" s="111"/>
      <c r="F58" s="13"/>
      <c r="G58" s="13"/>
      <c r="H58" s="13"/>
      <c r="I58" s="13"/>
      <c r="J58" s="13"/>
      <c r="K58" s="13"/>
      <c r="L58" s="13"/>
    </row>
    <row r="59" spans="1:12" ht="15" customHeight="1">
      <c r="A59" s="110" t="s">
        <v>192</v>
      </c>
      <c r="B59" s="110"/>
      <c r="C59" s="110"/>
      <c r="D59" s="111">
        <f>SEMANA!I21</f>
        <v>13344.099999999999</v>
      </c>
      <c r="E59" s="111"/>
      <c r="F59" s="13"/>
      <c r="G59" s="13"/>
      <c r="H59" s="13"/>
      <c r="I59" s="13"/>
      <c r="J59" s="13"/>
      <c r="K59" s="13"/>
      <c r="L59" s="13"/>
    </row>
    <row r="60" spans="1:12" ht="15" customHeight="1">
      <c r="A60" s="110" t="s">
        <v>193</v>
      </c>
      <c r="B60" s="110"/>
      <c r="C60" s="110"/>
      <c r="D60" s="111">
        <f>ABS(DIETOSINTESIS!F20*7-SEMANA!I21)</f>
        <v>655.90000000000146</v>
      </c>
      <c r="E60" s="111"/>
      <c r="F60" s="13"/>
      <c r="G60" s="13"/>
      <c r="H60" s="13"/>
      <c r="I60" s="13"/>
      <c r="J60" s="13"/>
      <c r="K60" s="13"/>
      <c r="L60" s="13"/>
    </row>
    <row r="61" spans="1:12" ht="15" customHeight="1">
      <c r="A61" s="110" t="s">
        <v>194</v>
      </c>
      <c r="B61" s="110"/>
      <c r="C61" s="110"/>
      <c r="D61" s="117">
        <f>IF(DIETOSINTESIS!F20=0,"ND",ABS(DIETOSINTESIS!F20*7-SEMANA!I21)/(DIETOSINTESIS!F20*7))</f>
        <v>4.6850000000000107E-2</v>
      </c>
      <c r="E61" s="117"/>
      <c r="F61" s="13"/>
      <c r="G61" s="13"/>
      <c r="H61" s="13"/>
      <c r="I61" s="13"/>
      <c r="J61" s="13"/>
      <c r="K61" s="13"/>
      <c r="L61" s="13"/>
    </row>
    <row r="62" spans="1:12" ht="15" customHeight="1">
      <c r="A62" s="118" t="s">
        <v>195</v>
      </c>
      <c r="B62" s="118"/>
      <c r="C62" s="118"/>
      <c r="D62" s="118"/>
      <c r="E62" s="118"/>
      <c r="F62" s="118"/>
      <c r="G62" s="118"/>
      <c r="H62" s="118"/>
      <c r="I62" s="13"/>
      <c r="J62" s="13"/>
      <c r="K62" s="13"/>
      <c r="L62" s="13"/>
    </row>
  </sheetData>
  <sheetProtection algorithmName="SHA-512" hashValue="EZTmwoQU91XemRiocm/k7NcBwQWheei5gp/xRtPflY+idqJKIjya9zXgM07QH16AI3l1i29vostKjn+trw+Piw==" saltValue="mNo0gOkiLoQfa2VFN+Wd6g==" spinCount="100000" sheet="1" objects="1" scenarios="1" autoFilter="0"/>
  <mergeCells count="56">
    <mergeCell ref="A60:C60"/>
    <mergeCell ref="D60:E60"/>
    <mergeCell ref="A61:C61"/>
    <mergeCell ref="D61:E61"/>
    <mergeCell ref="A62:H62"/>
    <mergeCell ref="A57:E57"/>
    <mergeCell ref="A58:C58"/>
    <mergeCell ref="D58:E58"/>
    <mergeCell ref="A59:C59"/>
    <mergeCell ref="D59:E59"/>
    <mergeCell ref="A54:C54"/>
    <mergeCell ref="D54:E54"/>
    <mergeCell ref="A55:C55"/>
    <mergeCell ref="D55:E55"/>
    <mergeCell ref="A56:C56"/>
    <mergeCell ref="D56:E56"/>
    <mergeCell ref="A47:C47"/>
    <mergeCell ref="D47:E47"/>
    <mergeCell ref="A48:E48"/>
    <mergeCell ref="A52:E52"/>
    <mergeCell ref="A53:C53"/>
    <mergeCell ref="D53:E53"/>
    <mergeCell ref="A44:C44"/>
    <mergeCell ref="D44:E44"/>
    <mergeCell ref="A45:C45"/>
    <mergeCell ref="D45:E45"/>
    <mergeCell ref="A46:C46"/>
    <mergeCell ref="D46:E46"/>
    <mergeCell ref="A41:C41"/>
    <mergeCell ref="D41:E41"/>
    <mergeCell ref="A42:C42"/>
    <mergeCell ref="D42:E42"/>
    <mergeCell ref="A43:C43"/>
    <mergeCell ref="D43:E43"/>
    <mergeCell ref="A38:E38"/>
    <mergeCell ref="A39:C39"/>
    <mergeCell ref="D39:E39"/>
    <mergeCell ref="A40:C40"/>
    <mergeCell ref="D40:E40"/>
    <mergeCell ref="A18:B18"/>
    <mergeCell ref="C18:L18"/>
    <mergeCell ref="A20:L20"/>
    <mergeCell ref="A30:L33"/>
    <mergeCell ref="A35:L36"/>
    <mergeCell ref="A15:B15"/>
    <mergeCell ref="C15:L15"/>
    <mergeCell ref="A16:B16"/>
    <mergeCell ref="C16:L16"/>
    <mergeCell ref="A17:B17"/>
    <mergeCell ref="C17:L17"/>
    <mergeCell ref="A1:L2"/>
    <mergeCell ref="K3:L3"/>
    <mergeCell ref="A5:L5"/>
    <mergeCell ref="A13:L13"/>
    <mergeCell ref="A14:B14"/>
    <mergeCell ref="C14:L14"/>
  </mergeCells>
  <hyperlinks>
    <hyperlink ref="A3" location="'INICIO'!A1" display="INICIO" xr:uid="{00000000-0004-0000-0500-000000000000}"/>
    <hyperlink ref="B3" location="'DATOS'!A1" display="DATOS" xr:uid="{00000000-0004-0000-0500-000001000000}"/>
    <hyperlink ref="C3" location="'DIETOSINTESIS'!A1" display="DIETOSINTESIS" xr:uid="{00000000-0004-0000-0500-000002000000}"/>
    <hyperlink ref="D3" location="'DISTRIBUCION'!A1" display="DISTRIBUCION" xr:uid="{00000000-0004-0000-0500-000003000000}"/>
    <hyperlink ref="E3" location="'MENU_SEMANAL'!A1" display="MENU_SEMANAL" xr:uid="{00000000-0004-0000-0500-000004000000}"/>
    <hyperlink ref="F3" location="'SEMANA'!A1" display="SEMANA" xr:uid="{00000000-0004-0000-0500-000005000000}"/>
    <hyperlink ref="G3" location="'RESULTADOS'!A1" display="RESULTADOS" xr:uid="{00000000-0004-0000-0500-000006000000}"/>
    <hyperlink ref="H3" location="'FUENTES'!A1" display="FUENTES" xr:uid="{00000000-0004-0000-0500-000007000000}"/>
    <hyperlink ref="I3" location="'PRUEBAS'!A1" display="PRUEBAS" xr:uid="{00000000-0004-0000-0500-000008000000}"/>
    <hyperlink ref="J3" location="'CONFIG'!A1" display="CONFIG" xr:uid="{00000000-0004-0000-0500-000009000000}"/>
    <hyperlink ref="K3" location="'CHANGELOG'!A1" display="CHANGELOG" xr:uid="{00000000-0004-0000-0500-00000A000000}"/>
  </hyperlinks>
  <pageMargins left="0.75" right="0.75" top="1" bottom="1" header="0.511811023622047" footer="0.511811023622047"/>
  <pageSetup fitToHeight="0"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pageSetUpPr fitToPage="1"/>
  </sheetPr>
  <dimension ref="A1:L20"/>
  <sheetViews>
    <sheetView showGridLines="0" zoomScaleNormal="100" workbookViewId="0">
      <selection activeCell="B20" sqref="B20:L20"/>
    </sheetView>
  </sheetViews>
  <sheetFormatPr baseColWidth="10" defaultColWidth="8.7109375" defaultRowHeight="15"/>
  <cols>
    <col min="1" max="1" width="34" customWidth="1"/>
    <col min="2" max="2" width="98" customWidth="1"/>
    <col min="3" max="3" width="14.7109375" customWidth="1"/>
    <col min="4" max="4" width="15" customWidth="1"/>
    <col min="5" max="5" width="11.7109375" customWidth="1"/>
    <col min="6" max="6" width="13.85546875" customWidth="1"/>
    <col min="7" max="9" width="11.7109375" customWidth="1"/>
    <col min="10" max="10" width="14.5703125" customWidth="1"/>
  </cols>
  <sheetData>
    <row r="1" spans="1:12" ht="25.5" customHeight="1">
      <c r="A1" s="99" t="s">
        <v>196</v>
      </c>
      <c r="B1" s="99"/>
      <c r="C1" s="99"/>
      <c r="D1" s="99"/>
      <c r="E1" s="99"/>
      <c r="F1" s="99"/>
      <c r="G1" s="99"/>
      <c r="H1" s="99"/>
      <c r="I1" s="99"/>
      <c r="J1" s="99"/>
      <c r="K1" s="99"/>
      <c r="L1" s="99"/>
    </row>
    <row r="2" spans="1:12" ht="15" customHeight="1">
      <c r="A2" s="99"/>
      <c r="B2" s="99"/>
      <c r="C2" s="99"/>
      <c r="D2" s="99"/>
      <c r="E2" s="99"/>
      <c r="F2" s="99"/>
      <c r="G2" s="99"/>
      <c r="H2" s="99"/>
      <c r="I2" s="99"/>
      <c r="J2" s="99"/>
      <c r="K2" s="99"/>
      <c r="L2" s="99"/>
    </row>
    <row r="3" spans="1:12" ht="15.75" customHeight="1">
      <c r="A3" s="24" t="s">
        <v>2</v>
      </c>
      <c r="B3" s="24" t="s">
        <v>3</v>
      </c>
      <c r="C3" s="24" t="s">
        <v>4</v>
      </c>
      <c r="D3" s="24" t="s">
        <v>5</v>
      </c>
      <c r="E3" s="24" t="s">
        <v>6</v>
      </c>
      <c r="F3" s="24" t="s">
        <v>7</v>
      </c>
      <c r="G3" s="24" t="s">
        <v>8</v>
      </c>
      <c r="H3" s="8" t="s">
        <v>9</v>
      </c>
      <c r="I3" s="24" t="s">
        <v>10</v>
      </c>
      <c r="J3" s="24" t="s">
        <v>11</v>
      </c>
      <c r="K3" s="25" t="s">
        <v>12</v>
      </c>
      <c r="L3" s="25"/>
    </row>
    <row r="4" spans="1:12" ht="15" customHeight="1">
      <c r="A4" s="80" t="s">
        <v>197</v>
      </c>
      <c r="B4" s="80"/>
      <c r="C4" s="80"/>
      <c r="D4" s="80"/>
      <c r="E4" s="80"/>
      <c r="F4" s="80"/>
      <c r="G4" s="80"/>
      <c r="H4" s="80"/>
      <c r="I4" s="80"/>
      <c r="J4" s="80"/>
      <c r="K4" s="80"/>
      <c r="L4" s="80"/>
    </row>
    <row r="5" spans="1:12" ht="15.75" customHeight="1">
      <c r="A5" s="80"/>
      <c r="B5" s="80"/>
      <c r="C5" s="80"/>
      <c r="D5" s="80"/>
      <c r="E5" s="80"/>
      <c r="F5" s="80"/>
      <c r="G5" s="80"/>
      <c r="H5" s="80"/>
      <c r="I5" s="80"/>
      <c r="J5" s="80"/>
      <c r="K5" s="80"/>
      <c r="L5" s="80"/>
    </row>
    <row r="6" spans="1:12" ht="23.25" customHeight="1">
      <c r="A6" s="82" t="s">
        <v>198</v>
      </c>
      <c r="B6" s="119" t="s">
        <v>199</v>
      </c>
      <c r="C6" s="119"/>
      <c r="D6" s="119"/>
      <c r="E6" s="119"/>
      <c r="F6" s="119"/>
      <c r="G6" s="119"/>
      <c r="H6" s="119"/>
      <c r="I6" s="119"/>
      <c r="J6" s="119"/>
      <c r="K6" s="119"/>
      <c r="L6" s="119"/>
    </row>
    <row r="7" spans="1:12" ht="30.75" customHeight="1">
      <c r="A7" s="120" t="s">
        <v>200</v>
      </c>
      <c r="B7" s="121" t="s">
        <v>201</v>
      </c>
      <c r="C7" s="121"/>
      <c r="D7" s="121"/>
      <c r="E7" s="121"/>
      <c r="F7" s="121"/>
      <c r="G7" s="121"/>
      <c r="H7" s="121"/>
      <c r="I7" s="121"/>
      <c r="J7" s="121"/>
      <c r="K7" s="121"/>
      <c r="L7" s="121"/>
    </row>
    <row r="8" spans="1:12" ht="30.75" customHeight="1">
      <c r="A8" s="120" t="s">
        <v>202</v>
      </c>
      <c r="B8" s="121" t="s">
        <v>203</v>
      </c>
      <c r="C8" s="121"/>
      <c r="D8" s="121"/>
      <c r="E8" s="121"/>
      <c r="F8" s="121"/>
      <c r="G8" s="121"/>
      <c r="H8" s="121"/>
      <c r="I8" s="121"/>
      <c r="J8" s="121"/>
      <c r="K8" s="121"/>
      <c r="L8" s="121"/>
    </row>
    <row r="9" spans="1:12" ht="30.75" customHeight="1">
      <c r="A9" s="120" t="s">
        <v>204</v>
      </c>
      <c r="B9" s="121" t="s">
        <v>205</v>
      </c>
      <c r="C9" s="121"/>
      <c r="D9" s="121"/>
      <c r="E9" s="121"/>
      <c r="F9" s="121"/>
      <c r="G9" s="121"/>
      <c r="H9" s="121"/>
      <c r="I9" s="121"/>
      <c r="J9" s="121"/>
      <c r="K9" s="121"/>
      <c r="L9" s="121"/>
    </row>
    <row r="10" spans="1:12" ht="30.75" customHeight="1">
      <c r="A10" s="120" t="s">
        <v>206</v>
      </c>
      <c r="B10" s="121" t="s">
        <v>207</v>
      </c>
      <c r="C10" s="121"/>
      <c r="D10" s="121"/>
      <c r="E10" s="121"/>
      <c r="F10" s="121"/>
      <c r="G10" s="121"/>
      <c r="H10" s="121"/>
      <c r="I10" s="121"/>
      <c r="J10" s="121"/>
      <c r="K10" s="121"/>
      <c r="L10" s="121"/>
    </row>
    <row r="11" spans="1:12" ht="30.75" customHeight="1">
      <c r="A11" s="120" t="s">
        <v>208</v>
      </c>
      <c r="B11" s="121" t="s">
        <v>209</v>
      </c>
      <c r="C11" s="121"/>
      <c r="D11" s="121"/>
      <c r="E11" s="121"/>
      <c r="F11" s="121"/>
      <c r="G11" s="121"/>
      <c r="H11" s="121"/>
      <c r="I11" s="121"/>
      <c r="J11" s="121"/>
      <c r="K11" s="121"/>
      <c r="L11" s="121"/>
    </row>
    <row r="12" spans="1:12" ht="30.75" customHeight="1">
      <c r="A12" s="120" t="s">
        <v>210</v>
      </c>
      <c r="B12" s="121" t="s">
        <v>211</v>
      </c>
      <c r="C12" s="121"/>
      <c r="D12" s="121"/>
      <c r="E12" s="121"/>
      <c r="F12" s="121"/>
      <c r="G12" s="121"/>
      <c r="H12" s="121"/>
      <c r="I12" s="121"/>
      <c r="J12" s="121"/>
      <c r="K12" s="121"/>
      <c r="L12" s="121"/>
    </row>
    <row r="13" spans="1:12" ht="30.75" customHeight="1">
      <c r="A13" s="120" t="s">
        <v>212</v>
      </c>
      <c r="B13" s="121" t="s">
        <v>213</v>
      </c>
      <c r="C13" s="121"/>
      <c r="D13" s="121"/>
      <c r="E13" s="121"/>
      <c r="F13" s="121"/>
      <c r="G13" s="121"/>
      <c r="H13" s="121"/>
      <c r="I13" s="121"/>
      <c r="J13" s="121"/>
      <c r="K13" s="121"/>
      <c r="L13" s="121"/>
    </row>
    <row r="14" spans="1:12" ht="30.75" customHeight="1">
      <c r="A14" s="120" t="s">
        <v>214</v>
      </c>
      <c r="B14" s="121" t="s">
        <v>215</v>
      </c>
      <c r="C14" s="121"/>
      <c r="D14" s="121"/>
      <c r="E14" s="121"/>
      <c r="F14" s="121"/>
      <c r="G14" s="121"/>
      <c r="H14" s="121"/>
      <c r="I14" s="121"/>
      <c r="J14" s="121"/>
      <c r="K14" s="121"/>
      <c r="L14" s="121"/>
    </row>
    <row r="15" spans="1:12">
      <c r="A15" s="13"/>
      <c r="B15" s="13"/>
      <c r="C15" s="13"/>
      <c r="D15" s="13"/>
      <c r="E15" s="13"/>
      <c r="F15" s="13"/>
      <c r="G15" s="13"/>
      <c r="H15" s="13"/>
      <c r="I15" s="13"/>
      <c r="J15" s="13"/>
      <c r="K15" s="13"/>
      <c r="L15" s="13"/>
    </row>
    <row r="16" spans="1:12" ht="15" customHeight="1">
      <c r="A16" s="120" t="s">
        <v>216</v>
      </c>
      <c r="B16" s="120"/>
      <c r="C16" s="122"/>
      <c r="D16" s="122"/>
      <c r="E16" s="122"/>
      <c r="F16" s="122"/>
      <c r="G16" s="122"/>
      <c r="H16" s="122"/>
      <c r="I16" s="122"/>
      <c r="J16" s="122"/>
      <c r="K16" s="122"/>
      <c r="L16" s="123"/>
    </row>
    <row r="17" spans="1:12" ht="21.75" customHeight="1">
      <c r="A17" s="120" t="s">
        <v>217</v>
      </c>
      <c r="B17" s="121" t="s">
        <v>218</v>
      </c>
      <c r="C17" s="121"/>
      <c r="D17" s="121"/>
      <c r="E17" s="121"/>
      <c r="F17" s="121"/>
      <c r="G17" s="121"/>
      <c r="H17" s="121"/>
      <c r="I17" s="121"/>
      <c r="J17" s="121"/>
      <c r="K17" s="121"/>
      <c r="L17" s="121"/>
    </row>
    <row r="18" spans="1:12" ht="15" customHeight="1">
      <c r="A18" s="120" t="s">
        <v>219</v>
      </c>
      <c r="B18" s="121" t="s">
        <v>220</v>
      </c>
      <c r="C18" s="121"/>
      <c r="D18" s="121"/>
      <c r="E18" s="121"/>
      <c r="F18" s="121"/>
      <c r="G18" s="121"/>
      <c r="H18" s="121"/>
      <c r="I18" s="121"/>
      <c r="J18" s="121"/>
      <c r="K18" s="121"/>
      <c r="L18" s="121"/>
    </row>
    <row r="19" spans="1:12" ht="15" customHeight="1">
      <c r="A19" s="120" t="s">
        <v>221</v>
      </c>
      <c r="B19" s="121" t="s">
        <v>222</v>
      </c>
      <c r="C19" s="121"/>
      <c r="D19" s="121"/>
      <c r="E19" s="121"/>
      <c r="F19" s="121"/>
      <c r="G19" s="121"/>
      <c r="H19" s="121"/>
      <c r="I19" s="122"/>
      <c r="J19" s="122"/>
      <c r="K19" s="122"/>
      <c r="L19" s="123"/>
    </row>
    <row r="20" spans="1:12" ht="21.75" customHeight="1">
      <c r="A20" s="120" t="s">
        <v>223</v>
      </c>
      <c r="B20" s="121" t="s">
        <v>224</v>
      </c>
      <c r="C20" s="121"/>
      <c r="D20" s="121"/>
      <c r="E20" s="121"/>
      <c r="F20" s="121"/>
      <c r="G20" s="121"/>
      <c r="H20" s="121"/>
      <c r="I20" s="121"/>
      <c r="J20" s="121"/>
      <c r="K20" s="121"/>
      <c r="L20" s="121"/>
    </row>
  </sheetData>
  <sheetProtection algorithmName="SHA-512" hashValue="zxxx+M6a8VqH+WFJhwE1nxAN8pO6rFpZCii3P618PCy4H5nn6s0efMq3Hhr2JHruZBMy9jOIMxq/3rTIC7OGTQ==" saltValue="E7FmCQWOXyJlUhXqZVnarQ==" spinCount="100000" sheet="1" objects="1" scenarios="1" autoFilter="0"/>
  <mergeCells count="16">
    <mergeCell ref="B20:L20"/>
    <mergeCell ref="B13:L13"/>
    <mergeCell ref="B14:L14"/>
    <mergeCell ref="B17:L17"/>
    <mergeCell ref="B18:L18"/>
    <mergeCell ref="B19:H19"/>
    <mergeCell ref="B8:L8"/>
    <mergeCell ref="B9:L9"/>
    <mergeCell ref="B10:L10"/>
    <mergeCell ref="B11:L11"/>
    <mergeCell ref="B12:L12"/>
    <mergeCell ref="A1:L2"/>
    <mergeCell ref="K3:L3"/>
    <mergeCell ref="A4:L5"/>
    <mergeCell ref="B6:L6"/>
    <mergeCell ref="B7:L7"/>
  </mergeCells>
  <hyperlinks>
    <hyperlink ref="A3" location="'INICIO'!A1" display="INICIO" xr:uid="{00000000-0004-0000-0600-000000000000}"/>
    <hyperlink ref="B3" location="'DATOS'!A1" display="DATOS" xr:uid="{00000000-0004-0000-0600-000001000000}"/>
    <hyperlink ref="C3" location="'DIETOSINTESIS'!A1" display="DIETOSINTESIS" xr:uid="{00000000-0004-0000-0600-000002000000}"/>
    <hyperlink ref="D3" location="'DISTRIBUCION'!A1" display="DISTRIBUCION" xr:uid="{00000000-0004-0000-0600-000003000000}"/>
    <hyperlink ref="E3" location="'MENU_SEMANAL'!A1" display="MENU_SEMANAL" xr:uid="{00000000-0004-0000-0600-000004000000}"/>
    <hyperlink ref="F3" location="'SEMANA'!A1" display="SEMANA" xr:uid="{00000000-0004-0000-0600-000005000000}"/>
    <hyperlink ref="G3" location="'RESULTADOS'!A1" display="RESULTADOS" xr:uid="{00000000-0004-0000-0600-000006000000}"/>
    <hyperlink ref="H3" location="'FUENTES'!A1" display="FUENTES" xr:uid="{00000000-0004-0000-0600-000007000000}"/>
    <hyperlink ref="I3" location="'PRUEBAS'!A1" display="PRUEBAS" xr:uid="{00000000-0004-0000-0600-000008000000}"/>
    <hyperlink ref="J3" location="'CONFIG'!A1" display="CONFIG" xr:uid="{00000000-0004-0000-0600-000009000000}"/>
    <hyperlink ref="K3" location="'CHANGELOG'!A1" display="CHANGELOG" xr:uid="{00000000-0004-0000-0600-00000A000000}"/>
  </hyperlinks>
  <pageMargins left="0.75" right="0.75" top="1" bottom="1" header="0.511811023622047" footer="0.511811023622047"/>
  <pageSetup fitToHeight="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pageSetUpPr fitToPage="1"/>
  </sheetPr>
  <dimension ref="A1:K66"/>
  <sheetViews>
    <sheetView showGridLines="0" zoomScaleNormal="100" workbookViewId="0">
      <selection activeCell="F55" sqref="F55"/>
    </sheetView>
  </sheetViews>
  <sheetFormatPr baseColWidth="10" defaultColWidth="8.7109375" defaultRowHeight="15"/>
  <cols>
    <col min="1" max="1" width="38" customWidth="1"/>
    <col min="2" max="2" width="40" customWidth="1"/>
    <col min="3" max="3" width="14" customWidth="1"/>
    <col min="4" max="4" width="11" customWidth="1"/>
    <col min="5" max="5" width="42" customWidth="1"/>
    <col min="6" max="11" width="13.7109375" customWidth="1"/>
  </cols>
  <sheetData>
    <row r="1" spans="1:11" ht="25.5" customHeight="1">
      <c r="A1" s="99" t="s">
        <v>225</v>
      </c>
      <c r="B1" s="99"/>
      <c r="C1" s="99"/>
      <c r="D1" s="99"/>
      <c r="E1" s="99"/>
      <c r="F1" s="99"/>
      <c r="G1" s="99"/>
      <c r="H1" s="99"/>
      <c r="I1" s="99"/>
      <c r="J1" s="99"/>
      <c r="K1" s="99"/>
    </row>
    <row r="2" spans="1:11" ht="15" customHeight="1">
      <c r="A2" s="99"/>
      <c r="B2" s="99"/>
      <c r="C2" s="99"/>
      <c r="D2" s="99"/>
      <c r="E2" s="99"/>
      <c r="F2" s="99"/>
      <c r="G2" s="99"/>
      <c r="H2" s="99"/>
      <c r="I2" s="99"/>
      <c r="J2" s="99"/>
      <c r="K2" s="99"/>
    </row>
    <row r="3" spans="1:11" ht="15.75" customHeight="1">
      <c r="A3" s="24" t="s">
        <v>2</v>
      </c>
      <c r="B3" s="24" t="s">
        <v>3</v>
      </c>
      <c r="C3" s="24" t="s">
        <v>4</v>
      </c>
      <c r="D3" s="24" t="s">
        <v>5</v>
      </c>
      <c r="E3" s="24" t="s">
        <v>6</v>
      </c>
      <c r="F3" s="24" t="s">
        <v>7</v>
      </c>
      <c r="G3" s="24" t="s">
        <v>8</v>
      </c>
      <c r="H3" s="24" t="s">
        <v>9</v>
      </c>
      <c r="I3" s="8" t="s">
        <v>10</v>
      </c>
      <c r="J3" s="24" t="s">
        <v>11</v>
      </c>
      <c r="K3" s="124" t="s">
        <v>12</v>
      </c>
    </row>
    <row r="4" spans="1:11" ht="15" customHeight="1">
      <c r="A4" s="125" t="s">
        <v>226</v>
      </c>
      <c r="B4" s="125"/>
      <c r="C4" s="125"/>
      <c r="D4" s="125"/>
      <c r="E4" s="125"/>
      <c r="F4" s="125"/>
      <c r="G4" s="125"/>
      <c r="H4" s="125"/>
      <c r="I4" s="125"/>
      <c r="J4" s="125"/>
      <c r="K4" s="125"/>
    </row>
    <row r="5" spans="1:11" ht="36" customHeight="1">
      <c r="A5" s="125"/>
      <c r="B5" s="125"/>
      <c r="C5" s="125"/>
      <c r="D5" s="125"/>
      <c r="E5" s="125"/>
      <c r="F5" s="125"/>
      <c r="G5" s="125"/>
      <c r="H5" s="125"/>
      <c r="I5" s="125"/>
      <c r="J5" s="125"/>
      <c r="K5" s="125"/>
    </row>
    <row r="6" spans="1:11">
      <c r="A6" s="13"/>
      <c r="B6" s="13"/>
      <c r="C6" s="13"/>
      <c r="D6" s="13"/>
      <c r="E6" s="13"/>
      <c r="F6" s="13"/>
      <c r="G6" s="13"/>
      <c r="H6" s="13"/>
      <c r="I6" s="13"/>
      <c r="J6" s="13"/>
      <c r="K6" s="13"/>
    </row>
    <row r="7" spans="1:11" ht="15" customHeight="1">
      <c r="A7" s="48" t="s">
        <v>227</v>
      </c>
      <c r="B7" s="48" t="s">
        <v>228</v>
      </c>
      <c r="C7" s="48" t="s">
        <v>229</v>
      </c>
      <c r="D7" s="56" t="s">
        <v>230</v>
      </c>
      <c r="E7" s="56" t="s">
        <v>231</v>
      </c>
      <c r="F7" s="13"/>
      <c r="G7" s="13"/>
      <c r="H7" s="13"/>
      <c r="I7" s="13"/>
      <c r="J7" s="13"/>
      <c r="K7" s="13"/>
    </row>
    <row r="8" spans="1:11" ht="15" customHeight="1">
      <c r="A8" s="126" t="s">
        <v>232</v>
      </c>
      <c r="B8" s="127" t="s">
        <v>233</v>
      </c>
      <c r="C8" s="128">
        <f>CONFIG!E17</f>
        <v>70</v>
      </c>
      <c r="D8" s="126">
        <v>70</v>
      </c>
      <c r="E8" s="129" t="str">
        <f t="shared" ref="E8:E51" si="0">IF(AND(ISNUMBER(C8),ISNUMBER(D8)),IF(ABS(C8-D8)&lt;=k_tol,"APROBADO","REVISAR"),IF(EXACT(C8&amp;"",D8&amp;""),"APROBADO","REVISAR"))</f>
        <v>APROBADO</v>
      </c>
      <c r="F8" s="13"/>
      <c r="G8" s="13"/>
      <c r="H8" s="13"/>
      <c r="I8" s="13"/>
      <c r="J8" s="13"/>
      <c r="K8" s="13"/>
    </row>
    <row r="9" spans="1:11" ht="15" customHeight="1">
      <c r="A9" s="126" t="s">
        <v>232</v>
      </c>
      <c r="B9" s="127" t="s">
        <v>234</v>
      </c>
      <c r="C9" s="128">
        <f>CONFIG!E18</f>
        <v>85</v>
      </c>
      <c r="D9" s="126">
        <v>85</v>
      </c>
      <c r="E9" s="129" t="str">
        <f t="shared" si="0"/>
        <v>APROBADO</v>
      </c>
      <c r="F9" s="13"/>
      <c r="G9" s="13"/>
      <c r="H9" s="13"/>
      <c r="I9" s="13"/>
      <c r="J9" s="13"/>
      <c r="K9" s="13"/>
    </row>
    <row r="10" spans="1:11" ht="15" customHeight="1">
      <c r="A10" s="126" t="s">
        <v>232</v>
      </c>
      <c r="B10" s="127" t="s">
        <v>235</v>
      </c>
      <c r="C10" s="128">
        <f>CONFIG!E20</f>
        <v>30</v>
      </c>
      <c r="D10" s="126">
        <v>30</v>
      </c>
      <c r="E10" s="129" t="str">
        <f t="shared" si="0"/>
        <v>APROBADO</v>
      </c>
      <c r="F10" s="13"/>
      <c r="G10" s="13"/>
      <c r="H10" s="13"/>
      <c r="I10" s="13"/>
      <c r="J10" s="13"/>
      <c r="K10" s="13"/>
    </row>
    <row r="11" spans="1:11" ht="15" customHeight="1">
      <c r="A11" s="126" t="s">
        <v>232</v>
      </c>
      <c r="B11" s="127" t="s">
        <v>236</v>
      </c>
      <c r="C11" s="128">
        <f>CONFIG!E23</f>
        <v>140</v>
      </c>
      <c r="D11" s="126">
        <v>140</v>
      </c>
      <c r="E11" s="129" t="str">
        <f t="shared" si="0"/>
        <v>APROBADO</v>
      </c>
      <c r="F11" s="13"/>
      <c r="G11" s="13"/>
      <c r="H11" s="13"/>
      <c r="I11" s="13"/>
      <c r="J11" s="13"/>
      <c r="K11" s="13"/>
    </row>
    <row r="12" spans="1:11" ht="15" customHeight="1">
      <c r="A12" s="126" t="s">
        <v>232</v>
      </c>
      <c r="B12" s="127" t="s">
        <v>237</v>
      </c>
      <c r="C12" s="128">
        <f>CONFIG!E27</f>
        <v>45</v>
      </c>
      <c r="D12" s="126">
        <v>45</v>
      </c>
      <c r="E12" s="129" t="str">
        <f t="shared" si="0"/>
        <v>APROBADO</v>
      </c>
      <c r="F12" s="13"/>
      <c r="G12" s="13"/>
      <c r="H12" s="13"/>
      <c r="I12" s="13"/>
      <c r="J12" s="13"/>
      <c r="K12" s="13"/>
    </row>
    <row r="13" spans="1:11" ht="15" customHeight="1">
      <c r="A13" s="126" t="s">
        <v>232</v>
      </c>
      <c r="B13" s="127" t="s">
        <v>238</v>
      </c>
      <c r="C13" s="130">
        <f>CONFIG!E28</f>
        <v>175</v>
      </c>
      <c r="D13" s="126">
        <v>175</v>
      </c>
      <c r="E13" s="129" t="str">
        <f t="shared" si="0"/>
        <v>APROBADO</v>
      </c>
      <c r="F13" s="13"/>
      <c r="G13" s="13"/>
      <c r="H13" s="13"/>
      <c r="I13" s="13"/>
      <c r="J13" s="13"/>
      <c r="K13" s="13"/>
    </row>
    <row r="14" spans="1:11" ht="15" customHeight="1">
      <c r="A14" s="126" t="s">
        <v>232</v>
      </c>
      <c r="B14" s="127" t="s">
        <v>239</v>
      </c>
      <c r="C14" s="130">
        <f>CONFIG!E29</f>
        <v>20</v>
      </c>
      <c r="D14" s="126">
        <v>20</v>
      </c>
      <c r="E14" s="129" t="str">
        <f t="shared" si="0"/>
        <v>APROBADO</v>
      </c>
      <c r="F14" s="13"/>
      <c r="G14" s="13"/>
      <c r="H14" s="13"/>
      <c r="I14" s="13"/>
      <c r="J14" s="13"/>
      <c r="K14" s="13"/>
    </row>
    <row r="15" spans="1:11" ht="15" customHeight="1">
      <c r="A15" s="126" t="s">
        <v>240</v>
      </c>
      <c r="B15" s="127" t="s">
        <v>241</v>
      </c>
      <c r="C15" s="130">
        <f>CONFIG!B17*k_cho+CONFIG!C17*k_prot+CONFIG!D17*k_lip</f>
        <v>68</v>
      </c>
      <c r="D15" s="126">
        <v>68</v>
      </c>
      <c r="E15" s="129" t="str">
        <f t="shared" si="0"/>
        <v>APROBADO</v>
      </c>
      <c r="F15" s="13"/>
      <c r="G15" s="13"/>
      <c r="H15" s="13"/>
      <c r="I15" s="13"/>
      <c r="J15" s="13"/>
      <c r="K15" s="13"/>
    </row>
    <row r="16" spans="1:11" ht="15" customHeight="1">
      <c r="A16" s="126" t="s">
        <v>240</v>
      </c>
      <c r="B16" s="127" t="s">
        <v>242</v>
      </c>
      <c r="C16" s="130">
        <f>CONFIG!B18*k_cho+CONFIG!C18*k_prot+CONFIG!D18*k_lip</f>
        <v>83</v>
      </c>
      <c r="D16" s="126">
        <v>83</v>
      </c>
      <c r="E16" s="129" t="str">
        <f t="shared" si="0"/>
        <v>APROBADO</v>
      </c>
      <c r="F16" s="13"/>
      <c r="G16" s="13"/>
      <c r="H16" s="13"/>
      <c r="I16" s="13"/>
      <c r="J16" s="13"/>
      <c r="K16" s="13"/>
    </row>
    <row r="17" spans="1:11" ht="15" customHeight="1">
      <c r="A17" s="126" t="s">
        <v>240</v>
      </c>
      <c r="B17" s="127" t="s">
        <v>243</v>
      </c>
      <c r="C17" s="130">
        <f>CONFIG!B19*k_cho+CONFIG!C19*k_prot+CONFIG!D19*k_lip</f>
        <v>110</v>
      </c>
      <c r="D17" s="126">
        <v>110</v>
      </c>
      <c r="E17" s="129" t="str">
        <f t="shared" si="0"/>
        <v>APROBADO</v>
      </c>
      <c r="F17" s="13"/>
      <c r="G17" s="13"/>
      <c r="H17" s="13"/>
      <c r="I17" s="13"/>
      <c r="J17" s="13"/>
      <c r="K17" s="13"/>
    </row>
    <row r="18" spans="1:11" ht="15" customHeight="1">
      <c r="A18" s="126" t="s">
        <v>240</v>
      </c>
      <c r="B18" s="127" t="s">
        <v>244</v>
      </c>
      <c r="C18" s="130">
        <f>CONFIG!B20*k_cho+CONFIG!C20*k_prot+CONFIG!D20*k_lip</f>
        <v>28</v>
      </c>
      <c r="D18" s="126">
        <v>28</v>
      </c>
      <c r="E18" s="129" t="str">
        <f t="shared" si="0"/>
        <v>APROBADO</v>
      </c>
      <c r="F18" s="13"/>
      <c r="G18" s="13"/>
      <c r="H18" s="13"/>
      <c r="I18" s="13"/>
      <c r="J18" s="13"/>
      <c r="K18" s="13"/>
    </row>
    <row r="19" spans="1:11" ht="15" customHeight="1">
      <c r="A19" s="126" t="s">
        <v>240</v>
      </c>
      <c r="B19" s="127" t="s">
        <v>245</v>
      </c>
      <c r="C19" s="130">
        <f>CONFIG!B21*k_cho+CONFIG!C21*k_prot+CONFIG!D21*k_lip</f>
        <v>10</v>
      </c>
      <c r="D19" s="126">
        <v>10</v>
      </c>
      <c r="E19" s="129" t="str">
        <f t="shared" si="0"/>
        <v>APROBADO</v>
      </c>
      <c r="F19" s="13"/>
      <c r="G19" s="13"/>
      <c r="H19" s="13"/>
      <c r="I19" s="13"/>
      <c r="J19" s="13"/>
      <c r="K19" s="13"/>
    </row>
    <row r="20" spans="1:11" ht="15" customHeight="1">
      <c r="A20" s="126" t="s">
        <v>240</v>
      </c>
      <c r="B20" s="127" t="s">
        <v>246</v>
      </c>
      <c r="C20" s="130">
        <f>CONFIG!B22*k_cho+CONFIG!C22*k_prot+CONFIG!D22*k_lip</f>
        <v>60</v>
      </c>
      <c r="D20" s="126">
        <v>60</v>
      </c>
      <c r="E20" s="129" t="str">
        <f t="shared" si="0"/>
        <v>APROBADO</v>
      </c>
      <c r="F20" s="13"/>
      <c r="G20" s="13"/>
      <c r="H20" s="13"/>
      <c r="I20" s="13"/>
      <c r="J20" s="13"/>
      <c r="K20" s="13"/>
    </row>
    <row r="21" spans="1:11" ht="15" customHeight="1">
      <c r="A21" s="126" t="s">
        <v>240</v>
      </c>
      <c r="B21" s="127" t="s">
        <v>247</v>
      </c>
      <c r="C21" s="131">
        <f>CONFIG!B23*k_cho+CONFIG!C23*k_prot+CONFIG!D23*k_lip</f>
        <v>141</v>
      </c>
      <c r="D21" s="126">
        <v>141</v>
      </c>
      <c r="E21" s="129" t="str">
        <f t="shared" si="0"/>
        <v>APROBADO</v>
      </c>
      <c r="F21" s="13"/>
      <c r="G21" s="13"/>
      <c r="H21" s="13"/>
      <c r="I21" s="13"/>
      <c r="J21" s="13"/>
      <c r="K21" s="13"/>
    </row>
    <row r="22" spans="1:11" ht="15" customHeight="1">
      <c r="A22" s="126" t="s">
        <v>240</v>
      </c>
      <c r="B22" s="127" t="s">
        <v>248</v>
      </c>
      <c r="C22" s="126">
        <f>CONFIG!B24*k_cho+CONFIG!C24*k_prot+CONFIG!D24*k_lip</f>
        <v>173</v>
      </c>
      <c r="D22" s="126">
        <v>173</v>
      </c>
      <c r="E22" s="129" t="str">
        <f t="shared" si="0"/>
        <v>APROBADO</v>
      </c>
      <c r="F22" s="13"/>
      <c r="G22" s="13"/>
      <c r="H22" s="13"/>
      <c r="I22" s="13"/>
      <c r="J22" s="13"/>
      <c r="K22" s="13"/>
    </row>
    <row r="23" spans="1:11" ht="15" customHeight="1">
      <c r="A23" s="126" t="s">
        <v>240</v>
      </c>
      <c r="B23" s="127" t="s">
        <v>249</v>
      </c>
      <c r="C23" s="131">
        <f>CONFIG!B25*k_cho+CONFIG!C25*k_prot+CONFIG!D25*k_lip</f>
        <v>66</v>
      </c>
      <c r="D23" s="126">
        <v>66</v>
      </c>
      <c r="E23" s="129" t="str">
        <f t="shared" si="0"/>
        <v>APROBADO</v>
      </c>
      <c r="F23" s="13"/>
      <c r="G23" s="13"/>
      <c r="H23" s="13"/>
      <c r="I23" s="13"/>
      <c r="J23" s="13"/>
      <c r="K23" s="13"/>
    </row>
    <row r="24" spans="1:11" ht="15" customHeight="1">
      <c r="A24" s="126" t="s">
        <v>240</v>
      </c>
      <c r="B24" s="127" t="s">
        <v>250</v>
      </c>
      <c r="C24" s="131">
        <f>CONFIG!B26*k_cho+CONFIG!C26*k_prot+CONFIG!D26*k_lip</f>
        <v>120</v>
      </c>
      <c r="D24" s="126">
        <v>120</v>
      </c>
      <c r="E24" s="129" t="str">
        <f t="shared" si="0"/>
        <v>APROBADO</v>
      </c>
      <c r="F24" s="13"/>
      <c r="G24" s="13"/>
      <c r="H24" s="13"/>
      <c r="I24" s="13"/>
      <c r="J24" s="13"/>
      <c r="K24" s="13"/>
    </row>
    <row r="25" spans="1:11" ht="15" customHeight="1">
      <c r="A25" s="126" t="s">
        <v>240</v>
      </c>
      <c r="B25" s="127" t="s">
        <v>251</v>
      </c>
      <c r="C25" s="130">
        <f>CONFIG!B27*k_cho+CONFIG!C27*k_prot+CONFIG!D27*k_lip</f>
        <v>45</v>
      </c>
      <c r="D25" s="126">
        <v>45</v>
      </c>
      <c r="E25" s="129" t="str">
        <f t="shared" si="0"/>
        <v>APROBADO</v>
      </c>
      <c r="F25" s="13"/>
      <c r="G25" s="13"/>
      <c r="H25" s="13"/>
      <c r="I25" s="13"/>
      <c r="J25" s="13"/>
      <c r="K25" s="13"/>
    </row>
    <row r="26" spans="1:11" ht="15" customHeight="1">
      <c r="A26" s="126" t="s">
        <v>240</v>
      </c>
      <c r="B26" s="127" t="s">
        <v>252</v>
      </c>
      <c r="C26" s="130">
        <f>CONFIG!B28*k_cho+CONFIG!C28*k_prot+CONFIG!D28*k_lip</f>
        <v>175</v>
      </c>
      <c r="D26" s="126">
        <v>175</v>
      </c>
      <c r="E26" s="129" t="str">
        <f t="shared" si="0"/>
        <v>APROBADO</v>
      </c>
      <c r="F26" s="13"/>
      <c r="G26" s="13"/>
      <c r="H26" s="13"/>
      <c r="I26" s="13"/>
      <c r="J26" s="13"/>
      <c r="K26" s="13"/>
    </row>
    <row r="27" spans="1:11" ht="15" customHeight="1">
      <c r="A27" s="126" t="s">
        <v>240</v>
      </c>
      <c r="B27" s="127" t="s">
        <v>253</v>
      </c>
      <c r="C27" s="130">
        <f>CONFIG!B29*k_cho+CONFIG!C29*k_prot+CONFIG!D29*k_lip</f>
        <v>20</v>
      </c>
      <c r="D27" s="126">
        <v>20</v>
      </c>
      <c r="E27" s="129" t="str">
        <f t="shared" si="0"/>
        <v>APROBADO</v>
      </c>
      <c r="F27" s="13"/>
      <c r="G27" s="13"/>
      <c r="H27" s="13"/>
      <c r="I27" s="13"/>
      <c r="J27" s="13"/>
      <c r="K27" s="13"/>
    </row>
    <row r="28" spans="1:11" ht="15" customHeight="1">
      <c r="A28" s="126" t="s">
        <v>254</v>
      </c>
      <c r="B28" s="127" t="s">
        <v>255</v>
      </c>
      <c r="C28" s="130">
        <f>DATOS!B18</f>
        <v>2000</v>
      </c>
      <c r="D28" s="126">
        <v>2000</v>
      </c>
      <c r="E28" s="129" t="str">
        <f t="shared" si="0"/>
        <v>APROBADO</v>
      </c>
      <c r="F28" s="13"/>
      <c r="G28" s="13"/>
      <c r="H28" s="13"/>
      <c r="I28" s="13"/>
      <c r="J28" s="13"/>
      <c r="K28" s="13"/>
    </row>
    <row r="29" spans="1:11" ht="15" customHeight="1">
      <c r="A29" s="126" t="s">
        <v>254</v>
      </c>
      <c r="B29" s="127" t="s">
        <v>256</v>
      </c>
      <c r="C29" s="130">
        <f>DATOS!D22</f>
        <v>75</v>
      </c>
      <c r="D29" s="126">
        <v>75</v>
      </c>
      <c r="E29" s="129" t="str">
        <f t="shared" si="0"/>
        <v>APROBADO</v>
      </c>
      <c r="F29" s="13"/>
      <c r="G29" s="13"/>
      <c r="H29" s="13"/>
      <c r="I29" s="13"/>
      <c r="J29" s="13"/>
      <c r="K29" s="13"/>
    </row>
    <row r="30" spans="1:11" ht="15" customHeight="1">
      <c r="A30" s="126" t="s">
        <v>254</v>
      </c>
      <c r="B30" s="127" t="s">
        <v>257</v>
      </c>
      <c r="C30" s="130">
        <f>DATOS!D23</f>
        <v>275</v>
      </c>
      <c r="D30" s="126">
        <v>275</v>
      </c>
      <c r="E30" s="129" t="str">
        <f t="shared" si="0"/>
        <v>APROBADO</v>
      </c>
      <c r="F30" s="13"/>
      <c r="G30" s="13"/>
      <c r="H30" s="13"/>
      <c r="I30" s="13"/>
      <c r="J30" s="13"/>
      <c r="K30" s="13"/>
    </row>
    <row r="31" spans="1:11" ht="15" customHeight="1">
      <c r="A31" s="126" t="s">
        <v>254</v>
      </c>
      <c r="B31" s="127" t="s">
        <v>258</v>
      </c>
      <c r="C31" s="130">
        <f>DATOS!D24</f>
        <v>66.666666666666671</v>
      </c>
      <c r="D31" s="126">
        <v>66.666666666699996</v>
      </c>
      <c r="E31" s="129" t="str">
        <f t="shared" si="0"/>
        <v>APROBADO</v>
      </c>
      <c r="F31" s="13"/>
      <c r="G31" s="13"/>
      <c r="H31" s="13"/>
      <c r="I31" s="13"/>
      <c r="J31" s="13"/>
      <c r="K31" s="13"/>
    </row>
    <row r="32" spans="1:11" ht="15" customHeight="1">
      <c r="A32" s="126" t="s">
        <v>259</v>
      </c>
      <c r="B32" s="127" t="s">
        <v>260</v>
      </c>
      <c r="C32" s="130">
        <f>DIETOSINTESIS!C20</f>
        <v>273.5</v>
      </c>
      <c r="D32" s="126">
        <v>273.5</v>
      </c>
      <c r="E32" s="129" t="str">
        <f t="shared" si="0"/>
        <v>APROBADO</v>
      </c>
      <c r="F32" s="13"/>
      <c r="G32" s="13"/>
      <c r="H32" s="13"/>
      <c r="I32" s="13"/>
      <c r="J32" s="13"/>
      <c r="K32" s="13"/>
    </row>
    <row r="33" spans="1:11" ht="15" customHeight="1">
      <c r="A33" s="126" t="s">
        <v>259</v>
      </c>
      <c r="B33" s="127" t="s">
        <v>261</v>
      </c>
      <c r="C33" s="130">
        <f>DIETOSINTESIS!D20</f>
        <v>75</v>
      </c>
      <c r="D33" s="126">
        <v>75</v>
      </c>
      <c r="E33" s="129" t="str">
        <f t="shared" si="0"/>
        <v>APROBADO</v>
      </c>
      <c r="F33" s="13"/>
      <c r="G33" s="13"/>
      <c r="H33" s="13"/>
      <c r="I33" s="13"/>
      <c r="J33" s="13"/>
      <c r="K33" s="13"/>
    </row>
    <row r="34" spans="1:11" ht="15" customHeight="1">
      <c r="A34" s="126" t="s">
        <v>259</v>
      </c>
      <c r="B34" s="127" t="s">
        <v>262</v>
      </c>
      <c r="C34" s="130">
        <f>DIETOSINTESIS!E20</f>
        <v>67</v>
      </c>
      <c r="D34" s="126">
        <v>67</v>
      </c>
      <c r="E34" s="129" t="str">
        <f t="shared" si="0"/>
        <v>APROBADO</v>
      </c>
      <c r="F34" s="13"/>
      <c r="G34" s="13"/>
      <c r="H34" s="13"/>
      <c r="I34" s="13"/>
      <c r="J34" s="13"/>
      <c r="K34" s="13"/>
    </row>
    <row r="35" spans="1:11" ht="15" customHeight="1">
      <c r="A35" s="126" t="s">
        <v>259</v>
      </c>
      <c r="B35" s="127" t="s">
        <v>263</v>
      </c>
      <c r="C35" s="130">
        <f>DIETOSINTESIS!F20</f>
        <v>2000</v>
      </c>
      <c r="D35" s="126">
        <v>2000</v>
      </c>
      <c r="E35" s="129" t="str">
        <f t="shared" si="0"/>
        <v>APROBADO</v>
      </c>
      <c r="F35" s="13"/>
      <c r="G35" s="13"/>
      <c r="H35" s="13"/>
      <c r="I35" s="13"/>
      <c r="J35" s="13"/>
      <c r="K35" s="13"/>
    </row>
    <row r="36" spans="1:11" ht="15" customHeight="1">
      <c r="A36" s="126" t="s">
        <v>259</v>
      </c>
      <c r="B36" s="127" t="s">
        <v>264</v>
      </c>
      <c r="C36" s="128">
        <f>DIETOSINTESIS!B20</f>
        <v>28</v>
      </c>
      <c r="D36" s="126">
        <v>28</v>
      </c>
      <c r="E36" s="129" t="str">
        <f t="shared" si="0"/>
        <v>APROBADO</v>
      </c>
      <c r="F36" s="13"/>
      <c r="G36" s="13"/>
      <c r="H36" s="13"/>
      <c r="I36" s="13"/>
      <c r="J36" s="13"/>
      <c r="K36" s="13"/>
    </row>
    <row r="37" spans="1:11" ht="15" customHeight="1">
      <c r="A37" s="126" t="s">
        <v>265</v>
      </c>
      <c r="B37" s="127" t="s">
        <v>266</v>
      </c>
      <c r="C37" s="128">
        <f>DIETOSINTESIS!E24</f>
        <v>1</v>
      </c>
      <c r="D37" s="126">
        <v>1</v>
      </c>
      <c r="E37" s="129" t="str">
        <f t="shared" si="0"/>
        <v>APROBADO</v>
      </c>
      <c r="F37" s="13"/>
      <c r="G37" s="13"/>
      <c r="H37" s="13"/>
      <c r="I37" s="13"/>
      <c r="J37" s="13"/>
      <c r="K37" s="13"/>
    </row>
    <row r="38" spans="1:11" ht="15" customHeight="1">
      <c r="A38" s="126" t="s">
        <v>265</v>
      </c>
      <c r="B38" s="127" t="s">
        <v>267</v>
      </c>
      <c r="C38" s="128" t="str">
        <f>DIETOSINTESIS!F24</f>
        <v>Ajustado</v>
      </c>
      <c r="D38" s="126" t="s">
        <v>268</v>
      </c>
      <c r="E38" s="129" t="str">
        <f t="shared" si="0"/>
        <v>APROBADO</v>
      </c>
      <c r="F38" s="13"/>
      <c r="G38" s="13"/>
      <c r="H38" s="13"/>
      <c r="I38" s="13"/>
      <c r="J38" s="13"/>
      <c r="K38" s="13"/>
    </row>
    <row r="39" spans="1:11" ht="15" customHeight="1">
      <c r="A39" s="126" t="s">
        <v>265</v>
      </c>
      <c r="B39" s="127" t="s">
        <v>269</v>
      </c>
      <c r="C39" s="128">
        <f>DIETOSINTESIS!B31</f>
        <v>0.15</v>
      </c>
      <c r="D39" s="126">
        <v>0.15</v>
      </c>
      <c r="E39" s="129" t="str">
        <f t="shared" si="0"/>
        <v>APROBADO</v>
      </c>
      <c r="F39" s="13"/>
      <c r="G39" s="13"/>
      <c r="H39" s="13"/>
      <c r="I39" s="13"/>
      <c r="J39" s="13"/>
      <c r="K39" s="13"/>
    </row>
    <row r="40" spans="1:11" ht="24" customHeight="1">
      <c r="A40" s="126" t="s">
        <v>265</v>
      </c>
      <c r="B40" s="127" t="s">
        <v>270</v>
      </c>
      <c r="C40" s="128">
        <f>DIETOSINTESIS!B32</f>
        <v>0.54700000000000004</v>
      </c>
      <c r="D40" s="126">
        <v>0.54700000000000004</v>
      </c>
      <c r="E40" s="129" t="str">
        <f t="shared" si="0"/>
        <v>APROBADO</v>
      </c>
      <c r="F40" s="13"/>
      <c r="G40" s="13"/>
      <c r="H40" s="13"/>
      <c r="I40" s="13"/>
      <c r="J40" s="13"/>
      <c r="K40" s="13"/>
    </row>
    <row r="41" spans="1:11" ht="15" customHeight="1">
      <c r="A41" s="126" t="s">
        <v>271</v>
      </c>
      <c r="B41" s="127" t="s">
        <v>272</v>
      </c>
      <c r="C41" s="128">
        <f>DISTRIBUCION!B21</f>
        <v>350</v>
      </c>
      <c r="D41" s="126">
        <v>350</v>
      </c>
      <c r="E41" s="129" t="str">
        <f t="shared" si="0"/>
        <v>APROBADO</v>
      </c>
      <c r="F41" s="13"/>
      <c r="G41" s="13"/>
      <c r="H41" s="13"/>
      <c r="I41" s="13"/>
      <c r="J41" s="13"/>
      <c r="K41" s="13"/>
    </row>
    <row r="42" spans="1:11" ht="15" customHeight="1">
      <c r="A42" s="126" t="s">
        <v>271</v>
      </c>
      <c r="B42" s="127" t="s">
        <v>273</v>
      </c>
      <c r="C42" s="128">
        <f>DISTRIBUCION!D21</f>
        <v>535</v>
      </c>
      <c r="D42" s="126">
        <v>535</v>
      </c>
      <c r="E42" s="129" t="str">
        <f t="shared" si="0"/>
        <v>APROBADO</v>
      </c>
      <c r="F42" s="13"/>
      <c r="G42" s="13"/>
      <c r="H42" s="13"/>
      <c r="I42" s="13"/>
      <c r="J42" s="13"/>
      <c r="K42" s="13"/>
    </row>
    <row r="43" spans="1:11" ht="15" customHeight="1">
      <c r="A43" s="126" t="s">
        <v>271</v>
      </c>
      <c r="B43" s="127" t="s">
        <v>274</v>
      </c>
      <c r="C43" s="128">
        <f>DISTRIBUCION!E21</f>
        <v>455</v>
      </c>
      <c r="D43" s="126">
        <v>455</v>
      </c>
      <c r="E43" s="129" t="str">
        <f t="shared" si="0"/>
        <v>APROBADO</v>
      </c>
      <c r="F43" s="13"/>
      <c r="G43" s="13"/>
      <c r="H43" s="13"/>
      <c r="I43" s="13"/>
      <c r="J43" s="13"/>
      <c r="K43" s="13"/>
    </row>
    <row r="44" spans="1:11" ht="15" customHeight="1">
      <c r="A44" s="126" t="s">
        <v>271</v>
      </c>
      <c r="B44" s="127" t="s">
        <v>275</v>
      </c>
      <c r="C44" s="128">
        <f>DISTRIBUCION!H21</f>
        <v>2000</v>
      </c>
      <c r="D44" s="126">
        <v>2000</v>
      </c>
      <c r="E44" s="129" t="str">
        <f t="shared" si="0"/>
        <v>APROBADO</v>
      </c>
      <c r="F44" s="13"/>
      <c r="G44" s="13"/>
      <c r="H44" s="13"/>
      <c r="I44" s="13"/>
      <c r="J44" s="13"/>
      <c r="K44" s="13"/>
    </row>
    <row r="45" spans="1:11" ht="15" customHeight="1">
      <c r="A45" s="126" t="s">
        <v>271</v>
      </c>
      <c r="B45" s="127" t="s">
        <v>276</v>
      </c>
      <c r="C45" s="128">
        <f>COUNTIF(DISTRIBUCION!$J$7:$J$19,"OK")</f>
        <v>13</v>
      </c>
      <c r="D45" s="126">
        <v>13</v>
      </c>
      <c r="E45" s="129" t="str">
        <f t="shared" si="0"/>
        <v>APROBADO</v>
      </c>
      <c r="F45" s="13"/>
      <c r="G45" s="13"/>
      <c r="H45" s="13"/>
      <c r="I45" s="13"/>
      <c r="J45" s="13"/>
      <c r="K45" s="13"/>
    </row>
    <row r="46" spans="1:11" ht="15" customHeight="1">
      <c r="A46" s="126" t="s">
        <v>277</v>
      </c>
      <c r="B46" s="127" t="s">
        <v>278</v>
      </c>
      <c r="C46" s="128">
        <f>SEMANA!B21</f>
        <v>2108.1999999999998</v>
      </c>
      <c r="D46" s="126">
        <v>2028</v>
      </c>
      <c r="E46" s="129" t="str">
        <f t="shared" si="0"/>
        <v>REVISAR</v>
      </c>
      <c r="F46" s="13"/>
      <c r="G46" s="13"/>
      <c r="H46" s="13"/>
      <c r="I46" s="13"/>
      <c r="J46" s="13"/>
      <c r="K46" s="13"/>
    </row>
    <row r="47" spans="1:11" ht="15" customHeight="1">
      <c r="A47" s="126" t="s">
        <v>277</v>
      </c>
      <c r="B47" s="127" t="s">
        <v>177</v>
      </c>
      <c r="C47" s="128">
        <f>SEMANA!I21</f>
        <v>13344.099999999999</v>
      </c>
      <c r="D47" s="126">
        <v>14196</v>
      </c>
      <c r="E47" s="129" t="str">
        <f t="shared" si="0"/>
        <v>REVISAR</v>
      </c>
      <c r="F47" s="13"/>
      <c r="G47" s="13"/>
      <c r="H47" s="13"/>
      <c r="I47" s="13"/>
      <c r="J47" s="13"/>
      <c r="K47" s="13"/>
    </row>
    <row r="48" spans="1:11" ht="15" customHeight="1">
      <c r="A48" s="126" t="s">
        <v>277</v>
      </c>
      <c r="B48" s="127" t="s">
        <v>279</v>
      </c>
      <c r="C48" s="128">
        <f>SEMANA!J21</f>
        <v>1906.2999999999997</v>
      </c>
      <c r="D48" s="126">
        <v>2028</v>
      </c>
      <c r="E48" s="129" t="str">
        <f t="shared" si="0"/>
        <v>REVISAR</v>
      </c>
      <c r="F48" s="13"/>
      <c r="G48" s="13"/>
      <c r="H48" s="13"/>
      <c r="I48" s="13"/>
      <c r="J48" s="13"/>
      <c r="K48" s="13"/>
    </row>
    <row r="49" spans="1:11" ht="15" customHeight="1">
      <c r="A49" s="126" t="s">
        <v>277</v>
      </c>
      <c r="B49" s="127" t="s">
        <v>280</v>
      </c>
      <c r="C49" s="128">
        <f>COUNTIF(SEMANA!$B$23:$H$23,"Ajustado")</f>
        <v>3</v>
      </c>
      <c r="D49" s="126">
        <v>7</v>
      </c>
      <c r="E49" s="129" t="str">
        <f t="shared" si="0"/>
        <v>REVISAR</v>
      </c>
      <c r="F49" s="13"/>
      <c r="G49" s="13"/>
      <c r="H49" s="13"/>
      <c r="I49" s="13"/>
      <c r="J49" s="13"/>
      <c r="K49" s="13"/>
    </row>
    <row r="50" spans="1:11" ht="15" customHeight="1">
      <c r="A50" s="126" t="s">
        <v>281</v>
      </c>
      <c r="B50" s="127" t="s">
        <v>282</v>
      </c>
      <c r="C50" s="128" t="str">
        <f>IF(COUNTIF(SEMANA!$L$7:$L$19,"Sin variación")=13,"SIN VARIACIONES","CON VARIACIONES")</f>
        <v>SIN VARIACIONES</v>
      </c>
      <c r="D50" s="126" t="s">
        <v>283</v>
      </c>
      <c r="E50" s="129" t="str">
        <f t="shared" si="0"/>
        <v>APROBADO</v>
      </c>
      <c r="F50" s="13"/>
      <c r="G50" s="13"/>
      <c r="H50" s="13"/>
      <c r="I50" s="13"/>
      <c r="J50" s="13"/>
      <c r="K50" s="13"/>
    </row>
    <row r="51" spans="1:11" ht="15" customHeight="1">
      <c r="A51" s="126" t="s">
        <v>281</v>
      </c>
      <c r="B51" s="127" t="s">
        <v>284</v>
      </c>
      <c r="C51" s="128" t="str">
        <f>IF(LEFT(RESULTADOS!C16,2)="OK","OK","REVISAR")</f>
        <v>OK</v>
      </c>
      <c r="D51" s="126" t="s">
        <v>285</v>
      </c>
      <c r="E51" s="129" t="str">
        <f t="shared" si="0"/>
        <v>APROBADO</v>
      </c>
      <c r="F51" s="13"/>
      <c r="G51" s="13"/>
      <c r="H51" s="13"/>
      <c r="I51" s="13"/>
      <c r="J51" s="13"/>
      <c r="K51" s="13"/>
    </row>
    <row r="52" spans="1:11">
      <c r="A52" s="13"/>
      <c r="B52" s="13"/>
      <c r="C52" s="13"/>
      <c r="D52" s="13"/>
      <c r="E52" s="13"/>
      <c r="F52" s="13"/>
      <c r="G52" s="13"/>
      <c r="H52" s="13"/>
      <c r="I52" s="13"/>
      <c r="J52" s="13"/>
      <c r="K52" s="13"/>
    </row>
    <row r="53" spans="1:11" ht="15" customHeight="1">
      <c r="A53" s="132" t="s">
        <v>286</v>
      </c>
      <c r="B53" s="133" t="s">
        <v>287</v>
      </c>
      <c r="C53" s="134">
        <f>COUNTIF(E8:E51,"APROBADO")</f>
        <v>40</v>
      </c>
      <c r="D53" s="134">
        <f>COUNTA(E8:E51)</f>
        <v>44</v>
      </c>
      <c r="E53" s="134" t="str">
        <f>IF(C53=D53,"TODAS APROBADAS","HAY PRUEBAS POR REVISAR")</f>
        <v>HAY PRUEBAS POR REVISAR</v>
      </c>
      <c r="F53" s="13"/>
      <c r="G53" s="13"/>
      <c r="H53" s="13"/>
      <c r="I53" s="13"/>
      <c r="J53" s="13"/>
      <c r="K53" s="13"/>
    </row>
    <row r="54" spans="1:11">
      <c r="A54" s="13"/>
      <c r="B54" s="13"/>
      <c r="C54" s="13"/>
      <c r="D54" s="13"/>
      <c r="E54" s="13"/>
      <c r="F54" s="13"/>
      <c r="G54" s="13"/>
      <c r="H54" s="13"/>
      <c r="I54" s="13"/>
      <c r="J54" s="13"/>
      <c r="K54" s="13"/>
    </row>
    <row r="55" spans="1:11" ht="15" customHeight="1">
      <c r="A55" s="38" t="s">
        <v>288</v>
      </c>
      <c r="B55" s="38"/>
      <c r="C55" s="38"/>
      <c r="D55" s="38"/>
      <c r="E55" s="38"/>
      <c r="F55" s="13"/>
      <c r="G55" s="13"/>
      <c r="H55" s="13"/>
      <c r="I55" s="13"/>
      <c r="J55" s="13"/>
      <c r="K55" s="13"/>
    </row>
    <row r="56" spans="1:11" ht="21.75" customHeight="1">
      <c r="A56" s="135" t="s">
        <v>289</v>
      </c>
      <c r="B56" s="135" t="s">
        <v>290</v>
      </c>
      <c r="C56" s="135" t="s">
        <v>291</v>
      </c>
      <c r="D56" s="135" t="s">
        <v>231</v>
      </c>
      <c r="E56" s="135" t="s">
        <v>292</v>
      </c>
      <c r="F56" s="13"/>
      <c r="G56" s="13"/>
      <c r="H56" s="13"/>
      <c r="I56" s="13"/>
      <c r="J56" s="13"/>
      <c r="K56" s="13"/>
    </row>
    <row r="57" spans="1:11" ht="15" customHeight="1">
      <c r="A57" s="136" t="s">
        <v>293</v>
      </c>
      <c r="B57" s="136" t="str">
        <f>IF(MAX(SEMANA!B21:H21)-MIN(SEMANA!B21:H21)&gt;0,"VARIAN","IGUALES")</f>
        <v>VARIAN</v>
      </c>
      <c r="C57" s="137" t="s">
        <v>294</v>
      </c>
      <c r="D57" s="138" t="str">
        <f t="shared" ref="D57:D66" si="1">IF(B57=C57,"OK","REVISAR")</f>
        <v>OK</v>
      </c>
      <c r="E57" s="139" t="s">
        <v>295</v>
      </c>
      <c r="F57" s="13"/>
      <c r="G57" s="13"/>
      <c r="H57" s="13"/>
      <c r="I57" s="13"/>
      <c r="J57" s="13"/>
      <c r="K57" s="13"/>
    </row>
    <row r="58" spans="1:11" ht="15" customHeight="1">
      <c r="A58" s="140" t="s">
        <v>296</v>
      </c>
      <c r="B58" s="140" t="str">
        <f>IF(INDEX(b_ener,MATCH("Aceite de soja (USDA) · INTA-0317",b_key,0))&lt;&gt;INDEX(b_ener,MATCH("Turin · INTA-0139",b_key,0)),"DISTINTO","IGUAL")</f>
        <v>DISTINTO</v>
      </c>
      <c r="C58" s="141" t="s">
        <v>297</v>
      </c>
      <c r="D58" s="142" t="str">
        <f t="shared" si="1"/>
        <v>OK</v>
      </c>
      <c r="E58" s="143" t="s">
        <v>298</v>
      </c>
      <c r="F58" s="13"/>
      <c r="G58" s="13"/>
      <c r="H58" s="13"/>
      <c r="I58" s="13"/>
      <c r="J58" s="13"/>
      <c r="K58" s="13"/>
    </row>
    <row r="59" spans="1:11" ht="15" customHeight="1">
      <c r="A59" s="136" t="s">
        <v>299</v>
      </c>
      <c r="B59" s="136" t="str">
        <f>IF(ROUND(2*(100*INDEX(b_ener,MATCH("Aceite de soja (USDA) · INTA-0317",b_key,0))/100),1)=ROUND(200*INDEX(b_ener,MATCH("Aceite de soja (USDA) · INTA-0317",b_key,0))/100,1),"DUPLICA","NO")</f>
        <v>DUPLICA</v>
      </c>
      <c r="C59" s="137" t="s">
        <v>300</v>
      </c>
      <c r="D59" s="138" t="str">
        <f t="shared" si="1"/>
        <v>OK</v>
      </c>
      <c r="E59" s="139" t="s">
        <v>301</v>
      </c>
      <c r="F59" s="13"/>
      <c r="G59" s="13"/>
      <c r="H59" s="13"/>
      <c r="I59" s="13"/>
      <c r="J59" s="13"/>
      <c r="K59" s="13"/>
    </row>
    <row r="60" spans="1:11" ht="15" customHeight="1">
      <c r="A60" s="140" t="s">
        <v>302</v>
      </c>
      <c r="B60" s="140" t="str">
        <f>IF(ROUND(SEMANA!B21,1)=ROUND(SUMIFS(MENU_SEMANAL!M9:M218,MENU_SEMANAL!A9:A218,"Lunes"),1),"OK","REV")</f>
        <v>OK</v>
      </c>
      <c r="C60" s="141" t="s">
        <v>285</v>
      </c>
      <c r="D60" s="142" t="str">
        <f t="shared" si="1"/>
        <v>OK</v>
      </c>
      <c r="E60" s="143" t="s">
        <v>303</v>
      </c>
      <c r="F60" s="13"/>
      <c r="G60" s="13"/>
      <c r="H60" s="13"/>
      <c r="I60" s="13"/>
      <c r="J60" s="13"/>
      <c r="K60" s="13"/>
    </row>
    <row r="61" spans="1:11" ht="15" customHeight="1">
      <c r="A61" s="136" t="s">
        <v>304</v>
      </c>
      <c r="B61" s="136" t="str">
        <f>IF(ROUND(SEMANA!I21,1)=ROUND(SUM(SEMANA!B21:H21),1),"OK","REV")</f>
        <v>OK</v>
      </c>
      <c r="C61" s="137" t="s">
        <v>285</v>
      </c>
      <c r="D61" s="138" t="str">
        <f t="shared" si="1"/>
        <v>OK</v>
      </c>
      <c r="E61" s="139" t="s">
        <v>305</v>
      </c>
      <c r="F61" s="13"/>
      <c r="G61" s="13"/>
      <c r="H61" s="13"/>
      <c r="I61" s="13"/>
      <c r="J61" s="13"/>
      <c r="K61" s="13"/>
    </row>
    <row r="62" spans="1:11" ht="15" customHeight="1">
      <c r="A62" s="140" t="s">
        <v>306</v>
      </c>
      <c r="B62" s="140" t="str">
        <f>IF(ROUND(SEMANA!J21,3)=ROUND(SEMANA!I21/7,3),"OK","REV")</f>
        <v>OK</v>
      </c>
      <c r="C62" s="141" t="s">
        <v>285</v>
      </c>
      <c r="D62" s="142" t="str">
        <f t="shared" si="1"/>
        <v>OK</v>
      </c>
      <c r="E62" s="143" t="s">
        <v>307</v>
      </c>
      <c r="F62" s="13"/>
      <c r="G62" s="13"/>
      <c r="H62" s="13"/>
      <c r="I62" s="13"/>
      <c r="J62" s="13"/>
      <c r="K62" s="13"/>
    </row>
    <row r="63" spans="1:11" ht="15" customHeight="1">
      <c r="A63" s="136" t="s">
        <v>308</v>
      </c>
      <c r="B63" s="136" t="str">
        <f>IF(DATOS!B34=IF(DATOS!$B$31="Misma meta para todos los días",v_meta,IF(ISNUMBER(DATOS!B33),DATOS!B33,v_meta)),"OK","REV")</f>
        <v>OK</v>
      </c>
      <c r="C63" s="137" t="s">
        <v>285</v>
      </c>
      <c r="D63" s="138" t="str">
        <f t="shared" si="1"/>
        <v>OK</v>
      </c>
      <c r="E63" s="139" t="s">
        <v>309</v>
      </c>
      <c r="F63" s="13"/>
      <c r="G63" s="13"/>
      <c r="H63" s="13"/>
      <c r="I63" s="13"/>
      <c r="J63" s="13"/>
      <c r="K63" s="13"/>
    </row>
    <row r="64" spans="1:11" ht="15" customHeight="1">
      <c r="A64" s="140" t="s">
        <v>310</v>
      </c>
      <c r="B64" s="140" t="str">
        <f>IF(INDEX(b_ener,MATCH("Champagna · INTA-0505",b_key,0))="ND","ND_OK","REV")</f>
        <v>ND_OK</v>
      </c>
      <c r="C64" s="141" t="s">
        <v>311</v>
      </c>
      <c r="D64" s="142" t="str">
        <f t="shared" si="1"/>
        <v>OK</v>
      </c>
      <c r="E64" s="143" t="s">
        <v>312</v>
      </c>
      <c r="F64" s="13"/>
      <c r="G64" s="13"/>
      <c r="H64" s="13"/>
      <c r="I64" s="13"/>
      <c r="J64" s="13"/>
      <c r="K64" s="13"/>
    </row>
    <row r="65" spans="1:11" ht="15" customHeight="1">
      <c r="A65" s="136" t="s">
        <v>313</v>
      </c>
      <c r="B65" s="136" t="str">
        <f>IF(COUNTIF(b_key,"Aceite de soja (USDA) · INTA-0317")&gt;=1,"OK","REV")</f>
        <v>OK</v>
      </c>
      <c r="C65" s="137" t="s">
        <v>285</v>
      </c>
      <c r="D65" s="138" t="str">
        <f t="shared" si="1"/>
        <v>OK</v>
      </c>
      <c r="E65" s="139" t="s">
        <v>314</v>
      </c>
      <c r="F65" s="13"/>
      <c r="G65" s="13"/>
      <c r="H65" s="13"/>
      <c r="I65" s="13"/>
      <c r="J65" s="13"/>
      <c r="K65" s="13"/>
    </row>
    <row r="66" spans="1:11" ht="15" customHeight="1">
      <c r="A66" s="140" t="s">
        <v>315</v>
      </c>
      <c r="B66" s="140" t="str">
        <f>IF(MAX(SEMANA!B21:H21)&gt;MIN(SEMANA!B21:H21),"ACTUALIZA","PLANO")</f>
        <v>ACTUALIZA</v>
      </c>
      <c r="C66" s="141" t="s">
        <v>316</v>
      </c>
      <c r="D66" s="142" t="str">
        <f t="shared" si="1"/>
        <v>OK</v>
      </c>
      <c r="E66" s="143" t="s">
        <v>317</v>
      </c>
      <c r="F66" s="13"/>
      <c r="G66" s="13"/>
      <c r="H66" s="13"/>
      <c r="I66" s="13"/>
      <c r="J66" s="13"/>
      <c r="K66" s="13"/>
    </row>
  </sheetData>
  <sheetProtection algorithmName="SHA-512" hashValue="EtDhM9ZLIW2UeqofJWJWaMPl+9pE7tDgwjKUGyFMUrKAVfxlgdDPErJrnZNEhjFQg0uvJlC6y3fYJ7RfXqBfyA==" saltValue="K2xAgy+swZNdBjy3gnCODw==" spinCount="100000" sheet="1" objects="1" scenarios="1" autoFilter="0"/>
  <mergeCells count="3">
    <mergeCell ref="A1:K2"/>
    <mergeCell ref="A4:K5"/>
    <mergeCell ref="A55:E55"/>
  </mergeCells>
  <hyperlinks>
    <hyperlink ref="A3" location="'INICIO'!A1" display="INICIO" xr:uid="{00000000-0004-0000-0700-000000000000}"/>
    <hyperlink ref="B3" location="'DATOS'!A1" display="DATOS" xr:uid="{00000000-0004-0000-0700-000001000000}"/>
    <hyperlink ref="C3" location="'DIETOSINTESIS'!A1" display="DIETOSINTESIS" xr:uid="{00000000-0004-0000-0700-000002000000}"/>
    <hyperlink ref="D3" location="'DISTRIBUCION'!A1" display="DISTRIBUCION" xr:uid="{00000000-0004-0000-0700-000003000000}"/>
    <hyperlink ref="E3" location="'MENU_SEMANAL'!A1" display="MENU_SEMANAL" xr:uid="{00000000-0004-0000-0700-000004000000}"/>
    <hyperlink ref="F3" location="'SEMANA'!A1" display="SEMANA" xr:uid="{00000000-0004-0000-0700-000005000000}"/>
    <hyperlink ref="G3" location="'RESULTADOS'!A1" display="RESULTADOS" xr:uid="{00000000-0004-0000-0700-000006000000}"/>
    <hyperlink ref="H3" location="'FUENTES'!A1" display="FUENTES" xr:uid="{00000000-0004-0000-0700-000007000000}"/>
    <hyperlink ref="I3" location="'PRUEBAS'!A1" display="PRUEBAS" xr:uid="{00000000-0004-0000-0700-000008000000}"/>
    <hyperlink ref="J3" location="'CONFIG'!A1" display="CONFIG" xr:uid="{00000000-0004-0000-0700-000009000000}"/>
    <hyperlink ref="K3" location="'CHANGELOG'!A1" display="CHANGELOG" xr:uid="{00000000-0004-0000-0700-00000A000000}"/>
  </hyperlinks>
  <pageMargins left="0.75" right="0.75" top="1" bottom="1" header="0.511811023622047" footer="0.511811023622047"/>
  <pageSetup fitToHeight="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pageSetUpPr fitToPage="1"/>
  </sheetPr>
  <dimension ref="A1:K42"/>
  <sheetViews>
    <sheetView showGridLines="0" topLeftCell="A13" zoomScale="70" zoomScaleNormal="70" workbookViewId="0">
      <selection activeCell="D45" sqref="D45"/>
    </sheetView>
  </sheetViews>
  <sheetFormatPr baseColWidth="10" defaultColWidth="8.7109375" defaultRowHeight="15"/>
  <cols>
    <col min="1" max="1" width="46" customWidth="1"/>
    <col min="2" max="5" width="18" customWidth="1"/>
    <col min="6" max="11" width="12.140625" customWidth="1"/>
  </cols>
  <sheetData>
    <row r="1" spans="1:11" ht="25.5" customHeight="1">
      <c r="A1" s="99" t="s">
        <v>318</v>
      </c>
      <c r="B1" s="99"/>
      <c r="C1" s="99"/>
      <c r="D1" s="99"/>
      <c r="E1" s="99"/>
      <c r="F1" s="99"/>
      <c r="G1" s="99"/>
      <c r="H1" s="99"/>
      <c r="I1" s="99"/>
      <c r="J1" s="99"/>
      <c r="K1" s="99"/>
    </row>
    <row r="2" spans="1:11" ht="15" customHeight="1">
      <c r="A2" s="99"/>
      <c r="B2" s="99"/>
      <c r="C2" s="99"/>
      <c r="D2" s="99"/>
      <c r="E2" s="99"/>
      <c r="F2" s="99"/>
      <c r="G2" s="99"/>
      <c r="H2" s="99"/>
      <c r="I2" s="99"/>
      <c r="J2" s="99"/>
      <c r="K2" s="99"/>
    </row>
    <row r="3" spans="1:11" ht="15.75" customHeight="1">
      <c r="A3" s="24" t="s">
        <v>2</v>
      </c>
      <c r="B3" s="24" t="s">
        <v>3</v>
      </c>
      <c r="C3" s="24" t="s">
        <v>4</v>
      </c>
      <c r="D3" s="24" t="s">
        <v>5</v>
      </c>
      <c r="E3" s="24" t="s">
        <v>6</v>
      </c>
      <c r="F3" s="24" t="s">
        <v>7</v>
      </c>
      <c r="G3" s="24" t="s">
        <v>8</v>
      </c>
      <c r="H3" s="24" t="s">
        <v>9</v>
      </c>
      <c r="I3" s="24" t="s">
        <v>10</v>
      </c>
      <c r="J3" s="8" t="s">
        <v>11</v>
      </c>
      <c r="K3" s="124" t="s">
        <v>12</v>
      </c>
    </row>
    <row r="4" spans="1:11">
      <c r="A4" s="13"/>
      <c r="B4" s="13"/>
      <c r="C4" s="13"/>
      <c r="D4" s="13"/>
      <c r="E4" s="13"/>
      <c r="F4" s="13"/>
      <c r="G4" s="13"/>
      <c r="H4" s="13"/>
      <c r="I4" s="13"/>
      <c r="J4" s="13"/>
      <c r="K4" s="13"/>
    </row>
    <row r="5" spans="1:11" ht="15.75" customHeight="1">
      <c r="A5" s="10" t="s">
        <v>319</v>
      </c>
      <c r="B5" s="10"/>
      <c r="C5" s="10"/>
      <c r="D5" s="10"/>
      <c r="E5" s="10"/>
      <c r="F5" s="10"/>
      <c r="G5" s="10"/>
      <c r="H5" s="10"/>
      <c r="I5" s="10"/>
      <c r="J5" s="10"/>
      <c r="K5" s="13"/>
    </row>
    <row r="6" spans="1:11" ht="15" customHeight="1">
      <c r="A6" s="48" t="s">
        <v>320</v>
      </c>
      <c r="B6" s="48" t="s">
        <v>321</v>
      </c>
      <c r="C6" s="48" t="s">
        <v>322</v>
      </c>
      <c r="D6" s="13"/>
      <c r="E6" s="13"/>
      <c r="F6" s="13"/>
      <c r="G6" s="13"/>
      <c r="H6" s="13"/>
      <c r="I6" s="13"/>
      <c r="J6" s="13"/>
      <c r="K6" s="13"/>
    </row>
    <row r="7" spans="1:11" ht="15" customHeight="1">
      <c r="A7" s="144" t="s">
        <v>323</v>
      </c>
      <c r="B7" s="144" t="s">
        <v>324</v>
      </c>
      <c r="C7" s="149">
        <v>4</v>
      </c>
      <c r="D7" s="13"/>
      <c r="E7" s="13"/>
      <c r="F7" s="13"/>
      <c r="G7" s="13"/>
      <c r="H7" s="13"/>
      <c r="I7" s="13"/>
      <c r="J7" s="13"/>
      <c r="K7" s="13"/>
    </row>
    <row r="8" spans="1:11" ht="15" customHeight="1">
      <c r="A8" s="144" t="s">
        <v>325</v>
      </c>
      <c r="B8" s="144" t="s">
        <v>324</v>
      </c>
      <c r="C8" s="149">
        <v>4</v>
      </c>
      <c r="D8" s="13"/>
      <c r="E8" s="13"/>
      <c r="F8" s="13"/>
      <c r="G8" s="13"/>
      <c r="H8" s="13"/>
      <c r="I8" s="13"/>
      <c r="J8" s="13"/>
      <c r="K8" s="13"/>
    </row>
    <row r="9" spans="1:11" ht="15" customHeight="1">
      <c r="A9" s="144" t="s">
        <v>326</v>
      </c>
      <c r="B9" s="144" t="s">
        <v>324</v>
      </c>
      <c r="C9" s="149">
        <v>9</v>
      </c>
      <c r="D9" s="13"/>
      <c r="E9" s="13"/>
      <c r="F9" s="13"/>
      <c r="G9" s="13"/>
      <c r="H9" s="13"/>
      <c r="I9" s="13"/>
      <c r="J9" s="13"/>
      <c r="K9" s="13"/>
    </row>
    <row r="10" spans="1:11" ht="15" customHeight="1">
      <c r="A10" s="144" t="s">
        <v>327</v>
      </c>
      <c r="B10" s="144" t="s">
        <v>328</v>
      </c>
      <c r="C10" s="150">
        <v>0.95</v>
      </c>
      <c r="D10" s="13"/>
      <c r="E10" s="13"/>
      <c r="F10" s="13"/>
      <c r="G10" s="13"/>
      <c r="H10" s="13"/>
      <c r="I10" s="13"/>
      <c r="J10" s="13"/>
      <c r="K10" s="13"/>
    </row>
    <row r="11" spans="1:11" ht="15" customHeight="1">
      <c r="A11" s="144" t="s">
        <v>329</v>
      </c>
      <c r="B11" s="144" t="s">
        <v>328</v>
      </c>
      <c r="C11" s="150">
        <v>1.05</v>
      </c>
      <c r="D11" s="13"/>
      <c r="E11" s="13"/>
      <c r="F11" s="13"/>
      <c r="G11" s="13"/>
      <c r="H11" s="13"/>
      <c r="I11" s="13"/>
      <c r="J11" s="13"/>
      <c r="K11" s="13"/>
    </row>
    <row r="12" spans="1:11" ht="15" customHeight="1">
      <c r="A12" s="144" t="s">
        <v>330</v>
      </c>
      <c r="B12" s="144" t="s">
        <v>161</v>
      </c>
      <c r="C12" s="149">
        <v>0.01</v>
      </c>
      <c r="D12" s="13"/>
      <c r="E12" s="13"/>
      <c r="F12" s="13"/>
      <c r="G12" s="13"/>
      <c r="H12" s="13"/>
      <c r="I12" s="13"/>
      <c r="J12" s="13"/>
      <c r="K12" s="13"/>
    </row>
    <row r="13" spans="1:11" ht="15" customHeight="1">
      <c r="A13" s="144" t="s">
        <v>331</v>
      </c>
      <c r="B13" s="144" t="s">
        <v>332</v>
      </c>
      <c r="C13" s="149">
        <v>1E-4</v>
      </c>
      <c r="D13" s="13"/>
      <c r="E13" s="13"/>
      <c r="F13" s="13"/>
      <c r="G13" s="13"/>
      <c r="H13" s="13"/>
      <c r="I13" s="13"/>
      <c r="J13" s="13"/>
      <c r="K13" s="13"/>
    </row>
    <row r="14" spans="1:11">
      <c r="A14" s="13"/>
      <c r="B14" s="13"/>
      <c r="C14" s="13"/>
      <c r="D14" s="13"/>
      <c r="E14" s="13"/>
      <c r="F14" s="13"/>
      <c r="G14" s="13"/>
      <c r="H14" s="13"/>
      <c r="I14" s="13"/>
      <c r="J14" s="13"/>
      <c r="K14" s="13"/>
    </row>
    <row r="15" spans="1:11" ht="15.75" customHeight="1">
      <c r="A15" s="10" t="s">
        <v>333</v>
      </c>
      <c r="B15" s="10"/>
      <c r="C15" s="10"/>
      <c r="D15" s="10"/>
      <c r="E15" s="10"/>
      <c r="F15" s="10"/>
      <c r="G15" s="10"/>
      <c r="H15" s="10"/>
      <c r="I15" s="10"/>
      <c r="J15" s="10"/>
      <c r="K15" s="13"/>
    </row>
    <row r="16" spans="1:11" ht="30" customHeight="1">
      <c r="A16" s="48" t="s">
        <v>102</v>
      </c>
      <c r="B16" s="48" t="s">
        <v>104</v>
      </c>
      <c r="C16" s="48" t="s">
        <v>105</v>
      </c>
      <c r="D16" s="48" t="s">
        <v>106</v>
      </c>
      <c r="E16" s="48" t="s">
        <v>107</v>
      </c>
      <c r="F16" s="13"/>
      <c r="G16" s="13"/>
      <c r="H16" s="13"/>
      <c r="I16" s="13"/>
      <c r="J16" s="13"/>
      <c r="K16" s="13"/>
    </row>
    <row r="17" spans="1:11" ht="15" customHeight="1">
      <c r="A17" s="127" t="s">
        <v>334</v>
      </c>
      <c r="B17" s="151">
        <v>10</v>
      </c>
      <c r="C17" s="151">
        <v>7</v>
      </c>
      <c r="D17" s="151">
        <v>0</v>
      </c>
      <c r="E17" s="128">
        <v>70</v>
      </c>
      <c r="F17" s="13"/>
      <c r="G17" s="13"/>
      <c r="H17" s="13"/>
      <c r="I17" s="13"/>
      <c r="J17" s="13"/>
      <c r="K17" s="13"/>
    </row>
    <row r="18" spans="1:11" ht="15" customHeight="1">
      <c r="A18" s="127" t="s">
        <v>335</v>
      </c>
      <c r="B18" s="151">
        <v>9</v>
      </c>
      <c r="C18" s="151">
        <v>5</v>
      </c>
      <c r="D18" s="151">
        <v>3</v>
      </c>
      <c r="E18" s="128">
        <v>85</v>
      </c>
      <c r="F18" s="13"/>
      <c r="G18" s="13"/>
      <c r="H18" s="13"/>
      <c r="I18" s="13"/>
      <c r="J18" s="13"/>
      <c r="K18" s="13"/>
    </row>
    <row r="19" spans="1:11" ht="15" customHeight="1">
      <c r="A19" s="127" t="s">
        <v>336</v>
      </c>
      <c r="B19" s="151">
        <v>9</v>
      </c>
      <c r="C19" s="151">
        <v>5</v>
      </c>
      <c r="D19" s="151">
        <v>6</v>
      </c>
      <c r="E19" s="128">
        <v>110</v>
      </c>
      <c r="F19" s="13"/>
      <c r="G19" s="13"/>
      <c r="H19" s="13"/>
      <c r="I19" s="13"/>
      <c r="J19" s="13"/>
      <c r="K19" s="13"/>
    </row>
    <row r="20" spans="1:11" ht="15" customHeight="1">
      <c r="A20" s="127" t="s">
        <v>337</v>
      </c>
      <c r="B20" s="151">
        <v>5</v>
      </c>
      <c r="C20" s="151">
        <v>2</v>
      </c>
      <c r="D20" s="151">
        <v>0</v>
      </c>
      <c r="E20" s="128">
        <v>30</v>
      </c>
      <c r="F20" s="13"/>
      <c r="G20" s="13"/>
      <c r="H20" s="13"/>
      <c r="I20" s="13"/>
      <c r="J20" s="13"/>
      <c r="K20" s="13"/>
    </row>
    <row r="21" spans="1:11" ht="15" customHeight="1">
      <c r="A21" s="127" t="s">
        <v>338</v>
      </c>
      <c r="B21" s="151">
        <v>2.5</v>
      </c>
      <c r="C21" s="151">
        <v>0</v>
      </c>
      <c r="D21" s="151">
        <v>0</v>
      </c>
      <c r="E21" s="128">
        <v>10</v>
      </c>
      <c r="F21" s="13"/>
      <c r="G21" s="13"/>
      <c r="H21" s="13"/>
      <c r="I21" s="13"/>
      <c r="J21" s="13"/>
      <c r="K21" s="13"/>
    </row>
    <row r="22" spans="1:11" ht="15" customHeight="1">
      <c r="A22" s="127" t="s">
        <v>339</v>
      </c>
      <c r="B22" s="151">
        <v>15</v>
      </c>
      <c r="C22" s="151">
        <v>0</v>
      </c>
      <c r="D22" s="151">
        <v>0</v>
      </c>
      <c r="E22" s="128">
        <v>60</v>
      </c>
      <c r="F22" s="13"/>
      <c r="G22" s="13"/>
      <c r="H22" s="13"/>
      <c r="I22" s="13"/>
      <c r="J22" s="13"/>
      <c r="K22" s="13"/>
    </row>
    <row r="23" spans="1:11" ht="15" customHeight="1">
      <c r="A23" s="127" t="s">
        <v>340</v>
      </c>
      <c r="B23" s="151">
        <v>30</v>
      </c>
      <c r="C23" s="151">
        <v>3</v>
      </c>
      <c r="D23" s="151">
        <v>1</v>
      </c>
      <c r="E23" s="128">
        <v>140</v>
      </c>
      <c r="F23" s="13"/>
      <c r="G23" s="13"/>
      <c r="H23" s="13"/>
      <c r="I23" s="13"/>
      <c r="J23" s="13"/>
      <c r="K23" s="13"/>
    </row>
    <row r="24" spans="1:11" ht="15" customHeight="1">
      <c r="A24" s="127" t="s">
        <v>341</v>
      </c>
      <c r="B24" s="151">
        <v>30</v>
      </c>
      <c r="C24" s="151">
        <v>11</v>
      </c>
      <c r="D24" s="151">
        <v>1</v>
      </c>
      <c r="E24" s="128">
        <v>170</v>
      </c>
      <c r="F24" s="13"/>
      <c r="G24" s="13"/>
      <c r="H24" s="13"/>
      <c r="I24" s="13"/>
      <c r="J24" s="13"/>
      <c r="K24" s="13"/>
    </row>
    <row r="25" spans="1:11" ht="15" customHeight="1">
      <c r="A25" s="127" t="s">
        <v>342</v>
      </c>
      <c r="B25" s="151">
        <v>1</v>
      </c>
      <c r="C25" s="151">
        <v>11</v>
      </c>
      <c r="D25" s="151">
        <v>2</v>
      </c>
      <c r="E25" s="128">
        <v>65</v>
      </c>
      <c r="F25" s="13"/>
      <c r="G25" s="13"/>
      <c r="H25" s="13"/>
      <c r="I25" s="13"/>
      <c r="J25" s="13"/>
      <c r="K25" s="13"/>
    </row>
    <row r="26" spans="1:11" ht="15" customHeight="1">
      <c r="A26" s="127" t="s">
        <v>343</v>
      </c>
      <c r="B26" s="151">
        <v>1</v>
      </c>
      <c r="C26" s="151">
        <v>11</v>
      </c>
      <c r="D26" s="151">
        <v>8</v>
      </c>
      <c r="E26" s="128">
        <v>120</v>
      </c>
      <c r="F26" s="13"/>
      <c r="G26" s="13"/>
      <c r="H26" s="13"/>
      <c r="I26" s="13"/>
      <c r="J26" s="13"/>
      <c r="K26" s="13"/>
    </row>
    <row r="27" spans="1:11" ht="15" customHeight="1">
      <c r="A27" s="127" t="s">
        <v>344</v>
      </c>
      <c r="B27" s="151">
        <v>0</v>
      </c>
      <c r="C27" s="151">
        <v>0</v>
      </c>
      <c r="D27" s="151">
        <v>5</v>
      </c>
      <c r="E27" s="128">
        <v>45</v>
      </c>
      <c r="F27" s="13"/>
      <c r="G27" s="13"/>
      <c r="H27" s="13"/>
      <c r="I27" s="13"/>
      <c r="J27" s="13"/>
      <c r="K27" s="13"/>
    </row>
    <row r="28" spans="1:11" ht="15" customHeight="1">
      <c r="A28" s="127" t="s">
        <v>345</v>
      </c>
      <c r="B28" s="151">
        <v>5</v>
      </c>
      <c r="C28" s="151">
        <v>5</v>
      </c>
      <c r="D28" s="151">
        <v>15</v>
      </c>
      <c r="E28" s="128">
        <v>175</v>
      </c>
      <c r="F28" s="13"/>
      <c r="G28" s="13"/>
      <c r="H28" s="13"/>
      <c r="I28" s="13"/>
      <c r="J28" s="13"/>
      <c r="K28" s="13"/>
    </row>
    <row r="29" spans="1:11" ht="15" customHeight="1">
      <c r="A29" s="127" t="s">
        <v>346</v>
      </c>
      <c r="B29" s="151">
        <v>5</v>
      </c>
      <c r="C29" s="151">
        <v>0</v>
      </c>
      <c r="D29" s="151">
        <v>0</v>
      </c>
      <c r="E29" s="128">
        <v>20</v>
      </c>
      <c r="F29" s="13"/>
      <c r="G29" s="13"/>
      <c r="H29" s="13"/>
      <c r="I29" s="13"/>
      <c r="J29" s="13"/>
      <c r="K29" s="13"/>
    </row>
    <row r="30" spans="1:11" ht="15" customHeight="1">
      <c r="A30" s="145" t="s">
        <v>347</v>
      </c>
      <c r="B30" s="145"/>
      <c r="C30" s="145"/>
      <c r="D30" s="145"/>
      <c r="E30" s="145"/>
      <c r="F30" s="145"/>
      <c r="G30" s="145"/>
      <c r="H30" s="145"/>
      <c r="I30" s="145"/>
      <c r="J30" s="145"/>
      <c r="K30" s="13"/>
    </row>
    <row r="31" spans="1:11">
      <c r="A31" s="13"/>
      <c r="B31" s="13"/>
      <c r="C31" s="13"/>
      <c r="D31" s="13"/>
      <c r="E31" s="13"/>
      <c r="F31" s="13"/>
      <c r="G31" s="13"/>
      <c r="H31" s="13"/>
      <c r="I31" s="13"/>
      <c r="J31" s="13"/>
      <c r="K31" s="13"/>
    </row>
    <row r="32" spans="1:11" ht="15.75" customHeight="1">
      <c r="A32" s="10" t="s">
        <v>348</v>
      </c>
      <c r="B32" s="10"/>
      <c r="C32" s="10"/>
      <c r="D32" s="10"/>
      <c r="E32" s="10"/>
      <c r="F32" s="10"/>
      <c r="G32" s="10"/>
      <c r="H32" s="10"/>
      <c r="I32" s="10"/>
      <c r="J32" s="10"/>
      <c r="K32" s="13"/>
    </row>
    <row r="33" spans="1:11" ht="24" customHeight="1">
      <c r="A33" s="48" t="s">
        <v>169</v>
      </c>
      <c r="B33" s="48" t="s">
        <v>349</v>
      </c>
      <c r="C33" s="13"/>
      <c r="D33" s="13"/>
      <c r="E33" s="13"/>
      <c r="F33" s="13"/>
      <c r="G33" s="13"/>
      <c r="H33" s="13"/>
      <c r="I33" s="13"/>
      <c r="J33" s="13"/>
      <c r="K33" s="13"/>
    </row>
    <row r="34" spans="1:11" ht="15" customHeight="1">
      <c r="A34" s="127" t="s">
        <v>350</v>
      </c>
      <c r="B34" s="152">
        <v>0.2</v>
      </c>
      <c r="C34" s="13"/>
      <c r="D34" s="13"/>
      <c r="E34" s="13"/>
      <c r="F34" s="13"/>
      <c r="G34" s="13"/>
      <c r="H34" s="13"/>
      <c r="I34" s="13"/>
      <c r="J34" s="13"/>
      <c r="K34" s="13"/>
    </row>
    <row r="35" spans="1:11" ht="15" customHeight="1">
      <c r="A35" s="127" t="s">
        <v>351</v>
      </c>
      <c r="B35" s="152">
        <v>0.05</v>
      </c>
      <c r="C35" s="13"/>
      <c r="D35" s="13"/>
      <c r="E35" s="13"/>
      <c r="F35" s="13"/>
      <c r="G35" s="13"/>
      <c r="H35" s="13"/>
      <c r="I35" s="13"/>
      <c r="J35" s="13"/>
      <c r="K35" s="13"/>
    </row>
    <row r="36" spans="1:11" ht="15" customHeight="1">
      <c r="A36" s="127" t="s">
        <v>352</v>
      </c>
      <c r="B36" s="152">
        <v>0.3</v>
      </c>
      <c r="C36" s="13"/>
      <c r="D36" s="13"/>
      <c r="E36" s="13"/>
      <c r="F36" s="13"/>
      <c r="G36" s="13"/>
      <c r="H36" s="13"/>
      <c r="I36" s="13"/>
      <c r="J36" s="13"/>
      <c r="K36" s="13"/>
    </row>
    <row r="37" spans="1:11" ht="15" customHeight="1">
      <c r="A37" s="127" t="s">
        <v>353</v>
      </c>
      <c r="B37" s="152">
        <v>0.2</v>
      </c>
      <c r="C37" s="13"/>
      <c r="D37" s="13"/>
      <c r="E37" s="13"/>
      <c r="F37" s="13"/>
      <c r="G37" s="13"/>
      <c r="H37" s="13"/>
      <c r="I37" s="13"/>
      <c r="J37" s="13"/>
      <c r="K37" s="13"/>
    </row>
    <row r="38" spans="1:11" ht="15" customHeight="1">
      <c r="A38" s="127" t="s">
        <v>354</v>
      </c>
      <c r="B38" s="152">
        <v>0.2</v>
      </c>
      <c r="C38" s="13"/>
      <c r="D38" s="13"/>
      <c r="E38" s="13"/>
      <c r="F38" s="13"/>
      <c r="G38" s="13"/>
      <c r="H38" s="13"/>
      <c r="I38" s="13"/>
      <c r="J38" s="13"/>
      <c r="K38" s="13"/>
    </row>
    <row r="39" spans="1:11" ht="15" customHeight="1">
      <c r="A39" s="127" t="s">
        <v>355</v>
      </c>
      <c r="B39" s="152">
        <v>0.05</v>
      </c>
      <c r="C39" s="13"/>
      <c r="D39" s="13"/>
      <c r="E39" s="13"/>
      <c r="F39" s="13"/>
      <c r="G39" s="13"/>
      <c r="H39" s="13"/>
      <c r="I39" s="13"/>
      <c r="J39" s="13"/>
      <c r="K39" s="13"/>
    </row>
    <row r="40" spans="1:11" ht="15" customHeight="1">
      <c r="A40" s="146" t="s">
        <v>356</v>
      </c>
      <c r="B40" s="147">
        <f>SUM(B34:B39)</f>
        <v>1</v>
      </c>
      <c r="C40" s="13"/>
      <c r="D40" s="13"/>
      <c r="E40" s="13"/>
      <c r="F40" s="13"/>
      <c r="G40" s="13"/>
      <c r="H40" s="13"/>
      <c r="I40" s="13"/>
      <c r="J40" s="13"/>
      <c r="K40" s="13"/>
    </row>
    <row r="41" spans="1:11" ht="15" customHeight="1">
      <c r="A41" s="148" t="s">
        <v>357</v>
      </c>
      <c r="B41" s="148"/>
      <c r="C41" s="148"/>
      <c r="D41" s="148"/>
      <c r="E41" s="148"/>
      <c r="F41" s="148"/>
      <c r="G41" s="148"/>
      <c r="H41" s="148"/>
      <c r="I41" s="148"/>
      <c r="J41" s="148"/>
      <c r="K41" s="13"/>
    </row>
    <row r="42" spans="1:11" ht="15" customHeight="1">
      <c r="A42" s="148"/>
      <c r="B42" s="148"/>
      <c r="C42" s="148"/>
      <c r="D42" s="148"/>
      <c r="E42" s="148"/>
      <c r="F42" s="148"/>
      <c r="G42" s="148"/>
      <c r="H42" s="148"/>
      <c r="I42" s="148"/>
      <c r="J42" s="148"/>
      <c r="K42" s="13"/>
    </row>
  </sheetData>
  <sheetProtection algorithmName="SHA-512" hashValue="C4YDkqn/DKTS4ckvbgqV0Op1TuQPZXapP1wrtIQvEiTw5RPABheE8yw3vx7b85xXgDHE7tkJprPtwCmuJBY9qw==" saltValue="hjKd6sUk2FSfj3J4acu7Dg==" spinCount="100000" sheet="1" objects="1" scenarios="1" autoFilter="0"/>
  <mergeCells count="6">
    <mergeCell ref="A41:J42"/>
    <mergeCell ref="A1:K2"/>
    <mergeCell ref="A5:J5"/>
    <mergeCell ref="A15:J15"/>
    <mergeCell ref="A30:J30"/>
    <mergeCell ref="A32:J32"/>
  </mergeCells>
  <hyperlinks>
    <hyperlink ref="A3" location="'INICIO'!A1" display="INICIO" xr:uid="{00000000-0004-0000-0800-000000000000}"/>
    <hyperlink ref="B3" location="'DATOS'!A1" display="DATOS" xr:uid="{00000000-0004-0000-0800-000001000000}"/>
    <hyperlink ref="C3" location="'DIETOSINTESIS'!A1" display="DIETOSINTESIS" xr:uid="{00000000-0004-0000-0800-000002000000}"/>
    <hyperlink ref="D3" location="'DISTRIBUCION'!A1" display="DISTRIBUCION" xr:uid="{00000000-0004-0000-0800-000003000000}"/>
    <hyperlink ref="E3" location="'MENU_SEMANAL'!A1" display="MENU_SEMANAL" xr:uid="{00000000-0004-0000-0800-000004000000}"/>
    <hyperlink ref="F3" location="'SEMANA'!A1" display="SEMANA" xr:uid="{00000000-0004-0000-0800-000005000000}"/>
    <hyperlink ref="G3" location="'RESULTADOS'!A1" display="RESULTADOS" xr:uid="{00000000-0004-0000-0800-000006000000}"/>
    <hyperlink ref="H3" location="'FUENTES'!A1" display="FUENTES" xr:uid="{00000000-0004-0000-0800-000007000000}"/>
    <hyperlink ref="I3" location="'PRUEBAS'!A1" display="PRUEBAS" xr:uid="{00000000-0004-0000-0800-000008000000}"/>
    <hyperlink ref="J3" location="'CONFIG'!A1" display="CONFIG" xr:uid="{00000000-0004-0000-0800-000009000000}"/>
    <hyperlink ref="K3" location="'CHANGELOG'!A1" display="CHANGELOG" xr:uid="{00000000-0004-0000-0800-00000A000000}"/>
  </hyperlinks>
  <pageMargins left="0.75" right="0.75" top="1" bottom="1" header="0.511811023622047" footer="0.511811023622047"/>
  <pageSetup fitToHeight="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pageSetUpPr fitToPage="1"/>
  </sheetPr>
  <dimension ref="A1:K14"/>
  <sheetViews>
    <sheetView showGridLines="0" zoomScaleNormal="100" workbookViewId="0">
      <selection activeCell="O10" sqref="O10"/>
    </sheetView>
  </sheetViews>
  <sheetFormatPr baseColWidth="10" defaultColWidth="8.7109375" defaultRowHeight="15"/>
  <cols>
    <col min="1" max="1" width="10" customWidth="1"/>
    <col min="2" max="2" width="13" customWidth="1"/>
    <col min="3" max="3" width="66" customWidth="1"/>
    <col min="4" max="4" width="48" customWidth="1"/>
    <col min="5" max="5" width="15.7109375" customWidth="1"/>
    <col min="6" max="11" width="12.5703125" customWidth="1"/>
  </cols>
  <sheetData>
    <row r="1" spans="1:11" ht="25.5" customHeight="1">
      <c r="A1" s="23" t="s">
        <v>12</v>
      </c>
      <c r="B1" s="23"/>
      <c r="C1" s="23"/>
      <c r="D1" s="23"/>
      <c r="E1" s="23"/>
      <c r="F1" s="23"/>
      <c r="G1" s="23"/>
      <c r="H1" s="23"/>
      <c r="I1" s="23"/>
      <c r="J1" s="23"/>
      <c r="K1" s="23"/>
    </row>
    <row r="2" spans="1:11" ht="15" customHeight="1">
      <c r="A2" s="23"/>
      <c r="B2" s="23"/>
      <c r="C2" s="23"/>
      <c r="D2" s="23"/>
      <c r="E2" s="23"/>
      <c r="F2" s="23"/>
      <c r="G2" s="23"/>
      <c r="H2" s="23"/>
      <c r="I2" s="23"/>
      <c r="J2" s="23"/>
      <c r="K2" s="23"/>
    </row>
    <row r="3" spans="1:11" ht="15.75" customHeight="1">
      <c r="A3" s="24" t="s">
        <v>2</v>
      </c>
      <c r="B3" s="24" t="s">
        <v>3</v>
      </c>
      <c r="C3" s="24" t="s">
        <v>4</v>
      </c>
      <c r="D3" s="24" t="s">
        <v>5</v>
      </c>
      <c r="E3" s="24" t="s">
        <v>6</v>
      </c>
      <c r="F3" s="24" t="s">
        <v>7</v>
      </c>
      <c r="G3" s="24" t="s">
        <v>8</v>
      </c>
      <c r="H3" s="24" t="s">
        <v>9</v>
      </c>
      <c r="I3" s="24" t="s">
        <v>10</v>
      </c>
      <c r="J3" s="24" t="s">
        <v>11</v>
      </c>
      <c r="K3" s="153" t="s">
        <v>12</v>
      </c>
    </row>
    <row r="4" spans="1:11">
      <c r="A4" s="13"/>
      <c r="B4" s="13"/>
      <c r="C4" s="13"/>
      <c r="D4" s="13"/>
      <c r="E4" s="13"/>
      <c r="F4" s="13"/>
      <c r="G4" s="13"/>
      <c r="H4" s="13"/>
      <c r="I4" s="13"/>
      <c r="J4" s="13"/>
      <c r="K4" s="13"/>
    </row>
    <row r="5" spans="1:11" ht="26.25" customHeight="1">
      <c r="A5" s="48" t="s">
        <v>16</v>
      </c>
      <c r="B5" s="48" t="s">
        <v>18</v>
      </c>
      <c r="C5" s="154" t="s">
        <v>358</v>
      </c>
      <c r="D5" s="154"/>
      <c r="E5" s="155" t="s">
        <v>359</v>
      </c>
      <c r="F5" s="155"/>
      <c r="G5" s="155"/>
      <c r="H5" s="155"/>
      <c r="I5" s="155"/>
      <c r="J5" s="155"/>
      <c r="K5" s="13"/>
    </row>
    <row r="6" spans="1:11" ht="36" customHeight="1">
      <c r="A6" s="156" t="s">
        <v>17</v>
      </c>
      <c r="B6" s="156" t="s">
        <v>19</v>
      </c>
      <c r="C6" s="157" t="s">
        <v>360</v>
      </c>
      <c r="D6" s="157"/>
      <c r="E6" s="157" t="s">
        <v>361</v>
      </c>
      <c r="F6" s="157"/>
      <c r="G6" s="157"/>
      <c r="H6" s="157"/>
      <c r="I6" s="157"/>
      <c r="J6" s="157"/>
      <c r="K6" s="13"/>
    </row>
    <row r="7" spans="1:11" ht="39" customHeight="1">
      <c r="A7" s="156" t="s">
        <v>17</v>
      </c>
      <c r="B7" s="156" t="s">
        <v>19</v>
      </c>
      <c r="C7" s="157" t="s">
        <v>362</v>
      </c>
      <c r="D7" s="157"/>
      <c r="E7" s="157" t="s">
        <v>363</v>
      </c>
      <c r="F7" s="157"/>
      <c r="G7" s="157"/>
      <c r="H7" s="157"/>
      <c r="I7" s="157"/>
      <c r="J7" s="157"/>
      <c r="K7" s="13"/>
    </row>
    <row r="8" spans="1:11" ht="42.75" customHeight="1">
      <c r="A8" s="156" t="s">
        <v>17</v>
      </c>
      <c r="B8" s="156" t="s">
        <v>19</v>
      </c>
      <c r="C8" s="157" t="s">
        <v>364</v>
      </c>
      <c r="D8" s="157"/>
      <c r="E8" s="157" t="s">
        <v>365</v>
      </c>
      <c r="F8" s="157"/>
      <c r="G8" s="157"/>
      <c r="H8" s="157"/>
      <c r="I8" s="157"/>
      <c r="J8" s="157"/>
      <c r="K8" s="13"/>
    </row>
    <row r="9" spans="1:11" ht="37.5" customHeight="1">
      <c r="A9" s="156" t="s">
        <v>17</v>
      </c>
      <c r="B9" s="156" t="s">
        <v>19</v>
      </c>
      <c r="C9" s="157" t="s">
        <v>366</v>
      </c>
      <c r="D9" s="157"/>
      <c r="E9" s="157" t="s">
        <v>367</v>
      </c>
      <c r="F9" s="157"/>
      <c r="G9" s="157"/>
      <c r="H9" s="157"/>
      <c r="I9" s="157"/>
      <c r="J9" s="157"/>
      <c r="K9" s="13"/>
    </row>
    <row r="10" spans="1:11" ht="38.25" customHeight="1">
      <c r="A10" s="156" t="s">
        <v>368</v>
      </c>
      <c r="B10" s="156" t="s">
        <v>19</v>
      </c>
      <c r="C10" s="158" t="s">
        <v>369</v>
      </c>
      <c r="D10" s="158"/>
      <c r="E10" s="158"/>
      <c r="F10" s="158"/>
      <c r="G10" s="158"/>
      <c r="H10" s="158"/>
      <c r="I10" s="158"/>
      <c r="J10" s="158"/>
      <c r="K10" s="13"/>
    </row>
    <row r="11" spans="1:11" ht="51" customHeight="1">
      <c r="A11" s="156" t="s">
        <v>370</v>
      </c>
      <c r="B11" s="156" t="s">
        <v>371</v>
      </c>
      <c r="C11" s="157" t="s">
        <v>372</v>
      </c>
      <c r="D11" s="157"/>
      <c r="E11" s="157" t="s">
        <v>373</v>
      </c>
      <c r="F11" s="157"/>
      <c r="G11" s="157"/>
      <c r="H11" s="157"/>
      <c r="I11" s="157"/>
      <c r="J11" s="157"/>
      <c r="K11" s="13"/>
    </row>
    <row r="12" spans="1:11" ht="51" customHeight="1">
      <c r="A12" s="156" t="s">
        <v>374</v>
      </c>
      <c r="B12" s="156" t="s">
        <v>371</v>
      </c>
      <c r="C12" s="157" t="s">
        <v>375</v>
      </c>
      <c r="D12" s="157"/>
      <c r="E12" s="157" t="s">
        <v>376</v>
      </c>
      <c r="F12" s="157"/>
      <c r="G12" s="157"/>
      <c r="H12" s="157"/>
      <c r="I12" s="157"/>
      <c r="J12" s="157"/>
      <c r="K12" s="13"/>
    </row>
    <row r="13" spans="1:11" ht="51" customHeight="1">
      <c r="A13" s="156" t="s">
        <v>377</v>
      </c>
      <c r="B13" s="156" t="s">
        <v>378</v>
      </c>
      <c r="C13" s="157" t="s">
        <v>379</v>
      </c>
      <c r="D13" s="157"/>
      <c r="E13" s="157" t="s">
        <v>380</v>
      </c>
      <c r="F13" s="157"/>
      <c r="G13" s="157"/>
      <c r="H13" s="157"/>
      <c r="I13" s="157"/>
      <c r="J13" s="157"/>
      <c r="K13" s="13"/>
    </row>
    <row r="14" spans="1:11" ht="51" customHeight="1">
      <c r="A14" s="156" t="s">
        <v>381</v>
      </c>
      <c r="B14" s="156" t="s">
        <v>378</v>
      </c>
      <c r="C14" s="157" t="s">
        <v>382</v>
      </c>
      <c r="D14" s="157"/>
      <c r="E14" s="157" t="s">
        <v>383</v>
      </c>
      <c r="F14" s="157"/>
      <c r="G14" s="157"/>
      <c r="H14" s="157"/>
      <c r="I14" s="157"/>
      <c r="J14" s="157"/>
      <c r="K14" s="13"/>
    </row>
  </sheetData>
  <sheetProtection algorithmName="SHA-512" hashValue="fQ4Kpybl727TlSDX/Ytr3EmRrxNe0wCtlq0wNrKFc0aF2MU0Gyo67zdgvtTPTz4VY9BpZC5ks26/0xTsQlWexQ==" saltValue="KDPaNUVovx91y+GLYjzMgA==" spinCount="100000" sheet="1" objects="1" scenarios="1" autoFilter="0"/>
  <mergeCells count="20">
    <mergeCell ref="C13:D13"/>
    <mergeCell ref="E13:J13"/>
    <mergeCell ref="C14:D14"/>
    <mergeCell ref="E14:J14"/>
    <mergeCell ref="C10:J10"/>
    <mergeCell ref="C11:D11"/>
    <mergeCell ref="E11:J11"/>
    <mergeCell ref="C12:D12"/>
    <mergeCell ref="E12:J12"/>
    <mergeCell ref="C7:D7"/>
    <mergeCell ref="E7:J7"/>
    <mergeCell ref="C8:D8"/>
    <mergeCell ref="E8:J8"/>
    <mergeCell ref="C9:D9"/>
    <mergeCell ref="E9:J9"/>
    <mergeCell ref="A1:K2"/>
    <mergeCell ref="C5:D5"/>
    <mergeCell ref="E5:J5"/>
    <mergeCell ref="C6:D6"/>
    <mergeCell ref="E6:J6"/>
  </mergeCells>
  <hyperlinks>
    <hyperlink ref="A3" location="'INICIO'!A1" display="INICIO" xr:uid="{00000000-0004-0000-0900-000000000000}"/>
    <hyperlink ref="B3" location="'DATOS'!A1" display="DATOS" xr:uid="{00000000-0004-0000-0900-000001000000}"/>
    <hyperlink ref="C3" location="'DIETOSINTESIS'!A1" display="DIETOSINTESIS" xr:uid="{00000000-0004-0000-0900-000002000000}"/>
    <hyperlink ref="D3" location="'DISTRIBUCION'!A1" display="DISTRIBUCION" xr:uid="{00000000-0004-0000-0900-000003000000}"/>
    <hyperlink ref="E3" location="'MENU_SEMANAL'!A1" display="MENU_SEMANAL" xr:uid="{00000000-0004-0000-0900-000004000000}"/>
    <hyperlink ref="F3" location="'SEMANA'!A1" display="SEMANA" xr:uid="{00000000-0004-0000-0900-000005000000}"/>
    <hyperlink ref="G3" location="'RESULTADOS'!A1" display="RESULTADOS" xr:uid="{00000000-0004-0000-0900-000006000000}"/>
    <hyperlink ref="H3" location="'FUENTES'!A1" display="FUENTES" xr:uid="{00000000-0004-0000-0900-000007000000}"/>
    <hyperlink ref="I3" location="'PRUEBAS'!A1" display="PRUEBAS" xr:uid="{00000000-0004-0000-0900-000008000000}"/>
    <hyperlink ref="J3" location="'CONFIG'!A1" display="CONFIG" xr:uid="{00000000-0004-0000-0900-000009000000}"/>
    <hyperlink ref="K3" location="'CHANGELOG'!A1" display="CHANGELOG" xr:uid="{00000000-0004-0000-0900-00000A000000}"/>
  </hyperlinks>
  <pageMargins left="0.75" right="0.75" top="1" bottom="1" header="0.511811023622047" footer="0.511811023622047"/>
  <pageSetup fitToHeight="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Q649"/>
  <sheetViews>
    <sheetView showGridLines="0" zoomScale="85" zoomScaleNormal="85" workbookViewId="0">
      <pane ySplit="7" topLeftCell="A8" activePane="bottomLeft" state="frozen"/>
      <selection pane="bottomLeft" activeCell="J85" sqref="J84:J85"/>
    </sheetView>
  </sheetViews>
  <sheetFormatPr baseColWidth="10" defaultColWidth="9.140625" defaultRowHeight="15"/>
  <cols>
    <col min="1" max="1" width="11" customWidth="1"/>
    <col min="2" max="2" width="30" customWidth="1"/>
    <col min="3" max="3" width="22" customWidth="1"/>
    <col min="4" max="6" width="13" customWidth="1"/>
    <col min="7" max="7" width="14" customWidth="1"/>
    <col min="8" max="9" width="12" customWidth="1"/>
    <col min="10" max="10" width="16" customWidth="1"/>
    <col min="11" max="12" width="14" customWidth="1"/>
    <col min="13" max="13" width="16" customWidth="1"/>
    <col min="14" max="14" width="34" customWidth="1"/>
    <col min="16" max="16" width="24" customWidth="1"/>
    <col min="17" max="17" width="8" customWidth="1"/>
  </cols>
  <sheetData>
    <row r="1" spans="1:17" ht="25.5" customHeight="1">
      <c r="A1" s="23" t="s">
        <v>384</v>
      </c>
      <c r="B1" s="23"/>
      <c r="C1" s="23"/>
      <c r="D1" s="23"/>
      <c r="E1" s="23"/>
      <c r="F1" s="23"/>
      <c r="G1" s="23"/>
      <c r="H1" s="23"/>
      <c r="I1" s="23"/>
      <c r="J1" s="23"/>
      <c r="K1" s="23"/>
      <c r="L1" s="23"/>
      <c r="M1" s="23"/>
      <c r="N1" s="23"/>
      <c r="O1" s="13"/>
      <c r="P1" s="13"/>
      <c r="Q1" s="13"/>
    </row>
    <row r="2" spans="1:17" ht="15.75" customHeight="1">
      <c r="A2" s="38" t="s">
        <v>385</v>
      </c>
      <c r="B2" s="38"/>
      <c r="C2" s="38"/>
      <c r="D2" s="38"/>
      <c r="E2" s="38"/>
      <c r="F2" s="38"/>
      <c r="G2" s="38"/>
      <c r="H2" s="38"/>
      <c r="I2" s="38"/>
      <c r="J2" s="38"/>
      <c r="K2" s="38"/>
      <c r="L2" s="38"/>
      <c r="M2" s="38"/>
      <c r="N2" s="38"/>
      <c r="O2" s="13"/>
      <c r="P2" s="13"/>
      <c r="Q2" s="13"/>
    </row>
    <row r="3" spans="1:17" ht="15.75" customHeight="1">
      <c r="A3" s="124" t="s">
        <v>2</v>
      </c>
      <c r="B3" s="124" t="s">
        <v>3</v>
      </c>
      <c r="C3" s="124" t="s">
        <v>4</v>
      </c>
      <c r="D3" s="124" t="s">
        <v>5</v>
      </c>
      <c r="E3" s="124" t="s">
        <v>6</v>
      </c>
      <c r="F3" s="124" t="s">
        <v>7</v>
      </c>
      <c r="G3" s="124" t="s">
        <v>8</v>
      </c>
      <c r="H3" s="124" t="s">
        <v>9</v>
      </c>
      <c r="I3" s="124" t="s">
        <v>10</v>
      </c>
      <c r="J3" s="124" t="s">
        <v>11</v>
      </c>
      <c r="K3" s="159" t="s">
        <v>12</v>
      </c>
      <c r="L3" s="159"/>
      <c r="M3" s="159"/>
      <c r="N3" s="159"/>
      <c r="O3" s="13"/>
      <c r="P3" s="13"/>
      <c r="Q3" s="13"/>
    </row>
    <row r="4" spans="1:17">
      <c r="A4" s="13"/>
      <c r="B4" s="13"/>
      <c r="C4" s="13"/>
      <c r="D4" s="13"/>
      <c r="E4" s="13"/>
      <c r="F4" s="13"/>
      <c r="G4" s="13"/>
      <c r="H4" s="13"/>
      <c r="I4" s="13"/>
      <c r="J4" s="13"/>
      <c r="K4" s="13"/>
      <c r="L4" s="13"/>
      <c r="M4" s="13"/>
      <c r="N4" s="13"/>
      <c r="O4" s="13"/>
      <c r="P4" s="13"/>
      <c r="Q4" s="13"/>
    </row>
    <row r="5" spans="1:17">
      <c r="A5" s="13"/>
      <c r="B5" s="13"/>
      <c r="C5" s="13"/>
      <c r="D5" s="13"/>
      <c r="E5" s="13"/>
      <c r="F5" s="13"/>
      <c r="G5" s="13"/>
      <c r="H5" s="13"/>
      <c r="I5" s="13"/>
      <c r="J5" s="13"/>
      <c r="K5" s="13"/>
      <c r="L5" s="13"/>
      <c r="M5" s="13"/>
      <c r="N5" s="13"/>
      <c r="O5" s="13"/>
      <c r="P5" s="13"/>
      <c r="Q5" s="13"/>
    </row>
    <row r="6" spans="1:17">
      <c r="A6" s="13"/>
      <c r="B6" s="13"/>
      <c r="C6" s="13"/>
      <c r="D6" s="13"/>
      <c r="E6" s="13"/>
      <c r="F6" s="13"/>
      <c r="G6" s="13"/>
      <c r="H6" s="13"/>
      <c r="I6" s="13"/>
      <c r="J6" s="13"/>
      <c r="K6" s="13"/>
      <c r="L6" s="13"/>
      <c r="M6" s="13"/>
      <c r="N6" s="13"/>
      <c r="O6" s="13"/>
      <c r="P6" s="13"/>
      <c r="Q6" s="13"/>
    </row>
    <row r="7" spans="1:17" ht="30" customHeight="1">
      <c r="A7" s="160" t="s">
        <v>386</v>
      </c>
      <c r="B7" s="160" t="s">
        <v>387</v>
      </c>
      <c r="C7" s="160" t="s">
        <v>388</v>
      </c>
      <c r="D7" s="160" t="s">
        <v>231</v>
      </c>
      <c r="E7" s="160" t="s">
        <v>389</v>
      </c>
      <c r="F7" s="160" t="s">
        <v>390</v>
      </c>
      <c r="G7" s="160" t="s">
        <v>391</v>
      </c>
      <c r="H7" s="160" t="s">
        <v>392</v>
      </c>
      <c r="I7" s="160" t="s">
        <v>393</v>
      </c>
      <c r="J7" s="160" t="s">
        <v>394</v>
      </c>
      <c r="K7" s="160" t="s">
        <v>395</v>
      </c>
      <c r="L7" s="160" t="s">
        <v>396</v>
      </c>
      <c r="M7" s="160" t="s">
        <v>397</v>
      </c>
      <c r="N7" s="160" t="s">
        <v>398</v>
      </c>
      <c r="O7" s="13"/>
      <c r="P7" s="161" t="s">
        <v>399</v>
      </c>
      <c r="Q7" s="161" t="s">
        <v>400</v>
      </c>
    </row>
    <row r="8" spans="1:17" ht="15" customHeight="1">
      <c r="A8" s="136" t="s">
        <v>401</v>
      </c>
      <c r="B8" s="136" t="s">
        <v>402</v>
      </c>
      <c r="C8" s="136" t="s">
        <v>403</v>
      </c>
      <c r="D8" s="136" t="s">
        <v>404</v>
      </c>
      <c r="E8" s="162">
        <v>70</v>
      </c>
      <c r="F8" s="162">
        <v>1</v>
      </c>
      <c r="G8" s="162">
        <v>6.9</v>
      </c>
      <c r="H8" s="162">
        <v>4.4000000000000004</v>
      </c>
      <c r="I8" s="162">
        <v>0</v>
      </c>
      <c r="J8" s="136" t="s">
        <v>405</v>
      </c>
      <c r="K8" s="163" t="s">
        <v>405</v>
      </c>
      <c r="L8" s="136" t="s">
        <v>406</v>
      </c>
      <c r="M8" s="136" t="s">
        <v>66</v>
      </c>
      <c r="N8" s="136" t="str">
        <f t="shared" ref="N8:N71" si="0">B8&amp;" · "&amp;A8</f>
        <v>Leche materna · INTA-0001</v>
      </c>
      <c r="O8" s="13"/>
      <c r="P8" s="13" t="s">
        <v>407</v>
      </c>
      <c r="Q8" s="13" t="s">
        <v>408</v>
      </c>
    </row>
    <row r="9" spans="1:17" ht="15" customHeight="1">
      <c r="A9" s="140" t="s">
        <v>409</v>
      </c>
      <c r="B9" s="140" t="s">
        <v>410</v>
      </c>
      <c r="C9" s="140" t="s">
        <v>403</v>
      </c>
      <c r="D9" s="140" t="s">
        <v>404</v>
      </c>
      <c r="E9" s="164">
        <v>41</v>
      </c>
      <c r="F9" s="164">
        <v>1.6</v>
      </c>
      <c r="G9" s="164">
        <v>6.7</v>
      </c>
      <c r="H9" s="164">
        <v>0.9</v>
      </c>
      <c r="I9" s="164">
        <v>0</v>
      </c>
      <c r="J9" s="140" t="s">
        <v>405</v>
      </c>
      <c r="K9" s="165" t="s">
        <v>405</v>
      </c>
      <c r="L9" s="140" t="s">
        <v>406</v>
      </c>
      <c r="M9" s="140" t="s">
        <v>66</v>
      </c>
      <c r="N9" s="140" t="str">
        <f t="shared" si="0"/>
        <v>Leche de Burra · INTA-0002</v>
      </c>
      <c r="O9" s="13"/>
      <c r="P9" s="13" t="s">
        <v>411</v>
      </c>
      <c r="Q9" s="13" t="s">
        <v>412</v>
      </c>
    </row>
    <row r="10" spans="1:17" ht="15" customHeight="1">
      <c r="A10" s="136" t="s">
        <v>413</v>
      </c>
      <c r="B10" s="136" t="s">
        <v>414</v>
      </c>
      <c r="C10" s="136" t="s">
        <v>403</v>
      </c>
      <c r="D10" s="136" t="s">
        <v>404</v>
      </c>
      <c r="E10" s="162">
        <v>69</v>
      </c>
      <c r="F10" s="162">
        <v>3.6</v>
      </c>
      <c r="G10" s="162">
        <v>4.5</v>
      </c>
      <c r="H10" s="162">
        <v>4.0999999999999996</v>
      </c>
      <c r="I10" s="162">
        <v>0</v>
      </c>
      <c r="J10" s="136" t="s">
        <v>405</v>
      </c>
      <c r="K10" s="163" t="s">
        <v>405</v>
      </c>
      <c r="L10" s="136" t="s">
        <v>406</v>
      </c>
      <c r="M10" s="136" t="s">
        <v>66</v>
      </c>
      <c r="N10" s="136" t="str">
        <f t="shared" si="0"/>
        <v>Leche de cabra con Vit. D · INTA-0003</v>
      </c>
      <c r="O10" s="13"/>
      <c r="P10" s="13" t="s">
        <v>415</v>
      </c>
      <c r="Q10" s="13" t="s">
        <v>416</v>
      </c>
    </row>
    <row r="11" spans="1:17" ht="15" customHeight="1">
      <c r="A11" s="136" t="s">
        <v>417</v>
      </c>
      <c r="B11" s="136" t="s">
        <v>418</v>
      </c>
      <c r="C11" s="136" t="s">
        <v>403</v>
      </c>
      <c r="D11" s="136" t="s">
        <v>404</v>
      </c>
      <c r="E11" s="162">
        <v>64</v>
      </c>
      <c r="F11" s="162">
        <v>3.3</v>
      </c>
      <c r="G11" s="162">
        <v>4.7</v>
      </c>
      <c r="H11" s="162">
        <v>3.7</v>
      </c>
      <c r="I11" s="162">
        <v>0</v>
      </c>
      <c r="J11" s="136" t="s">
        <v>405</v>
      </c>
      <c r="K11" s="163" t="s">
        <v>405</v>
      </c>
      <c r="L11" s="136" t="s">
        <v>406</v>
      </c>
      <c r="M11" s="136" t="s">
        <v>66</v>
      </c>
      <c r="N11" s="136" t="str">
        <f t="shared" si="0"/>
        <v>Leche fluida entera · INTA-0004</v>
      </c>
      <c r="O11" s="13"/>
      <c r="P11" s="13" t="s">
        <v>419</v>
      </c>
      <c r="Q11" s="13" t="s">
        <v>420</v>
      </c>
    </row>
    <row r="12" spans="1:17" ht="15" customHeight="1">
      <c r="A12" s="140" t="s">
        <v>421</v>
      </c>
      <c r="B12" s="140" t="s">
        <v>422</v>
      </c>
      <c r="C12" s="140" t="s">
        <v>403</v>
      </c>
      <c r="D12" s="140" t="s">
        <v>404</v>
      </c>
      <c r="E12" s="164">
        <v>58</v>
      </c>
      <c r="F12" s="164">
        <v>3.2</v>
      </c>
      <c r="G12" s="164">
        <v>5.6</v>
      </c>
      <c r="H12" s="164">
        <v>2.5</v>
      </c>
      <c r="I12" s="164">
        <v>0</v>
      </c>
      <c r="J12" s="140" t="s">
        <v>405</v>
      </c>
      <c r="K12" s="165" t="s">
        <v>405</v>
      </c>
      <c r="L12" s="140" t="s">
        <v>406</v>
      </c>
      <c r="M12" s="140" t="s">
        <v>66</v>
      </c>
      <c r="N12" s="140" t="str">
        <f t="shared" si="0"/>
        <v>Leche fluida entera 2 · INTA-0005</v>
      </c>
      <c r="O12" s="13"/>
      <c r="P12" s="13" t="s">
        <v>423</v>
      </c>
      <c r="Q12" s="13" t="s">
        <v>424</v>
      </c>
    </row>
    <row r="13" spans="1:17" ht="15" customHeight="1">
      <c r="A13" s="136" t="s">
        <v>425</v>
      </c>
      <c r="B13" s="136" t="s">
        <v>426</v>
      </c>
      <c r="C13" s="136" t="s">
        <v>403</v>
      </c>
      <c r="D13" s="136" t="s">
        <v>404</v>
      </c>
      <c r="E13" s="162">
        <v>80</v>
      </c>
      <c r="F13" s="162">
        <v>2.4</v>
      </c>
      <c r="G13" s="162">
        <v>10.5</v>
      </c>
      <c r="H13" s="162">
        <v>2.9</v>
      </c>
      <c r="I13" s="162">
        <v>0.5</v>
      </c>
      <c r="J13" s="136" t="s">
        <v>405</v>
      </c>
      <c r="K13" s="163" t="s">
        <v>405</v>
      </c>
      <c r="L13" s="136" t="s">
        <v>406</v>
      </c>
      <c r="M13" s="136" t="s">
        <v>66</v>
      </c>
      <c r="N13" s="136" t="str">
        <f t="shared" si="0"/>
        <v>Leche entera con sabor · INTA-0006</v>
      </c>
      <c r="O13" s="13"/>
      <c r="P13" s="13" t="s">
        <v>427</v>
      </c>
      <c r="Q13" s="13" t="s">
        <v>428</v>
      </c>
    </row>
    <row r="14" spans="1:17" ht="15" customHeight="1">
      <c r="A14" s="140" t="s">
        <v>429</v>
      </c>
      <c r="B14" s="140" t="s">
        <v>430</v>
      </c>
      <c r="C14" s="140" t="s">
        <v>403</v>
      </c>
      <c r="D14" s="140" t="s">
        <v>404</v>
      </c>
      <c r="E14" s="164">
        <v>42</v>
      </c>
      <c r="F14" s="164">
        <v>2.6</v>
      </c>
      <c r="G14" s="164">
        <v>5.0999999999999996</v>
      </c>
      <c r="H14" s="164">
        <v>1.3</v>
      </c>
      <c r="I14" s="164">
        <v>0</v>
      </c>
      <c r="J14" s="140" t="s">
        <v>405</v>
      </c>
      <c r="K14" s="165" t="s">
        <v>405</v>
      </c>
      <c r="L14" s="140" t="s">
        <v>406</v>
      </c>
      <c r="M14" s="140" t="s">
        <v>66</v>
      </c>
      <c r="N14" s="140" t="str">
        <f t="shared" si="0"/>
        <v>Leche semidescremada · INTA-0007</v>
      </c>
      <c r="O14" s="13"/>
      <c r="P14" s="13" t="s">
        <v>431</v>
      </c>
      <c r="Q14" s="13" t="s">
        <v>432</v>
      </c>
    </row>
    <row r="15" spans="1:17" ht="15" customHeight="1">
      <c r="A15" s="136" t="s">
        <v>433</v>
      </c>
      <c r="B15" s="136" t="s">
        <v>434</v>
      </c>
      <c r="C15" s="136" t="s">
        <v>403</v>
      </c>
      <c r="D15" s="136" t="s">
        <v>404</v>
      </c>
      <c r="E15" s="162">
        <v>76</v>
      </c>
      <c r="F15" s="162">
        <v>3</v>
      </c>
      <c r="G15" s="162">
        <v>11.4</v>
      </c>
      <c r="H15" s="162">
        <v>1.9</v>
      </c>
      <c r="I15" s="162">
        <v>0.7</v>
      </c>
      <c r="J15" s="136" t="s">
        <v>405</v>
      </c>
      <c r="K15" s="163" t="s">
        <v>405</v>
      </c>
      <c r="L15" s="136" t="s">
        <v>406</v>
      </c>
      <c r="M15" s="136" t="s">
        <v>66</v>
      </c>
      <c r="N15" s="136" t="str">
        <f t="shared" si="0"/>
        <v>Leche semidescremada con sabor · INTA-0008</v>
      </c>
      <c r="O15" s="13"/>
      <c r="P15" s="13" t="s">
        <v>435</v>
      </c>
      <c r="Q15" s="13" t="s">
        <v>436</v>
      </c>
    </row>
    <row r="16" spans="1:17" ht="15" customHeight="1">
      <c r="A16" s="140" t="s">
        <v>437</v>
      </c>
      <c r="B16" s="140" t="s">
        <v>438</v>
      </c>
      <c r="C16" s="140" t="s">
        <v>403</v>
      </c>
      <c r="D16" s="140" t="s">
        <v>404</v>
      </c>
      <c r="E16" s="164">
        <v>52</v>
      </c>
      <c r="F16" s="164">
        <v>3.2</v>
      </c>
      <c r="G16" s="164">
        <v>5.6</v>
      </c>
      <c r="H16" s="164">
        <v>1.8</v>
      </c>
      <c r="I16" s="165" t="s">
        <v>405</v>
      </c>
      <c r="J16" s="140" t="s">
        <v>405</v>
      </c>
      <c r="K16" s="165" t="s">
        <v>405</v>
      </c>
      <c r="L16" s="140" t="s">
        <v>406</v>
      </c>
      <c r="M16" s="140" t="s">
        <v>66</v>
      </c>
      <c r="N16" s="140" t="str">
        <f t="shared" si="0"/>
        <v>Leche semidescremada con sabor chocolate · INTA-0009</v>
      </c>
      <c r="O16" s="13"/>
      <c r="P16" s="13" t="s">
        <v>439</v>
      </c>
      <c r="Q16" s="13" t="s">
        <v>440</v>
      </c>
    </row>
    <row r="17" spans="1:17" ht="15" customHeight="1">
      <c r="A17" s="136" t="s">
        <v>441</v>
      </c>
      <c r="B17" s="136" t="s">
        <v>442</v>
      </c>
      <c r="C17" s="136" t="s">
        <v>403</v>
      </c>
      <c r="D17" s="136" t="s">
        <v>404</v>
      </c>
      <c r="E17" s="162">
        <v>54</v>
      </c>
      <c r="F17" s="162">
        <v>3.1</v>
      </c>
      <c r="G17" s="162">
        <v>6</v>
      </c>
      <c r="H17" s="162">
        <v>1.9</v>
      </c>
      <c r="I17" s="163" t="s">
        <v>405</v>
      </c>
      <c r="J17" s="136" t="s">
        <v>405</v>
      </c>
      <c r="K17" s="163" t="s">
        <v>405</v>
      </c>
      <c r="L17" s="136" t="s">
        <v>406</v>
      </c>
      <c r="M17" s="136" t="s">
        <v>66</v>
      </c>
      <c r="N17" s="136" t="str">
        <f t="shared" si="0"/>
        <v>Leche semidescremada con sabor frutilla · INTA-0010</v>
      </c>
      <c r="O17" s="13"/>
      <c r="P17" s="13" t="s">
        <v>443</v>
      </c>
      <c r="Q17" s="13" t="s">
        <v>444</v>
      </c>
    </row>
    <row r="18" spans="1:17" ht="15" customHeight="1">
      <c r="A18" s="140" t="s">
        <v>445</v>
      </c>
      <c r="B18" s="140" t="s">
        <v>446</v>
      </c>
      <c r="C18" s="140" t="s">
        <v>403</v>
      </c>
      <c r="D18" s="140" t="s">
        <v>404</v>
      </c>
      <c r="E18" s="164">
        <v>44</v>
      </c>
      <c r="F18" s="164">
        <v>3.1</v>
      </c>
      <c r="G18" s="164">
        <v>4.5999999999999996</v>
      </c>
      <c r="H18" s="164">
        <v>1.3</v>
      </c>
      <c r="I18" s="165" t="s">
        <v>405</v>
      </c>
      <c r="J18" s="140" t="s">
        <v>405</v>
      </c>
      <c r="K18" s="165" t="s">
        <v>405</v>
      </c>
      <c r="L18" s="140" t="s">
        <v>406</v>
      </c>
      <c r="M18" s="140" t="s">
        <v>66</v>
      </c>
      <c r="N18" s="140" t="str">
        <f t="shared" si="0"/>
        <v>Leche semidescremada sin lactosa · INTA-0011</v>
      </c>
      <c r="O18" s="13"/>
      <c r="P18" s="13" t="s">
        <v>339</v>
      </c>
      <c r="Q18" s="13" t="s">
        <v>447</v>
      </c>
    </row>
    <row r="19" spans="1:17" ht="15" customHeight="1">
      <c r="A19" s="140" t="s">
        <v>448</v>
      </c>
      <c r="B19" s="140" t="s">
        <v>449</v>
      </c>
      <c r="C19" s="140" t="s">
        <v>403</v>
      </c>
      <c r="D19" s="140" t="s">
        <v>404</v>
      </c>
      <c r="E19" s="164">
        <v>32</v>
      </c>
      <c r="F19" s="164">
        <v>3.3</v>
      </c>
      <c r="G19" s="164">
        <v>4.7</v>
      </c>
      <c r="H19" s="164">
        <v>0.1</v>
      </c>
      <c r="I19" s="165" t="s">
        <v>405</v>
      </c>
      <c r="J19" s="140" t="s">
        <v>405</v>
      </c>
      <c r="K19" s="165" t="s">
        <v>405</v>
      </c>
      <c r="L19" s="140" t="s">
        <v>406</v>
      </c>
      <c r="M19" s="140" t="s">
        <v>66</v>
      </c>
      <c r="N19" s="140" t="str">
        <f t="shared" si="0"/>
        <v>Leche descremada · INTA-0012</v>
      </c>
      <c r="O19" s="13"/>
      <c r="P19" s="13" t="s">
        <v>450</v>
      </c>
      <c r="Q19" s="13" t="s">
        <v>451</v>
      </c>
    </row>
    <row r="20" spans="1:17" ht="15" customHeight="1">
      <c r="A20" s="136" t="s">
        <v>452</v>
      </c>
      <c r="B20" s="136" t="s">
        <v>453</v>
      </c>
      <c r="C20" s="136" t="s">
        <v>403</v>
      </c>
      <c r="D20" s="136" t="s">
        <v>404</v>
      </c>
      <c r="E20" s="162">
        <v>42</v>
      </c>
      <c r="F20" s="162">
        <v>3.4</v>
      </c>
      <c r="G20" s="162">
        <v>5</v>
      </c>
      <c r="H20" s="162">
        <v>1</v>
      </c>
      <c r="I20" s="162">
        <v>0</v>
      </c>
      <c r="J20" s="136" t="s">
        <v>405</v>
      </c>
      <c r="K20" s="163" t="s">
        <v>405</v>
      </c>
      <c r="L20" s="136" t="s">
        <v>406</v>
      </c>
      <c r="M20" s="136" t="s">
        <v>66</v>
      </c>
      <c r="N20" s="136" t="str">
        <f t="shared" si="0"/>
        <v>Leche descremada 2 · INTA-0013</v>
      </c>
      <c r="O20" s="13"/>
      <c r="P20" s="13" t="s">
        <v>454</v>
      </c>
      <c r="Q20" s="13" t="s">
        <v>455</v>
      </c>
    </row>
    <row r="21" spans="1:17" ht="15" customHeight="1">
      <c r="A21" s="140" t="s">
        <v>456</v>
      </c>
      <c r="B21" s="140" t="s">
        <v>457</v>
      </c>
      <c r="C21" s="140" t="s">
        <v>403</v>
      </c>
      <c r="D21" s="140" t="s">
        <v>404</v>
      </c>
      <c r="E21" s="164">
        <v>489</v>
      </c>
      <c r="F21" s="164">
        <v>28.6</v>
      </c>
      <c r="G21" s="164">
        <v>36.700000000000003</v>
      </c>
      <c r="H21" s="164">
        <v>25.3</v>
      </c>
      <c r="I21" s="164">
        <v>0</v>
      </c>
      <c r="J21" s="140" t="s">
        <v>405</v>
      </c>
      <c r="K21" s="165" t="s">
        <v>405</v>
      </c>
      <c r="L21" s="140" t="s">
        <v>406</v>
      </c>
      <c r="M21" s="140" t="s">
        <v>66</v>
      </c>
      <c r="N21" s="140" t="str">
        <f t="shared" si="0"/>
        <v>Leche en polvo 26% MG · INTA-0014</v>
      </c>
      <c r="O21" s="13"/>
      <c r="P21" s="13" t="s">
        <v>403</v>
      </c>
      <c r="Q21" s="13" t="s">
        <v>458</v>
      </c>
    </row>
    <row r="22" spans="1:17" ht="15" customHeight="1">
      <c r="A22" s="136" t="s">
        <v>459</v>
      </c>
      <c r="B22" s="136" t="s">
        <v>460</v>
      </c>
      <c r="C22" s="136" t="s">
        <v>403</v>
      </c>
      <c r="D22" s="136" t="s">
        <v>404</v>
      </c>
      <c r="E22" s="162">
        <v>496</v>
      </c>
      <c r="F22" s="162">
        <v>26.3</v>
      </c>
      <c r="G22" s="162">
        <v>38.4</v>
      </c>
      <c r="H22" s="162">
        <v>26.7</v>
      </c>
      <c r="I22" s="162">
        <v>0</v>
      </c>
      <c r="J22" s="136" t="s">
        <v>405</v>
      </c>
      <c r="K22" s="163" t="s">
        <v>405</v>
      </c>
      <c r="L22" s="136" t="s">
        <v>406</v>
      </c>
      <c r="M22" s="136" t="s">
        <v>66</v>
      </c>
      <c r="N22" s="136" t="str">
        <f t="shared" si="0"/>
        <v>Leche en polvo 26% MG con Vit. D · INTA-0015</v>
      </c>
      <c r="O22" s="13"/>
      <c r="P22" s="13" t="s">
        <v>461</v>
      </c>
      <c r="Q22" s="13" t="s">
        <v>462</v>
      </c>
    </row>
    <row r="23" spans="1:17" ht="15" customHeight="1">
      <c r="A23" s="136" t="s">
        <v>463</v>
      </c>
      <c r="B23" s="136" t="s">
        <v>464</v>
      </c>
      <c r="C23" s="136" t="s">
        <v>403</v>
      </c>
      <c r="D23" s="136" t="s">
        <v>404</v>
      </c>
      <c r="E23" s="162">
        <v>454</v>
      </c>
      <c r="F23" s="162">
        <v>29.1</v>
      </c>
      <c r="G23" s="162">
        <v>42.7</v>
      </c>
      <c r="H23" s="162">
        <v>17.899999999999999</v>
      </c>
      <c r="I23" s="162">
        <v>0</v>
      </c>
      <c r="J23" s="136" t="s">
        <v>405</v>
      </c>
      <c r="K23" s="163" t="s">
        <v>405</v>
      </c>
      <c r="L23" s="136" t="s">
        <v>406</v>
      </c>
      <c r="M23" s="136" t="s">
        <v>66</v>
      </c>
      <c r="N23" s="136" t="str">
        <f t="shared" si="0"/>
        <v>Leche en polvo 18% MG extra calcio · INTA-0016</v>
      </c>
      <c r="O23" s="13"/>
      <c r="P23" s="13" t="s">
        <v>465</v>
      </c>
      <c r="Q23" s="13" t="s">
        <v>466</v>
      </c>
    </row>
    <row r="24" spans="1:17" ht="15" customHeight="1">
      <c r="A24" s="140" t="s">
        <v>467</v>
      </c>
      <c r="B24" s="140" t="s">
        <v>468</v>
      </c>
      <c r="C24" s="140" t="s">
        <v>403</v>
      </c>
      <c r="D24" s="140" t="s">
        <v>404</v>
      </c>
      <c r="E24" s="164">
        <v>406</v>
      </c>
      <c r="F24" s="164">
        <v>34.6</v>
      </c>
      <c r="G24" s="164">
        <v>41.8</v>
      </c>
      <c r="H24" s="164">
        <v>11.1</v>
      </c>
      <c r="I24" s="164">
        <v>0</v>
      </c>
      <c r="J24" s="140" t="s">
        <v>405</v>
      </c>
      <c r="K24" s="165" t="s">
        <v>405</v>
      </c>
      <c r="L24" s="140" t="s">
        <v>406</v>
      </c>
      <c r="M24" s="140" t="s">
        <v>66</v>
      </c>
      <c r="N24" s="140" t="str">
        <f t="shared" si="0"/>
        <v>Leche en polvo 12% MG · INTA-0017</v>
      </c>
      <c r="O24" s="13"/>
      <c r="P24" s="13" t="s">
        <v>469</v>
      </c>
      <c r="Q24" s="13" t="s">
        <v>470</v>
      </c>
    </row>
    <row r="25" spans="1:17" ht="15" customHeight="1">
      <c r="A25" s="140" t="s">
        <v>471</v>
      </c>
      <c r="B25" s="140" t="s">
        <v>472</v>
      </c>
      <c r="C25" s="140" t="s">
        <v>403</v>
      </c>
      <c r="D25" s="140" t="s">
        <v>404</v>
      </c>
      <c r="E25" s="164">
        <v>358</v>
      </c>
      <c r="F25" s="164">
        <v>35.1</v>
      </c>
      <c r="G25" s="164">
        <v>52.2</v>
      </c>
      <c r="H25" s="164">
        <v>0.7</v>
      </c>
      <c r="I25" s="164">
        <v>0</v>
      </c>
      <c r="J25" s="140" t="s">
        <v>405</v>
      </c>
      <c r="K25" s="165" t="s">
        <v>405</v>
      </c>
      <c r="L25" s="140" t="s">
        <v>406</v>
      </c>
      <c r="M25" s="140" t="s">
        <v>66</v>
      </c>
      <c r="N25" s="140" t="str">
        <f t="shared" si="0"/>
        <v>Leche en polvo descremada · INTA-0018</v>
      </c>
      <c r="O25" s="13"/>
      <c r="P25" s="13" t="s">
        <v>473</v>
      </c>
      <c r="Q25" s="13" t="s">
        <v>474</v>
      </c>
    </row>
    <row r="26" spans="1:17" ht="15" customHeight="1">
      <c r="A26" s="136" t="s">
        <v>475</v>
      </c>
      <c r="B26" s="136" t="s">
        <v>476</v>
      </c>
      <c r="C26" s="136" t="s">
        <v>403</v>
      </c>
      <c r="D26" s="136" t="s">
        <v>404</v>
      </c>
      <c r="E26" s="162">
        <v>349</v>
      </c>
      <c r="F26" s="162">
        <v>31</v>
      </c>
      <c r="G26" s="162">
        <v>52.8</v>
      </c>
      <c r="H26" s="162">
        <v>1.5</v>
      </c>
      <c r="I26" s="163" t="s">
        <v>405</v>
      </c>
      <c r="J26" s="136" t="s">
        <v>405</v>
      </c>
      <c r="K26" s="163" t="s">
        <v>405</v>
      </c>
      <c r="L26" s="136" t="s">
        <v>406</v>
      </c>
      <c r="M26" s="136" t="s">
        <v>66</v>
      </c>
      <c r="N26" s="136" t="str">
        <f t="shared" si="0"/>
        <v>Leche en polvo descremada extra calcio · INTA-0019</v>
      </c>
      <c r="O26" s="13"/>
      <c r="P26" s="13" t="s">
        <v>477</v>
      </c>
      <c r="Q26" s="13" t="s">
        <v>478</v>
      </c>
    </row>
    <row r="27" spans="1:17" ht="15" customHeight="1">
      <c r="A27" s="140" t="s">
        <v>479</v>
      </c>
      <c r="B27" s="140" t="s">
        <v>480</v>
      </c>
      <c r="C27" s="140" t="s">
        <v>403</v>
      </c>
      <c r="D27" s="140" t="s">
        <v>404</v>
      </c>
      <c r="E27" s="164">
        <v>454</v>
      </c>
      <c r="F27" s="164">
        <v>19.399999999999999</v>
      </c>
      <c r="G27" s="164">
        <v>51.2</v>
      </c>
      <c r="H27" s="164">
        <v>19.100000000000001</v>
      </c>
      <c r="I27" s="164">
        <v>1.7</v>
      </c>
      <c r="J27" s="140" t="s">
        <v>405</v>
      </c>
      <c r="K27" s="165" t="s">
        <v>405</v>
      </c>
      <c r="L27" s="140" t="s">
        <v>406</v>
      </c>
      <c r="M27" s="140" t="s">
        <v>66</v>
      </c>
      <c r="N27" s="140" t="str">
        <f t="shared" si="0"/>
        <v>Leche en polvo purita cereal · INTA-0020</v>
      </c>
      <c r="O27" s="13"/>
      <c r="P27" s="13" t="s">
        <v>481</v>
      </c>
      <c r="Q27" s="13" t="s">
        <v>482</v>
      </c>
    </row>
    <row r="28" spans="1:17" ht="15" customHeight="1">
      <c r="A28" s="136" t="s">
        <v>483</v>
      </c>
      <c r="B28" s="136" t="s">
        <v>484</v>
      </c>
      <c r="C28" s="136" t="s">
        <v>403</v>
      </c>
      <c r="D28" s="136" t="s">
        <v>404</v>
      </c>
      <c r="E28" s="162">
        <v>321</v>
      </c>
      <c r="F28" s="162">
        <v>7.9</v>
      </c>
      <c r="G28" s="162">
        <v>54.4</v>
      </c>
      <c r="H28" s="162">
        <v>8.6999999999999993</v>
      </c>
      <c r="I28" s="162">
        <v>0</v>
      </c>
      <c r="J28" s="136" t="s">
        <v>405</v>
      </c>
      <c r="K28" s="163" t="s">
        <v>405</v>
      </c>
      <c r="L28" s="136" t="s">
        <v>406</v>
      </c>
      <c r="M28" s="136" t="s">
        <v>66</v>
      </c>
      <c r="N28" s="136" t="str">
        <f t="shared" si="0"/>
        <v>Leche condensada · INTA-0021</v>
      </c>
      <c r="O28" s="13"/>
      <c r="P28" s="13" t="s">
        <v>485</v>
      </c>
      <c r="Q28" s="13" t="s">
        <v>486</v>
      </c>
    </row>
    <row r="29" spans="1:17" ht="15" customHeight="1">
      <c r="A29" s="140" t="s">
        <v>487</v>
      </c>
      <c r="B29" s="140" t="s">
        <v>488</v>
      </c>
      <c r="C29" s="140" t="s">
        <v>403</v>
      </c>
      <c r="D29" s="140" t="s">
        <v>404</v>
      </c>
      <c r="E29" s="164">
        <v>134</v>
      </c>
      <c r="F29" s="164">
        <v>6.8</v>
      </c>
      <c r="G29" s="164">
        <v>10</v>
      </c>
      <c r="H29" s="164">
        <v>7.6</v>
      </c>
      <c r="I29" s="164">
        <v>0</v>
      </c>
      <c r="J29" s="140" t="s">
        <v>405</v>
      </c>
      <c r="K29" s="165" t="s">
        <v>405</v>
      </c>
      <c r="L29" s="140" t="s">
        <v>406</v>
      </c>
      <c r="M29" s="140" t="s">
        <v>66</v>
      </c>
      <c r="N29" s="140" t="str">
        <f t="shared" si="0"/>
        <v>Leche evaporada · INTA-0022</v>
      </c>
      <c r="O29" s="13"/>
      <c r="P29" s="13" t="s">
        <v>489</v>
      </c>
      <c r="Q29" s="13" t="s">
        <v>490</v>
      </c>
    </row>
    <row r="30" spans="1:17" ht="15" customHeight="1">
      <c r="A30" s="136" t="s">
        <v>491</v>
      </c>
      <c r="B30" s="136" t="s">
        <v>492</v>
      </c>
      <c r="C30" s="136" t="s">
        <v>403</v>
      </c>
      <c r="D30" s="136" t="s">
        <v>404</v>
      </c>
      <c r="E30" s="162">
        <v>103</v>
      </c>
      <c r="F30" s="162">
        <v>12.5</v>
      </c>
      <c r="G30" s="162">
        <v>2.7</v>
      </c>
      <c r="H30" s="162">
        <v>4.5</v>
      </c>
      <c r="I30" s="162">
        <v>0</v>
      </c>
      <c r="J30" s="136" t="s">
        <v>405</v>
      </c>
      <c r="K30" s="163" t="s">
        <v>405</v>
      </c>
      <c r="L30" s="136" t="s">
        <v>406</v>
      </c>
      <c r="M30" s="136" t="s">
        <v>66</v>
      </c>
      <c r="N30" s="136" t="str">
        <f t="shared" si="0"/>
        <v>Quesillo · INTA-0023</v>
      </c>
      <c r="O30" s="13"/>
      <c r="P30" s="13" t="s">
        <v>493</v>
      </c>
      <c r="Q30" s="13" t="s">
        <v>494</v>
      </c>
    </row>
    <row r="31" spans="1:17" ht="15" customHeight="1">
      <c r="A31" s="140" t="s">
        <v>495</v>
      </c>
      <c r="B31" s="140" t="s">
        <v>496</v>
      </c>
      <c r="C31" s="140" t="s">
        <v>403</v>
      </c>
      <c r="D31" s="140" t="s">
        <v>404</v>
      </c>
      <c r="E31" s="164">
        <v>85</v>
      </c>
      <c r="F31" s="164">
        <v>13.9</v>
      </c>
      <c r="G31" s="164">
        <v>4.4000000000000004</v>
      </c>
      <c r="H31" s="164">
        <v>1.3</v>
      </c>
      <c r="I31" s="165" t="s">
        <v>405</v>
      </c>
      <c r="J31" s="140" t="s">
        <v>405</v>
      </c>
      <c r="K31" s="165" t="s">
        <v>405</v>
      </c>
      <c r="L31" s="140" t="s">
        <v>406</v>
      </c>
      <c r="M31" s="140" t="s">
        <v>66</v>
      </c>
      <c r="N31" s="140" t="str">
        <f t="shared" si="0"/>
        <v>Quesillo 0% MG · INTA-0024</v>
      </c>
      <c r="O31" s="13"/>
      <c r="P31" s="13" t="s">
        <v>497</v>
      </c>
      <c r="Q31" s="13" t="s">
        <v>498</v>
      </c>
    </row>
    <row r="32" spans="1:17" ht="15" customHeight="1">
      <c r="A32" s="136" t="s">
        <v>499</v>
      </c>
      <c r="B32" s="136" t="s">
        <v>500</v>
      </c>
      <c r="C32" s="136" t="s">
        <v>403</v>
      </c>
      <c r="D32" s="136" t="s">
        <v>404</v>
      </c>
      <c r="E32" s="162">
        <v>151</v>
      </c>
      <c r="F32" s="162">
        <v>13</v>
      </c>
      <c r="G32" s="162">
        <v>4.5</v>
      </c>
      <c r="H32" s="162">
        <v>9</v>
      </c>
      <c r="I32" s="163" t="s">
        <v>405</v>
      </c>
      <c r="J32" s="136" t="s">
        <v>405</v>
      </c>
      <c r="K32" s="163" t="s">
        <v>405</v>
      </c>
      <c r="L32" s="136" t="s">
        <v>406</v>
      </c>
      <c r="M32" s="136" t="s">
        <v>66</v>
      </c>
      <c r="N32" s="136" t="str">
        <f t="shared" si="0"/>
        <v>Quesillo sin sal · INTA-0025</v>
      </c>
      <c r="O32" s="13"/>
      <c r="P32" s="13"/>
      <c r="Q32" s="13"/>
    </row>
    <row r="33" spans="1:17" ht="15" customHeight="1">
      <c r="A33" s="140" t="s">
        <v>501</v>
      </c>
      <c r="B33" s="140" t="s">
        <v>502</v>
      </c>
      <c r="C33" s="140" t="s">
        <v>403</v>
      </c>
      <c r="D33" s="140" t="s">
        <v>404</v>
      </c>
      <c r="E33" s="164">
        <v>364</v>
      </c>
      <c r="F33" s="164">
        <v>21.6</v>
      </c>
      <c r="G33" s="164">
        <v>0.1</v>
      </c>
      <c r="H33" s="164">
        <v>29.8</v>
      </c>
      <c r="I33" s="164">
        <v>0</v>
      </c>
      <c r="J33" s="140" t="s">
        <v>405</v>
      </c>
      <c r="K33" s="165" t="s">
        <v>405</v>
      </c>
      <c r="L33" s="140" t="s">
        <v>406</v>
      </c>
      <c r="M33" s="140" t="s">
        <v>66</v>
      </c>
      <c r="N33" s="140" t="str">
        <f t="shared" si="0"/>
        <v>Queso cabra · INTA-0026</v>
      </c>
      <c r="O33" s="13"/>
      <c r="P33" s="13"/>
      <c r="Q33" s="13"/>
    </row>
    <row r="34" spans="1:17" ht="15" customHeight="1">
      <c r="A34" s="136" t="s">
        <v>503</v>
      </c>
      <c r="B34" s="136" t="s">
        <v>504</v>
      </c>
      <c r="C34" s="136" t="s">
        <v>403</v>
      </c>
      <c r="D34" s="136" t="s">
        <v>404</v>
      </c>
      <c r="E34" s="162">
        <v>356</v>
      </c>
      <c r="F34" s="162">
        <v>20.8</v>
      </c>
      <c r="G34" s="162">
        <v>5.0999999999999996</v>
      </c>
      <c r="H34" s="162">
        <v>28</v>
      </c>
      <c r="I34" s="162">
        <v>0</v>
      </c>
      <c r="J34" s="136" t="s">
        <v>405</v>
      </c>
      <c r="K34" s="163" t="s">
        <v>405</v>
      </c>
      <c r="L34" s="136" t="s">
        <v>406</v>
      </c>
      <c r="M34" s="136" t="s">
        <v>66</v>
      </c>
      <c r="N34" s="136" t="str">
        <f t="shared" si="0"/>
        <v>Queso chanco · INTA-0027</v>
      </c>
      <c r="O34" s="13"/>
      <c r="P34" s="13"/>
      <c r="Q34" s="13"/>
    </row>
    <row r="35" spans="1:17" ht="15" customHeight="1">
      <c r="A35" s="140" t="s">
        <v>505</v>
      </c>
      <c r="B35" s="140" t="s">
        <v>506</v>
      </c>
      <c r="C35" s="140" t="s">
        <v>403</v>
      </c>
      <c r="D35" s="140" t="s">
        <v>404</v>
      </c>
      <c r="E35" s="164">
        <v>404</v>
      </c>
      <c r="F35" s="164">
        <v>22.9</v>
      </c>
      <c r="G35" s="164">
        <v>3.1</v>
      </c>
      <c r="H35" s="164">
        <v>33.299999999999997</v>
      </c>
      <c r="I35" s="164">
        <v>0</v>
      </c>
      <c r="J35" s="140" t="s">
        <v>405</v>
      </c>
      <c r="K35" s="165" t="s">
        <v>405</v>
      </c>
      <c r="L35" s="140" t="s">
        <v>406</v>
      </c>
      <c r="M35" s="140" t="s">
        <v>66</v>
      </c>
      <c r="N35" s="140" t="str">
        <f t="shared" si="0"/>
        <v>Queso cheddar · INTA-0028</v>
      </c>
      <c r="O35" s="13"/>
      <c r="P35" s="13"/>
      <c r="Q35" s="13"/>
    </row>
    <row r="36" spans="1:17" ht="15" customHeight="1">
      <c r="A36" s="136" t="s">
        <v>507</v>
      </c>
      <c r="B36" s="136" t="s">
        <v>508</v>
      </c>
      <c r="C36" s="136" t="s">
        <v>403</v>
      </c>
      <c r="D36" s="136" t="s">
        <v>404</v>
      </c>
      <c r="E36" s="162">
        <v>350</v>
      </c>
      <c r="F36" s="162">
        <v>6.2</v>
      </c>
      <c r="G36" s="162">
        <v>5.5</v>
      </c>
      <c r="H36" s="162">
        <v>34.4</v>
      </c>
      <c r="I36" s="162">
        <v>0</v>
      </c>
      <c r="J36" s="136" t="s">
        <v>405</v>
      </c>
      <c r="K36" s="163" t="s">
        <v>405</v>
      </c>
      <c r="L36" s="136" t="s">
        <v>406</v>
      </c>
      <c r="M36" s="136" t="s">
        <v>66</v>
      </c>
      <c r="N36" s="136" t="str">
        <f t="shared" si="0"/>
        <v>Queso crema · INTA-0029</v>
      </c>
      <c r="O36" s="13"/>
      <c r="P36" s="13"/>
      <c r="Q36" s="13"/>
    </row>
    <row r="37" spans="1:17" ht="15" customHeight="1">
      <c r="A37" s="140" t="s">
        <v>509</v>
      </c>
      <c r="B37" s="140" t="s">
        <v>510</v>
      </c>
      <c r="C37" s="140" t="s">
        <v>403</v>
      </c>
      <c r="D37" s="140" t="s">
        <v>404</v>
      </c>
      <c r="E37" s="164">
        <v>218</v>
      </c>
      <c r="F37" s="164">
        <v>12</v>
      </c>
      <c r="G37" s="164">
        <v>7.3</v>
      </c>
      <c r="H37" s="164">
        <v>15.6</v>
      </c>
      <c r="I37" s="164">
        <v>0</v>
      </c>
      <c r="J37" s="140" t="s">
        <v>405</v>
      </c>
      <c r="K37" s="165" t="s">
        <v>405</v>
      </c>
      <c r="L37" s="140" t="s">
        <v>406</v>
      </c>
      <c r="M37" s="140" t="s">
        <v>66</v>
      </c>
      <c r="N37" s="140" t="str">
        <f t="shared" si="0"/>
        <v>Queso crema 2 · INTA-0030</v>
      </c>
      <c r="O37" s="13"/>
      <c r="P37" s="13"/>
      <c r="Q37" s="13"/>
    </row>
    <row r="38" spans="1:17" ht="15" customHeight="1">
      <c r="A38" s="136" t="s">
        <v>511</v>
      </c>
      <c r="B38" s="136" t="s">
        <v>512</v>
      </c>
      <c r="C38" s="136" t="s">
        <v>403</v>
      </c>
      <c r="D38" s="136" t="s">
        <v>404</v>
      </c>
      <c r="E38" s="162">
        <v>228</v>
      </c>
      <c r="F38" s="162">
        <v>16.899999999999999</v>
      </c>
      <c r="G38" s="162">
        <v>1.6</v>
      </c>
      <c r="H38" s="162">
        <v>17.100000000000001</v>
      </c>
      <c r="I38" s="163" t="s">
        <v>405</v>
      </c>
      <c r="J38" s="136" t="s">
        <v>405</v>
      </c>
      <c r="K38" s="163" t="s">
        <v>405</v>
      </c>
      <c r="L38" s="136" t="s">
        <v>406</v>
      </c>
      <c r="M38" s="136" t="s">
        <v>66</v>
      </c>
      <c r="N38" s="136" t="str">
        <f t="shared" si="0"/>
        <v>Queso fresco · INTA-0031</v>
      </c>
      <c r="O38" s="13"/>
      <c r="P38" s="13"/>
      <c r="Q38" s="13"/>
    </row>
    <row r="39" spans="1:17" ht="15" customHeight="1">
      <c r="A39" s="140" t="s">
        <v>513</v>
      </c>
      <c r="B39" s="140" t="s">
        <v>514</v>
      </c>
      <c r="C39" s="140" t="s">
        <v>403</v>
      </c>
      <c r="D39" s="140" t="s">
        <v>404</v>
      </c>
      <c r="E39" s="164">
        <v>177</v>
      </c>
      <c r="F39" s="164">
        <v>12.6</v>
      </c>
      <c r="G39" s="164">
        <v>4.5</v>
      </c>
      <c r="H39" s="164">
        <v>12.1</v>
      </c>
      <c r="I39" s="165" t="s">
        <v>405</v>
      </c>
      <c r="J39" s="140" t="s">
        <v>405</v>
      </c>
      <c r="K39" s="165" t="s">
        <v>405</v>
      </c>
      <c r="L39" s="140" t="s">
        <v>406</v>
      </c>
      <c r="M39" s="140" t="s">
        <v>66</v>
      </c>
      <c r="N39" s="140" t="str">
        <f t="shared" si="0"/>
        <v>Queso fresco 2 · INTA-0032</v>
      </c>
      <c r="O39" s="13"/>
      <c r="P39" s="13"/>
      <c r="Q39" s="13"/>
    </row>
    <row r="40" spans="1:17" ht="15" customHeight="1">
      <c r="A40" s="136" t="s">
        <v>515</v>
      </c>
      <c r="B40" s="136" t="s">
        <v>516</v>
      </c>
      <c r="C40" s="136" t="s">
        <v>403</v>
      </c>
      <c r="D40" s="136" t="s">
        <v>404</v>
      </c>
      <c r="E40" s="162">
        <v>193</v>
      </c>
      <c r="F40" s="162">
        <v>13.8</v>
      </c>
      <c r="G40" s="162">
        <v>3.2</v>
      </c>
      <c r="H40" s="162">
        <v>13.9</v>
      </c>
      <c r="I40" s="163" t="s">
        <v>405</v>
      </c>
      <c r="J40" s="136" t="s">
        <v>405</v>
      </c>
      <c r="K40" s="163" t="s">
        <v>405</v>
      </c>
      <c r="L40" s="136" t="s">
        <v>406</v>
      </c>
      <c r="M40" s="136" t="s">
        <v>66</v>
      </c>
      <c r="N40" s="136" t="str">
        <f t="shared" si="0"/>
        <v>Queso fresco light · INTA-0033</v>
      </c>
      <c r="O40" s="13"/>
      <c r="P40" s="13"/>
      <c r="Q40" s="13"/>
    </row>
    <row r="41" spans="1:17" ht="15" customHeight="1">
      <c r="A41" s="140" t="s">
        <v>517</v>
      </c>
      <c r="B41" s="140" t="s">
        <v>518</v>
      </c>
      <c r="C41" s="140" t="s">
        <v>403</v>
      </c>
      <c r="D41" s="140" t="s">
        <v>404</v>
      </c>
      <c r="E41" s="164">
        <v>356</v>
      </c>
      <c r="F41" s="164">
        <v>24.9</v>
      </c>
      <c r="G41" s="164">
        <v>2.2000000000000002</v>
      </c>
      <c r="H41" s="164">
        <v>27.4</v>
      </c>
      <c r="I41" s="164">
        <v>0</v>
      </c>
      <c r="J41" s="140" t="s">
        <v>405</v>
      </c>
      <c r="K41" s="165" t="s">
        <v>405</v>
      </c>
      <c r="L41" s="140" t="s">
        <v>406</v>
      </c>
      <c r="M41" s="140" t="s">
        <v>66</v>
      </c>
      <c r="N41" s="140" t="str">
        <f t="shared" si="0"/>
        <v>Queso gouda · INTA-0034</v>
      </c>
      <c r="O41" s="13"/>
      <c r="P41" s="13"/>
      <c r="Q41" s="13"/>
    </row>
    <row r="42" spans="1:17" ht="15" customHeight="1">
      <c r="A42" s="136" t="s">
        <v>519</v>
      </c>
      <c r="B42" s="136" t="s">
        <v>520</v>
      </c>
      <c r="C42" s="136" t="s">
        <v>403</v>
      </c>
      <c r="D42" s="136" t="s">
        <v>404</v>
      </c>
      <c r="E42" s="162">
        <v>341</v>
      </c>
      <c r="F42" s="162">
        <v>24.8</v>
      </c>
      <c r="G42" s="162">
        <v>4.8</v>
      </c>
      <c r="H42" s="162">
        <v>24.7</v>
      </c>
      <c r="I42" s="162">
        <v>0</v>
      </c>
      <c r="J42" s="136" t="s">
        <v>405</v>
      </c>
      <c r="K42" s="163" t="s">
        <v>405</v>
      </c>
      <c r="L42" s="136" t="s">
        <v>406</v>
      </c>
      <c r="M42" s="136" t="s">
        <v>66</v>
      </c>
      <c r="N42" s="136" t="str">
        <f t="shared" si="0"/>
        <v>Queso gouda 2 · INTA-0035</v>
      </c>
      <c r="O42" s="13"/>
      <c r="P42" s="13"/>
      <c r="Q42" s="13"/>
    </row>
    <row r="43" spans="1:17" ht="15" customHeight="1">
      <c r="A43" s="140" t="s">
        <v>521</v>
      </c>
      <c r="B43" s="140" t="s">
        <v>522</v>
      </c>
      <c r="C43" s="140" t="s">
        <v>403</v>
      </c>
      <c r="D43" s="140" t="s">
        <v>404</v>
      </c>
      <c r="E43" s="164">
        <v>394</v>
      </c>
      <c r="F43" s="164">
        <v>24.7</v>
      </c>
      <c r="G43" s="164">
        <v>8</v>
      </c>
      <c r="H43" s="164">
        <v>29.2</v>
      </c>
      <c r="I43" s="165" t="s">
        <v>405</v>
      </c>
      <c r="J43" s="140" t="s">
        <v>405</v>
      </c>
      <c r="K43" s="165" t="s">
        <v>405</v>
      </c>
      <c r="L43" s="140" t="s">
        <v>406</v>
      </c>
      <c r="M43" s="140" t="s">
        <v>66</v>
      </c>
      <c r="N43" s="140" t="str">
        <f t="shared" si="0"/>
        <v>Queso mantecoso · INTA-0036</v>
      </c>
      <c r="O43" s="13"/>
      <c r="P43" s="13"/>
      <c r="Q43" s="13"/>
    </row>
    <row r="44" spans="1:17" ht="15" customHeight="1">
      <c r="A44" s="136" t="s">
        <v>523</v>
      </c>
      <c r="B44" s="136" t="s">
        <v>524</v>
      </c>
      <c r="C44" s="136" t="s">
        <v>403</v>
      </c>
      <c r="D44" s="136" t="s">
        <v>404</v>
      </c>
      <c r="E44" s="162">
        <v>199</v>
      </c>
      <c r="F44" s="162">
        <v>13.5</v>
      </c>
      <c r="G44" s="162">
        <v>2.2999999999999998</v>
      </c>
      <c r="H44" s="162">
        <v>15.1</v>
      </c>
      <c r="I44" s="162">
        <v>0</v>
      </c>
      <c r="J44" s="136" t="s">
        <v>405</v>
      </c>
      <c r="K44" s="163" t="s">
        <v>405</v>
      </c>
      <c r="L44" s="136" t="s">
        <v>406</v>
      </c>
      <c r="M44" s="136" t="s">
        <v>66</v>
      </c>
      <c r="N44" s="136" t="str">
        <f t="shared" si="0"/>
        <v>Queso mozarella · INTA-0037</v>
      </c>
      <c r="O44" s="13"/>
      <c r="P44" s="13"/>
      <c r="Q44" s="13"/>
    </row>
    <row r="45" spans="1:17" ht="15" customHeight="1">
      <c r="A45" s="140" t="s">
        <v>525</v>
      </c>
      <c r="B45" s="140" t="s">
        <v>526</v>
      </c>
      <c r="C45" s="140" t="s">
        <v>403</v>
      </c>
      <c r="D45" s="140" t="s">
        <v>404</v>
      </c>
      <c r="E45" s="164">
        <v>476</v>
      </c>
      <c r="F45" s="164">
        <v>47.1</v>
      </c>
      <c r="G45" s="164">
        <v>5.5</v>
      </c>
      <c r="H45" s="164">
        <v>29.5</v>
      </c>
      <c r="I45" s="165" t="s">
        <v>405</v>
      </c>
      <c r="J45" s="140" t="s">
        <v>405</v>
      </c>
      <c r="K45" s="165" t="s">
        <v>405</v>
      </c>
      <c r="L45" s="140" t="s">
        <v>406</v>
      </c>
      <c r="M45" s="140" t="s">
        <v>66</v>
      </c>
      <c r="N45" s="140" t="str">
        <f t="shared" si="0"/>
        <v>Queso parmesano · INTA-0038</v>
      </c>
      <c r="O45" s="13"/>
      <c r="P45" s="13"/>
      <c r="Q45" s="13"/>
    </row>
    <row r="46" spans="1:17" ht="15" customHeight="1">
      <c r="A46" s="136" t="s">
        <v>527</v>
      </c>
      <c r="B46" s="136" t="s">
        <v>528</v>
      </c>
      <c r="C46" s="136" t="s">
        <v>403</v>
      </c>
      <c r="D46" s="136" t="s">
        <v>404</v>
      </c>
      <c r="E46" s="162">
        <v>420</v>
      </c>
      <c r="F46" s="162">
        <v>28.4</v>
      </c>
      <c r="G46" s="162">
        <v>13.9</v>
      </c>
      <c r="H46" s="162">
        <v>27.8</v>
      </c>
      <c r="I46" s="162">
        <v>0</v>
      </c>
      <c r="J46" s="136" t="s">
        <v>405</v>
      </c>
      <c r="K46" s="163" t="s">
        <v>405</v>
      </c>
      <c r="L46" s="136" t="s">
        <v>406</v>
      </c>
      <c r="M46" s="136" t="s">
        <v>66</v>
      </c>
      <c r="N46" s="136" t="str">
        <f t="shared" si="0"/>
        <v>Queso parmesano 2 · INTA-0039</v>
      </c>
      <c r="O46" s="13"/>
      <c r="P46" s="13"/>
      <c r="Q46" s="13"/>
    </row>
    <row r="47" spans="1:17" ht="15" customHeight="1">
      <c r="A47" s="140" t="s">
        <v>529</v>
      </c>
      <c r="B47" s="140" t="s">
        <v>530</v>
      </c>
      <c r="C47" s="140" t="s">
        <v>403</v>
      </c>
      <c r="D47" s="140" t="s">
        <v>404</v>
      </c>
      <c r="E47" s="164">
        <v>394</v>
      </c>
      <c r="F47" s="164">
        <v>25.7</v>
      </c>
      <c r="G47" s="164">
        <v>2.2999999999999998</v>
      </c>
      <c r="H47" s="164">
        <v>31.2</v>
      </c>
      <c r="I47" s="164">
        <v>0</v>
      </c>
      <c r="J47" s="140" t="s">
        <v>405</v>
      </c>
      <c r="K47" s="165" t="s">
        <v>405</v>
      </c>
      <c r="L47" s="140" t="s">
        <v>406</v>
      </c>
      <c r="M47" s="140" t="s">
        <v>66</v>
      </c>
      <c r="N47" s="140" t="str">
        <f t="shared" si="0"/>
        <v>Queso pategras · INTA-0040</v>
      </c>
      <c r="O47" s="13"/>
      <c r="P47" s="13"/>
      <c r="Q47" s="13"/>
    </row>
    <row r="48" spans="1:17" ht="15" customHeight="1">
      <c r="A48" s="136" t="s">
        <v>531</v>
      </c>
      <c r="B48" s="136" t="s">
        <v>532</v>
      </c>
      <c r="C48" s="136" t="s">
        <v>403</v>
      </c>
      <c r="D48" s="136" t="s">
        <v>404</v>
      </c>
      <c r="E48" s="162">
        <v>339</v>
      </c>
      <c r="F48" s="162">
        <v>33.1</v>
      </c>
      <c r="G48" s="162">
        <v>5.9</v>
      </c>
      <c r="H48" s="162">
        <v>20.3</v>
      </c>
      <c r="I48" s="162">
        <v>0</v>
      </c>
      <c r="J48" s="136" t="s">
        <v>405</v>
      </c>
      <c r="K48" s="163" t="s">
        <v>405</v>
      </c>
      <c r="L48" s="136" t="s">
        <v>406</v>
      </c>
      <c r="M48" s="136" t="s">
        <v>66</v>
      </c>
      <c r="N48" s="136" t="str">
        <f t="shared" si="0"/>
        <v>Queso reggianito · INTA-0041</v>
      </c>
      <c r="O48" s="13"/>
      <c r="P48" s="13"/>
      <c r="Q48" s="13"/>
    </row>
    <row r="49" spans="1:17" ht="15" customHeight="1">
      <c r="A49" s="140" t="s">
        <v>533</v>
      </c>
      <c r="B49" s="140" t="s">
        <v>534</v>
      </c>
      <c r="C49" s="140" t="s">
        <v>403</v>
      </c>
      <c r="D49" s="140" t="s">
        <v>404</v>
      </c>
      <c r="E49" s="164">
        <v>393</v>
      </c>
      <c r="F49" s="164">
        <v>27</v>
      </c>
      <c r="G49" s="164">
        <v>1.5</v>
      </c>
      <c r="H49" s="164">
        <v>31</v>
      </c>
      <c r="I49" s="164">
        <v>0</v>
      </c>
      <c r="J49" s="140" t="s">
        <v>405</v>
      </c>
      <c r="K49" s="165" t="s">
        <v>405</v>
      </c>
      <c r="L49" s="140" t="s">
        <v>406</v>
      </c>
      <c r="M49" s="140" t="s">
        <v>66</v>
      </c>
      <c r="N49" s="140" t="str">
        <f t="shared" si="0"/>
        <v>Queso suizo · INTA-0042</v>
      </c>
      <c r="O49" s="13"/>
      <c r="P49" s="13"/>
      <c r="Q49" s="13"/>
    </row>
    <row r="50" spans="1:17" ht="15" customHeight="1">
      <c r="A50" s="136" t="s">
        <v>535</v>
      </c>
      <c r="B50" s="136" t="s">
        <v>536</v>
      </c>
      <c r="C50" s="136" t="s">
        <v>403</v>
      </c>
      <c r="D50" s="136" t="s">
        <v>404</v>
      </c>
      <c r="E50" s="162">
        <v>303</v>
      </c>
      <c r="F50" s="162">
        <v>20</v>
      </c>
      <c r="G50" s="162">
        <v>3.3</v>
      </c>
      <c r="H50" s="162">
        <v>25</v>
      </c>
      <c r="I50" s="162">
        <v>0</v>
      </c>
      <c r="J50" s="136" t="s">
        <v>405</v>
      </c>
      <c r="K50" s="163" t="s">
        <v>405</v>
      </c>
      <c r="L50" s="136" t="s">
        <v>406</v>
      </c>
      <c r="M50" s="136" t="s">
        <v>66</v>
      </c>
      <c r="N50" s="136" t="str">
        <f t="shared" si="0"/>
        <v>Queso untable · INTA-0043</v>
      </c>
      <c r="O50" s="13"/>
      <c r="P50" s="13"/>
      <c r="Q50" s="13"/>
    </row>
    <row r="51" spans="1:17" ht="15" customHeight="1">
      <c r="A51" s="140" t="s">
        <v>537</v>
      </c>
      <c r="B51" s="140" t="s">
        <v>538</v>
      </c>
      <c r="C51" s="140" t="s">
        <v>403</v>
      </c>
      <c r="D51" s="140" t="s">
        <v>404</v>
      </c>
      <c r="E51" s="164">
        <v>174</v>
      </c>
      <c r="F51" s="164">
        <v>11.3</v>
      </c>
      <c r="G51" s="164">
        <v>3</v>
      </c>
      <c r="H51" s="164">
        <v>13</v>
      </c>
      <c r="I51" s="164">
        <v>0</v>
      </c>
      <c r="J51" s="140" t="s">
        <v>405</v>
      </c>
      <c r="K51" s="165" t="s">
        <v>405</v>
      </c>
      <c r="L51" s="140" t="s">
        <v>406</v>
      </c>
      <c r="M51" s="140" t="s">
        <v>66</v>
      </c>
      <c r="N51" s="140" t="str">
        <f t="shared" si="0"/>
        <v>Ricota · INTA-0044</v>
      </c>
      <c r="O51" s="13"/>
      <c r="P51" s="13"/>
      <c r="Q51" s="13"/>
    </row>
    <row r="52" spans="1:17" ht="15" customHeight="1">
      <c r="A52" s="140" t="s">
        <v>539</v>
      </c>
      <c r="B52" s="140" t="s">
        <v>540</v>
      </c>
      <c r="C52" s="140" t="s">
        <v>403</v>
      </c>
      <c r="D52" s="140" t="s">
        <v>404</v>
      </c>
      <c r="E52" s="164">
        <v>61</v>
      </c>
      <c r="F52" s="164">
        <v>3.5</v>
      </c>
      <c r="G52" s="164">
        <v>4.7</v>
      </c>
      <c r="H52" s="164">
        <v>3.3</v>
      </c>
      <c r="I52" s="164">
        <v>0</v>
      </c>
      <c r="J52" s="140" t="s">
        <v>405</v>
      </c>
      <c r="K52" s="165" t="s">
        <v>405</v>
      </c>
      <c r="L52" s="140" t="s">
        <v>406</v>
      </c>
      <c r="M52" s="140" t="s">
        <v>66</v>
      </c>
      <c r="N52" s="140" t="str">
        <f t="shared" si="0"/>
        <v>Yogurt natural · INTA-0045</v>
      </c>
      <c r="O52" s="13"/>
      <c r="P52" s="13"/>
      <c r="Q52" s="13"/>
    </row>
    <row r="53" spans="1:17" ht="15" customHeight="1">
      <c r="A53" s="136" t="s">
        <v>541</v>
      </c>
      <c r="B53" s="136" t="s">
        <v>542</v>
      </c>
      <c r="C53" s="136" t="s">
        <v>403</v>
      </c>
      <c r="D53" s="136" t="s">
        <v>404</v>
      </c>
      <c r="E53" s="162">
        <v>56</v>
      </c>
      <c r="F53" s="162">
        <v>4.4000000000000004</v>
      </c>
      <c r="G53" s="162">
        <v>14.9</v>
      </c>
      <c r="H53" s="162">
        <v>0</v>
      </c>
      <c r="I53" s="162">
        <v>0.1</v>
      </c>
      <c r="J53" s="136" t="s">
        <v>405</v>
      </c>
      <c r="K53" s="163" t="s">
        <v>405</v>
      </c>
      <c r="L53" s="136" t="s">
        <v>406</v>
      </c>
      <c r="M53" s="136" t="s">
        <v>66</v>
      </c>
      <c r="N53" s="136" t="str">
        <f t="shared" si="0"/>
        <v>Yogurt light · INTA-0046</v>
      </c>
      <c r="O53" s="13"/>
      <c r="P53" s="13"/>
      <c r="Q53" s="13"/>
    </row>
    <row r="54" spans="1:17" ht="15" customHeight="1">
      <c r="A54" s="140" t="s">
        <v>543</v>
      </c>
      <c r="B54" s="140" t="s">
        <v>544</v>
      </c>
      <c r="C54" s="140" t="s">
        <v>403</v>
      </c>
      <c r="D54" s="140" t="s">
        <v>404</v>
      </c>
      <c r="E54" s="164">
        <v>101</v>
      </c>
      <c r="F54" s="164">
        <v>5.7</v>
      </c>
      <c r="G54" s="164">
        <v>7.7</v>
      </c>
      <c r="H54" s="164">
        <v>2.7</v>
      </c>
      <c r="I54" s="164">
        <v>0</v>
      </c>
      <c r="J54" s="140" t="s">
        <v>405</v>
      </c>
      <c r="K54" s="165" t="s">
        <v>405</v>
      </c>
      <c r="L54" s="140" t="s">
        <v>406</v>
      </c>
      <c r="M54" s="140" t="s">
        <v>66</v>
      </c>
      <c r="N54" s="140" t="str">
        <f t="shared" si="0"/>
        <v>Yogurt con sabor · INTA-0047</v>
      </c>
      <c r="O54" s="13"/>
      <c r="P54" s="13"/>
      <c r="Q54" s="13"/>
    </row>
    <row r="55" spans="1:17" ht="15" customHeight="1">
      <c r="A55" s="136" t="s">
        <v>545</v>
      </c>
      <c r="B55" s="136" t="s">
        <v>546</v>
      </c>
      <c r="C55" s="136" t="s">
        <v>403</v>
      </c>
      <c r="D55" s="136" t="s">
        <v>404</v>
      </c>
      <c r="E55" s="162">
        <v>53</v>
      </c>
      <c r="F55" s="162">
        <v>3</v>
      </c>
      <c r="G55" s="162">
        <v>9.3000000000000007</v>
      </c>
      <c r="H55" s="162">
        <v>0.4</v>
      </c>
      <c r="I55" s="162">
        <v>0</v>
      </c>
      <c r="J55" s="136" t="s">
        <v>405</v>
      </c>
      <c r="K55" s="163" t="s">
        <v>405</v>
      </c>
      <c r="L55" s="136" t="s">
        <v>406</v>
      </c>
      <c r="M55" s="136" t="s">
        <v>66</v>
      </c>
      <c r="N55" s="136" t="str">
        <f t="shared" si="0"/>
        <v>Yogurt sin lactosa · INTA-0048</v>
      </c>
      <c r="O55" s="13"/>
      <c r="P55" s="13"/>
      <c r="Q55" s="13"/>
    </row>
    <row r="56" spans="1:17" ht="15" customHeight="1">
      <c r="A56" s="140" t="s">
        <v>547</v>
      </c>
      <c r="B56" s="140" t="s">
        <v>548</v>
      </c>
      <c r="C56" s="140" t="s">
        <v>403</v>
      </c>
      <c r="D56" s="140" t="s">
        <v>404</v>
      </c>
      <c r="E56" s="164">
        <v>114</v>
      </c>
      <c r="F56" s="164">
        <v>4.0999999999999996</v>
      </c>
      <c r="G56" s="164">
        <v>18.2</v>
      </c>
      <c r="H56" s="164">
        <v>2.8</v>
      </c>
      <c r="I56" s="164">
        <v>0.3</v>
      </c>
      <c r="J56" s="140" t="s">
        <v>405</v>
      </c>
      <c r="K56" s="165" t="s">
        <v>405</v>
      </c>
      <c r="L56" s="140" t="s">
        <v>406</v>
      </c>
      <c r="M56" s="140" t="s">
        <v>66</v>
      </c>
      <c r="N56" s="140" t="str">
        <f t="shared" si="0"/>
        <v>Yogurt con frutas · INTA-0049</v>
      </c>
      <c r="O56" s="13"/>
      <c r="P56" s="13"/>
      <c r="Q56" s="13"/>
    </row>
    <row r="57" spans="1:17" ht="15" customHeight="1">
      <c r="A57" s="136" t="s">
        <v>549</v>
      </c>
      <c r="B57" s="136" t="s">
        <v>550</v>
      </c>
      <c r="C57" s="136" t="s">
        <v>403</v>
      </c>
      <c r="D57" s="136" t="s">
        <v>404</v>
      </c>
      <c r="E57" s="162">
        <v>105</v>
      </c>
      <c r="F57" s="162">
        <v>4.9000000000000004</v>
      </c>
      <c r="G57" s="162">
        <v>18.600000000000001</v>
      </c>
      <c r="H57" s="162">
        <v>1.4</v>
      </c>
      <c r="I57" s="162">
        <v>0</v>
      </c>
      <c r="J57" s="136" t="s">
        <v>405</v>
      </c>
      <c r="K57" s="163" t="s">
        <v>405</v>
      </c>
      <c r="L57" s="136" t="s">
        <v>406</v>
      </c>
      <c r="M57" s="136" t="s">
        <v>66</v>
      </c>
      <c r="N57" s="136" t="str">
        <f t="shared" si="0"/>
        <v>Yogurt con frutas bajo en grasa · INTA-0050</v>
      </c>
      <c r="O57" s="13"/>
      <c r="P57" s="13"/>
      <c r="Q57" s="13"/>
    </row>
    <row r="58" spans="1:17" ht="15" customHeight="1">
      <c r="A58" s="136" t="s">
        <v>551</v>
      </c>
      <c r="B58" s="136" t="s">
        <v>552</v>
      </c>
      <c r="C58" s="136" t="s">
        <v>403</v>
      </c>
      <c r="D58" s="136" t="s">
        <v>404</v>
      </c>
      <c r="E58" s="162">
        <v>56</v>
      </c>
      <c r="F58" s="162">
        <v>3</v>
      </c>
      <c r="G58" s="162">
        <v>10.1</v>
      </c>
      <c r="H58" s="162">
        <v>0.4</v>
      </c>
      <c r="I58" s="162">
        <v>0</v>
      </c>
      <c r="J58" s="136" t="s">
        <v>405</v>
      </c>
      <c r="K58" s="163" t="s">
        <v>405</v>
      </c>
      <c r="L58" s="136" t="s">
        <v>406</v>
      </c>
      <c r="M58" s="136" t="s">
        <v>66</v>
      </c>
      <c r="N58" s="136" t="str">
        <f t="shared" si="0"/>
        <v>Yogurt con fruta sin lactosa · INTA-0051</v>
      </c>
      <c r="O58" s="13"/>
      <c r="P58" s="13"/>
      <c r="Q58" s="13"/>
    </row>
    <row r="59" spans="1:17" ht="15" customHeight="1">
      <c r="A59" s="136" t="s">
        <v>553</v>
      </c>
      <c r="B59" s="136" t="s">
        <v>554</v>
      </c>
      <c r="C59" s="136" t="s">
        <v>403</v>
      </c>
      <c r="D59" s="136" t="s">
        <v>404</v>
      </c>
      <c r="E59" s="162">
        <v>78</v>
      </c>
      <c r="F59" s="162">
        <v>9</v>
      </c>
      <c r="G59" s="162">
        <v>2</v>
      </c>
      <c r="H59" s="162">
        <v>4.2</v>
      </c>
      <c r="I59" s="162">
        <v>0.9</v>
      </c>
      <c r="J59" s="136" t="s">
        <v>405</v>
      </c>
      <c r="K59" s="163" t="s">
        <v>405</v>
      </c>
      <c r="L59" s="136" t="s">
        <v>406</v>
      </c>
      <c r="M59" s="136" t="s">
        <v>66</v>
      </c>
      <c r="N59" s="136" t="str">
        <f t="shared" si="0"/>
        <v>Tofu · INTA-0052</v>
      </c>
      <c r="O59" s="13"/>
      <c r="P59" s="13"/>
      <c r="Q59" s="13"/>
    </row>
    <row r="60" spans="1:17" ht="15" customHeight="1">
      <c r="A60" s="140" t="s">
        <v>555</v>
      </c>
      <c r="B60" s="140" t="s">
        <v>556</v>
      </c>
      <c r="C60" s="140" t="s">
        <v>403</v>
      </c>
      <c r="D60" s="140" t="s">
        <v>404</v>
      </c>
      <c r="E60" s="164">
        <v>95</v>
      </c>
      <c r="F60" s="164">
        <v>10.4</v>
      </c>
      <c r="G60" s="164">
        <v>8</v>
      </c>
      <c r="H60" s="164">
        <v>2.4</v>
      </c>
      <c r="I60" s="165" t="s">
        <v>405</v>
      </c>
      <c r="J60" s="140" t="s">
        <v>405</v>
      </c>
      <c r="K60" s="165" t="s">
        <v>405</v>
      </c>
      <c r="L60" s="140" t="s">
        <v>406</v>
      </c>
      <c r="M60" s="140" t="s">
        <v>66</v>
      </c>
      <c r="N60" s="140" t="str">
        <f t="shared" si="0"/>
        <v>Tofu 2 · INTA-0053</v>
      </c>
      <c r="O60" s="13"/>
      <c r="P60" s="13"/>
      <c r="Q60" s="13"/>
    </row>
    <row r="61" spans="1:17" ht="15" customHeight="1">
      <c r="A61" s="140" t="s">
        <v>557</v>
      </c>
      <c r="B61" s="140" t="s">
        <v>558</v>
      </c>
      <c r="C61" s="140" t="s">
        <v>450</v>
      </c>
      <c r="D61" s="140" t="s">
        <v>404</v>
      </c>
      <c r="E61" s="164">
        <v>143</v>
      </c>
      <c r="F61" s="164">
        <v>12.6</v>
      </c>
      <c r="G61" s="164">
        <v>0.7</v>
      </c>
      <c r="H61" s="164">
        <v>9.5</v>
      </c>
      <c r="I61" s="164">
        <v>0</v>
      </c>
      <c r="J61" s="140" t="s">
        <v>405</v>
      </c>
      <c r="K61" s="165" t="s">
        <v>405</v>
      </c>
      <c r="L61" s="140" t="s">
        <v>406</v>
      </c>
      <c r="M61" s="140" t="s">
        <v>66</v>
      </c>
      <c r="N61" s="140" t="str">
        <f t="shared" si="0"/>
        <v>Huevo entero · INTA-0054</v>
      </c>
      <c r="O61" s="13"/>
      <c r="P61" s="13"/>
      <c r="Q61" s="13"/>
    </row>
    <row r="62" spans="1:17" ht="15" customHeight="1">
      <c r="A62" s="136" t="s">
        <v>559</v>
      </c>
      <c r="B62" s="136" t="s">
        <v>560</v>
      </c>
      <c r="C62" s="136" t="s">
        <v>450</v>
      </c>
      <c r="D62" s="136" t="s">
        <v>404</v>
      </c>
      <c r="E62" s="162">
        <v>149</v>
      </c>
      <c r="F62" s="162">
        <v>12.4</v>
      </c>
      <c r="G62" s="162">
        <v>0.3</v>
      </c>
      <c r="H62" s="162">
        <v>10.9</v>
      </c>
      <c r="I62" s="163" t="s">
        <v>405</v>
      </c>
      <c r="J62" s="136" t="s">
        <v>405</v>
      </c>
      <c r="K62" s="163" t="s">
        <v>405</v>
      </c>
      <c r="L62" s="136" t="s">
        <v>406</v>
      </c>
      <c r="M62" s="136" t="s">
        <v>66</v>
      </c>
      <c r="N62" s="136" t="str">
        <f t="shared" si="0"/>
        <v>Huevo entero cocido · INTA-0055</v>
      </c>
      <c r="O62" s="13"/>
      <c r="P62" s="13"/>
      <c r="Q62" s="13"/>
    </row>
    <row r="63" spans="1:17" ht="15" customHeight="1">
      <c r="A63" s="140" t="s">
        <v>561</v>
      </c>
      <c r="B63" s="140" t="s">
        <v>562</v>
      </c>
      <c r="C63" s="140" t="s">
        <v>450</v>
      </c>
      <c r="D63" s="140" t="s">
        <v>404</v>
      </c>
      <c r="E63" s="164">
        <v>52</v>
      </c>
      <c r="F63" s="164">
        <v>10.9</v>
      </c>
      <c r="G63" s="164">
        <v>0.7</v>
      </c>
      <c r="H63" s="164">
        <v>0.2</v>
      </c>
      <c r="I63" s="164">
        <v>0</v>
      </c>
      <c r="J63" s="140" t="s">
        <v>405</v>
      </c>
      <c r="K63" s="165" t="s">
        <v>405</v>
      </c>
      <c r="L63" s="140" t="s">
        <v>406</v>
      </c>
      <c r="M63" s="140" t="s">
        <v>66</v>
      </c>
      <c r="N63" s="140" t="str">
        <f t="shared" si="0"/>
        <v>Clara de huevo · INTA-0056</v>
      </c>
      <c r="O63" s="13"/>
      <c r="P63" s="13"/>
      <c r="Q63" s="13"/>
    </row>
    <row r="64" spans="1:17" ht="15" customHeight="1">
      <c r="A64" s="140" t="s">
        <v>563</v>
      </c>
      <c r="B64" s="140" t="s">
        <v>564</v>
      </c>
      <c r="C64" s="140" t="s">
        <v>450</v>
      </c>
      <c r="D64" s="140" t="s">
        <v>404</v>
      </c>
      <c r="E64" s="164">
        <v>322</v>
      </c>
      <c r="F64" s="164">
        <v>15.9</v>
      </c>
      <c r="G64" s="164">
        <v>3.6</v>
      </c>
      <c r="H64" s="164">
        <v>26.5</v>
      </c>
      <c r="I64" s="164">
        <v>0</v>
      </c>
      <c r="J64" s="140" t="s">
        <v>405</v>
      </c>
      <c r="K64" s="165" t="s">
        <v>405</v>
      </c>
      <c r="L64" s="140" t="s">
        <v>406</v>
      </c>
      <c r="M64" s="140" t="s">
        <v>66</v>
      </c>
      <c r="N64" s="140" t="str">
        <f t="shared" si="0"/>
        <v>Yema de huevo · INTA-0057</v>
      </c>
      <c r="O64" s="13"/>
      <c r="P64" s="13"/>
      <c r="Q64" s="13"/>
    </row>
    <row r="65" spans="1:17" ht="15" customHeight="1">
      <c r="A65" s="136" t="s">
        <v>565</v>
      </c>
      <c r="B65" s="136" t="s">
        <v>566</v>
      </c>
      <c r="C65" s="136" t="s">
        <v>450</v>
      </c>
      <c r="D65" s="136" t="s">
        <v>404</v>
      </c>
      <c r="E65" s="162">
        <v>158</v>
      </c>
      <c r="F65" s="162">
        <v>13.1</v>
      </c>
      <c r="G65" s="162">
        <v>0.4</v>
      </c>
      <c r="H65" s="162">
        <v>11.1</v>
      </c>
      <c r="I65" s="162">
        <v>0</v>
      </c>
      <c r="J65" s="136" t="s">
        <v>405</v>
      </c>
      <c r="K65" s="163" t="s">
        <v>405</v>
      </c>
      <c r="L65" s="136" t="s">
        <v>406</v>
      </c>
      <c r="M65" s="136" t="s">
        <v>66</v>
      </c>
      <c r="N65" s="136" t="str">
        <f t="shared" si="0"/>
        <v>Huevo de codorniz · INTA-0058</v>
      </c>
      <c r="O65" s="13"/>
      <c r="P65" s="13"/>
      <c r="Q65" s="13"/>
    </row>
    <row r="66" spans="1:17" ht="15" customHeight="1">
      <c r="A66" s="136" t="s">
        <v>567</v>
      </c>
      <c r="B66" s="136" t="s">
        <v>568</v>
      </c>
      <c r="C66" s="136" t="s">
        <v>423</v>
      </c>
      <c r="D66" s="136" t="s">
        <v>404</v>
      </c>
      <c r="E66" s="162">
        <v>176</v>
      </c>
      <c r="F66" s="162">
        <v>27.3</v>
      </c>
      <c r="G66" s="162">
        <v>0</v>
      </c>
      <c r="H66" s="162">
        <v>6.7</v>
      </c>
      <c r="I66" s="162">
        <v>0</v>
      </c>
      <c r="J66" s="136" t="s">
        <v>405</v>
      </c>
      <c r="K66" s="163" t="s">
        <v>405</v>
      </c>
      <c r="L66" s="136" t="s">
        <v>406</v>
      </c>
      <c r="M66" s="136" t="s">
        <v>66</v>
      </c>
      <c r="N66" s="136" t="str">
        <f t="shared" si="0"/>
        <v>Pollo cocido · INTA-0059</v>
      </c>
      <c r="O66" s="13"/>
      <c r="P66" s="13"/>
      <c r="Q66" s="13"/>
    </row>
    <row r="67" spans="1:17" ht="15" customHeight="1">
      <c r="A67" s="136" t="s">
        <v>569</v>
      </c>
      <c r="B67" s="136" t="s">
        <v>570</v>
      </c>
      <c r="C67" s="136" t="s">
        <v>423</v>
      </c>
      <c r="D67" s="136" t="s">
        <v>404</v>
      </c>
      <c r="E67" s="162">
        <v>199</v>
      </c>
      <c r="F67" s="162">
        <v>22.4</v>
      </c>
      <c r="G67" s="162">
        <v>1.5</v>
      </c>
      <c r="H67" s="162">
        <v>11.5</v>
      </c>
      <c r="I67" s="162">
        <v>0</v>
      </c>
      <c r="J67" s="136" t="s">
        <v>405</v>
      </c>
      <c r="K67" s="163" t="s">
        <v>405</v>
      </c>
      <c r="L67" s="136" t="s">
        <v>406</v>
      </c>
      <c r="M67" s="136" t="s">
        <v>66</v>
      </c>
      <c r="N67" s="136" t="str">
        <f t="shared" si="0"/>
        <v>Pollo pierna · INTA-0060</v>
      </c>
      <c r="O67" s="13"/>
      <c r="P67" s="13"/>
      <c r="Q67" s="13"/>
    </row>
    <row r="68" spans="1:17" ht="15" customHeight="1">
      <c r="A68" s="136" t="s">
        <v>571</v>
      </c>
      <c r="B68" s="136" t="s">
        <v>572</v>
      </c>
      <c r="C68" s="136" t="s">
        <v>423</v>
      </c>
      <c r="D68" s="136" t="s">
        <v>404</v>
      </c>
      <c r="E68" s="162">
        <v>130</v>
      </c>
      <c r="F68" s="162">
        <v>22.3</v>
      </c>
      <c r="G68" s="162">
        <v>1.7</v>
      </c>
      <c r="H68" s="162">
        <v>3.8</v>
      </c>
      <c r="I68" s="162">
        <v>0</v>
      </c>
      <c r="J68" s="136" t="s">
        <v>405</v>
      </c>
      <c r="K68" s="163" t="s">
        <v>405</v>
      </c>
      <c r="L68" s="136" t="s">
        <v>406</v>
      </c>
      <c r="M68" s="136" t="s">
        <v>66</v>
      </c>
      <c r="N68" s="136" t="str">
        <f t="shared" si="0"/>
        <v>Pollo pechuga · INTA-0061</v>
      </c>
      <c r="O68" s="13"/>
      <c r="P68" s="13"/>
      <c r="Q68" s="13"/>
    </row>
    <row r="69" spans="1:17" ht="15" customHeight="1">
      <c r="A69" s="140" t="s">
        <v>573</v>
      </c>
      <c r="B69" s="140" t="s">
        <v>574</v>
      </c>
      <c r="C69" s="140" t="s">
        <v>423</v>
      </c>
      <c r="D69" s="140" t="s">
        <v>404</v>
      </c>
      <c r="E69" s="164">
        <v>114</v>
      </c>
      <c r="F69" s="164">
        <v>22.2</v>
      </c>
      <c r="G69" s="164">
        <v>1.9</v>
      </c>
      <c r="H69" s="164">
        <v>1.9</v>
      </c>
      <c r="I69" s="165" t="s">
        <v>405</v>
      </c>
      <c r="J69" s="140" t="s">
        <v>405</v>
      </c>
      <c r="K69" s="165" t="s">
        <v>405</v>
      </c>
      <c r="L69" s="140" t="s">
        <v>406</v>
      </c>
      <c r="M69" s="140" t="s">
        <v>66</v>
      </c>
      <c r="N69" s="140" t="str">
        <f t="shared" si="0"/>
        <v>Pollo pechuga deshuesado · INTA-0062</v>
      </c>
      <c r="O69" s="13"/>
      <c r="P69" s="13"/>
      <c r="Q69" s="13"/>
    </row>
    <row r="70" spans="1:17" ht="15" customHeight="1">
      <c r="A70" s="140" t="s">
        <v>575</v>
      </c>
      <c r="B70" s="140" t="s">
        <v>576</v>
      </c>
      <c r="C70" s="140" t="s">
        <v>423</v>
      </c>
      <c r="D70" s="140" t="s">
        <v>404</v>
      </c>
      <c r="E70" s="164">
        <v>201</v>
      </c>
      <c r="F70" s="164">
        <v>23.5</v>
      </c>
      <c r="G70" s="164">
        <v>0</v>
      </c>
      <c r="H70" s="164">
        <v>11.2</v>
      </c>
      <c r="I70" s="164">
        <v>0</v>
      </c>
      <c r="J70" s="140" t="s">
        <v>405</v>
      </c>
      <c r="K70" s="165" t="s">
        <v>405</v>
      </c>
      <c r="L70" s="140" t="s">
        <v>406</v>
      </c>
      <c r="M70" s="140" t="s">
        <v>66</v>
      </c>
      <c r="N70" s="140" t="str">
        <f t="shared" si="0"/>
        <v>Pato cocido · INTA-0063</v>
      </c>
      <c r="O70" s="13"/>
      <c r="P70" s="13"/>
      <c r="Q70" s="13"/>
    </row>
    <row r="71" spans="1:17" ht="15" customHeight="1">
      <c r="A71" s="136" t="s">
        <v>577</v>
      </c>
      <c r="B71" s="136" t="s">
        <v>578</v>
      </c>
      <c r="C71" s="136" t="s">
        <v>423</v>
      </c>
      <c r="D71" s="136" t="s">
        <v>404</v>
      </c>
      <c r="E71" s="162">
        <v>123</v>
      </c>
      <c r="F71" s="162">
        <v>22</v>
      </c>
      <c r="G71" s="162">
        <v>1.2</v>
      </c>
      <c r="H71" s="162">
        <v>3.3</v>
      </c>
      <c r="I71" s="162">
        <v>0</v>
      </c>
      <c r="J71" s="136" t="s">
        <v>405</v>
      </c>
      <c r="K71" s="163" t="s">
        <v>405</v>
      </c>
      <c r="L71" s="136" t="s">
        <v>406</v>
      </c>
      <c r="M71" s="136" t="s">
        <v>66</v>
      </c>
      <c r="N71" s="136" t="str">
        <f t="shared" si="0"/>
        <v>Pavo pierna · INTA-0064</v>
      </c>
      <c r="O71" s="13"/>
      <c r="P71" s="13"/>
      <c r="Q71" s="13"/>
    </row>
    <row r="72" spans="1:17" ht="15" customHeight="1">
      <c r="A72" s="140" t="s">
        <v>579</v>
      </c>
      <c r="B72" s="140" t="s">
        <v>580</v>
      </c>
      <c r="C72" s="140" t="s">
        <v>423</v>
      </c>
      <c r="D72" s="140" t="s">
        <v>404</v>
      </c>
      <c r="E72" s="164">
        <v>189</v>
      </c>
      <c r="F72" s="164">
        <v>28.6</v>
      </c>
      <c r="G72" s="164">
        <v>0.1</v>
      </c>
      <c r="H72" s="164">
        <v>7.4</v>
      </c>
      <c r="I72" s="164">
        <v>0</v>
      </c>
      <c r="J72" s="140" t="s">
        <v>405</v>
      </c>
      <c r="K72" s="165" t="s">
        <v>405</v>
      </c>
      <c r="L72" s="140" t="s">
        <v>406</v>
      </c>
      <c r="M72" s="140" t="s">
        <v>66</v>
      </c>
      <c r="N72" s="140" t="str">
        <f t="shared" ref="N72:N135" si="1">B72&amp;" · "&amp;A72</f>
        <v>Pavo rostizado · INTA-0065</v>
      </c>
      <c r="O72" s="13"/>
      <c r="P72" s="13"/>
      <c r="Q72" s="13"/>
    </row>
    <row r="73" spans="1:17" ht="15" customHeight="1">
      <c r="A73" s="136" t="s">
        <v>581</v>
      </c>
      <c r="B73" s="136" t="s">
        <v>582</v>
      </c>
      <c r="C73" s="136" t="s">
        <v>423</v>
      </c>
      <c r="D73" s="136" t="s">
        <v>404</v>
      </c>
      <c r="E73" s="162">
        <v>293</v>
      </c>
      <c r="F73" s="162">
        <v>25.1</v>
      </c>
      <c r="G73" s="162">
        <v>0</v>
      </c>
      <c r="H73" s="162">
        <v>20.7</v>
      </c>
      <c r="I73" s="162">
        <v>0</v>
      </c>
      <c r="J73" s="136" t="s">
        <v>405</v>
      </c>
      <c r="K73" s="163" t="s">
        <v>405</v>
      </c>
      <c r="L73" s="136" t="s">
        <v>406</v>
      </c>
      <c r="M73" s="136" t="s">
        <v>66</v>
      </c>
      <c r="N73" s="136" t="str">
        <f t="shared" si="1"/>
        <v>Carne de cerdo · INTA-0066</v>
      </c>
      <c r="O73" s="13"/>
      <c r="P73" s="13"/>
      <c r="Q73" s="13"/>
    </row>
    <row r="74" spans="1:17" ht="15" customHeight="1">
      <c r="A74" s="136" t="s">
        <v>583</v>
      </c>
      <c r="B74" s="136" t="s">
        <v>584</v>
      </c>
      <c r="C74" s="136" t="s">
        <v>423</v>
      </c>
      <c r="D74" s="136" t="s">
        <v>404</v>
      </c>
      <c r="E74" s="162">
        <v>264</v>
      </c>
      <c r="F74" s="162">
        <v>20.6</v>
      </c>
      <c r="G74" s="162">
        <v>4.4000000000000004</v>
      </c>
      <c r="H74" s="162">
        <v>18.2</v>
      </c>
      <c r="I74" s="162">
        <v>0</v>
      </c>
      <c r="J74" s="136" t="s">
        <v>405</v>
      </c>
      <c r="K74" s="163" t="s">
        <v>405</v>
      </c>
      <c r="L74" s="136" t="s">
        <v>406</v>
      </c>
      <c r="M74" s="136" t="s">
        <v>66</v>
      </c>
      <c r="N74" s="136" t="str">
        <f t="shared" si="1"/>
        <v>Cazuela de cerdo · INTA-0067</v>
      </c>
      <c r="O74" s="13"/>
      <c r="P74" s="13"/>
      <c r="Q74" s="13"/>
    </row>
    <row r="75" spans="1:17" ht="15" customHeight="1">
      <c r="A75" s="136" t="s">
        <v>585</v>
      </c>
      <c r="B75" s="136" t="s">
        <v>586</v>
      </c>
      <c r="C75" s="136" t="s">
        <v>423</v>
      </c>
      <c r="D75" s="136" t="s">
        <v>404</v>
      </c>
      <c r="E75" s="162">
        <v>90</v>
      </c>
      <c r="F75" s="162">
        <v>15.3</v>
      </c>
      <c r="G75" s="162">
        <v>0.3</v>
      </c>
      <c r="H75" s="162">
        <v>3</v>
      </c>
      <c r="I75" s="163" t="s">
        <v>405</v>
      </c>
      <c r="J75" s="136" t="s">
        <v>405</v>
      </c>
      <c r="K75" s="163" t="s">
        <v>405</v>
      </c>
      <c r="L75" s="136" t="s">
        <v>406</v>
      </c>
      <c r="M75" s="136" t="s">
        <v>66</v>
      </c>
      <c r="N75" s="136" t="str">
        <f t="shared" si="1"/>
        <v>Lomito de cerdo · INTA-0068</v>
      </c>
      <c r="O75" s="13"/>
      <c r="P75" s="13"/>
      <c r="Q75" s="13"/>
    </row>
    <row r="76" spans="1:17" ht="15" customHeight="1">
      <c r="A76" s="136" t="s">
        <v>587</v>
      </c>
      <c r="B76" s="136" t="s">
        <v>588</v>
      </c>
      <c r="C76" s="136" t="s">
        <v>423</v>
      </c>
      <c r="D76" s="136" t="s">
        <v>404</v>
      </c>
      <c r="E76" s="162">
        <v>164</v>
      </c>
      <c r="F76" s="162">
        <v>16.600000000000001</v>
      </c>
      <c r="G76" s="162">
        <v>0.2</v>
      </c>
      <c r="H76" s="162">
        <v>10.7</v>
      </c>
      <c r="I76" s="163" t="s">
        <v>405</v>
      </c>
      <c r="J76" s="136" t="s">
        <v>405</v>
      </c>
      <c r="K76" s="163" t="s">
        <v>405</v>
      </c>
      <c r="L76" s="136" t="s">
        <v>406</v>
      </c>
      <c r="M76" s="136" t="s">
        <v>66</v>
      </c>
      <c r="N76" s="136" t="str">
        <f t="shared" si="1"/>
        <v>Pierna de cerdo marinada · INTA-0069</v>
      </c>
      <c r="O76" s="13"/>
      <c r="P76" s="13"/>
      <c r="Q76" s="13"/>
    </row>
    <row r="77" spans="1:17" ht="15" customHeight="1">
      <c r="A77" s="136" t="s">
        <v>589</v>
      </c>
      <c r="B77" s="136" t="s">
        <v>590</v>
      </c>
      <c r="C77" s="136" t="s">
        <v>423</v>
      </c>
      <c r="D77" s="136" t="s">
        <v>404</v>
      </c>
      <c r="E77" s="162">
        <v>284</v>
      </c>
      <c r="F77" s="162">
        <v>13.7</v>
      </c>
      <c r="G77" s="162">
        <v>0.9</v>
      </c>
      <c r="H77" s="162">
        <v>25</v>
      </c>
      <c r="I77" s="163" t="s">
        <v>405</v>
      </c>
      <c r="J77" s="136" t="s">
        <v>405</v>
      </c>
      <c r="K77" s="163" t="s">
        <v>405</v>
      </c>
      <c r="L77" s="136" t="s">
        <v>406</v>
      </c>
      <c r="M77" s="136" t="s">
        <v>66</v>
      </c>
      <c r="N77" s="136" t="str">
        <f t="shared" si="1"/>
        <v>Chuleta de cerdo centro marinada · INTA-0070</v>
      </c>
      <c r="O77" s="13"/>
      <c r="P77" s="13"/>
      <c r="Q77" s="13"/>
    </row>
    <row r="78" spans="1:17" ht="15" customHeight="1">
      <c r="A78" s="140" t="s">
        <v>591</v>
      </c>
      <c r="B78" s="140" t="s">
        <v>592</v>
      </c>
      <c r="C78" s="140" t="s">
        <v>423</v>
      </c>
      <c r="D78" s="140" t="s">
        <v>404</v>
      </c>
      <c r="E78" s="164">
        <v>312</v>
      </c>
      <c r="F78" s="164">
        <v>14.7</v>
      </c>
      <c r="G78" s="164">
        <v>0.2</v>
      </c>
      <c r="H78" s="164">
        <v>28.1</v>
      </c>
      <c r="I78" s="165" t="s">
        <v>405</v>
      </c>
      <c r="J78" s="140" t="s">
        <v>405</v>
      </c>
      <c r="K78" s="165" t="s">
        <v>405</v>
      </c>
      <c r="L78" s="140" t="s">
        <v>406</v>
      </c>
      <c r="M78" s="140" t="s">
        <v>66</v>
      </c>
      <c r="N78" s="140" t="str">
        <f t="shared" si="1"/>
        <v>Chuleta de cerdo vetada marinada · INTA-0071</v>
      </c>
      <c r="O78" s="13"/>
      <c r="P78" s="13"/>
      <c r="Q78" s="13"/>
    </row>
    <row r="79" spans="1:17" ht="15" customHeight="1">
      <c r="A79" s="140" t="s">
        <v>593</v>
      </c>
      <c r="B79" s="140" t="s">
        <v>594</v>
      </c>
      <c r="C79" s="140" t="s">
        <v>423</v>
      </c>
      <c r="D79" s="140" t="s">
        <v>404</v>
      </c>
      <c r="E79" s="164">
        <v>210</v>
      </c>
      <c r="F79" s="164">
        <v>17.5</v>
      </c>
      <c r="G79" s="164">
        <v>0.1</v>
      </c>
      <c r="H79" s="164">
        <v>15.5</v>
      </c>
      <c r="I79" s="165" t="s">
        <v>405</v>
      </c>
      <c r="J79" s="140" t="s">
        <v>405</v>
      </c>
      <c r="K79" s="165" t="s">
        <v>405</v>
      </c>
      <c r="L79" s="140" t="s">
        <v>406</v>
      </c>
      <c r="M79" s="140" t="s">
        <v>66</v>
      </c>
      <c r="N79" s="140" t="str">
        <f t="shared" si="1"/>
        <v>Costillar de cerdo · INTA-0072</v>
      </c>
      <c r="O79" s="13"/>
      <c r="P79" s="13"/>
      <c r="Q79" s="13"/>
    </row>
    <row r="80" spans="1:17" ht="15" customHeight="1">
      <c r="A80" s="136" t="s">
        <v>595</v>
      </c>
      <c r="B80" s="136" t="s">
        <v>596</v>
      </c>
      <c r="C80" s="136" t="s">
        <v>423</v>
      </c>
      <c r="D80" s="136" t="s">
        <v>404</v>
      </c>
      <c r="E80" s="162">
        <v>209</v>
      </c>
      <c r="F80" s="162">
        <v>17.2</v>
      </c>
      <c r="G80" s="162">
        <v>0.2</v>
      </c>
      <c r="H80" s="162">
        <v>15.5</v>
      </c>
      <c r="I80" s="163" t="s">
        <v>405</v>
      </c>
      <c r="J80" s="136" t="s">
        <v>405</v>
      </c>
      <c r="K80" s="163" t="s">
        <v>405</v>
      </c>
      <c r="L80" s="136" t="s">
        <v>406</v>
      </c>
      <c r="M80" s="136" t="s">
        <v>66</v>
      </c>
      <c r="N80" s="136" t="str">
        <f t="shared" si="1"/>
        <v>Costillar de cerdo marinado · INTA-0073</v>
      </c>
      <c r="O80" s="13"/>
      <c r="P80" s="13"/>
      <c r="Q80" s="13"/>
    </row>
    <row r="81" spans="1:17" ht="15" customHeight="1">
      <c r="A81" s="140" t="s">
        <v>597</v>
      </c>
      <c r="B81" s="140" t="s">
        <v>598</v>
      </c>
      <c r="C81" s="140" t="s">
        <v>423</v>
      </c>
      <c r="D81" s="140" t="s">
        <v>404</v>
      </c>
      <c r="E81" s="164">
        <v>129</v>
      </c>
      <c r="F81" s="164">
        <v>21.4</v>
      </c>
      <c r="G81" s="164">
        <v>0.2</v>
      </c>
      <c r="H81" s="164">
        <v>4.7</v>
      </c>
      <c r="I81" s="164">
        <v>0</v>
      </c>
      <c r="J81" s="140" t="s">
        <v>405</v>
      </c>
      <c r="K81" s="165" t="s">
        <v>405</v>
      </c>
      <c r="L81" s="140" t="s">
        <v>406</v>
      </c>
      <c r="M81" s="140" t="s">
        <v>66</v>
      </c>
      <c r="N81" s="140" t="str">
        <f t="shared" si="1"/>
        <v>Filete de cerdo · INTA-0074</v>
      </c>
      <c r="O81" s="13"/>
      <c r="P81" s="13"/>
      <c r="Q81" s="13"/>
    </row>
    <row r="82" spans="1:17" ht="15" customHeight="1">
      <c r="A82" s="136" t="s">
        <v>599</v>
      </c>
      <c r="B82" s="136" t="s">
        <v>600</v>
      </c>
      <c r="C82" s="136" t="s">
        <v>423</v>
      </c>
      <c r="D82" s="136" t="s">
        <v>404</v>
      </c>
      <c r="E82" s="162">
        <v>132</v>
      </c>
      <c r="F82" s="162">
        <v>21.2</v>
      </c>
      <c r="G82" s="162">
        <v>1.8</v>
      </c>
      <c r="H82" s="162">
        <v>4.4000000000000004</v>
      </c>
      <c r="I82" s="162">
        <v>0</v>
      </c>
      <c r="J82" s="136" t="s">
        <v>405</v>
      </c>
      <c r="K82" s="163" t="s">
        <v>405</v>
      </c>
      <c r="L82" s="136" t="s">
        <v>406</v>
      </c>
      <c r="M82" s="136" t="s">
        <v>66</v>
      </c>
      <c r="N82" s="136" t="str">
        <f t="shared" si="1"/>
        <v>Pulpa de cerdo · INTA-0075</v>
      </c>
      <c r="O82" s="13"/>
      <c r="P82" s="13"/>
      <c r="Q82" s="13"/>
    </row>
    <row r="83" spans="1:17" ht="15" customHeight="1">
      <c r="A83" s="140" t="s">
        <v>601</v>
      </c>
      <c r="B83" s="140" t="s">
        <v>602</v>
      </c>
      <c r="C83" s="140" t="s">
        <v>423</v>
      </c>
      <c r="D83" s="140" t="s">
        <v>404</v>
      </c>
      <c r="E83" s="164">
        <v>152</v>
      </c>
      <c r="F83" s="164">
        <v>20.6</v>
      </c>
      <c r="G83" s="164">
        <v>0.2</v>
      </c>
      <c r="H83" s="164">
        <v>7.6</v>
      </c>
      <c r="I83" s="164">
        <v>0</v>
      </c>
      <c r="J83" s="140" t="s">
        <v>405</v>
      </c>
      <c r="K83" s="165" t="s">
        <v>405</v>
      </c>
      <c r="L83" s="140" t="s">
        <v>406</v>
      </c>
      <c r="M83" s="140" t="s">
        <v>66</v>
      </c>
      <c r="N83" s="140" t="str">
        <f t="shared" si="1"/>
        <v>Cazuela de cordero · INTA-0076</v>
      </c>
      <c r="O83" s="13"/>
      <c r="P83" s="13"/>
      <c r="Q83" s="13"/>
    </row>
    <row r="84" spans="1:17" ht="15" customHeight="1">
      <c r="A84" s="136" t="s">
        <v>603</v>
      </c>
      <c r="B84" s="136" t="s">
        <v>604</v>
      </c>
      <c r="C84" s="136" t="s">
        <v>423</v>
      </c>
      <c r="D84" s="136" t="s">
        <v>404</v>
      </c>
      <c r="E84" s="162">
        <v>201</v>
      </c>
      <c r="F84" s="162">
        <v>18.8</v>
      </c>
      <c r="G84" s="162">
        <v>5.3</v>
      </c>
      <c r="H84" s="162">
        <v>11.6</v>
      </c>
      <c r="I84" s="162">
        <v>0</v>
      </c>
      <c r="J84" s="136" t="s">
        <v>405</v>
      </c>
      <c r="K84" s="163" t="s">
        <v>405</v>
      </c>
      <c r="L84" s="136" t="s">
        <v>406</v>
      </c>
      <c r="M84" s="136" t="s">
        <v>66</v>
      </c>
      <c r="N84" s="136" t="str">
        <f t="shared" si="1"/>
        <v>Chuleta de cordero · INTA-0077</v>
      </c>
      <c r="O84" s="13"/>
      <c r="P84" s="13"/>
      <c r="Q84" s="13"/>
    </row>
    <row r="85" spans="1:17" ht="15" customHeight="1">
      <c r="A85" s="140" t="s">
        <v>605</v>
      </c>
      <c r="B85" s="140" t="s">
        <v>606</v>
      </c>
      <c r="C85" s="140" t="s">
        <v>423</v>
      </c>
      <c r="D85" s="140" t="s">
        <v>404</v>
      </c>
      <c r="E85" s="164">
        <v>144</v>
      </c>
      <c r="F85" s="164">
        <v>20.399999999999999</v>
      </c>
      <c r="G85" s="164">
        <v>4.7</v>
      </c>
      <c r="H85" s="164">
        <v>4.8</v>
      </c>
      <c r="I85" s="164">
        <v>0</v>
      </c>
      <c r="J85" s="140" t="s">
        <v>405</v>
      </c>
      <c r="K85" s="165" t="s">
        <v>405</v>
      </c>
      <c r="L85" s="140" t="s">
        <v>406</v>
      </c>
      <c r="M85" s="140" t="s">
        <v>66</v>
      </c>
      <c r="N85" s="140" t="str">
        <f t="shared" si="1"/>
        <v>Pulpa de cordero · INTA-0078</v>
      </c>
      <c r="O85" s="13"/>
      <c r="P85" s="13"/>
      <c r="Q85" s="13"/>
    </row>
    <row r="86" spans="1:17" ht="15" customHeight="1">
      <c r="A86" s="140" t="s">
        <v>607</v>
      </c>
      <c r="B86" s="140" t="s">
        <v>608</v>
      </c>
      <c r="C86" s="140" t="s">
        <v>423</v>
      </c>
      <c r="D86" s="140" t="s">
        <v>404</v>
      </c>
      <c r="E86" s="164">
        <v>109</v>
      </c>
      <c r="F86" s="164">
        <v>19.399999999999999</v>
      </c>
      <c r="G86" s="164">
        <v>0.8</v>
      </c>
      <c r="H86" s="164">
        <v>3.1</v>
      </c>
      <c r="I86" s="164">
        <v>0</v>
      </c>
      <c r="J86" s="140" t="s">
        <v>405</v>
      </c>
      <c r="K86" s="165" t="s">
        <v>405</v>
      </c>
      <c r="L86" s="140" t="s">
        <v>406</v>
      </c>
      <c r="M86" s="140" t="s">
        <v>66</v>
      </c>
      <c r="N86" s="140" t="str">
        <f t="shared" si="1"/>
        <v>Conejo · INTA-0079</v>
      </c>
      <c r="O86" s="13"/>
      <c r="P86" s="13"/>
      <c r="Q86" s="13"/>
    </row>
    <row r="87" spans="1:17" ht="15" customHeight="1">
      <c r="A87" s="136" t="s">
        <v>609</v>
      </c>
      <c r="B87" s="136" t="s">
        <v>610</v>
      </c>
      <c r="C87" s="136" t="s">
        <v>423</v>
      </c>
      <c r="D87" s="136" t="s">
        <v>404</v>
      </c>
      <c r="E87" s="162">
        <v>136</v>
      </c>
      <c r="F87" s="162">
        <v>20.100000000000001</v>
      </c>
      <c r="G87" s="162">
        <v>0</v>
      </c>
      <c r="H87" s="162">
        <v>5.6</v>
      </c>
      <c r="I87" s="162">
        <v>0</v>
      </c>
      <c r="J87" s="136" t="s">
        <v>405</v>
      </c>
      <c r="K87" s="163" t="s">
        <v>405</v>
      </c>
      <c r="L87" s="136" t="s">
        <v>406</v>
      </c>
      <c r="M87" s="136" t="s">
        <v>66</v>
      </c>
      <c r="N87" s="136" t="str">
        <f t="shared" si="1"/>
        <v>Conejo 2 · INTA-0080</v>
      </c>
      <c r="O87" s="13"/>
      <c r="P87" s="13"/>
      <c r="Q87" s="13"/>
    </row>
    <row r="88" spans="1:17" ht="15" customHeight="1">
      <c r="A88" s="140" t="s">
        <v>611</v>
      </c>
      <c r="B88" s="140" t="s">
        <v>612</v>
      </c>
      <c r="C88" s="140" t="s">
        <v>423</v>
      </c>
      <c r="D88" s="140" t="s">
        <v>404</v>
      </c>
      <c r="E88" s="164">
        <v>197</v>
      </c>
      <c r="F88" s="164">
        <v>29.1</v>
      </c>
      <c r="G88" s="164">
        <v>0</v>
      </c>
      <c r="H88" s="164">
        <v>8.1</v>
      </c>
      <c r="I88" s="164">
        <v>0</v>
      </c>
      <c r="J88" s="140" t="s">
        <v>405</v>
      </c>
      <c r="K88" s="165" t="s">
        <v>405</v>
      </c>
      <c r="L88" s="140" t="s">
        <v>406</v>
      </c>
      <c r="M88" s="140" t="s">
        <v>66</v>
      </c>
      <c r="N88" s="140" t="str">
        <f t="shared" si="1"/>
        <v>Conejo horneado · INTA-0081</v>
      </c>
      <c r="O88" s="13"/>
      <c r="P88" s="13"/>
      <c r="Q88" s="13"/>
    </row>
    <row r="89" spans="1:17" ht="15" customHeight="1">
      <c r="A89" s="136" t="s">
        <v>613</v>
      </c>
      <c r="B89" s="136" t="s">
        <v>614</v>
      </c>
      <c r="C89" s="136" t="s">
        <v>423</v>
      </c>
      <c r="D89" s="136" t="s">
        <v>404</v>
      </c>
      <c r="E89" s="162">
        <v>124</v>
      </c>
      <c r="F89" s="162">
        <v>21.2</v>
      </c>
      <c r="G89" s="162">
        <v>1.1000000000000001</v>
      </c>
      <c r="H89" s="162">
        <v>3.9</v>
      </c>
      <c r="I89" s="162">
        <v>0</v>
      </c>
      <c r="J89" s="136" t="s">
        <v>405</v>
      </c>
      <c r="K89" s="163" t="s">
        <v>405</v>
      </c>
      <c r="L89" s="136" t="s">
        <v>406</v>
      </c>
      <c r="M89" s="136" t="s">
        <v>66</v>
      </c>
      <c r="N89" s="136" t="str">
        <f t="shared" si="1"/>
        <v>Filete · INTA-0082</v>
      </c>
      <c r="O89" s="13"/>
      <c r="P89" s="13"/>
      <c r="Q89" s="13"/>
    </row>
    <row r="90" spans="1:17" ht="15" customHeight="1">
      <c r="A90" s="136" t="s">
        <v>615</v>
      </c>
      <c r="B90" s="136" t="s">
        <v>616</v>
      </c>
      <c r="C90" s="136" t="s">
        <v>423</v>
      </c>
      <c r="D90" s="136" t="s">
        <v>404</v>
      </c>
      <c r="E90" s="162">
        <v>128</v>
      </c>
      <c r="F90" s="162">
        <v>23.2</v>
      </c>
      <c r="G90" s="162">
        <v>0.2</v>
      </c>
      <c r="H90" s="162">
        <v>3.8</v>
      </c>
      <c r="I90" s="162">
        <v>0</v>
      </c>
      <c r="J90" s="136" t="s">
        <v>405</v>
      </c>
      <c r="K90" s="163" t="s">
        <v>405</v>
      </c>
      <c r="L90" s="136" t="s">
        <v>406</v>
      </c>
      <c r="M90" s="136" t="s">
        <v>66</v>
      </c>
      <c r="N90" s="136" t="str">
        <f t="shared" si="1"/>
        <v>Guachalomo · INTA-0083</v>
      </c>
      <c r="O90" s="13"/>
      <c r="P90" s="13"/>
      <c r="Q90" s="13"/>
    </row>
    <row r="91" spans="1:17" ht="15" customHeight="1">
      <c r="A91" s="140" t="s">
        <v>617</v>
      </c>
      <c r="B91" s="140" t="s">
        <v>618</v>
      </c>
      <c r="C91" s="140" t="s">
        <v>423</v>
      </c>
      <c r="D91" s="140" t="s">
        <v>404</v>
      </c>
      <c r="E91" s="164">
        <v>116</v>
      </c>
      <c r="F91" s="164">
        <v>20.399999999999999</v>
      </c>
      <c r="G91" s="164">
        <v>0.3</v>
      </c>
      <c r="H91" s="164">
        <v>3.7</v>
      </c>
      <c r="I91" s="165" t="s">
        <v>405</v>
      </c>
      <c r="J91" s="140" t="s">
        <v>405</v>
      </c>
      <c r="K91" s="165" t="s">
        <v>405</v>
      </c>
      <c r="L91" s="140" t="s">
        <v>406</v>
      </c>
      <c r="M91" s="140" t="s">
        <v>66</v>
      </c>
      <c r="N91" s="140" t="str">
        <f t="shared" si="1"/>
        <v>Lomo centro marinado · INTA-0084</v>
      </c>
      <c r="O91" s="13"/>
      <c r="P91" s="13"/>
      <c r="Q91" s="13"/>
    </row>
    <row r="92" spans="1:17" ht="15" customHeight="1">
      <c r="A92" s="136" t="s">
        <v>619</v>
      </c>
      <c r="B92" s="136" t="s">
        <v>620</v>
      </c>
      <c r="C92" s="136" t="s">
        <v>423</v>
      </c>
      <c r="D92" s="136" t="s">
        <v>404</v>
      </c>
      <c r="E92" s="162">
        <v>145</v>
      </c>
      <c r="F92" s="162">
        <v>23</v>
      </c>
      <c r="G92" s="162">
        <v>0.6</v>
      </c>
      <c r="H92" s="162">
        <v>5.6</v>
      </c>
      <c r="I92" s="162">
        <v>0</v>
      </c>
      <c r="J92" s="136" t="s">
        <v>405</v>
      </c>
      <c r="K92" s="163" t="s">
        <v>405</v>
      </c>
      <c r="L92" s="136" t="s">
        <v>406</v>
      </c>
      <c r="M92" s="136" t="s">
        <v>66</v>
      </c>
      <c r="N92" s="136" t="str">
        <f t="shared" si="1"/>
        <v>Lomo liso · INTA-0085</v>
      </c>
      <c r="O92" s="13"/>
      <c r="P92" s="13"/>
      <c r="Q92" s="13"/>
    </row>
    <row r="93" spans="1:17" ht="15" customHeight="1">
      <c r="A93" s="140" t="s">
        <v>621</v>
      </c>
      <c r="B93" s="140" t="s">
        <v>622</v>
      </c>
      <c r="C93" s="140" t="s">
        <v>423</v>
      </c>
      <c r="D93" s="140" t="s">
        <v>404</v>
      </c>
      <c r="E93" s="164">
        <v>137</v>
      </c>
      <c r="F93" s="164">
        <v>21.8</v>
      </c>
      <c r="G93" s="164">
        <v>1.3</v>
      </c>
      <c r="H93" s="164">
        <v>4.9000000000000004</v>
      </c>
      <c r="I93" s="164">
        <v>0</v>
      </c>
      <c r="J93" s="140" t="s">
        <v>405</v>
      </c>
      <c r="K93" s="165" t="s">
        <v>405</v>
      </c>
      <c r="L93" s="140" t="s">
        <v>406</v>
      </c>
      <c r="M93" s="140" t="s">
        <v>66</v>
      </c>
      <c r="N93" s="140" t="str">
        <f t="shared" si="1"/>
        <v>Lomo vetado · INTA-0086</v>
      </c>
      <c r="O93" s="13"/>
      <c r="P93" s="13"/>
      <c r="Q93" s="13"/>
    </row>
    <row r="94" spans="1:17" ht="15" customHeight="1">
      <c r="A94" s="140" t="s">
        <v>623</v>
      </c>
      <c r="B94" s="140" t="s">
        <v>624</v>
      </c>
      <c r="C94" s="140" t="s">
        <v>423</v>
      </c>
      <c r="D94" s="140" t="s">
        <v>404</v>
      </c>
      <c r="E94" s="164">
        <v>123</v>
      </c>
      <c r="F94" s="164">
        <v>21.4</v>
      </c>
      <c r="G94" s="164">
        <v>2.4</v>
      </c>
      <c r="H94" s="164">
        <v>3.1</v>
      </c>
      <c r="I94" s="164">
        <v>0</v>
      </c>
      <c r="J94" s="140" t="s">
        <v>405</v>
      </c>
      <c r="K94" s="165" t="s">
        <v>405</v>
      </c>
      <c r="L94" s="140" t="s">
        <v>406</v>
      </c>
      <c r="M94" s="140" t="s">
        <v>66</v>
      </c>
      <c r="N94" s="140" t="str">
        <f t="shared" si="1"/>
        <v>Asiento picana · INTA-0087</v>
      </c>
      <c r="O94" s="13"/>
      <c r="P94" s="13"/>
      <c r="Q94" s="13"/>
    </row>
    <row r="95" spans="1:17" ht="15" customHeight="1">
      <c r="A95" s="140" t="s">
        <v>625</v>
      </c>
      <c r="B95" s="140" t="s">
        <v>626</v>
      </c>
      <c r="C95" s="140" t="s">
        <v>423</v>
      </c>
      <c r="D95" s="140" t="s">
        <v>404</v>
      </c>
      <c r="E95" s="164">
        <v>134</v>
      </c>
      <c r="F95" s="164">
        <v>20.3</v>
      </c>
      <c r="G95" s="164">
        <v>0.9</v>
      </c>
      <c r="H95" s="164">
        <v>5.5</v>
      </c>
      <c r="I95" s="164">
        <v>0</v>
      </c>
      <c r="J95" s="140" t="s">
        <v>405</v>
      </c>
      <c r="K95" s="165" t="s">
        <v>405</v>
      </c>
      <c r="L95" s="140" t="s">
        <v>406</v>
      </c>
      <c r="M95" s="140" t="s">
        <v>66</v>
      </c>
      <c r="N95" s="140" t="str">
        <f t="shared" si="1"/>
        <v>Plateada · INTA-0088</v>
      </c>
      <c r="O95" s="13"/>
      <c r="P95" s="13"/>
      <c r="Q95" s="13"/>
    </row>
    <row r="96" spans="1:17" ht="15" customHeight="1">
      <c r="A96" s="140" t="s">
        <v>627</v>
      </c>
      <c r="B96" s="140" t="s">
        <v>628</v>
      </c>
      <c r="C96" s="140" t="s">
        <v>423</v>
      </c>
      <c r="D96" s="140" t="s">
        <v>404</v>
      </c>
      <c r="E96" s="164">
        <v>116</v>
      </c>
      <c r="F96" s="164">
        <v>22.2</v>
      </c>
      <c r="G96" s="164">
        <v>1.1000000000000001</v>
      </c>
      <c r="H96" s="164">
        <v>2.5</v>
      </c>
      <c r="I96" s="164">
        <v>0</v>
      </c>
      <c r="J96" s="140" t="s">
        <v>405</v>
      </c>
      <c r="K96" s="165" t="s">
        <v>405</v>
      </c>
      <c r="L96" s="140" t="s">
        <v>406</v>
      </c>
      <c r="M96" s="140" t="s">
        <v>66</v>
      </c>
      <c r="N96" s="140" t="str">
        <f t="shared" si="1"/>
        <v>Pollo ganso · INTA-0089</v>
      </c>
      <c r="O96" s="13"/>
      <c r="P96" s="13"/>
      <c r="Q96" s="13"/>
    </row>
    <row r="97" spans="1:17" ht="15" customHeight="1">
      <c r="A97" s="140" t="s">
        <v>629</v>
      </c>
      <c r="B97" s="140" t="s">
        <v>630</v>
      </c>
      <c r="C97" s="140" t="s">
        <v>423</v>
      </c>
      <c r="D97" s="140" t="s">
        <v>404</v>
      </c>
      <c r="E97" s="164">
        <v>130</v>
      </c>
      <c r="F97" s="164">
        <v>23.6</v>
      </c>
      <c r="G97" s="164">
        <v>1.8</v>
      </c>
      <c r="H97" s="164">
        <v>3.1</v>
      </c>
      <c r="I97" s="164">
        <v>0</v>
      </c>
      <c r="J97" s="140" t="s">
        <v>405</v>
      </c>
      <c r="K97" s="165" t="s">
        <v>405</v>
      </c>
      <c r="L97" s="140" t="s">
        <v>406</v>
      </c>
      <c r="M97" s="140" t="s">
        <v>66</v>
      </c>
      <c r="N97" s="140" t="str">
        <f t="shared" si="1"/>
        <v>Posta negra · INTA-0090</v>
      </c>
      <c r="O97" s="13"/>
      <c r="P97" s="13"/>
      <c r="Q97" s="13"/>
    </row>
    <row r="98" spans="1:17" ht="15" customHeight="1">
      <c r="A98" s="136" t="s">
        <v>631</v>
      </c>
      <c r="B98" s="136" t="s">
        <v>632</v>
      </c>
      <c r="C98" s="136" t="s">
        <v>423</v>
      </c>
      <c r="D98" s="136" t="s">
        <v>404</v>
      </c>
      <c r="E98" s="162">
        <v>127</v>
      </c>
      <c r="F98" s="162">
        <v>21.2</v>
      </c>
      <c r="G98" s="162">
        <v>4.3</v>
      </c>
      <c r="H98" s="162">
        <v>2.8</v>
      </c>
      <c r="I98" s="162">
        <v>0</v>
      </c>
      <c r="J98" s="136" t="s">
        <v>405</v>
      </c>
      <c r="K98" s="163" t="s">
        <v>405</v>
      </c>
      <c r="L98" s="136" t="s">
        <v>406</v>
      </c>
      <c r="M98" s="136" t="s">
        <v>66</v>
      </c>
      <c r="N98" s="136" t="str">
        <f t="shared" si="1"/>
        <v>Posta rosada · INTA-0091</v>
      </c>
      <c r="O98" s="13"/>
      <c r="P98" s="13"/>
      <c r="Q98" s="13"/>
    </row>
    <row r="99" spans="1:17" ht="15" customHeight="1">
      <c r="A99" s="136" t="s">
        <v>633</v>
      </c>
      <c r="B99" s="136" t="s">
        <v>634</v>
      </c>
      <c r="C99" s="136" t="s">
        <v>423</v>
      </c>
      <c r="D99" s="136" t="s">
        <v>404</v>
      </c>
      <c r="E99" s="162">
        <v>145</v>
      </c>
      <c r="F99" s="162">
        <v>22.3</v>
      </c>
      <c r="G99" s="162">
        <v>0.8</v>
      </c>
      <c r="H99" s="162">
        <v>5.8</v>
      </c>
      <c r="I99" s="162">
        <v>0</v>
      </c>
      <c r="J99" s="136" t="s">
        <v>405</v>
      </c>
      <c r="K99" s="163" t="s">
        <v>405</v>
      </c>
      <c r="L99" s="136" t="s">
        <v>406</v>
      </c>
      <c r="M99" s="136" t="s">
        <v>66</v>
      </c>
      <c r="N99" s="136" t="str">
        <f t="shared" si="1"/>
        <v>Cazuela de vacuno · INTA-0092</v>
      </c>
      <c r="O99" s="13"/>
      <c r="P99" s="13"/>
      <c r="Q99" s="13"/>
    </row>
    <row r="100" spans="1:17" ht="15" customHeight="1">
      <c r="A100" s="140" t="s">
        <v>635</v>
      </c>
      <c r="B100" s="140" t="s">
        <v>636</v>
      </c>
      <c r="C100" s="140" t="s">
        <v>423</v>
      </c>
      <c r="D100" s="140" t="s">
        <v>404</v>
      </c>
      <c r="E100" s="164">
        <v>138</v>
      </c>
      <c r="F100" s="164">
        <v>23.6</v>
      </c>
      <c r="G100" s="164">
        <v>1.6</v>
      </c>
      <c r="H100" s="164">
        <v>3.1</v>
      </c>
      <c r="I100" s="164">
        <v>0</v>
      </c>
      <c r="J100" s="140" t="s">
        <v>405</v>
      </c>
      <c r="K100" s="165" t="s">
        <v>405</v>
      </c>
      <c r="L100" s="140" t="s">
        <v>406</v>
      </c>
      <c r="M100" s="140" t="s">
        <v>66</v>
      </c>
      <c r="N100" s="140" t="str">
        <f t="shared" si="1"/>
        <v>Carne vacuno · INTA-0093</v>
      </c>
      <c r="O100" s="13"/>
      <c r="P100" s="13"/>
      <c r="Q100" s="13"/>
    </row>
    <row r="101" spans="1:17" ht="15" customHeight="1">
      <c r="A101" s="140" t="s">
        <v>637</v>
      </c>
      <c r="B101" s="140" t="s">
        <v>638</v>
      </c>
      <c r="C101" s="140" t="s">
        <v>423</v>
      </c>
      <c r="D101" s="140" t="s">
        <v>404</v>
      </c>
      <c r="E101" s="164">
        <v>174</v>
      </c>
      <c r="F101" s="164">
        <v>27.3</v>
      </c>
      <c r="G101" s="164">
        <v>0.6</v>
      </c>
      <c r="H101" s="164">
        <v>6.4</v>
      </c>
      <c r="I101" s="164">
        <v>0</v>
      </c>
      <c r="J101" s="140" t="s">
        <v>405</v>
      </c>
      <c r="K101" s="165" t="s">
        <v>405</v>
      </c>
      <c r="L101" s="140" t="s">
        <v>406</v>
      </c>
      <c r="M101" s="140" t="s">
        <v>66</v>
      </c>
      <c r="N101" s="140" t="str">
        <f t="shared" si="1"/>
        <v>Carne vacuno 5% MG · INTA-0094</v>
      </c>
      <c r="O101" s="13"/>
      <c r="P101" s="13"/>
      <c r="Q101" s="13"/>
    </row>
    <row r="102" spans="1:17" ht="15" customHeight="1">
      <c r="A102" s="136" t="s">
        <v>639</v>
      </c>
      <c r="B102" s="136" t="s">
        <v>640</v>
      </c>
      <c r="C102" s="136" t="s">
        <v>423</v>
      </c>
      <c r="D102" s="136" t="s">
        <v>404</v>
      </c>
      <c r="E102" s="162">
        <v>176</v>
      </c>
      <c r="F102" s="162">
        <v>20</v>
      </c>
      <c r="G102" s="162">
        <v>0</v>
      </c>
      <c r="H102" s="162">
        <v>10</v>
      </c>
      <c r="I102" s="162">
        <v>0</v>
      </c>
      <c r="J102" s="136" t="s">
        <v>405</v>
      </c>
      <c r="K102" s="163" t="s">
        <v>405</v>
      </c>
      <c r="L102" s="136" t="s">
        <v>406</v>
      </c>
      <c r="M102" s="136" t="s">
        <v>66</v>
      </c>
      <c r="N102" s="136" t="str">
        <f t="shared" si="1"/>
        <v>Carne vacuno 10% MG · INTA-0095</v>
      </c>
      <c r="O102" s="13"/>
      <c r="P102" s="13"/>
      <c r="Q102" s="13"/>
    </row>
    <row r="103" spans="1:17" ht="15" customHeight="1">
      <c r="A103" s="140" t="s">
        <v>641</v>
      </c>
      <c r="B103" s="140" t="s">
        <v>642</v>
      </c>
      <c r="C103" s="140" t="s">
        <v>423</v>
      </c>
      <c r="D103" s="140" t="s">
        <v>404</v>
      </c>
      <c r="E103" s="164">
        <v>98</v>
      </c>
      <c r="F103" s="164">
        <v>14.5</v>
      </c>
      <c r="G103" s="164">
        <v>0</v>
      </c>
      <c r="H103" s="164">
        <v>4</v>
      </c>
      <c r="I103" s="164">
        <v>0</v>
      </c>
      <c r="J103" s="140" t="s">
        <v>405</v>
      </c>
      <c r="K103" s="165" t="s">
        <v>405</v>
      </c>
      <c r="L103" s="140" t="s">
        <v>406</v>
      </c>
      <c r="M103" s="140" t="s">
        <v>66</v>
      </c>
      <c r="N103" s="140" t="str">
        <f t="shared" si="1"/>
        <v>Guatita de pollo cocido · INTA-0096</v>
      </c>
      <c r="O103" s="13"/>
      <c r="P103" s="13"/>
      <c r="Q103" s="13"/>
    </row>
    <row r="104" spans="1:17" ht="15" customHeight="1">
      <c r="A104" s="136" t="s">
        <v>643</v>
      </c>
      <c r="B104" s="136" t="s">
        <v>644</v>
      </c>
      <c r="C104" s="136" t="s">
        <v>423</v>
      </c>
      <c r="D104" s="136" t="s">
        <v>404</v>
      </c>
      <c r="E104" s="162">
        <v>146</v>
      </c>
      <c r="F104" s="162">
        <v>27.1</v>
      </c>
      <c r="G104" s="162">
        <v>1.1000000000000001</v>
      </c>
      <c r="H104" s="162">
        <v>3.7</v>
      </c>
      <c r="I104" s="163" t="s">
        <v>405</v>
      </c>
      <c r="J104" s="136" t="s">
        <v>405</v>
      </c>
      <c r="K104" s="163" t="s">
        <v>405</v>
      </c>
      <c r="L104" s="136" t="s">
        <v>406</v>
      </c>
      <c r="M104" s="136" t="s">
        <v>66</v>
      </c>
      <c r="N104" s="136" t="str">
        <f t="shared" si="1"/>
        <v>Molleja o contre de pollo cocido · INTA-0097</v>
      </c>
      <c r="O104" s="13"/>
      <c r="P104" s="13"/>
      <c r="Q104" s="13"/>
    </row>
    <row r="105" spans="1:17" ht="15" customHeight="1">
      <c r="A105" s="136" t="s">
        <v>645</v>
      </c>
      <c r="B105" s="136" t="s">
        <v>646</v>
      </c>
      <c r="C105" s="136" t="s">
        <v>423</v>
      </c>
      <c r="D105" s="136" t="s">
        <v>404</v>
      </c>
      <c r="E105" s="162">
        <v>185</v>
      </c>
      <c r="F105" s="162">
        <v>26.4</v>
      </c>
      <c r="G105" s="162">
        <v>0.1</v>
      </c>
      <c r="H105" s="162">
        <v>7.9</v>
      </c>
      <c r="I105" s="162">
        <v>0</v>
      </c>
      <c r="J105" s="136" t="s">
        <v>405</v>
      </c>
      <c r="K105" s="163" t="s">
        <v>405</v>
      </c>
      <c r="L105" s="136" t="s">
        <v>406</v>
      </c>
      <c r="M105" s="136" t="s">
        <v>66</v>
      </c>
      <c r="N105" s="136" t="str">
        <f t="shared" si="1"/>
        <v>Corazón vacuno cocido · INTA-0098</v>
      </c>
      <c r="O105" s="13"/>
      <c r="P105" s="13"/>
      <c r="Q105" s="13"/>
    </row>
    <row r="106" spans="1:17" ht="15" customHeight="1">
      <c r="A106" s="136" t="s">
        <v>647</v>
      </c>
      <c r="B106" s="136" t="s">
        <v>648</v>
      </c>
      <c r="C106" s="136" t="s">
        <v>423</v>
      </c>
      <c r="D106" s="136" t="s">
        <v>404</v>
      </c>
      <c r="E106" s="162">
        <v>144</v>
      </c>
      <c r="F106" s="162">
        <v>25.5</v>
      </c>
      <c r="G106" s="162">
        <v>1</v>
      </c>
      <c r="H106" s="162">
        <v>3.4</v>
      </c>
      <c r="I106" s="162">
        <v>0</v>
      </c>
      <c r="J106" s="136" t="s">
        <v>405</v>
      </c>
      <c r="K106" s="163" t="s">
        <v>405</v>
      </c>
      <c r="L106" s="136" t="s">
        <v>406</v>
      </c>
      <c r="M106" s="136" t="s">
        <v>66</v>
      </c>
      <c r="N106" s="136" t="str">
        <f t="shared" si="1"/>
        <v>Riñón de vacuno cocido · INTA-0099</v>
      </c>
      <c r="O106" s="13"/>
      <c r="P106" s="13"/>
      <c r="Q106" s="13"/>
    </row>
    <row r="107" spans="1:17" ht="15" customHeight="1">
      <c r="A107" s="140" t="s">
        <v>649</v>
      </c>
      <c r="B107" s="140" t="s">
        <v>650</v>
      </c>
      <c r="C107" s="140" t="s">
        <v>423</v>
      </c>
      <c r="D107" s="140" t="s">
        <v>404</v>
      </c>
      <c r="E107" s="164">
        <v>66</v>
      </c>
      <c r="F107" s="164">
        <v>13.1</v>
      </c>
      <c r="G107" s="164">
        <v>0.6</v>
      </c>
      <c r="H107" s="164">
        <v>1.2</v>
      </c>
      <c r="I107" s="164">
        <v>0</v>
      </c>
      <c r="J107" s="140" t="s">
        <v>405</v>
      </c>
      <c r="K107" s="165" t="s">
        <v>405</v>
      </c>
      <c r="L107" s="140" t="s">
        <v>406</v>
      </c>
      <c r="M107" s="140" t="s">
        <v>66</v>
      </c>
      <c r="N107" s="140" t="str">
        <f t="shared" si="1"/>
        <v>Criadillas de vacuno · INTA-0100</v>
      </c>
      <c r="O107" s="13"/>
      <c r="P107" s="13"/>
      <c r="Q107" s="13"/>
    </row>
    <row r="108" spans="1:17" ht="15" customHeight="1">
      <c r="A108" s="136" t="s">
        <v>651</v>
      </c>
      <c r="B108" s="136" t="s">
        <v>652</v>
      </c>
      <c r="C108" s="136" t="s">
        <v>423</v>
      </c>
      <c r="D108" s="136" t="s">
        <v>404</v>
      </c>
      <c r="E108" s="162">
        <v>403</v>
      </c>
      <c r="F108" s="162">
        <v>27.4</v>
      </c>
      <c r="G108" s="162">
        <v>0.5</v>
      </c>
      <c r="H108" s="162">
        <v>32.4</v>
      </c>
      <c r="I108" s="163" t="s">
        <v>405</v>
      </c>
      <c r="J108" s="136" t="s">
        <v>405</v>
      </c>
      <c r="K108" s="163" t="s">
        <v>405</v>
      </c>
      <c r="L108" s="136" t="s">
        <v>406</v>
      </c>
      <c r="M108" s="136" t="s">
        <v>66</v>
      </c>
      <c r="N108" s="136" t="str">
        <f t="shared" si="1"/>
        <v>Arrollado de huaso · INTA-0101</v>
      </c>
      <c r="O108" s="13"/>
      <c r="P108" s="13"/>
      <c r="Q108" s="13"/>
    </row>
    <row r="109" spans="1:17" ht="15" customHeight="1">
      <c r="A109" s="140" t="s">
        <v>653</v>
      </c>
      <c r="B109" s="140" t="s">
        <v>654</v>
      </c>
      <c r="C109" s="140" t="s">
        <v>423</v>
      </c>
      <c r="D109" s="140" t="s">
        <v>404</v>
      </c>
      <c r="E109" s="164">
        <v>350</v>
      </c>
      <c r="F109" s="164">
        <v>50</v>
      </c>
      <c r="G109" s="164">
        <v>28</v>
      </c>
      <c r="H109" s="164">
        <v>2</v>
      </c>
      <c r="I109" s="164">
        <v>3</v>
      </c>
      <c r="J109" s="140" t="s">
        <v>405</v>
      </c>
      <c r="K109" s="165" t="s">
        <v>405</v>
      </c>
      <c r="L109" s="140" t="s">
        <v>406</v>
      </c>
      <c r="M109" s="140" t="s">
        <v>66</v>
      </c>
      <c r="N109" s="140" t="str">
        <f t="shared" si="1"/>
        <v>Proteina de soja (carne vegetal) · INTA-0102</v>
      </c>
      <c r="O109" s="13"/>
      <c r="P109" s="13"/>
      <c r="Q109" s="13"/>
    </row>
    <row r="110" spans="1:17" ht="15" customHeight="1">
      <c r="A110" s="140" t="s">
        <v>655</v>
      </c>
      <c r="B110" s="140" t="s">
        <v>656</v>
      </c>
      <c r="C110" s="140" t="s">
        <v>423</v>
      </c>
      <c r="D110" s="140" t="s">
        <v>404</v>
      </c>
      <c r="E110" s="164">
        <v>382</v>
      </c>
      <c r="F110" s="164">
        <v>75.599999999999994</v>
      </c>
      <c r="G110" s="164">
        <v>1.8</v>
      </c>
      <c r="H110" s="164">
        <v>8</v>
      </c>
      <c r="I110" s="165" t="s">
        <v>405</v>
      </c>
      <c r="J110" s="140" t="s">
        <v>405</v>
      </c>
      <c r="K110" s="165" t="s">
        <v>405</v>
      </c>
      <c r="L110" s="140" t="s">
        <v>406</v>
      </c>
      <c r="M110" s="140" t="s">
        <v>66</v>
      </c>
      <c r="N110" s="140" t="str">
        <f t="shared" si="1"/>
        <v>Charqui de vacuno · INTA-0103</v>
      </c>
      <c r="O110" s="13"/>
      <c r="P110" s="13"/>
      <c r="Q110" s="13"/>
    </row>
    <row r="111" spans="1:17" ht="15" customHeight="1">
      <c r="A111" s="136" t="s">
        <v>657</v>
      </c>
      <c r="B111" s="136" t="s">
        <v>658</v>
      </c>
      <c r="C111" s="136" t="s">
        <v>423</v>
      </c>
      <c r="D111" s="136" t="s">
        <v>404</v>
      </c>
      <c r="E111" s="162">
        <v>212</v>
      </c>
      <c r="F111" s="162">
        <v>15.2</v>
      </c>
      <c r="G111" s="162">
        <v>0.4</v>
      </c>
      <c r="H111" s="162">
        <v>16.600000000000001</v>
      </c>
      <c r="I111" s="163" t="s">
        <v>405</v>
      </c>
      <c r="J111" s="136" t="s">
        <v>405</v>
      </c>
      <c r="K111" s="163" t="s">
        <v>405</v>
      </c>
      <c r="L111" s="136" t="s">
        <v>406</v>
      </c>
      <c r="M111" s="136" t="s">
        <v>66</v>
      </c>
      <c r="N111" s="136" t="str">
        <f t="shared" si="1"/>
        <v>Choricillo cocido · INTA-0104</v>
      </c>
      <c r="O111" s="13"/>
      <c r="P111" s="13"/>
      <c r="Q111" s="13"/>
    </row>
    <row r="112" spans="1:17" ht="15" customHeight="1">
      <c r="A112" s="140" t="s">
        <v>659</v>
      </c>
      <c r="B112" s="140" t="s">
        <v>660</v>
      </c>
      <c r="C112" s="140" t="s">
        <v>423</v>
      </c>
      <c r="D112" s="140" t="s">
        <v>404</v>
      </c>
      <c r="E112" s="164">
        <v>405</v>
      </c>
      <c r="F112" s="164">
        <v>13.7</v>
      </c>
      <c r="G112" s="164">
        <v>5</v>
      </c>
      <c r="H112" s="164">
        <v>36.700000000000003</v>
      </c>
      <c r="I112" s="165" t="s">
        <v>405</v>
      </c>
      <c r="J112" s="140" t="s">
        <v>405</v>
      </c>
      <c r="K112" s="165" t="s">
        <v>405</v>
      </c>
      <c r="L112" s="140" t="s">
        <v>406</v>
      </c>
      <c r="M112" s="140" t="s">
        <v>66</v>
      </c>
      <c r="N112" s="140" t="str">
        <f t="shared" si="1"/>
        <v>Chorizo · INTA-0105</v>
      </c>
      <c r="O112" s="13"/>
      <c r="P112" s="13"/>
      <c r="Q112" s="13"/>
    </row>
    <row r="113" spans="1:17" ht="15" customHeight="1">
      <c r="A113" s="136" t="s">
        <v>661</v>
      </c>
      <c r="B113" s="136" t="s">
        <v>662</v>
      </c>
      <c r="C113" s="136" t="s">
        <v>423</v>
      </c>
      <c r="D113" s="136" t="s">
        <v>404</v>
      </c>
      <c r="E113" s="162">
        <v>220</v>
      </c>
      <c r="F113" s="162">
        <v>30.6</v>
      </c>
      <c r="G113" s="162">
        <v>2.5</v>
      </c>
      <c r="H113" s="162">
        <v>8.8000000000000007</v>
      </c>
      <c r="I113" s="162">
        <v>0</v>
      </c>
      <c r="J113" s="136" t="s">
        <v>405</v>
      </c>
      <c r="K113" s="163" t="s">
        <v>405</v>
      </c>
      <c r="L113" s="136" t="s">
        <v>406</v>
      </c>
      <c r="M113" s="136" t="s">
        <v>66</v>
      </c>
      <c r="N113" s="136" t="str">
        <f t="shared" si="1"/>
        <v>Higado de cordero cocido · INTA-0106</v>
      </c>
      <c r="O113" s="13"/>
      <c r="P113" s="13"/>
      <c r="Q113" s="13"/>
    </row>
    <row r="114" spans="1:17" ht="15" customHeight="1">
      <c r="A114" s="136" t="s">
        <v>663</v>
      </c>
      <c r="B114" s="136" t="s">
        <v>664</v>
      </c>
      <c r="C114" s="136" t="s">
        <v>423</v>
      </c>
      <c r="D114" s="136" t="s">
        <v>404</v>
      </c>
      <c r="E114" s="162">
        <v>167</v>
      </c>
      <c r="F114" s="162">
        <v>24.5</v>
      </c>
      <c r="G114" s="162">
        <v>0.9</v>
      </c>
      <c r="H114" s="162">
        <v>6.5</v>
      </c>
      <c r="I114" s="162">
        <v>0</v>
      </c>
      <c r="J114" s="136" t="s">
        <v>405</v>
      </c>
      <c r="K114" s="163" t="s">
        <v>405</v>
      </c>
      <c r="L114" s="136" t="s">
        <v>406</v>
      </c>
      <c r="M114" s="136" t="s">
        <v>66</v>
      </c>
      <c r="N114" s="136" t="str">
        <f t="shared" si="1"/>
        <v>Hígado de pollo cocido · INTA-0107</v>
      </c>
      <c r="O114" s="13"/>
      <c r="P114" s="13"/>
      <c r="Q114" s="13"/>
    </row>
    <row r="115" spans="1:17" ht="15" customHeight="1">
      <c r="A115" s="140" t="s">
        <v>665</v>
      </c>
      <c r="B115" s="140" t="s">
        <v>666</v>
      </c>
      <c r="C115" s="140" t="s">
        <v>423</v>
      </c>
      <c r="D115" s="140" t="s">
        <v>404</v>
      </c>
      <c r="E115" s="164">
        <v>191</v>
      </c>
      <c r="F115" s="164">
        <v>29.1</v>
      </c>
      <c r="G115" s="164">
        <v>5.0999999999999996</v>
      </c>
      <c r="H115" s="164">
        <v>5.3</v>
      </c>
      <c r="I115" s="164">
        <v>0</v>
      </c>
      <c r="J115" s="140" t="s">
        <v>405</v>
      </c>
      <c r="K115" s="165" t="s">
        <v>405</v>
      </c>
      <c r="L115" s="140" t="s">
        <v>406</v>
      </c>
      <c r="M115" s="140" t="s">
        <v>66</v>
      </c>
      <c r="N115" s="140" t="str">
        <f t="shared" si="1"/>
        <v>Higado de vacuno cocido · INTA-0108</v>
      </c>
      <c r="O115" s="13"/>
      <c r="P115" s="13"/>
      <c r="Q115" s="13"/>
    </row>
    <row r="116" spans="1:17" ht="15" customHeight="1">
      <c r="A116" s="136" t="s">
        <v>667</v>
      </c>
      <c r="B116" s="136" t="s">
        <v>668</v>
      </c>
      <c r="C116" s="136" t="s">
        <v>423</v>
      </c>
      <c r="D116" s="136" t="s">
        <v>404</v>
      </c>
      <c r="E116" s="162">
        <v>244</v>
      </c>
      <c r="F116" s="162">
        <v>20.100000000000001</v>
      </c>
      <c r="G116" s="162">
        <v>8.1</v>
      </c>
      <c r="H116" s="162">
        <v>14.6</v>
      </c>
      <c r="I116" s="163" t="s">
        <v>405</v>
      </c>
      <c r="J116" s="136" t="s">
        <v>405</v>
      </c>
      <c r="K116" s="163" t="s">
        <v>405</v>
      </c>
      <c r="L116" s="136" t="s">
        <v>406</v>
      </c>
      <c r="M116" s="136" t="s">
        <v>66</v>
      </c>
      <c r="N116" s="136" t="str">
        <f t="shared" si="1"/>
        <v>Lengua de vacuno · INTA-0109</v>
      </c>
      <c r="O116" s="13"/>
      <c r="P116" s="13"/>
      <c r="Q116" s="13"/>
    </row>
    <row r="117" spans="1:17" ht="15" customHeight="1">
      <c r="A117" s="140" t="s">
        <v>669</v>
      </c>
      <c r="B117" s="140" t="s">
        <v>670</v>
      </c>
      <c r="C117" s="140" t="s">
        <v>423</v>
      </c>
      <c r="D117" s="140" t="s">
        <v>404</v>
      </c>
      <c r="E117" s="164">
        <v>284</v>
      </c>
      <c r="F117" s="164">
        <v>19.3</v>
      </c>
      <c r="G117" s="164">
        <v>0</v>
      </c>
      <c r="H117" s="164">
        <v>22.3</v>
      </c>
      <c r="I117" s="164">
        <v>0</v>
      </c>
      <c r="J117" s="140" t="s">
        <v>405</v>
      </c>
      <c r="K117" s="165" t="s">
        <v>405</v>
      </c>
      <c r="L117" s="140" t="s">
        <v>406</v>
      </c>
      <c r="M117" s="140" t="s">
        <v>66</v>
      </c>
      <c r="N117" s="140" t="str">
        <f t="shared" si="1"/>
        <v>Lengua vacuno cocida · INTA-0110</v>
      </c>
      <c r="O117" s="13"/>
      <c r="P117" s="13"/>
      <c r="Q117" s="13"/>
    </row>
    <row r="118" spans="1:17" ht="15" customHeight="1">
      <c r="A118" s="136" t="s">
        <v>671</v>
      </c>
      <c r="B118" s="136" t="s">
        <v>672</v>
      </c>
      <c r="C118" s="136" t="s">
        <v>423</v>
      </c>
      <c r="D118" s="136" t="s">
        <v>404</v>
      </c>
      <c r="E118" s="162">
        <v>162</v>
      </c>
      <c r="F118" s="162">
        <v>11.2</v>
      </c>
      <c r="G118" s="162">
        <v>1</v>
      </c>
      <c r="H118" s="162">
        <v>12.6</v>
      </c>
      <c r="I118" s="162">
        <v>0</v>
      </c>
      <c r="J118" s="136" t="s">
        <v>405</v>
      </c>
      <c r="K118" s="163" t="s">
        <v>405</v>
      </c>
      <c r="L118" s="136" t="s">
        <v>406</v>
      </c>
      <c r="M118" s="136" t="s">
        <v>66</v>
      </c>
      <c r="N118" s="136" t="str">
        <f t="shared" si="1"/>
        <v>Ubre · INTA-0111</v>
      </c>
      <c r="O118" s="13"/>
      <c r="P118" s="13"/>
      <c r="Q118" s="13"/>
    </row>
    <row r="119" spans="1:17" ht="15" customHeight="1">
      <c r="A119" s="140" t="s">
        <v>673</v>
      </c>
      <c r="B119" s="140" t="s">
        <v>674</v>
      </c>
      <c r="C119" s="140" t="s">
        <v>423</v>
      </c>
      <c r="D119" s="140" t="s">
        <v>404</v>
      </c>
      <c r="E119" s="164">
        <v>180</v>
      </c>
      <c r="F119" s="164">
        <v>16.5</v>
      </c>
      <c r="G119" s="164">
        <v>4.2</v>
      </c>
      <c r="H119" s="164">
        <v>10.3</v>
      </c>
      <c r="I119" s="164">
        <v>0</v>
      </c>
      <c r="J119" s="140" t="s">
        <v>405</v>
      </c>
      <c r="K119" s="165" t="s">
        <v>405</v>
      </c>
      <c r="L119" s="140" t="s">
        <v>406</v>
      </c>
      <c r="M119" s="140" t="s">
        <v>66</v>
      </c>
      <c r="N119" s="140" t="str">
        <f t="shared" si="1"/>
        <v>Jamón de cerdo · INTA-0112</v>
      </c>
      <c r="O119" s="13"/>
      <c r="P119" s="13"/>
      <c r="Q119" s="13"/>
    </row>
    <row r="120" spans="1:17" ht="15" customHeight="1">
      <c r="A120" s="140" t="s">
        <v>675</v>
      </c>
      <c r="B120" s="140" t="s">
        <v>676</v>
      </c>
      <c r="C120" s="140" t="s">
        <v>423</v>
      </c>
      <c r="D120" s="140" t="s">
        <v>404</v>
      </c>
      <c r="E120" s="164">
        <v>113</v>
      </c>
      <c r="F120" s="164">
        <v>20.100000000000001</v>
      </c>
      <c r="G120" s="164">
        <v>1.3</v>
      </c>
      <c r="H120" s="164">
        <v>3.1</v>
      </c>
      <c r="I120" s="165" t="s">
        <v>405</v>
      </c>
      <c r="J120" s="140" t="s">
        <v>405</v>
      </c>
      <c r="K120" s="165" t="s">
        <v>405</v>
      </c>
      <c r="L120" s="140" t="s">
        <v>406</v>
      </c>
      <c r="M120" s="140" t="s">
        <v>66</v>
      </c>
      <c r="N120" s="140" t="str">
        <f t="shared" si="1"/>
        <v>Jamón cerdo extramagro · INTA-0113</v>
      </c>
      <c r="O120" s="13"/>
      <c r="P120" s="13"/>
      <c r="Q120" s="13"/>
    </row>
    <row r="121" spans="1:17" ht="15" customHeight="1">
      <c r="A121" s="136" t="s">
        <v>677</v>
      </c>
      <c r="B121" s="136" t="s">
        <v>678</v>
      </c>
      <c r="C121" s="136" t="s">
        <v>423</v>
      </c>
      <c r="D121" s="136" t="s">
        <v>404</v>
      </c>
      <c r="E121" s="162">
        <v>312</v>
      </c>
      <c r="F121" s="162">
        <v>20.5</v>
      </c>
      <c r="G121" s="162">
        <v>0</v>
      </c>
      <c r="H121" s="162">
        <v>25.5</v>
      </c>
      <c r="I121" s="162">
        <v>0</v>
      </c>
      <c r="J121" s="136" t="s">
        <v>405</v>
      </c>
      <c r="K121" s="163" t="s">
        <v>405</v>
      </c>
      <c r="L121" s="136" t="s">
        <v>406</v>
      </c>
      <c r="M121" s="136" t="s">
        <v>66</v>
      </c>
      <c r="N121" s="136" t="str">
        <f t="shared" si="1"/>
        <v>Jamón crudo · INTA-0114</v>
      </c>
      <c r="O121" s="13"/>
      <c r="P121" s="13"/>
      <c r="Q121" s="13"/>
    </row>
    <row r="122" spans="1:17" ht="15" customHeight="1">
      <c r="A122" s="140" t="s">
        <v>679</v>
      </c>
      <c r="B122" s="140" t="s">
        <v>680</v>
      </c>
      <c r="C122" s="140" t="s">
        <v>423</v>
      </c>
      <c r="D122" s="140" t="s">
        <v>404</v>
      </c>
      <c r="E122" s="164">
        <v>124</v>
      </c>
      <c r="F122" s="164">
        <v>19.600000000000001</v>
      </c>
      <c r="G122" s="164">
        <v>2.9</v>
      </c>
      <c r="H122" s="164">
        <v>3.8</v>
      </c>
      <c r="I122" s="164">
        <v>0</v>
      </c>
      <c r="J122" s="140" t="s">
        <v>405</v>
      </c>
      <c r="K122" s="165" t="s">
        <v>405</v>
      </c>
      <c r="L122" s="140" t="s">
        <v>406</v>
      </c>
      <c r="M122" s="140" t="s">
        <v>66</v>
      </c>
      <c r="N122" s="140" t="str">
        <f t="shared" si="1"/>
        <v>Jamón pavo · INTA-0115</v>
      </c>
      <c r="O122" s="13"/>
      <c r="P122" s="13"/>
      <c r="Q122" s="13"/>
    </row>
    <row r="123" spans="1:17" ht="15" customHeight="1">
      <c r="A123" s="136" t="s">
        <v>681</v>
      </c>
      <c r="B123" s="136" t="s">
        <v>682</v>
      </c>
      <c r="C123" s="136" t="s">
        <v>423</v>
      </c>
      <c r="D123" s="136" t="s">
        <v>404</v>
      </c>
      <c r="E123" s="162">
        <v>118</v>
      </c>
      <c r="F123" s="162">
        <v>16.3</v>
      </c>
      <c r="G123" s="162">
        <v>3</v>
      </c>
      <c r="H123" s="162">
        <v>4</v>
      </c>
      <c r="I123" s="162">
        <v>0</v>
      </c>
      <c r="J123" s="136" t="s">
        <v>405</v>
      </c>
      <c r="K123" s="163" t="s">
        <v>405</v>
      </c>
      <c r="L123" s="136" t="s">
        <v>406</v>
      </c>
      <c r="M123" s="136" t="s">
        <v>66</v>
      </c>
      <c r="N123" s="136" t="str">
        <f t="shared" si="1"/>
        <v>Jamón de pavo ahumado · INTA-0116</v>
      </c>
      <c r="O123" s="13"/>
      <c r="P123" s="13"/>
      <c r="Q123" s="13"/>
    </row>
    <row r="124" spans="1:17" ht="15" customHeight="1">
      <c r="A124" s="136" t="s">
        <v>683</v>
      </c>
      <c r="B124" s="136" t="s">
        <v>684</v>
      </c>
      <c r="C124" s="136" t="s">
        <v>423</v>
      </c>
      <c r="D124" s="136" t="s">
        <v>404</v>
      </c>
      <c r="E124" s="162">
        <v>83</v>
      </c>
      <c r="F124" s="162">
        <v>17.899999999999999</v>
      </c>
      <c r="G124" s="162">
        <v>0.4</v>
      </c>
      <c r="H124" s="162">
        <v>1.1000000000000001</v>
      </c>
      <c r="I124" s="162">
        <v>0</v>
      </c>
      <c r="J124" s="136" t="s">
        <v>405</v>
      </c>
      <c r="K124" s="163" t="s">
        <v>405</v>
      </c>
      <c r="L124" s="136" t="s">
        <v>406</v>
      </c>
      <c r="M124" s="136" t="s">
        <v>66</v>
      </c>
      <c r="N124" s="136" t="str">
        <f t="shared" si="1"/>
        <v>Jamón pavo acaramelado · INTA-0117</v>
      </c>
      <c r="O124" s="13"/>
      <c r="P124" s="13"/>
      <c r="Q124" s="13"/>
    </row>
    <row r="125" spans="1:17" ht="15" customHeight="1">
      <c r="A125" s="140" t="s">
        <v>685</v>
      </c>
      <c r="B125" s="140" t="s">
        <v>686</v>
      </c>
      <c r="C125" s="140" t="s">
        <v>423</v>
      </c>
      <c r="D125" s="140" t="s">
        <v>404</v>
      </c>
      <c r="E125" s="164">
        <v>263</v>
      </c>
      <c r="F125" s="164">
        <v>16.3</v>
      </c>
      <c r="G125" s="164">
        <v>1.8</v>
      </c>
      <c r="H125" s="164">
        <v>20.7</v>
      </c>
      <c r="I125" s="164">
        <v>0</v>
      </c>
      <c r="J125" s="140" t="s">
        <v>405</v>
      </c>
      <c r="K125" s="165" t="s">
        <v>405</v>
      </c>
      <c r="L125" s="140" t="s">
        <v>406</v>
      </c>
      <c r="M125" s="140" t="s">
        <v>66</v>
      </c>
      <c r="N125" s="140" t="str">
        <f t="shared" si="1"/>
        <v>Jamón picado · INTA-0118</v>
      </c>
      <c r="O125" s="13"/>
      <c r="P125" s="13"/>
      <c r="Q125" s="13"/>
    </row>
    <row r="126" spans="1:17" ht="15" customHeight="1">
      <c r="A126" s="136" t="s">
        <v>687</v>
      </c>
      <c r="B126" s="136" t="s">
        <v>688</v>
      </c>
      <c r="C126" s="136" t="s">
        <v>423</v>
      </c>
      <c r="D126" s="136" t="s">
        <v>404</v>
      </c>
      <c r="E126" s="162">
        <v>397</v>
      </c>
      <c r="F126" s="162">
        <v>14</v>
      </c>
      <c r="G126" s="162">
        <v>2.1</v>
      </c>
      <c r="H126" s="162">
        <v>36.9</v>
      </c>
      <c r="I126" s="163" t="s">
        <v>405</v>
      </c>
      <c r="J126" s="136" t="s">
        <v>405</v>
      </c>
      <c r="K126" s="163" t="s">
        <v>405</v>
      </c>
      <c r="L126" s="136" t="s">
        <v>406</v>
      </c>
      <c r="M126" s="136" t="s">
        <v>66</v>
      </c>
      <c r="N126" s="136" t="str">
        <f t="shared" si="1"/>
        <v>Longaniza · INTA-0119</v>
      </c>
      <c r="O126" s="13"/>
      <c r="P126" s="13"/>
      <c r="Q126" s="13"/>
    </row>
    <row r="127" spans="1:17" ht="15" customHeight="1">
      <c r="A127" s="140" t="s">
        <v>689</v>
      </c>
      <c r="B127" s="140" t="s">
        <v>690</v>
      </c>
      <c r="C127" s="140" t="s">
        <v>423</v>
      </c>
      <c r="D127" s="140" t="s">
        <v>404</v>
      </c>
      <c r="E127" s="164">
        <v>346</v>
      </c>
      <c r="F127" s="164">
        <v>14.3</v>
      </c>
      <c r="G127" s="164">
        <v>0.6</v>
      </c>
      <c r="H127" s="164">
        <v>31.3</v>
      </c>
      <c r="I127" s="164">
        <v>0</v>
      </c>
      <c r="J127" s="140" t="s">
        <v>405</v>
      </c>
      <c r="K127" s="165" t="s">
        <v>405</v>
      </c>
      <c r="L127" s="140" t="s">
        <v>406</v>
      </c>
      <c r="M127" s="140" t="s">
        <v>66</v>
      </c>
      <c r="N127" s="140" t="str">
        <f t="shared" si="1"/>
        <v>Longaniza 2 · INTA-0120</v>
      </c>
      <c r="O127" s="13"/>
      <c r="P127" s="13"/>
      <c r="Q127" s="13"/>
    </row>
    <row r="128" spans="1:17" ht="15" customHeight="1">
      <c r="A128" s="140" t="s">
        <v>691</v>
      </c>
      <c r="B128" s="140" t="s">
        <v>692</v>
      </c>
      <c r="C128" s="140" t="s">
        <v>423</v>
      </c>
      <c r="D128" s="140" t="s">
        <v>404</v>
      </c>
      <c r="E128" s="164">
        <v>311</v>
      </c>
      <c r="F128" s="164">
        <v>16.399999999999999</v>
      </c>
      <c r="G128" s="164">
        <v>3.1</v>
      </c>
      <c r="H128" s="164">
        <v>25.4</v>
      </c>
      <c r="I128" s="164">
        <v>0</v>
      </c>
      <c r="J128" s="140" t="s">
        <v>405</v>
      </c>
      <c r="K128" s="165" t="s">
        <v>405</v>
      </c>
      <c r="L128" s="140" t="s">
        <v>406</v>
      </c>
      <c r="M128" s="140" t="s">
        <v>66</v>
      </c>
      <c r="N128" s="140" t="str">
        <f t="shared" si="1"/>
        <v>Mortadela · INTA-0121</v>
      </c>
      <c r="O128" s="13"/>
      <c r="P128" s="13"/>
      <c r="Q128" s="13"/>
    </row>
    <row r="129" spans="1:17" ht="15" customHeight="1">
      <c r="A129" s="136" t="s">
        <v>693</v>
      </c>
      <c r="B129" s="136" t="s">
        <v>694</v>
      </c>
      <c r="C129" s="136" t="s">
        <v>423</v>
      </c>
      <c r="D129" s="136" t="s">
        <v>404</v>
      </c>
      <c r="E129" s="162">
        <v>248</v>
      </c>
      <c r="F129" s="162">
        <v>10.7</v>
      </c>
      <c r="G129" s="162">
        <v>17.8</v>
      </c>
      <c r="H129" s="162">
        <v>14.9</v>
      </c>
      <c r="I129" s="163" t="s">
        <v>405</v>
      </c>
      <c r="J129" s="136" t="s">
        <v>405</v>
      </c>
      <c r="K129" s="163" t="s">
        <v>405</v>
      </c>
      <c r="L129" s="136" t="s">
        <v>406</v>
      </c>
      <c r="M129" s="136" t="s">
        <v>66</v>
      </c>
      <c r="N129" s="136" t="str">
        <f t="shared" si="1"/>
        <v>Nugget de pollo · INTA-0122</v>
      </c>
      <c r="O129" s="13"/>
      <c r="P129" s="13"/>
      <c r="Q129" s="13"/>
    </row>
    <row r="130" spans="1:17" ht="15" customHeight="1">
      <c r="A130" s="136" t="s">
        <v>695</v>
      </c>
      <c r="B130" s="136" t="s">
        <v>696</v>
      </c>
      <c r="C130" s="136" t="s">
        <v>423</v>
      </c>
      <c r="D130" s="136" t="s">
        <v>404</v>
      </c>
      <c r="E130" s="162">
        <v>429</v>
      </c>
      <c r="F130" s="162">
        <v>11.5</v>
      </c>
      <c r="G130" s="162">
        <v>1.3</v>
      </c>
      <c r="H130" s="162">
        <v>42</v>
      </c>
      <c r="I130" s="162">
        <v>0</v>
      </c>
      <c r="J130" s="136" t="s">
        <v>405</v>
      </c>
      <c r="K130" s="163" t="s">
        <v>405</v>
      </c>
      <c r="L130" s="136" t="s">
        <v>406</v>
      </c>
      <c r="M130" s="136" t="s">
        <v>66</v>
      </c>
      <c r="N130" s="136" t="str">
        <f t="shared" si="1"/>
        <v>Paté · INTA-0123</v>
      </c>
      <c r="O130" s="13"/>
      <c r="P130" s="13"/>
      <c r="Q130" s="13"/>
    </row>
    <row r="131" spans="1:17" ht="15" customHeight="1">
      <c r="A131" s="140" t="s">
        <v>697</v>
      </c>
      <c r="B131" s="140" t="s">
        <v>698</v>
      </c>
      <c r="C131" s="140" t="s">
        <v>423</v>
      </c>
      <c r="D131" s="140" t="s">
        <v>404</v>
      </c>
      <c r="E131" s="164">
        <v>462</v>
      </c>
      <c r="F131" s="164">
        <v>11.4</v>
      </c>
      <c r="G131" s="164">
        <v>4.7</v>
      </c>
      <c r="H131" s="164">
        <v>43.8</v>
      </c>
      <c r="I131" s="164">
        <v>0</v>
      </c>
      <c r="J131" s="140" t="s">
        <v>405</v>
      </c>
      <c r="K131" s="165" t="s">
        <v>405</v>
      </c>
      <c r="L131" s="140" t="s">
        <v>406</v>
      </c>
      <c r="M131" s="140" t="s">
        <v>66</v>
      </c>
      <c r="N131" s="140" t="str">
        <f t="shared" si="1"/>
        <v>Paté 2 · INTA-0124</v>
      </c>
      <c r="O131" s="13"/>
      <c r="P131" s="13"/>
      <c r="Q131" s="13"/>
    </row>
    <row r="132" spans="1:17" ht="15" customHeight="1">
      <c r="A132" s="140" t="s">
        <v>699</v>
      </c>
      <c r="B132" s="140" t="s">
        <v>700</v>
      </c>
      <c r="C132" s="140" t="s">
        <v>423</v>
      </c>
      <c r="D132" s="140" t="s">
        <v>404</v>
      </c>
      <c r="E132" s="164">
        <v>89</v>
      </c>
      <c r="F132" s="164">
        <v>16.7</v>
      </c>
      <c r="G132" s="164">
        <v>1.2</v>
      </c>
      <c r="H132" s="164">
        <v>1.9</v>
      </c>
      <c r="I132" s="164">
        <v>0</v>
      </c>
      <c r="J132" s="140" t="s">
        <v>405</v>
      </c>
      <c r="K132" s="165" t="s">
        <v>405</v>
      </c>
      <c r="L132" s="140" t="s">
        <v>406</v>
      </c>
      <c r="M132" s="140" t="s">
        <v>66</v>
      </c>
      <c r="N132" s="140" t="str">
        <f t="shared" si="1"/>
        <v>Pechuga pavo ahumado · INTA-0125</v>
      </c>
      <c r="O132" s="13"/>
      <c r="P132" s="13"/>
      <c r="Q132" s="13"/>
    </row>
    <row r="133" spans="1:17" ht="15" customHeight="1">
      <c r="A133" s="136" t="s">
        <v>701</v>
      </c>
      <c r="B133" s="136" t="s">
        <v>702</v>
      </c>
      <c r="C133" s="136" t="s">
        <v>423</v>
      </c>
      <c r="D133" s="136" t="s">
        <v>404</v>
      </c>
      <c r="E133" s="162">
        <v>93</v>
      </c>
      <c r="F133" s="162">
        <v>15.4</v>
      </c>
      <c r="G133" s="162">
        <v>2.7</v>
      </c>
      <c r="H133" s="162">
        <v>2.2999999999999998</v>
      </c>
      <c r="I133" s="162">
        <v>0</v>
      </c>
      <c r="J133" s="136" t="s">
        <v>405</v>
      </c>
      <c r="K133" s="163" t="s">
        <v>405</v>
      </c>
      <c r="L133" s="136" t="s">
        <v>406</v>
      </c>
      <c r="M133" s="136" t="s">
        <v>66</v>
      </c>
      <c r="N133" s="136" t="str">
        <f t="shared" si="1"/>
        <v>Pechuga pavo cocida · INTA-0126</v>
      </c>
      <c r="O133" s="13"/>
      <c r="P133" s="13"/>
      <c r="Q133" s="13"/>
    </row>
    <row r="134" spans="1:17" ht="15" customHeight="1">
      <c r="A134" s="140" t="s">
        <v>703</v>
      </c>
      <c r="B134" s="140" t="s">
        <v>704</v>
      </c>
      <c r="C134" s="140" t="s">
        <v>423</v>
      </c>
      <c r="D134" s="140" t="s">
        <v>404</v>
      </c>
      <c r="E134" s="164">
        <v>126</v>
      </c>
      <c r="F134" s="164">
        <v>22.2</v>
      </c>
      <c r="G134" s="164">
        <v>1.4</v>
      </c>
      <c r="H134" s="164">
        <v>3.5</v>
      </c>
      <c r="I134" s="164">
        <v>0</v>
      </c>
      <c r="J134" s="140" t="s">
        <v>405</v>
      </c>
      <c r="K134" s="165" t="s">
        <v>405</v>
      </c>
      <c r="L134" s="140" t="s">
        <v>406</v>
      </c>
      <c r="M134" s="140" t="s">
        <v>66</v>
      </c>
      <c r="N134" s="140" t="str">
        <f t="shared" si="1"/>
        <v>Pechuga pavo cocida 2 · INTA-0127</v>
      </c>
      <c r="O134" s="13"/>
      <c r="P134" s="13"/>
      <c r="Q134" s="13"/>
    </row>
    <row r="135" spans="1:17" ht="15" customHeight="1">
      <c r="A135" s="136" t="s">
        <v>705</v>
      </c>
      <c r="B135" s="136" t="s">
        <v>706</v>
      </c>
      <c r="C135" s="136" t="s">
        <v>423</v>
      </c>
      <c r="D135" s="136" t="s">
        <v>404</v>
      </c>
      <c r="E135" s="162">
        <v>101</v>
      </c>
      <c r="F135" s="162">
        <v>17.8</v>
      </c>
      <c r="G135" s="162">
        <v>2.2000000000000002</v>
      </c>
      <c r="H135" s="162">
        <v>2.2999999999999998</v>
      </c>
      <c r="I135" s="163" t="s">
        <v>405</v>
      </c>
      <c r="J135" s="136" t="s">
        <v>405</v>
      </c>
      <c r="K135" s="163" t="s">
        <v>405</v>
      </c>
      <c r="L135" s="136" t="s">
        <v>406</v>
      </c>
      <c r="M135" s="136" t="s">
        <v>66</v>
      </c>
      <c r="N135" s="136" t="str">
        <f t="shared" si="1"/>
        <v>Pechuga de pollo cocida · INTA-0128</v>
      </c>
      <c r="O135" s="13"/>
      <c r="P135" s="13"/>
      <c r="Q135" s="13"/>
    </row>
    <row r="136" spans="1:17" ht="15" customHeight="1">
      <c r="A136" s="136" t="s">
        <v>707</v>
      </c>
      <c r="B136" s="136" t="s">
        <v>708</v>
      </c>
      <c r="C136" s="136" t="s">
        <v>423</v>
      </c>
      <c r="D136" s="136" t="s">
        <v>404</v>
      </c>
      <c r="E136" s="162">
        <v>504</v>
      </c>
      <c r="F136" s="162">
        <v>19.3</v>
      </c>
      <c r="G136" s="162">
        <v>1.2</v>
      </c>
      <c r="H136" s="162">
        <v>46.3</v>
      </c>
      <c r="I136" s="162">
        <v>0</v>
      </c>
      <c r="J136" s="136" t="s">
        <v>405</v>
      </c>
      <c r="K136" s="163" t="s">
        <v>405</v>
      </c>
      <c r="L136" s="136" t="s">
        <v>406</v>
      </c>
      <c r="M136" s="136" t="s">
        <v>66</v>
      </c>
      <c r="N136" s="136" t="str">
        <f t="shared" ref="N136:N199" si="2">B136&amp;" · "&amp;A136</f>
        <v>Pepperoni · INTA-0129</v>
      </c>
      <c r="O136" s="13"/>
      <c r="P136" s="13"/>
      <c r="Q136" s="13"/>
    </row>
    <row r="137" spans="1:17" ht="15" customHeight="1">
      <c r="A137" s="140" t="s">
        <v>709</v>
      </c>
      <c r="B137" s="140" t="s">
        <v>710</v>
      </c>
      <c r="C137" s="140" t="s">
        <v>423</v>
      </c>
      <c r="D137" s="140" t="s">
        <v>404</v>
      </c>
      <c r="E137" s="164">
        <v>206</v>
      </c>
      <c r="F137" s="164">
        <v>21.3</v>
      </c>
      <c r="G137" s="164">
        <v>0.9</v>
      </c>
      <c r="H137" s="164">
        <v>13</v>
      </c>
      <c r="I137" s="165" t="s">
        <v>405</v>
      </c>
      <c r="J137" s="140" t="s">
        <v>405</v>
      </c>
      <c r="K137" s="165" t="s">
        <v>405</v>
      </c>
      <c r="L137" s="140" t="s">
        <v>406</v>
      </c>
      <c r="M137" s="140" t="s">
        <v>66</v>
      </c>
      <c r="N137" s="140" t="str">
        <f t="shared" si="2"/>
        <v>Pernil · INTA-0130</v>
      </c>
      <c r="O137" s="13"/>
      <c r="P137" s="13"/>
      <c r="Q137" s="13"/>
    </row>
    <row r="138" spans="1:17" ht="15" customHeight="1">
      <c r="A138" s="140" t="s">
        <v>711</v>
      </c>
      <c r="B138" s="140" t="s">
        <v>712</v>
      </c>
      <c r="C138" s="140" t="s">
        <v>423</v>
      </c>
      <c r="D138" s="140" t="s">
        <v>404</v>
      </c>
      <c r="E138" s="164">
        <v>253</v>
      </c>
      <c r="F138" s="164">
        <v>9.1</v>
      </c>
      <c r="G138" s="164">
        <v>6.1</v>
      </c>
      <c r="H138" s="164">
        <v>21.4</v>
      </c>
      <c r="I138" s="165" t="s">
        <v>405</v>
      </c>
      <c r="J138" s="140" t="s">
        <v>405</v>
      </c>
      <c r="K138" s="165" t="s">
        <v>405</v>
      </c>
      <c r="L138" s="140" t="s">
        <v>406</v>
      </c>
      <c r="M138" s="140" t="s">
        <v>66</v>
      </c>
      <c r="N138" s="140" t="str">
        <f t="shared" si="2"/>
        <v>Prieta · INTA-0131</v>
      </c>
      <c r="O138" s="13"/>
      <c r="P138" s="13"/>
      <c r="Q138" s="13"/>
    </row>
    <row r="139" spans="1:17" ht="15" customHeight="1">
      <c r="A139" s="136" t="s">
        <v>713</v>
      </c>
      <c r="B139" s="136" t="s">
        <v>714</v>
      </c>
      <c r="C139" s="136" t="s">
        <v>423</v>
      </c>
      <c r="D139" s="136" t="s">
        <v>404</v>
      </c>
      <c r="E139" s="162">
        <v>379</v>
      </c>
      <c r="F139" s="162">
        <v>14.6</v>
      </c>
      <c r="G139" s="162">
        <v>1.3</v>
      </c>
      <c r="H139" s="162">
        <v>34.5</v>
      </c>
      <c r="I139" s="162">
        <v>0</v>
      </c>
      <c r="J139" s="136" t="s">
        <v>405</v>
      </c>
      <c r="K139" s="163" t="s">
        <v>405</v>
      </c>
      <c r="L139" s="136" t="s">
        <v>406</v>
      </c>
      <c r="M139" s="136" t="s">
        <v>66</v>
      </c>
      <c r="N139" s="136" t="str">
        <f t="shared" si="2"/>
        <v>Prieta 2 · INTA-0132</v>
      </c>
      <c r="O139" s="13"/>
      <c r="P139" s="13"/>
      <c r="Q139" s="13"/>
    </row>
    <row r="140" spans="1:17" ht="15" customHeight="1">
      <c r="A140" s="136" t="s">
        <v>715</v>
      </c>
      <c r="B140" s="136" t="s">
        <v>716</v>
      </c>
      <c r="C140" s="136" t="s">
        <v>423</v>
      </c>
      <c r="D140" s="136" t="s">
        <v>404</v>
      </c>
      <c r="E140" s="162">
        <v>359</v>
      </c>
      <c r="F140" s="162">
        <v>15.5</v>
      </c>
      <c r="G140" s="162">
        <v>6.8</v>
      </c>
      <c r="H140" s="162">
        <v>30</v>
      </c>
      <c r="I140" s="163" t="s">
        <v>405</v>
      </c>
      <c r="J140" s="136" t="s">
        <v>405</v>
      </c>
      <c r="K140" s="163" t="s">
        <v>405</v>
      </c>
      <c r="L140" s="136" t="s">
        <v>406</v>
      </c>
      <c r="M140" s="136" t="s">
        <v>66</v>
      </c>
      <c r="N140" s="136" t="str">
        <f t="shared" si="2"/>
        <v>Queso cabeza · INTA-0133</v>
      </c>
      <c r="O140" s="13"/>
      <c r="P140" s="13"/>
      <c r="Q140" s="13"/>
    </row>
    <row r="141" spans="1:17" ht="15" customHeight="1">
      <c r="A141" s="140" t="s">
        <v>717</v>
      </c>
      <c r="B141" s="140" t="s">
        <v>718</v>
      </c>
      <c r="C141" s="140" t="s">
        <v>423</v>
      </c>
      <c r="D141" s="140" t="s">
        <v>404</v>
      </c>
      <c r="E141" s="164">
        <v>205</v>
      </c>
      <c r="F141" s="164">
        <v>15.8</v>
      </c>
      <c r="G141" s="164">
        <v>0</v>
      </c>
      <c r="H141" s="164">
        <v>15.7</v>
      </c>
      <c r="I141" s="164">
        <v>0</v>
      </c>
      <c r="J141" s="140" t="s">
        <v>405</v>
      </c>
      <c r="K141" s="165" t="s">
        <v>405</v>
      </c>
      <c r="L141" s="140" t="s">
        <v>406</v>
      </c>
      <c r="M141" s="140" t="s">
        <v>66</v>
      </c>
      <c r="N141" s="140" t="str">
        <f t="shared" si="2"/>
        <v>Queso cabeza 2 · INTA-0134</v>
      </c>
      <c r="O141" s="13"/>
      <c r="P141" s="13"/>
      <c r="Q141" s="13"/>
    </row>
    <row r="142" spans="1:17" ht="15" customHeight="1">
      <c r="A142" s="140" t="s">
        <v>719</v>
      </c>
      <c r="B142" s="140" t="s">
        <v>720</v>
      </c>
      <c r="C142" s="140" t="s">
        <v>423</v>
      </c>
      <c r="D142" s="140" t="s">
        <v>404</v>
      </c>
      <c r="E142" s="164">
        <v>426</v>
      </c>
      <c r="F142" s="164">
        <v>14.5</v>
      </c>
      <c r="G142" s="164">
        <v>0.7</v>
      </c>
      <c r="H142" s="164">
        <v>40.6</v>
      </c>
      <c r="I142" s="165" t="s">
        <v>405</v>
      </c>
      <c r="J142" s="140" t="s">
        <v>405</v>
      </c>
      <c r="K142" s="165" t="s">
        <v>405</v>
      </c>
      <c r="L142" s="140" t="s">
        <v>406</v>
      </c>
      <c r="M142" s="140" t="s">
        <v>66</v>
      </c>
      <c r="N142" s="140" t="str">
        <f t="shared" si="2"/>
        <v>Salame · INTA-0135</v>
      </c>
      <c r="O142" s="13"/>
      <c r="P142" s="13"/>
      <c r="Q142" s="13"/>
    </row>
    <row r="143" spans="1:17" ht="15" customHeight="1">
      <c r="A143" s="136" t="s">
        <v>721</v>
      </c>
      <c r="B143" s="136" t="s">
        <v>722</v>
      </c>
      <c r="C143" s="136" t="s">
        <v>423</v>
      </c>
      <c r="D143" s="136" t="s">
        <v>404</v>
      </c>
      <c r="E143" s="162">
        <v>261</v>
      </c>
      <c r="F143" s="162">
        <v>12.6</v>
      </c>
      <c r="G143" s="162">
        <v>1.9</v>
      </c>
      <c r="H143" s="162">
        <v>22.2</v>
      </c>
      <c r="I143" s="162">
        <v>0</v>
      </c>
      <c r="J143" s="136" t="s">
        <v>405</v>
      </c>
      <c r="K143" s="163" t="s">
        <v>405</v>
      </c>
      <c r="L143" s="136" t="s">
        <v>406</v>
      </c>
      <c r="M143" s="136" t="s">
        <v>66</v>
      </c>
      <c r="N143" s="136" t="str">
        <f t="shared" si="2"/>
        <v>Salame 2 · INTA-0136</v>
      </c>
      <c r="O143" s="13"/>
      <c r="P143" s="13"/>
      <c r="Q143" s="13"/>
    </row>
    <row r="144" spans="1:17" ht="15" customHeight="1">
      <c r="A144" s="140" t="s">
        <v>723</v>
      </c>
      <c r="B144" s="140" t="s">
        <v>724</v>
      </c>
      <c r="C144" s="140" t="s">
        <v>423</v>
      </c>
      <c r="D144" s="140" t="s">
        <v>404</v>
      </c>
      <c r="E144" s="164">
        <v>151</v>
      </c>
      <c r="F144" s="164">
        <v>11.7</v>
      </c>
      <c r="G144" s="164">
        <v>1.5</v>
      </c>
      <c r="H144" s="164">
        <v>10.5</v>
      </c>
      <c r="I144" s="164">
        <v>0</v>
      </c>
      <c r="J144" s="140" t="s">
        <v>405</v>
      </c>
      <c r="K144" s="165" t="s">
        <v>405</v>
      </c>
      <c r="L144" s="140" t="s">
        <v>406</v>
      </c>
      <c r="M144" s="140" t="s">
        <v>66</v>
      </c>
      <c r="N144" s="140" t="str">
        <f t="shared" si="2"/>
        <v>Seso cocido · INTA-0137</v>
      </c>
      <c r="O144" s="13"/>
      <c r="P144" s="13"/>
      <c r="Q144" s="13"/>
    </row>
    <row r="145" spans="1:17" ht="15" customHeight="1">
      <c r="A145" s="136" t="s">
        <v>725</v>
      </c>
      <c r="B145" s="136" t="s">
        <v>726</v>
      </c>
      <c r="C145" s="136" t="s">
        <v>423</v>
      </c>
      <c r="D145" s="136" t="s">
        <v>404</v>
      </c>
      <c r="E145" s="162">
        <v>517</v>
      </c>
      <c r="F145" s="162">
        <v>29.1</v>
      </c>
      <c r="G145" s="162">
        <v>0.8</v>
      </c>
      <c r="H145" s="162">
        <v>44.2</v>
      </c>
      <c r="I145" s="162">
        <v>0</v>
      </c>
      <c r="J145" s="136" t="s">
        <v>405</v>
      </c>
      <c r="K145" s="163" t="s">
        <v>405</v>
      </c>
      <c r="L145" s="136" t="s">
        <v>406</v>
      </c>
      <c r="M145" s="136" t="s">
        <v>66</v>
      </c>
      <c r="N145" s="136" t="str">
        <f t="shared" si="2"/>
        <v>Tocino · INTA-0138</v>
      </c>
      <c r="O145" s="13"/>
      <c r="P145" s="13"/>
      <c r="Q145" s="13"/>
    </row>
    <row r="146" spans="1:17" ht="15" customHeight="1">
      <c r="A146" s="140" t="s">
        <v>727</v>
      </c>
      <c r="B146" s="140" t="s">
        <v>728</v>
      </c>
      <c r="C146" s="140" t="s">
        <v>423</v>
      </c>
      <c r="D146" s="140" t="s">
        <v>404</v>
      </c>
      <c r="E146" s="164">
        <v>299</v>
      </c>
      <c r="F146" s="164">
        <v>15.9</v>
      </c>
      <c r="G146" s="164">
        <v>3.5</v>
      </c>
      <c r="H146" s="164">
        <v>24.6</v>
      </c>
      <c r="I146" s="164">
        <v>0</v>
      </c>
      <c r="J146" s="140" t="s">
        <v>405</v>
      </c>
      <c r="K146" s="165" t="s">
        <v>405</v>
      </c>
      <c r="L146" s="140" t="s">
        <v>406</v>
      </c>
      <c r="M146" s="140" t="s">
        <v>66</v>
      </c>
      <c r="N146" s="140" t="str">
        <f t="shared" si="2"/>
        <v>Turin · INTA-0139</v>
      </c>
      <c r="O146" s="13"/>
      <c r="P146" s="13"/>
      <c r="Q146" s="13"/>
    </row>
    <row r="147" spans="1:17" ht="15" customHeight="1">
      <c r="A147" s="140" t="s">
        <v>729</v>
      </c>
      <c r="B147" s="140" t="s">
        <v>730</v>
      </c>
      <c r="C147" s="140" t="s">
        <v>423</v>
      </c>
      <c r="D147" s="140" t="s">
        <v>404</v>
      </c>
      <c r="E147" s="164">
        <v>235</v>
      </c>
      <c r="F147" s="164">
        <v>12</v>
      </c>
      <c r="G147" s="164">
        <v>1.6</v>
      </c>
      <c r="H147" s="164">
        <v>21.3</v>
      </c>
      <c r="I147" s="165" t="s">
        <v>405</v>
      </c>
      <c r="J147" s="140" t="s">
        <v>405</v>
      </c>
      <c r="K147" s="165" t="s">
        <v>405</v>
      </c>
      <c r="L147" s="140" t="s">
        <v>406</v>
      </c>
      <c r="M147" s="140" t="s">
        <v>66</v>
      </c>
      <c r="N147" s="140" t="str">
        <f t="shared" si="2"/>
        <v>Vienesa · INTA-0140</v>
      </c>
      <c r="O147" s="13"/>
      <c r="P147" s="13"/>
      <c r="Q147" s="13"/>
    </row>
    <row r="148" spans="1:17" ht="15" customHeight="1">
      <c r="A148" s="136" t="s">
        <v>731</v>
      </c>
      <c r="B148" s="136" t="s">
        <v>732</v>
      </c>
      <c r="C148" s="136" t="s">
        <v>423</v>
      </c>
      <c r="D148" s="136" t="s">
        <v>404</v>
      </c>
      <c r="E148" s="162">
        <v>250</v>
      </c>
      <c r="F148" s="162">
        <v>15.4</v>
      </c>
      <c r="G148" s="162">
        <v>2.5</v>
      </c>
      <c r="H148" s="162">
        <v>18.100000000000001</v>
      </c>
      <c r="I148" s="162">
        <v>0</v>
      </c>
      <c r="J148" s="136" t="s">
        <v>405</v>
      </c>
      <c r="K148" s="163" t="s">
        <v>405</v>
      </c>
      <c r="L148" s="136" t="s">
        <v>406</v>
      </c>
      <c r="M148" s="136" t="s">
        <v>66</v>
      </c>
      <c r="N148" s="136" t="str">
        <f t="shared" si="2"/>
        <v>Vienesa de pavo · INTA-0141</v>
      </c>
      <c r="O148" s="13"/>
      <c r="P148" s="13"/>
      <c r="Q148" s="13"/>
    </row>
    <row r="149" spans="1:17" ht="15" customHeight="1">
      <c r="A149" s="140" t="s">
        <v>733</v>
      </c>
      <c r="B149" s="140" t="s">
        <v>734</v>
      </c>
      <c r="C149" s="140" t="s">
        <v>423</v>
      </c>
      <c r="D149" s="140" t="s">
        <v>404</v>
      </c>
      <c r="E149" s="164">
        <v>226</v>
      </c>
      <c r="F149" s="164">
        <v>15.3</v>
      </c>
      <c r="G149" s="164">
        <v>3.5</v>
      </c>
      <c r="H149" s="164">
        <v>16.7</v>
      </c>
      <c r="I149" s="165" t="s">
        <v>405</v>
      </c>
      <c r="J149" s="140" t="s">
        <v>405</v>
      </c>
      <c r="K149" s="165" t="s">
        <v>405</v>
      </c>
      <c r="L149" s="140" t="s">
        <v>406</v>
      </c>
      <c r="M149" s="140" t="s">
        <v>66</v>
      </c>
      <c r="N149" s="140" t="str">
        <f t="shared" si="2"/>
        <v>Vienesa de pollo · INTA-0142</v>
      </c>
      <c r="O149" s="13"/>
      <c r="P149" s="13"/>
      <c r="Q149" s="13"/>
    </row>
    <row r="150" spans="1:17" ht="15" customHeight="1">
      <c r="A150" s="140" t="s">
        <v>735</v>
      </c>
      <c r="B150" s="140" t="s">
        <v>736</v>
      </c>
      <c r="C150" s="140" t="s">
        <v>469</v>
      </c>
      <c r="D150" s="140" t="s">
        <v>404</v>
      </c>
      <c r="E150" s="164">
        <v>74</v>
      </c>
      <c r="F150" s="164">
        <v>12.8</v>
      </c>
      <c r="G150" s="164">
        <v>2.6</v>
      </c>
      <c r="H150" s="164">
        <v>1</v>
      </c>
      <c r="I150" s="164">
        <v>0</v>
      </c>
      <c r="J150" s="140" t="s">
        <v>405</v>
      </c>
      <c r="K150" s="165" t="s">
        <v>405</v>
      </c>
      <c r="L150" s="140" t="s">
        <v>406</v>
      </c>
      <c r="M150" s="140" t="s">
        <v>66</v>
      </c>
      <c r="N150" s="140" t="str">
        <f t="shared" si="2"/>
        <v>Almeja · INTA-0143</v>
      </c>
      <c r="O150" s="13"/>
      <c r="P150" s="13"/>
      <c r="Q150" s="13"/>
    </row>
    <row r="151" spans="1:17" ht="15" customHeight="1">
      <c r="A151" s="136" t="s">
        <v>737</v>
      </c>
      <c r="B151" s="136" t="s">
        <v>738</v>
      </c>
      <c r="C151" s="136" t="s">
        <v>469</v>
      </c>
      <c r="D151" s="136" t="s">
        <v>404</v>
      </c>
      <c r="E151" s="162">
        <v>121</v>
      </c>
      <c r="F151" s="162">
        <v>20</v>
      </c>
      <c r="G151" s="162">
        <v>2.8</v>
      </c>
      <c r="H151" s="162">
        <v>3.3</v>
      </c>
      <c r="I151" s="162">
        <v>0</v>
      </c>
      <c r="J151" s="136" t="s">
        <v>405</v>
      </c>
      <c r="K151" s="163" t="s">
        <v>405</v>
      </c>
      <c r="L151" s="136" t="s">
        <v>406</v>
      </c>
      <c r="M151" s="136" t="s">
        <v>66</v>
      </c>
      <c r="N151" s="136" t="str">
        <f t="shared" si="2"/>
        <v>Almeja conserva en agua · INTA-0144</v>
      </c>
      <c r="O151" s="13"/>
      <c r="P151" s="13"/>
      <c r="Q151" s="13"/>
    </row>
    <row r="152" spans="1:17" ht="15" customHeight="1">
      <c r="A152" s="136" t="s">
        <v>739</v>
      </c>
      <c r="B152" s="136" t="s">
        <v>740</v>
      </c>
      <c r="C152" s="136" t="s">
        <v>469</v>
      </c>
      <c r="D152" s="136" t="s">
        <v>404</v>
      </c>
      <c r="E152" s="162">
        <v>106</v>
      </c>
      <c r="F152" s="162">
        <v>16</v>
      </c>
      <c r="G152" s="162">
        <v>5.5</v>
      </c>
      <c r="H152" s="162">
        <v>4</v>
      </c>
      <c r="I152" s="162">
        <v>0</v>
      </c>
      <c r="J152" s="136" t="s">
        <v>405</v>
      </c>
      <c r="K152" s="163" t="s">
        <v>405</v>
      </c>
      <c r="L152" s="136" t="s">
        <v>406</v>
      </c>
      <c r="M152" s="136" t="s">
        <v>66</v>
      </c>
      <c r="N152" s="136" t="str">
        <f t="shared" si="2"/>
        <v>Caracol de mar · INTA-0145</v>
      </c>
      <c r="O152" s="13"/>
      <c r="P152" s="13"/>
      <c r="Q152" s="13"/>
    </row>
    <row r="153" spans="1:17" ht="15" customHeight="1">
      <c r="A153" s="136" t="s">
        <v>741</v>
      </c>
      <c r="B153" s="136" t="s">
        <v>742</v>
      </c>
      <c r="C153" s="136" t="s">
        <v>469</v>
      </c>
      <c r="D153" s="136" t="s">
        <v>404</v>
      </c>
      <c r="E153" s="162">
        <v>74</v>
      </c>
      <c r="F153" s="162">
        <v>14.2</v>
      </c>
      <c r="G153" s="162">
        <v>2.5</v>
      </c>
      <c r="H153" s="162">
        <v>0.8</v>
      </c>
      <c r="I153" s="162">
        <v>0</v>
      </c>
      <c r="J153" s="136" t="s">
        <v>405</v>
      </c>
      <c r="K153" s="163" t="s">
        <v>405</v>
      </c>
      <c r="L153" s="136" t="s">
        <v>406</v>
      </c>
      <c r="M153" s="136" t="s">
        <v>66</v>
      </c>
      <c r="N153" s="136" t="str">
        <f t="shared" si="2"/>
        <v>Cholga en agua · INTA-0146</v>
      </c>
      <c r="O153" s="13"/>
      <c r="P153" s="13"/>
      <c r="Q153" s="13"/>
    </row>
    <row r="154" spans="1:17" ht="15" customHeight="1">
      <c r="A154" s="140" t="s">
        <v>743</v>
      </c>
      <c r="B154" s="140" t="s">
        <v>744</v>
      </c>
      <c r="C154" s="140" t="s">
        <v>469</v>
      </c>
      <c r="D154" s="140" t="s">
        <v>404</v>
      </c>
      <c r="E154" s="164">
        <v>132</v>
      </c>
      <c r="F154" s="164">
        <v>21.3</v>
      </c>
      <c r="G154" s="164">
        <v>1.9</v>
      </c>
      <c r="H154" s="164">
        <v>4.4000000000000004</v>
      </c>
      <c r="I154" s="164">
        <v>0</v>
      </c>
      <c r="J154" s="140" t="s">
        <v>405</v>
      </c>
      <c r="K154" s="165" t="s">
        <v>405</v>
      </c>
      <c r="L154" s="140" t="s">
        <v>406</v>
      </c>
      <c r="M154" s="140" t="s">
        <v>66</v>
      </c>
      <c r="N154" s="140" t="str">
        <f t="shared" si="2"/>
        <v>Cholga conserva en aceite · INTA-0147</v>
      </c>
      <c r="O154" s="13"/>
      <c r="P154" s="13"/>
      <c r="Q154" s="13"/>
    </row>
    <row r="155" spans="1:17" ht="15" customHeight="1">
      <c r="A155" s="136" t="s">
        <v>745</v>
      </c>
      <c r="B155" s="136" t="s">
        <v>746</v>
      </c>
      <c r="C155" s="136" t="s">
        <v>469</v>
      </c>
      <c r="D155" s="136" t="s">
        <v>404</v>
      </c>
      <c r="E155" s="162">
        <v>100</v>
      </c>
      <c r="F155" s="162">
        <v>16</v>
      </c>
      <c r="G155" s="162">
        <v>1.9</v>
      </c>
      <c r="H155" s="162">
        <v>3.1</v>
      </c>
      <c r="I155" s="162">
        <v>0</v>
      </c>
      <c r="J155" s="136" t="s">
        <v>405</v>
      </c>
      <c r="K155" s="163" t="s">
        <v>405</v>
      </c>
      <c r="L155" s="136" t="s">
        <v>406</v>
      </c>
      <c r="M155" s="136" t="s">
        <v>66</v>
      </c>
      <c r="N155" s="136" t="str">
        <f t="shared" si="2"/>
        <v>Chorito conserva en aceite · INTA-0148</v>
      </c>
      <c r="O155" s="13"/>
      <c r="P155" s="13"/>
      <c r="Q155" s="13"/>
    </row>
    <row r="156" spans="1:17" ht="15" customHeight="1">
      <c r="A156" s="140" t="s">
        <v>747</v>
      </c>
      <c r="B156" s="140" t="s">
        <v>748</v>
      </c>
      <c r="C156" s="140" t="s">
        <v>469</v>
      </c>
      <c r="D156" s="140" t="s">
        <v>404</v>
      </c>
      <c r="E156" s="164">
        <v>72</v>
      </c>
      <c r="F156" s="164">
        <v>10</v>
      </c>
      <c r="G156" s="164">
        <v>4</v>
      </c>
      <c r="H156" s="164">
        <v>1.8</v>
      </c>
      <c r="I156" s="164">
        <v>0</v>
      </c>
      <c r="J156" s="140" t="s">
        <v>405</v>
      </c>
      <c r="K156" s="165" t="s">
        <v>405</v>
      </c>
      <c r="L156" s="140" t="s">
        <v>406</v>
      </c>
      <c r="M156" s="140" t="s">
        <v>66</v>
      </c>
      <c r="N156" s="140" t="str">
        <f t="shared" si="2"/>
        <v>Chorito en agua · INTA-0149</v>
      </c>
      <c r="O156" s="13"/>
      <c r="P156" s="13"/>
      <c r="Q156" s="13"/>
    </row>
    <row r="157" spans="1:17" ht="15" customHeight="1">
      <c r="A157" s="140" t="s">
        <v>749</v>
      </c>
      <c r="B157" s="140" t="s">
        <v>750</v>
      </c>
      <c r="C157" s="140" t="s">
        <v>469</v>
      </c>
      <c r="D157" s="140" t="s">
        <v>404</v>
      </c>
      <c r="E157" s="164">
        <v>86</v>
      </c>
      <c r="F157" s="164">
        <v>11.9</v>
      </c>
      <c r="G157" s="164">
        <v>3.7</v>
      </c>
      <c r="H157" s="164">
        <v>2.2000000000000002</v>
      </c>
      <c r="I157" s="164">
        <v>0</v>
      </c>
      <c r="J157" s="140" t="s">
        <v>405</v>
      </c>
      <c r="K157" s="165" t="s">
        <v>405</v>
      </c>
      <c r="L157" s="140" t="s">
        <v>406</v>
      </c>
      <c r="M157" s="140" t="s">
        <v>66</v>
      </c>
      <c r="N157" s="140" t="str">
        <f t="shared" si="2"/>
        <v>Chorito · INTA-0150</v>
      </c>
      <c r="O157" s="13"/>
      <c r="P157" s="13"/>
      <c r="Q157" s="13"/>
    </row>
    <row r="158" spans="1:17" ht="15" customHeight="1">
      <c r="A158" s="136" t="s">
        <v>751</v>
      </c>
      <c r="B158" s="136" t="s">
        <v>752</v>
      </c>
      <c r="C158" s="136" t="s">
        <v>469</v>
      </c>
      <c r="D158" s="136" t="s">
        <v>404</v>
      </c>
      <c r="E158" s="162">
        <v>123</v>
      </c>
      <c r="F158" s="162">
        <v>14.4</v>
      </c>
      <c r="G158" s="162">
        <v>4.9000000000000004</v>
      </c>
      <c r="H158" s="162">
        <v>5.0999999999999996</v>
      </c>
      <c r="I158" s="162">
        <v>0</v>
      </c>
      <c r="J158" s="136" t="s">
        <v>405</v>
      </c>
      <c r="K158" s="163" t="s">
        <v>405</v>
      </c>
      <c r="L158" s="136" t="s">
        <v>406</v>
      </c>
      <c r="M158" s="136" t="s">
        <v>66</v>
      </c>
      <c r="N158" s="136" t="str">
        <f t="shared" si="2"/>
        <v>Erizo · INTA-0151</v>
      </c>
      <c r="O158" s="13"/>
      <c r="P158" s="13"/>
      <c r="Q158" s="13"/>
    </row>
    <row r="159" spans="1:17" ht="15" customHeight="1">
      <c r="A159" s="136" t="s">
        <v>753</v>
      </c>
      <c r="B159" s="136" t="s">
        <v>754</v>
      </c>
      <c r="C159" s="136" t="s">
        <v>469</v>
      </c>
      <c r="D159" s="136" t="s">
        <v>404</v>
      </c>
      <c r="E159" s="162">
        <v>181</v>
      </c>
      <c r="F159" s="162">
        <v>35</v>
      </c>
      <c r="G159" s="162">
        <v>9.8000000000000007</v>
      </c>
      <c r="H159" s="162">
        <v>0.2</v>
      </c>
      <c r="I159" s="162">
        <v>0</v>
      </c>
      <c r="J159" s="136" t="s">
        <v>405</v>
      </c>
      <c r="K159" s="163" t="s">
        <v>405</v>
      </c>
      <c r="L159" s="136" t="s">
        <v>406</v>
      </c>
      <c r="M159" s="136" t="s">
        <v>66</v>
      </c>
      <c r="N159" s="136" t="str">
        <f t="shared" si="2"/>
        <v>Jibia · INTA-0152</v>
      </c>
      <c r="O159" s="13"/>
      <c r="P159" s="13"/>
      <c r="Q159" s="13"/>
    </row>
    <row r="160" spans="1:17" ht="15" customHeight="1">
      <c r="A160" s="136" t="s">
        <v>755</v>
      </c>
      <c r="B160" s="136" t="s">
        <v>756</v>
      </c>
      <c r="C160" s="136" t="s">
        <v>469</v>
      </c>
      <c r="D160" s="136" t="s">
        <v>404</v>
      </c>
      <c r="E160" s="162">
        <v>113</v>
      </c>
      <c r="F160" s="162">
        <v>21.7</v>
      </c>
      <c r="G160" s="162">
        <v>5.5</v>
      </c>
      <c r="H160" s="162">
        <v>0.5</v>
      </c>
      <c r="I160" s="162">
        <v>0</v>
      </c>
      <c r="J160" s="136" t="s">
        <v>405</v>
      </c>
      <c r="K160" s="163" t="s">
        <v>405</v>
      </c>
      <c r="L160" s="136" t="s">
        <v>406</v>
      </c>
      <c r="M160" s="136" t="s">
        <v>66</v>
      </c>
      <c r="N160" s="136" t="str">
        <f t="shared" si="2"/>
        <v>Loco · INTA-0153</v>
      </c>
      <c r="O160" s="13"/>
      <c r="P160" s="13"/>
      <c r="Q160" s="13"/>
    </row>
    <row r="161" spans="1:17" ht="15" customHeight="1">
      <c r="A161" s="140" t="s">
        <v>757</v>
      </c>
      <c r="B161" s="140" t="s">
        <v>758</v>
      </c>
      <c r="C161" s="140" t="s">
        <v>469</v>
      </c>
      <c r="D161" s="140" t="s">
        <v>404</v>
      </c>
      <c r="E161" s="164">
        <v>118</v>
      </c>
      <c r="F161" s="164">
        <v>21.3</v>
      </c>
      <c r="G161" s="164">
        <v>2.8</v>
      </c>
      <c r="H161" s="164">
        <v>2.4</v>
      </c>
      <c r="I161" s="164">
        <v>0</v>
      </c>
      <c r="J161" s="140" t="s">
        <v>405</v>
      </c>
      <c r="K161" s="165" t="s">
        <v>405</v>
      </c>
      <c r="L161" s="140" t="s">
        <v>406</v>
      </c>
      <c r="M161" s="140" t="s">
        <v>66</v>
      </c>
      <c r="N161" s="140" t="str">
        <f t="shared" si="2"/>
        <v>Macha en conserva en agua · INTA-0154</v>
      </c>
      <c r="O161" s="13"/>
      <c r="P161" s="13"/>
      <c r="Q161" s="13"/>
    </row>
    <row r="162" spans="1:17" ht="15" customHeight="1">
      <c r="A162" s="136" t="s">
        <v>759</v>
      </c>
      <c r="B162" s="136" t="s">
        <v>760</v>
      </c>
      <c r="C162" s="136" t="s">
        <v>469</v>
      </c>
      <c r="D162" s="136" t="s">
        <v>404</v>
      </c>
      <c r="E162" s="162">
        <v>80</v>
      </c>
      <c r="F162" s="162">
        <v>14.2</v>
      </c>
      <c r="G162" s="162">
        <v>5</v>
      </c>
      <c r="H162" s="162">
        <v>0.4</v>
      </c>
      <c r="I162" s="162">
        <v>0</v>
      </c>
      <c r="J162" s="136" t="s">
        <v>405</v>
      </c>
      <c r="K162" s="163" t="s">
        <v>405</v>
      </c>
      <c r="L162" s="136" t="s">
        <v>406</v>
      </c>
      <c r="M162" s="136" t="s">
        <v>66</v>
      </c>
      <c r="N162" s="136" t="str">
        <f t="shared" si="2"/>
        <v>Navajuela · INTA-0155</v>
      </c>
      <c r="O162" s="13"/>
      <c r="P162" s="13"/>
      <c r="Q162" s="13"/>
    </row>
    <row r="163" spans="1:17" ht="15" customHeight="1">
      <c r="A163" s="140" t="s">
        <v>761</v>
      </c>
      <c r="B163" s="140" t="s">
        <v>762</v>
      </c>
      <c r="C163" s="140" t="s">
        <v>469</v>
      </c>
      <c r="D163" s="140" t="s">
        <v>404</v>
      </c>
      <c r="E163" s="164">
        <v>81</v>
      </c>
      <c r="F163" s="164">
        <v>9.5</v>
      </c>
      <c r="G163" s="164">
        <v>5</v>
      </c>
      <c r="H163" s="164">
        <v>2.2999999999999998</v>
      </c>
      <c r="I163" s="164">
        <v>0</v>
      </c>
      <c r="J163" s="140" t="s">
        <v>405</v>
      </c>
      <c r="K163" s="165" t="s">
        <v>405</v>
      </c>
      <c r="L163" s="140" t="s">
        <v>406</v>
      </c>
      <c r="M163" s="140" t="s">
        <v>66</v>
      </c>
      <c r="N163" s="140" t="str">
        <f t="shared" si="2"/>
        <v>Ostra · INTA-0156</v>
      </c>
      <c r="O163" s="13"/>
      <c r="P163" s="13"/>
      <c r="Q163" s="13"/>
    </row>
    <row r="164" spans="1:17" ht="15" customHeight="1">
      <c r="A164" s="136" t="s">
        <v>763</v>
      </c>
      <c r="B164" s="136" t="s">
        <v>764</v>
      </c>
      <c r="C164" s="136" t="s">
        <v>469</v>
      </c>
      <c r="D164" s="136" t="s">
        <v>404</v>
      </c>
      <c r="E164" s="162">
        <v>57</v>
      </c>
      <c r="F164" s="162">
        <v>8.8000000000000007</v>
      </c>
      <c r="G164" s="162">
        <v>3.3</v>
      </c>
      <c r="H164" s="162">
        <v>0.9</v>
      </c>
      <c r="I164" s="162">
        <v>0</v>
      </c>
      <c r="J164" s="136" t="s">
        <v>405</v>
      </c>
      <c r="K164" s="163" t="s">
        <v>405</v>
      </c>
      <c r="L164" s="136" t="s">
        <v>406</v>
      </c>
      <c r="M164" s="136" t="s">
        <v>66</v>
      </c>
      <c r="N164" s="136" t="str">
        <f t="shared" si="2"/>
        <v>Piure · INTA-0157</v>
      </c>
      <c r="O164" s="13"/>
      <c r="P164" s="13"/>
      <c r="Q164" s="13"/>
    </row>
    <row r="165" spans="1:17" ht="15" customHeight="1">
      <c r="A165" s="140" t="s">
        <v>765</v>
      </c>
      <c r="B165" s="140" t="s">
        <v>766</v>
      </c>
      <c r="C165" s="140" t="s">
        <v>469</v>
      </c>
      <c r="D165" s="140" t="s">
        <v>404</v>
      </c>
      <c r="E165" s="164">
        <v>85</v>
      </c>
      <c r="F165" s="164">
        <v>20.100000000000001</v>
      </c>
      <c r="G165" s="164">
        <v>0</v>
      </c>
      <c r="H165" s="164">
        <v>0.5</v>
      </c>
      <c r="I165" s="165" t="s">
        <v>405</v>
      </c>
      <c r="J165" s="140" t="s">
        <v>405</v>
      </c>
      <c r="K165" s="165" t="s">
        <v>405</v>
      </c>
      <c r="L165" s="140" t="s">
        <v>406</v>
      </c>
      <c r="M165" s="140" t="s">
        <v>66</v>
      </c>
      <c r="N165" s="140" t="str">
        <f t="shared" si="2"/>
        <v>Camaron congelado · INTA-0158</v>
      </c>
      <c r="O165" s="13"/>
      <c r="P165" s="13"/>
      <c r="Q165" s="13"/>
    </row>
    <row r="166" spans="1:17" ht="15" customHeight="1">
      <c r="A166" s="136" t="s">
        <v>767</v>
      </c>
      <c r="B166" s="136" t="s">
        <v>768</v>
      </c>
      <c r="C166" s="136" t="s">
        <v>469</v>
      </c>
      <c r="D166" s="136" t="s">
        <v>404</v>
      </c>
      <c r="E166" s="162">
        <v>110</v>
      </c>
      <c r="F166" s="162">
        <v>23.7</v>
      </c>
      <c r="G166" s="162">
        <v>0</v>
      </c>
      <c r="H166" s="162">
        <v>1.7</v>
      </c>
      <c r="I166" s="162">
        <v>0</v>
      </c>
      <c r="J166" s="136" t="s">
        <v>405</v>
      </c>
      <c r="K166" s="163" t="s">
        <v>405</v>
      </c>
      <c r="L166" s="136" t="s">
        <v>406</v>
      </c>
      <c r="M166" s="136" t="s">
        <v>66</v>
      </c>
      <c r="N166" s="136" t="str">
        <f t="shared" si="2"/>
        <v>Camaron · INTA-0159</v>
      </c>
      <c r="O166" s="13"/>
      <c r="P166" s="13"/>
      <c r="Q166" s="13"/>
    </row>
    <row r="167" spans="1:17" ht="15" customHeight="1">
      <c r="A167" s="136" t="s">
        <v>769</v>
      </c>
      <c r="B167" s="136" t="s">
        <v>770</v>
      </c>
      <c r="C167" s="136" t="s">
        <v>469</v>
      </c>
      <c r="D167" s="136" t="s">
        <v>404</v>
      </c>
      <c r="E167" s="162">
        <v>87</v>
      </c>
      <c r="F167" s="162">
        <v>14.5</v>
      </c>
      <c r="G167" s="162">
        <v>0.2</v>
      </c>
      <c r="H167" s="162">
        <v>1.8</v>
      </c>
      <c r="I167" s="163" t="s">
        <v>405</v>
      </c>
      <c r="J167" s="136" t="s">
        <v>405</v>
      </c>
      <c r="K167" s="163" t="s">
        <v>405</v>
      </c>
      <c r="L167" s="136" t="s">
        <v>406</v>
      </c>
      <c r="M167" s="136" t="s">
        <v>66</v>
      </c>
      <c r="N167" s="136" t="str">
        <f t="shared" si="2"/>
        <v>Centollón · INTA-0160</v>
      </c>
      <c r="O167" s="13"/>
      <c r="P167" s="13"/>
      <c r="Q167" s="13"/>
    </row>
    <row r="168" spans="1:17" ht="15" customHeight="1">
      <c r="A168" s="140" t="s">
        <v>771</v>
      </c>
      <c r="B168" s="140" t="s">
        <v>772</v>
      </c>
      <c r="C168" s="140" t="s">
        <v>469</v>
      </c>
      <c r="D168" s="140" t="s">
        <v>404</v>
      </c>
      <c r="E168" s="164">
        <v>71</v>
      </c>
      <c r="F168" s="164">
        <v>17.399999999999999</v>
      </c>
      <c r="G168" s="164">
        <v>0</v>
      </c>
      <c r="H168" s="164">
        <v>1.5</v>
      </c>
      <c r="I168" s="165" t="s">
        <v>405</v>
      </c>
      <c r="J168" s="140" t="s">
        <v>405</v>
      </c>
      <c r="K168" s="165" t="s">
        <v>405</v>
      </c>
      <c r="L168" s="140" t="s">
        <v>406</v>
      </c>
      <c r="M168" s="140" t="s">
        <v>66</v>
      </c>
      <c r="N168" s="140" t="str">
        <f t="shared" si="2"/>
        <v>Centolla · INTA-0161</v>
      </c>
      <c r="O168" s="13"/>
      <c r="P168" s="13"/>
      <c r="Q168" s="13"/>
    </row>
    <row r="169" spans="1:17" ht="15" customHeight="1">
      <c r="A169" s="140" t="s">
        <v>773</v>
      </c>
      <c r="B169" s="140" t="s">
        <v>774</v>
      </c>
      <c r="C169" s="140" t="s">
        <v>469</v>
      </c>
      <c r="D169" s="140" t="s">
        <v>404</v>
      </c>
      <c r="E169" s="164">
        <v>115</v>
      </c>
      <c r="F169" s="164">
        <v>18.3</v>
      </c>
      <c r="G169" s="164">
        <v>3.8</v>
      </c>
      <c r="H169" s="164">
        <v>2.9</v>
      </c>
      <c r="I169" s="164">
        <v>0</v>
      </c>
      <c r="J169" s="140" t="s">
        <v>405</v>
      </c>
      <c r="K169" s="165" t="s">
        <v>405</v>
      </c>
      <c r="L169" s="140" t="s">
        <v>406</v>
      </c>
      <c r="M169" s="140" t="s">
        <v>66</v>
      </c>
      <c r="N169" s="140" t="str">
        <f t="shared" si="2"/>
        <v>Jaiva · INTA-0162</v>
      </c>
      <c r="O169" s="13"/>
      <c r="P169" s="13"/>
      <c r="Q169" s="13"/>
    </row>
    <row r="170" spans="1:17" ht="15" customHeight="1">
      <c r="A170" s="136" t="s">
        <v>775</v>
      </c>
      <c r="B170" s="136" t="s">
        <v>776</v>
      </c>
      <c r="C170" s="136" t="s">
        <v>469</v>
      </c>
      <c r="D170" s="136" t="s">
        <v>404</v>
      </c>
      <c r="E170" s="162">
        <v>120</v>
      </c>
      <c r="F170" s="162">
        <v>28</v>
      </c>
      <c r="G170" s="162">
        <v>0</v>
      </c>
      <c r="H170" s="162">
        <v>1.4</v>
      </c>
      <c r="I170" s="163" t="s">
        <v>405</v>
      </c>
      <c r="J170" s="136" t="s">
        <v>405</v>
      </c>
      <c r="K170" s="163" t="s">
        <v>405</v>
      </c>
      <c r="L170" s="136" t="s">
        <v>406</v>
      </c>
      <c r="M170" s="136" t="s">
        <v>66</v>
      </c>
      <c r="N170" s="136" t="str">
        <f t="shared" si="2"/>
        <v>Atún conserva en agua · INTA-0163</v>
      </c>
      <c r="O170" s="13"/>
      <c r="P170" s="13"/>
      <c r="Q170" s="13"/>
    </row>
    <row r="171" spans="1:17" ht="15" customHeight="1">
      <c r="A171" s="140" t="s">
        <v>777</v>
      </c>
      <c r="B171" s="140" t="s">
        <v>778</v>
      </c>
      <c r="C171" s="140" t="s">
        <v>469</v>
      </c>
      <c r="D171" s="140" t="s">
        <v>404</v>
      </c>
      <c r="E171" s="164">
        <v>131</v>
      </c>
      <c r="F171" s="164">
        <v>29.6</v>
      </c>
      <c r="G171" s="164">
        <v>0</v>
      </c>
      <c r="H171" s="164">
        <v>0.5</v>
      </c>
      <c r="I171" s="164">
        <v>0</v>
      </c>
      <c r="J171" s="140" t="s">
        <v>405</v>
      </c>
      <c r="K171" s="165" t="s">
        <v>405</v>
      </c>
      <c r="L171" s="140" t="s">
        <v>406</v>
      </c>
      <c r="M171" s="140" t="s">
        <v>66</v>
      </c>
      <c r="N171" s="140" t="str">
        <f t="shared" si="2"/>
        <v>Atún conserva en agua 2 · INTA-0164</v>
      </c>
      <c r="O171" s="13"/>
      <c r="P171" s="13"/>
      <c r="Q171" s="13"/>
    </row>
    <row r="172" spans="1:17" ht="15" customHeight="1">
      <c r="A172" s="140" t="s">
        <v>779</v>
      </c>
      <c r="B172" s="140" t="s">
        <v>780</v>
      </c>
      <c r="C172" s="140" t="s">
        <v>469</v>
      </c>
      <c r="D172" s="140" t="s">
        <v>404</v>
      </c>
      <c r="E172" s="164">
        <v>198</v>
      </c>
      <c r="F172" s="164">
        <v>29.1</v>
      </c>
      <c r="G172" s="164">
        <v>0</v>
      </c>
      <c r="H172" s="164">
        <v>8.1999999999999993</v>
      </c>
      <c r="I172" s="164">
        <v>0</v>
      </c>
      <c r="J172" s="140" t="s">
        <v>405</v>
      </c>
      <c r="K172" s="165" t="s">
        <v>405</v>
      </c>
      <c r="L172" s="140" t="s">
        <v>406</v>
      </c>
      <c r="M172" s="140" t="s">
        <v>66</v>
      </c>
      <c r="N172" s="140" t="str">
        <f t="shared" si="2"/>
        <v>Atún conserva en aceite · INTA-0165</v>
      </c>
      <c r="O172" s="13"/>
      <c r="P172" s="13"/>
      <c r="Q172" s="13"/>
    </row>
    <row r="173" spans="1:17" ht="15" customHeight="1">
      <c r="A173" s="136" t="s">
        <v>781</v>
      </c>
      <c r="B173" s="136" t="s">
        <v>782</v>
      </c>
      <c r="C173" s="136" t="s">
        <v>469</v>
      </c>
      <c r="D173" s="136" t="s">
        <v>404</v>
      </c>
      <c r="E173" s="162">
        <v>187</v>
      </c>
      <c r="F173" s="162">
        <v>17.2</v>
      </c>
      <c r="G173" s="162">
        <v>0.6</v>
      </c>
      <c r="H173" s="162">
        <v>12.9</v>
      </c>
      <c r="I173" s="162">
        <v>0</v>
      </c>
      <c r="J173" s="136" t="s">
        <v>405</v>
      </c>
      <c r="K173" s="163" t="s">
        <v>405</v>
      </c>
      <c r="L173" s="136" t="s">
        <v>406</v>
      </c>
      <c r="M173" s="136" t="s">
        <v>66</v>
      </c>
      <c r="N173" s="136" t="str">
        <f t="shared" si="2"/>
        <v>Cojinova · INTA-0166</v>
      </c>
      <c r="O173" s="13"/>
      <c r="P173" s="13"/>
      <c r="Q173" s="13"/>
    </row>
    <row r="174" spans="1:17" ht="15" customHeight="1">
      <c r="A174" s="140" t="s">
        <v>783</v>
      </c>
      <c r="B174" s="140" t="s">
        <v>784</v>
      </c>
      <c r="C174" s="140" t="s">
        <v>469</v>
      </c>
      <c r="D174" s="140" t="s">
        <v>404</v>
      </c>
      <c r="E174" s="164">
        <v>77</v>
      </c>
      <c r="F174" s="164">
        <v>15.5</v>
      </c>
      <c r="G174" s="164">
        <v>3.2</v>
      </c>
      <c r="H174" s="164">
        <v>0.2</v>
      </c>
      <c r="I174" s="164">
        <v>0</v>
      </c>
      <c r="J174" s="140" t="s">
        <v>405</v>
      </c>
      <c r="K174" s="165" t="s">
        <v>405</v>
      </c>
      <c r="L174" s="140" t="s">
        <v>406</v>
      </c>
      <c r="M174" s="140" t="s">
        <v>66</v>
      </c>
      <c r="N174" s="140" t="str">
        <f t="shared" si="2"/>
        <v>Congrio colorado · INTA-0167</v>
      </c>
      <c r="O174" s="13"/>
      <c r="P174" s="13"/>
      <c r="Q174" s="13"/>
    </row>
    <row r="175" spans="1:17" ht="15" customHeight="1">
      <c r="A175" s="136" t="s">
        <v>785</v>
      </c>
      <c r="B175" s="136" t="s">
        <v>786</v>
      </c>
      <c r="C175" s="136" t="s">
        <v>469</v>
      </c>
      <c r="D175" s="136" t="s">
        <v>404</v>
      </c>
      <c r="E175" s="162">
        <v>155</v>
      </c>
      <c r="F175" s="162">
        <v>23.8</v>
      </c>
      <c r="G175" s="162">
        <v>0.3</v>
      </c>
      <c r="H175" s="162">
        <v>6.5</v>
      </c>
      <c r="I175" s="162">
        <v>0</v>
      </c>
      <c r="J175" s="136" t="s">
        <v>405</v>
      </c>
      <c r="K175" s="163" t="s">
        <v>405</v>
      </c>
      <c r="L175" s="136" t="s">
        <v>406</v>
      </c>
      <c r="M175" s="136" t="s">
        <v>66</v>
      </c>
      <c r="N175" s="136" t="str">
        <f t="shared" si="2"/>
        <v>Jurel conserva en agua · INTA-0168</v>
      </c>
      <c r="O175" s="13"/>
      <c r="P175" s="13"/>
      <c r="Q175" s="13"/>
    </row>
    <row r="176" spans="1:17" ht="15" customHeight="1">
      <c r="A176" s="140" t="s">
        <v>787</v>
      </c>
      <c r="B176" s="140" t="s">
        <v>788</v>
      </c>
      <c r="C176" s="140" t="s">
        <v>469</v>
      </c>
      <c r="D176" s="140" t="s">
        <v>404</v>
      </c>
      <c r="E176" s="164">
        <v>280</v>
      </c>
      <c r="F176" s="164">
        <v>22</v>
      </c>
      <c r="G176" s="164">
        <v>0.7</v>
      </c>
      <c r="H176" s="164">
        <v>21</v>
      </c>
      <c r="I176" s="164">
        <v>0</v>
      </c>
      <c r="J176" s="140" t="s">
        <v>405</v>
      </c>
      <c r="K176" s="165" t="s">
        <v>405</v>
      </c>
      <c r="L176" s="140" t="s">
        <v>406</v>
      </c>
      <c r="M176" s="140" t="s">
        <v>66</v>
      </c>
      <c r="N176" s="140" t="str">
        <f t="shared" si="2"/>
        <v>Jurel conserva en aceite · INTA-0169</v>
      </c>
      <c r="O176" s="13"/>
      <c r="P176" s="13"/>
      <c r="Q176" s="13"/>
    </row>
    <row r="177" spans="1:17" ht="15" customHeight="1">
      <c r="A177" s="136" t="s">
        <v>789</v>
      </c>
      <c r="B177" s="136" t="s">
        <v>790</v>
      </c>
      <c r="C177" s="136" t="s">
        <v>469</v>
      </c>
      <c r="D177" s="136" t="s">
        <v>404</v>
      </c>
      <c r="E177" s="162">
        <v>85</v>
      </c>
      <c r="F177" s="162">
        <v>18.899999999999999</v>
      </c>
      <c r="G177" s="162">
        <v>1.4</v>
      </c>
      <c r="H177" s="162">
        <v>0.4</v>
      </c>
      <c r="I177" s="162">
        <v>0</v>
      </c>
      <c r="J177" s="136" t="s">
        <v>405</v>
      </c>
      <c r="K177" s="163" t="s">
        <v>405</v>
      </c>
      <c r="L177" s="136" t="s">
        <v>406</v>
      </c>
      <c r="M177" s="136" t="s">
        <v>66</v>
      </c>
      <c r="N177" s="136" t="str">
        <f t="shared" si="2"/>
        <v>Lenguado · INTA-0170</v>
      </c>
      <c r="O177" s="13"/>
      <c r="P177" s="13"/>
      <c r="Q177" s="13"/>
    </row>
    <row r="178" spans="1:17" ht="15" customHeight="1">
      <c r="A178" s="140" t="s">
        <v>791</v>
      </c>
      <c r="B178" s="140" t="s">
        <v>792</v>
      </c>
      <c r="C178" s="140" t="s">
        <v>469</v>
      </c>
      <c r="D178" s="140" t="s">
        <v>404</v>
      </c>
      <c r="E178" s="164">
        <v>70</v>
      </c>
      <c r="F178" s="164">
        <v>12.4</v>
      </c>
      <c r="G178" s="164">
        <v>0</v>
      </c>
      <c r="H178" s="164">
        <v>1.9</v>
      </c>
      <c r="I178" s="164">
        <v>0</v>
      </c>
      <c r="J178" s="140" t="s">
        <v>405</v>
      </c>
      <c r="K178" s="165" t="s">
        <v>405</v>
      </c>
      <c r="L178" s="140" t="s">
        <v>406</v>
      </c>
      <c r="M178" s="140" t="s">
        <v>66</v>
      </c>
      <c r="N178" s="140" t="str">
        <f t="shared" si="2"/>
        <v>Lenguado 2 · INTA-0171</v>
      </c>
      <c r="O178" s="13"/>
      <c r="P178" s="13"/>
      <c r="Q178" s="13"/>
    </row>
    <row r="179" spans="1:17" ht="15" customHeight="1">
      <c r="A179" s="136" t="s">
        <v>793</v>
      </c>
      <c r="B179" s="136" t="s">
        <v>794</v>
      </c>
      <c r="C179" s="136" t="s">
        <v>469</v>
      </c>
      <c r="D179" s="136" t="s">
        <v>404</v>
      </c>
      <c r="E179" s="162">
        <v>89</v>
      </c>
      <c r="F179" s="162">
        <v>18.600000000000001</v>
      </c>
      <c r="G179" s="162">
        <v>0</v>
      </c>
      <c r="H179" s="162">
        <v>1.1000000000000001</v>
      </c>
      <c r="I179" s="162">
        <v>0</v>
      </c>
      <c r="J179" s="136" t="s">
        <v>405</v>
      </c>
      <c r="K179" s="163" t="s">
        <v>405</v>
      </c>
      <c r="L179" s="136" t="s">
        <v>406</v>
      </c>
      <c r="M179" s="136" t="s">
        <v>66</v>
      </c>
      <c r="N179" s="136" t="str">
        <f t="shared" si="2"/>
        <v>Merluza o pescada · INTA-0172</v>
      </c>
      <c r="O179" s="13"/>
      <c r="P179" s="13"/>
      <c r="Q179" s="13"/>
    </row>
    <row r="180" spans="1:17" ht="15" customHeight="1">
      <c r="A180" s="140" t="s">
        <v>795</v>
      </c>
      <c r="B180" s="140" t="s">
        <v>796</v>
      </c>
      <c r="C180" s="140" t="s">
        <v>469</v>
      </c>
      <c r="D180" s="140" t="s">
        <v>404</v>
      </c>
      <c r="E180" s="164">
        <v>239</v>
      </c>
      <c r="F180" s="164">
        <v>12.2</v>
      </c>
      <c r="G180" s="164">
        <v>1.3</v>
      </c>
      <c r="H180" s="164">
        <v>20.5</v>
      </c>
      <c r="I180" s="164">
        <v>0</v>
      </c>
      <c r="J180" s="140" t="s">
        <v>405</v>
      </c>
      <c r="K180" s="165" t="s">
        <v>405</v>
      </c>
      <c r="L180" s="140" t="s">
        <v>406</v>
      </c>
      <c r="M180" s="140" t="s">
        <v>66</v>
      </c>
      <c r="N180" s="140" t="str">
        <f t="shared" si="2"/>
        <v>Mero · INTA-0173</v>
      </c>
      <c r="O180" s="13"/>
      <c r="P180" s="13"/>
      <c r="Q180" s="13"/>
    </row>
    <row r="181" spans="1:17" ht="15" customHeight="1">
      <c r="A181" s="136" t="s">
        <v>797</v>
      </c>
      <c r="B181" s="136" t="s">
        <v>798</v>
      </c>
      <c r="C181" s="136" t="s">
        <v>469</v>
      </c>
      <c r="D181" s="136" t="s">
        <v>404</v>
      </c>
      <c r="E181" s="162">
        <v>89</v>
      </c>
      <c r="F181" s="162">
        <v>21.3</v>
      </c>
      <c r="G181" s="162">
        <v>0.3</v>
      </c>
      <c r="H181" s="162">
        <v>0.3</v>
      </c>
      <c r="I181" s="162">
        <v>0</v>
      </c>
      <c r="J181" s="136" t="s">
        <v>405</v>
      </c>
      <c r="K181" s="163" t="s">
        <v>405</v>
      </c>
      <c r="L181" s="136" t="s">
        <v>406</v>
      </c>
      <c r="M181" s="136" t="s">
        <v>66</v>
      </c>
      <c r="N181" s="136" t="str">
        <f t="shared" si="2"/>
        <v>Pejegallo · INTA-0174</v>
      </c>
      <c r="O181" s="13"/>
      <c r="P181" s="13"/>
      <c r="Q181" s="13"/>
    </row>
    <row r="182" spans="1:17" ht="15" customHeight="1">
      <c r="A182" s="140" t="s">
        <v>799</v>
      </c>
      <c r="B182" s="140" t="s">
        <v>800</v>
      </c>
      <c r="C182" s="140" t="s">
        <v>469</v>
      </c>
      <c r="D182" s="140" t="s">
        <v>404</v>
      </c>
      <c r="E182" s="164">
        <v>103</v>
      </c>
      <c r="F182" s="164">
        <v>16.399999999999999</v>
      </c>
      <c r="G182" s="164">
        <v>2.9</v>
      </c>
      <c r="H182" s="164">
        <v>2.9</v>
      </c>
      <c r="I182" s="164">
        <v>0</v>
      </c>
      <c r="J182" s="140" t="s">
        <v>405</v>
      </c>
      <c r="K182" s="165" t="s">
        <v>405</v>
      </c>
      <c r="L182" s="140" t="s">
        <v>406</v>
      </c>
      <c r="M182" s="140" t="s">
        <v>66</v>
      </c>
      <c r="N182" s="140" t="str">
        <f t="shared" si="2"/>
        <v>Pejerrey · INTA-0175</v>
      </c>
      <c r="O182" s="13"/>
      <c r="P182" s="13"/>
      <c r="Q182" s="13"/>
    </row>
    <row r="183" spans="1:17" ht="15" customHeight="1">
      <c r="A183" s="140" t="s">
        <v>801</v>
      </c>
      <c r="B183" s="140" t="s">
        <v>802</v>
      </c>
      <c r="C183" s="140" t="s">
        <v>469</v>
      </c>
      <c r="D183" s="140" t="s">
        <v>404</v>
      </c>
      <c r="E183" s="164">
        <v>105</v>
      </c>
      <c r="F183" s="164">
        <v>19.3</v>
      </c>
      <c r="G183" s="164">
        <v>0.9</v>
      </c>
      <c r="H183" s="164">
        <v>2.7</v>
      </c>
      <c r="I183" s="164">
        <v>0</v>
      </c>
      <c r="J183" s="140" t="s">
        <v>405</v>
      </c>
      <c r="K183" s="165" t="s">
        <v>405</v>
      </c>
      <c r="L183" s="140" t="s">
        <v>406</v>
      </c>
      <c r="M183" s="140" t="s">
        <v>66</v>
      </c>
      <c r="N183" s="140" t="str">
        <f t="shared" si="2"/>
        <v>Reineta · INTA-0176</v>
      </c>
      <c r="O183" s="13"/>
      <c r="P183" s="13"/>
      <c r="Q183" s="13"/>
    </row>
    <row r="184" spans="1:17" ht="15" customHeight="1">
      <c r="A184" s="136" t="s">
        <v>803</v>
      </c>
      <c r="B184" s="136" t="s">
        <v>804</v>
      </c>
      <c r="C184" s="136" t="s">
        <v>469</v>
      </c>
      <c r="D184" s="136" t="s">
        <v>404</v>
      </c>
      <c r="E184" s="162">
        <v>88</v>
      </c>
      <c r="F184" s="162">
        <v>18.2</v>
      </c>
      <c r="G184" s="162">
        <v>1.4</v>
      </c>
      <c r="H184" s="162">
        <v>1.1000000000000001</v>
      </c>
      <c r="I184" s="162">
        <v>0</v>
      </c>
      <c r="J184" s="136" t="s">
        <v>405</v>
      </c>
      <c r="K184" s="163" t="s">
        <v>405</v>
      </c>
      <c r="L184" s="136" t="s">
        <v>406</v>
      </c>
      <c r="M184" s="136" t="s">
        <v>66</v>
      </c>
      <c r="N184" s="136" t="str">
        <f t="shared" si="2"/>
        <v>Roncador · INTA-0177</v>
      </c>
      <c r="O184" s="13"/>
      <c r="P184" s="13"/>
      <c r="Q184" s="13"/>
    </row>
    <row r="185" spans="1:17" ht="15" customHeight="1">
      <c r="A185" s="136" t="s">
        <v>805</v>
      </c>
      <c r="B185" s="136" t="s">
        <v>806</v>
      </c>
      <c r="C185" s="136" t="s">
        <v>469</v>
      </c>
      <c r="D185" s="136" t="s">
        <v>404</v>
      </c>
      <c r="E185" s="162">
        <v>290</v>
      </c>
      <c r="F185" s="162">
        <v>19.100000000000001</v>
      </c>
      <c r="G185" s="162">
        <v>0.3</v>
      </c>
      <c r="H185" s="162">
        <v>23.6</v>
      </c>
      <c r="I185" s="163" t="s">
        <v>405</v>
      </c>
      <c r="J185" s="136" t="s">
        <v>405</v>
      </c>
      <c r="K185" s="163" t="s">
        <v>405</v>
      </c>
      <c r="L185" s="136" t="s">
        <v>406</v>
      </c>
      <c r="M185" s="136" t="s">
        <v>66</v>
      </c>
      <c r="N185" s="136" t="str">
        <f t="shared" si="2"/>
        <v>Salmón coho fresco · INTA-0178</v>
      </c>
      <c r="O185" s="13"/>
      <c r="P185" s="13"/>
      <c r="Q185" s="13"/>
    </row>
    <row r="186" spans="1:17" ht="15" customHeight="1">
      <c r="A186" s="140" t="s">
        <v>807</v>
      </c>
      <c r="B186" s="140" t="s">
        <v>808</v>
      </c>
      <c r="C186" s="140" t="s">
        <v>469</v>
      </c>
      <c r="D186" s="140" t="s">
        <v>404</v>
      </c>
      <c r="E186" s="164">
        <v>146</v>
      </c>
      <c r="F186" s="164">
        <v>21.6</v>
      </c>
      <c r="G186" s="164">
        <v>0</v>
      </c>
      <c r="H186" s="164">
        <v>5.9</v>
      </c>
      <c r="I186" s="164">
        <v>0</v>
      </c>
      <c r="J186" s="140" t="s">
        <v>405</v>
      </c>
      <c r="K186" s="165" t="s">
        <v>405</v>
      </c>
      <c r="L186" s="140" t="s">
        <v>406</v>
      </c>
      <c r="M186" s="140" t="s">
        <v>66</v>
      </c>
      <c r="N186" s="140" t="str">
        <f t="shared" si="2"/>
        <v>Salmón · INTA-0179</v>
      </c>
      <c r="O186" s="13"/>
      <c r="P186" s="13"/>
      <c r="Q186" s="13"/>
    </row>
    <row r="187" spans="1:17" ht="15" customHeight="1">
      <c r="A187" s="140" t="s">
        <v>809</v>
      </c>
      <c r="B187" s="140" t="s">
        <v>810</v>
      </c>
      <c r="C187" s="140" t="s">
        <v>469</v>
      </c>
      <c r="D187" s="140" t="s">
        <v>404</v>
      </c>
      <c r="E187" s="164">
        <v>165</v>
      </c>
      <c r="F187" s="164">
        <v>20.6</v>
      </c>
      <c r="G187" s="164">
        <v>0.3</v>
      </c>
      <c r="H187" s="164">
        <v>9</v>
      </c>
      <c r="I187" s="165" t="s">
        <v>405</v>
      </c>
      <c r="J187" s="140" t="s">
        <v>405</v>
      </c>
      <c r="K187" s="165" t="s">
        <v>405</v>
      </c>
      <c r="L187" s="140" t="s">
        <v>406</v>
      </c>
      <c r="M187" s="140" t="s">
        <v>66</v>
      </c>
      <c r="N187" s="140" t="str">
        <f t="shared" si="2"/>
        <v>Salmón filete sin piel · INTA-0180</v>
      </c>
      <c r="O187" s="13"/>
      <c r="P187" s="13"/>
      <c r="Q187" s="13"/>
    </row>
    <row r="188" spans="1:17" ht="15" customHeight="1">
      <c r="A188" s="136" t="s">
        <v>811</v>
      </c>
      <c r="B188" s="136" t="s">
        <v>812</v>
      </c>
      <c r="C188" s="136" t="s">
        <v>469</v>
      </c>
      <c r="D188" s="136" t="s">
        <v>404</v>
      </c>
      <c r="E188" s="162">
        <v>309</v>
      </c>
      <c r="F188" s="162">
        <v>21.2</v>
      </c>
      <c r="G188" s="162">
        <v>0.6</v>
      </c>
      <c r="H188" s="162">
        <v>24.6</v>
      </c>
      <c r="I188" s="162">
        <v>0</v>
      </c>
      <c r="J188" s="136" t="s">
        <v>405</v>
      </c>
      <c r="K188" s="163" t="s">
        <v>405</v>
      </c>
      <c r="L188" s="136" t="s">
        <v>406</v>
      </c>
      <c r="M188" s="136" t="s">
        <v>66</v>
      </c>
      <c r="N188" s="136" t="str">
        <f t="shared" si="2"/>
        <v>Sardina conserva en aceite · INTA-0181</v>
      </c>
      <c r="O188" s="13"/>
      <c r="P188" s="13"/>
      <c r="Q188" s="13"/>
    </row>
    <row r="189" spans="1:17" ht="15" customHeight="1">
      <c r="A189" s="140" t="s">
        <v>813</v>
      </c>
      <c r="B189" s="140" t="s">
        <v>814</v>
      </c>
      <c r="C189" s="140" t="s">
        <v>469</v>
      </c>
      <c r="D189" s="140" t="s">
        <v>404</v>
      </c>
      <c r="E189" s="164">
        <v>169</v>
      </c>
      <c r="F189" s="164">
        <v>17.100000000000001</v>
      </c>
      <c r="G189" s="164">
        <v>2.2999999999999998</v>
      </c>
      <c r="H189" s="164">
        <v>10.199999999999999</v>
      </c>
      <c r="I189" s="164">
        <v>0</v>
      </c>
      <c r="J189" s="140" t="s">
        <v>405</v>
      </c>
      <c r="K189" s="165" t="s">
        <v>405</v>
      </c>
      <c r="L189" s="140" t="s">
        <v>406</v>
      </c>
      <c r="M189" s="140" t="s">
        <v>66</v>
      </c>
      <c r="N189" s="140" t="str">
        <f t="shared" si="2"/>
        <v>Sardina española · INTA-0182</v>
      </c>
      <c r="O189" s="13"/>
      <c r="P189" s="13"/>
      <c r="Q189" s="13"/>
    </row>
    <row r="190" spans="1:17" ht="15" customHeight="1">
      <c r="A190" s="136" t="s">
        <v>815</v>
      </c>
      <c r="B190" s="136" t="s">
        <v>816</v>
      </c>
      <c r="C190" s="136" t="s">
        <v>469</v>
      </c>
      <c r="D190" s="136" t="s">
        <v>404</v>
      </c>
      <c r="E190" s="162">
        <v>156</v>
      </c>
      <c r="F190" s="162">
        <v>22.1</v>
      </c>
      <c r="G190" s="162">
        <v>6.3</v>
      </c>
      <c r="H190" s="162">
        <v>4.7</v>
      </c>
      <c r="I190" s="162">
        <v>0</v>
      </c>
      <c r="J190" s="136" t="s">
        <v>405</v>
      </c>
      <c r="K190" s="163" t="s">
        <v>405</v>
      </c>
      <c r="L190" s="136" t="s">
        <v>406</v>
      </c>
      <c r="M190" s="136" t="s">
        <v>66</v>
      </c>
      <c r="N190" s="136" t="str">
        <f t="shared" si="2"/>
        <v>Sierra · INTA-0183</v>
      </c>
      <c r="O190" s="13"/>
      <c r="P190" s="13"/>
      <c r="Q190" s="13"/>
    </row>
    <row r="191" spans="1:17" ht="15" customHeight="1">
      <c r="A191" s="140" t="s">
        <v>817</v>
      </c>
      <c r="B191" s="140" t="s">
        <v>818</v>
      </c>
      <c r="C191" s="140" t="s">
        <v>469</v>
      </c>
      <c r="D191" s="140" t="s">
        <v>404</v>
      </c>
      <c r="E191" s="164">
        <v>189</v>
      </c>
      <c r="F191" s="164">
        <v>19.5</v>
      </c>
      <c r="G191" s="164">
        <v>1.1000000000000001</v>
      </c>
      <c r="H191" s="164">
        <v>11.9</v>
      </c>
      <c r="I191" s="164">
        <v>0</v>
      </c>
      <c r="J191" s="140" t="s">
        <v>405</v>
      </c>
      <c r="K191" s="165" t="s">
        <v>405</v>
      </c>
      <c r="L191" s="140" t="s">
        <v>406</v>
      </c>
      <c r="M191" s="140" t="s">
        <v>66</v>
      </c>
      <c r="N191" s="140" t="str">
        <f t="shared" si="2"/>
        <v>Trucha congelada · INTA-0184</v>
      </c>
      <c r="O191" s="13"/>
      <c r="P191" s="13"/>
      <c r="Q191" s="13"/>
    </row>
    <row r="192" spans="1:17" ht="15" customHeight="1">
      <c r="A192" s="136" t="s">
        <v>819</v>
      </c>
      <c r="B192" s="136" t="s">
        <v>820</v>
      </c>
      <c r="C192" s="136" t="s">
        <v>469</v>
      </c>
      <c r="D192" s="136" t="s">
        <v>404</v>
      </c>
      <c r="E192" s="162">
        <v>131</v>
      </c>
      <c r="F192" s="162">
        <v>19.600000000000001</v>
      </c>
      <c r="G192" s="162">
        <v>0.5</v>
      </c>
      <c r="H192" s="162">
        <v>5.6</v>
      </c>
      <c r="I192" s="162">
        <v>0</v>
      </c>
      <c r="J192" s="136" t="s">
        <v>405</v>
      </c>
      <c r="K192" s="163" t="s">
        <v>405</v>
      </c>
      <c r="L192" s="136" t="s">
        <v>406</v>
      </c>
      <c r="M192" s="136" t="s">
        <v>66</v>
      </c>
      <c r="N192" s="136" t="str">
        <f t="shared" si="2"/>
        <v>Trucha de cultivo · INTA-0185</v>
      </c>
      <c r="O192" s="13"/>
      <c r="P192" s="13"/>
      <c r="Q192" s="13"/>
    </row>
    <row r="193" spans="1:17" ht="15" customHeight="1">
      <c r="A193" s="140" t="s">
        <v>821</v>
      </c>
      <c r="B193" s="140" t="s">
        <v>822</v>
      </c>
      <c r="C193" s="140" t="s">
        <v>469</v>
      </c>
      <c r="D193" s="140" t="s">
        <v>404</v>
      </c>
      <c r="E193" s="164">
        <v>198</v>
      </c>
      <c r="F193" s="164">
        <v>17.899999999999999</v>
      </c>
      <c r="G193" s="164">
        <v>1.1000000000000001</v>
      </c>
      <c r="H193" s="164">
        <v>13.6</v>
      </c>
      <c r="I193" s="165" t="s">
        <v>405</v>
      </c>
      <c r="J193" s="140" t="s">
        <v>405</v>
      </c>
      <c r="K193" s="165" t="s">
        <v>405</v>
      </c>
      <c r="L193" s="140" t="s">
        <v>406</v>
      </c>
      <c r="M193" s="140" t="s">
        <v>66</v>
      </c>
      <c r="N193" s="140" t="str">
        <f t="shared" si="2"/>
        <v>Trucha filete · INTA-0186</v>
      </c>
      <c r="O193" s="13"/>
      <c r="P193" s="13"/>
      <c r="Q193" s="13"/>
    </row>
    <row r="194" spans="1:17" ht="15" customHeight="1">
      <c r="A194" s="136" t="s">
        <v>823</v>
      </c>
      <c r="B194" s="136" t="s">
        <v>824</v>
      </c>
      <c r="C194" s="136" t="s">
        <v>469</v>
      </c>
      <c r="D194" s="136" t="s">
        <v>404</v>
      </c>
      <c r="E194" s="162">
        <v>104</v>
      </c>
      <c r="F194" s="162">
        <v>16.7</v>
      </c>
      <c r="G194" s="162">
        <v>0</v>
      </c>
      <c r="H194" s="162">
        <v>3.6</v>
      </c>
      <c r="I194" s="162">
        <v>0</v>
      </c>
      <c r="J194" s="136" t="s">
        <v>405</v>
      </c>
      <c r="K194" s="163" t="s">
        <v>405</v>
      </c>
      <c r="L194" s="136" t="s">
        <v>406</v>
      </c>
      <c r="M194" s="136" t="s">
        <v>66</v>
      </c>
      <c r="N194" s="136" t="str">
        <f t="shared" si="2"/>
        <v>Trucha fresca de mar · INTA-0187</v>
      </c>
      <c r="O194" s="13"/>
      <c r="P194" s="13"/>
      <c r="Q194" s="13"/>
    </row>
    <row r="195" spans="1:17" ht="15" customHeight="1">
      <c r="A195" s="140" t="s">
        <v>825</v>
      </c>
      <c r="B195" s="140" t="s">
        <v>826</v>
      </c>
      <c r="C195" s="140" t="s">
        <v>469</v>
      </c>
      <c r="D195" s="140" t="s">
        <v>404</v>
      </c>
      <c r="E195" s="164">
        <v>118</v>
      </c>
      <c r="F195" s="164">
        <v>7.3</v>
      </c>
      <c r="G195" s="164">
        <v>19.399999999999999</v>
      </c>
      <c r="H195" s="164">
        <v>1.3</v>
      </c>
      <c r="I195" s="165" t="s">
        <v>405</v>
      </c>
      <c r="J195" s="140" t="s">
        <v>405</v>
      </c>
      <c r="K195" s="165" t="s">
        <v>405</v>
      </c>
      <c r="L195" s="140" t="s">
        <v>406</v>
      </c>
      <c r="M195" s="140" t="s">
        <v>66</v>
      </c>
      <c r="N195" s="140" t="str">
        <f t="shared" si="2"/>
        <v>Kanikama (carne de pescado procesada) · INTA-0188</v>
      </c>
      <c r="O195" s="13"/>
      <c r="P195" s="13"/>
      <c r="Q195" s="13"/>
    </row>
    <row r="196" spans="1:17" ht="15" customHeight="1">
      <c r="A196" s="136" t="s">
        <v>827</v>
      </c>
      <c r="B196" s="136" t="s">
        <v>828</v>
      </c>
      <c r="C196" s="136" t="s">
        <v>469</v>
      </c>
      <c r="D196" s="136" t="s">
        <v>404</v>
      </c>
      <c r="E196" s="162">
        <v>33</v>
      </c>
      <c r="F196" s="162">
        <v>5.6</v>
      </c>
      <c r="G196" s="162">
        <v>2.6</v>
      </c>
      <c r="H196" s="162">
        <v>1.1000000000000001</v>
      </c>
      <c r="I196" s="162">
        <v>0</v>
      </c>
      <c r="J196" s="136" t="s">
        <v>405</v>
      </c>
      <c r="K196" s="163" t="s">
        <v>405</v>
      </c>
      <c r="L196" s="136" t="s">
        <v>406</v>
      </c>
      <c r="M196" s="136" t="s">
        <v>66</v>
      </c>
      <c r="N196" s="136" t="str">
        <f t="shared" si="2"/>
        <v>Ovas (masago) · INTA-0189</v>
      </c>
      <c r="O196" s="13"/>
      <c r="P196" s="13"/>
      <c r="Q196" s="13"/>
    </row>
    <row r="197" spans="1:17" ht="15" customHeight="1">
      <c r="A197" s="140" t="s">
        <v>829</v>
      </c>
      <c r="B197" s="140" t="s">
        <v>830</v>
      </c>
      <c r="C197" s="140" t="s">
        <v>469</v>
      </c>
      <c r="D197" s="140" t="s">
        <v>404</v>
      </c>
      <c r="E197" s="164">
        <v>288</v>
      </c>
      <c r="F197" s="164">
        <v>3.4</v>
      </c>
      <c r="G197" s="164">
        <v>16.5</v>
      </c>
      <c r="H197" s="164">
        <v>23.2</v>
      </c>
      <c r="I197" s="164">
        <v>0</v>
      </c>
      <c r="J197" s="140" t="s">
        <v>405</v>
      </c>
      <c r="K197" s="165" t="s">
        <v>405</v>
      </c>
      <c r="L197" s="140" t="s">
        <v>406</v>
      </c>
      <c r="M197" s="140" t="s">
        <v>66</v>
      </c>
      <c r="N197" s="140" t="str">
        <f t="shared" si="2"/>
        <v>Paté de trucha ahumada · INTA-0190</v>
      </c>
      <c r="O197" s="13"/>
      <c r="P197" s="13"/>
      <c r="Q197" s="13"/>
    </row>
    <row r="198" spans="1:17" ht="15" customHeight="1">
      <c r="A198" s="136" t="s">
        <v>831</v>
      </c>
      <c r="B198" s="136" t="s">
        <v>832</v>
      </c>
      <c r="C198" s="136" t="s">
        <v>461</v>
      </c>
      <c r="D198" s="136" t="s">
        <v>404</v>
      </c>
      <c r="E198" s="162">
        <v>345</v>
      </c>
      <c r="F198" s="162">
        <v>22.4</v>
      </c>
      <c r="G198" s="162">
        <v>38.4</v>
      </c>
      <c r="H198" s="162">
        <v>2.2000000000000002</v>
      </c>
      <c r="I198" s="163" t="s">
        <v>405</v>
      </c>
      <c r="J198" s="136" t="s">
        <v>405</v>
      </c>
      <c r="K198" s="163" t="s">
        <v>405</v>
      </c>
      <c r="L198" s="136" t="s">
        <v>406</v>
      </c>
      <c r="M198" s="136" t="s">
        <v>66</v>
      </c>
      <c r="N198" s="136" t="str">
        <f t="shared" si="2"/>
        <v>Arveja seca · INTA-0191</v>
      </c>
      <c r="O198" s="13"/>
      <c r="P198" s="13"/>
      <c r="Q198" s="13"/>
    </row>
    <row r="199" spans="1:17" ht="15" customHeight="1">
      <c r="A199" s="140" t="s">
        <v>833</v>
      </c>
      <c r="B199" s="140" t="s">
        <v>834</v>
      </c>
      <c r="C199" s="140" t="s">
        <v>461</v>
      </c>
      <c r="D199" s="140" t="s">
        <v>404</v>
      </c>
      <c r="E199" s="164">
        <v>333</v>
      </c>
      <c r="F199" s="164">
        <v>23.6</v>
      </c>
      <c r="G199" s="164">
        <v>38.200000000000003</v>
      </c>
      <c r="H199" s="164">
        <v>1.2</v>
      </c>
      <c r="I199" s="165" t="s">
        <v>405</v>
      </c>
      <c r="J199" s="140" t="s">
        <v>405</v>
      </c>
      <c r="K199" s="165" t="s">
        <v>405</v>
      </c>
      <c r="L199" s="140" t="s">
        <v>406</v>
      </c>
      <c r="M199" s="140" t="s">
        <v>66</v>
      </c>
      <c r="N199" s="140" t="str">
        <f t="shared" si="2"/>
        <v>Arveja harina · INTA-0192</v>
      </c>
      <c r="O199" s="13"/>
      <c r="P199" s="13"/>
      <c r="Q199" s="13"/>
    </row>
    <row r="200" spans="1:17" ht="15" customHeight="1">
      <c r="A200" s="140" t="s">
        <v>835</v>
      </c>
      <c r="B200" s="140" t="s">
        <v>836</v>
      </c>
      <c r="C200" s="140" t="s">
        <v>461</v>
      </c>
      <c r="D200" s="140" t="s">
        <v>404</v>
      </c>
      <c r="E200" s="164">
        <v>81</v>
      </c>
      <c r="F200" s="164">
        <v>5.4</v>
      </c>
      <c r="G200" s="164">
        <v>8.6999999999999993</v>
      </c>
      <c r="H200" s="164">
        <v>0.4</v>
      </c>
      <c r="I200" s="164">
        <v>5.7</v>
      </c>
      <c r="J200" s="140" t="s">
        <v>405</v>
      </c>
      <c r="K200" s="165" t="s">
        <v>405</v>
      </c>
      <c r="L200" s="140" t="s">
        <v>406</v>
      </c>
      <c r="M200" s="140" t="s">
        <v>66</v>
      </c>
      <c r="N200" s="140" t="str">
        <f t="shared" ref="N200:N263" si="3">B200&amp;" · "&amp;A200</f>
        <v>Arvejas · INTA-0193</v>
      </c>
      <c r="O200" s="13"/>
      <c r="P200" s="13"/>
      <c r="Q200" s="13"/>
    </row>
    <row r="201" spans="1:17" ht="15" customHeight="1">
      <c r="A201" s="136" t="s">
        <v>837</v>
      </c>
      <c r="B201" s="136" t="s">
        <v>838</v>
      </c>
      <c r="C201" s="136" t="s">
        <v>461</v>
      </c>
      <c r="D201" s="136" t="s">
        <v>404</v>
      </c>
      <c r="E201" s="162">
        <v>69</v>
      </c>
      <c r="F201" s="162">
        <v>4.4000000000000004</v>
      </c>
      <c r="G201" s="162">
        <v>9.3000000000000007</v>
      </c>
      <c r="H201" s="162">
        <v>0.4</v>
      </c>
      <c r="I201" s="162">
        <v>3.4</v>
      </c>
      <c r="J201" s="136" t="s">
        <v>405</v>
      </c>
      <c r="K201" s="163" t="s">
        <v>405</v>
      </c>
      <c r="L201" s="136" t="s">
        <v>406</v>
      </c>
      <c r="M201" s="136" t="s">
        <v>66</v>
      </c>
      <c r="N201" s="136" t="str">
        <f t="shared" si="3"/>
        <v>Arvejas conserva · INTA-0194</v>
      </c>
      <c r="O201" s="13"/>
      <c r="P201" s="13"/>
      <c r="Q201" s="13"/>
    </row>
    <row r="202" spans="1:17" ht="15" customHeight="1">
      <c r="A202" s="136" t="s">
        <v>839</v>
      </c>
      <c r="B202" s="136" t="s">
        <v>840</v>
      </c>
      <c r="C202" s="136" t="s">
        <v>461</v>
      </c>
      <c r="D202" s="136" t="s">
        <v>404</v>
      </c>
      <c r="E202" s="162">
        <v>163</v>
      </c>
      <c r="F202" s="162">
        <v>8.8000000000000007</v>
      </c>
      <c r="G202" s="162">
        <v>20.399999999999999</v>
      </c>
      <c r="H202" s="162">
        <v>2.6</v>
      </c>
      <c r="I202" s="162">
        <v>6.8</v>
      </c>
      <c r="J202" s="136" t="s">
        <v>405</v>
      </c>
      <c r="K202" s="163" t="s">
        <v>405</v>
      </c>
      <c r="L202" s="136" t="s">
        <v>406</v>
      </c>
      <c r="M202" s="136" t="s">
        <v>66</v>
      </c>
      <c r="N202" s="136" t="str">
        <f t="shared" si="3"/>
        <v>Garbanzo cocido · INTA-0195</v>
      </c>
      <c r="O202" s="13"/>
      <c r="P202" s="13"/>
      <c r="Q202" s="13"/>
    </row>
    <row r="203" spans="1:17" ht="15" customHeight="1">
      <c r="A203" s="140" t="s">
        <v>841</v>
      </c>
      <c r="B203" s="140" t="s">
        <v>842</v>
      </c>
      <c r="C203" s="140" t="s">
        <v>461</v>
      </c>
      <c r="D203" s="140" t="s">
        <v>404</v>
      </c>
      <c r="E203" s="164">
        <v>378</v>
      </c>
      <c r="F203" s="164">
        <v>20.5</v>
      </c>
      <c r="G203" s="164">
        <v>50.8</v>
      </c>
      <c r="H203" s="164">
        <v>6</v>
      </c>
      <c r="I203" s="164">
        <v>12.2</v>
      </c>
      <c r="J203" s="140" t="s">
        <v>405</v>
      </c>
      <c r="K203" s="165" t="s">
        <v>405</v>
      </c>
      <c r="L203" s="140" t="s">
        <v>406</v>
      </c>
      <c r="M203" s="140" t="s">
        <v>66</v>
      </c>
      <c r="N203" s="140" t="str">
        <f t="shared" si="3"/>
        <v>Garbanzo · INTA-0196</v>
      </c>
      <c r="O203" s="13"/>
      <c r="P203" s="13"/>
      <c r="Q203" s="13"/>
    </row>
    <row r="204" spans="1:17" ht="15" customHeight="1">
      <c r="A204" s="140" t="s">
        <v>843</v>
      </c>
      <c r="B204" s="140" t="s">
        <v>844</v>
      </c>
      <c r="C204" s="140" t="s">
        <v>461</v>
      </c>
      <c r="D204" s="140" t="s">
        <v>404</v>
      </c>
      <c r="E204" s="164">
        <v>387</v>
      </c>
      <c r="F204" s="164">
        <v>22.4</v>
      </c>
      <c r="G204" s="164">
        <v>47</v>
      </c>
      <c r="H204" s="164">
        <v>6.7</v>
      </c>
      <c r="I204" s="164">
        <v>10.8</v>
      </c>
      <c r="J204" s="140" t="s">
        <v>405</v>
      </c>
      <c r="K204" s="165" t="s">
        <v>405</v>
      </c>
      <c r="L204" s="140" t="s">
        <v>406</v>
      </c>
      <c r="M204" s="140" t="s">
        <v>66</v>
      </c>
      <c r="N204" s="140" t="str">
        <f t="shared" si="3"/>
        <v>Garbanzo harina · INTA-0197</v>
      </c>
      <c r="O204" s="13"/>
      <c r="P204" s="13"/>
      <c r="Q204" s="13"/>
    </row>
    <row r="205" spans="1:17" ht="15" customHeight="1">
      <c r="A205" s="136" t="s">
        <v>845</v>
      </c>
      <c r="B205" s="136" t="s">
        <v>846</v>
      </c>
      <c r="C205" s="136" t="s">
        <v>461</v>
      </c>
      <c r="D205" s="136" t="s">
        <v>404</v>
      </c>
      <c r="E205" s="162">
        <v>72</v>
      </c>
      <c r="F205" s="162">
        <v>5.6</v>
      </c>
      <c r="G205" s="162">
        <v>7.5</v>
      </c>
      <c r="H205" s="162">
        <v>0.6</v>
      </c>
      <c r="I205" s="162">
        <v>4.2</v>
      </c>
      <c r="J205" s="136" t="s">
        <v>405</v>
      </c>
      <c r="K205" s="163" t="s">
        <v>405</v>
      </c>
      <c r="L205" s="136" t="s">
        <v>406</v>
      </c>
      <c r="M205" s="136" t="s">
        <v>66</v>
      </c>
      <c r="N205" s="136" t="str">
        <f t="shared" si="3"/>
        <v>Haba · INTA-0198</v>
      </c>
      <c r="O205" s="13"/>
      <c r="P205" s="13"/>
      <c r="Q205" s="13"/>
    </row>
    <row r="206" spans="1:17" ht="15" customHeight="1">
      <c r="A206" s="140" t="s">
        <v>847</v>
      </c>
      <c r="B206" s="140" t="s">
        <v>848</v>
      </c>
      <c r="C206" s="140" t="s">
        <v>461</v>
      </c>
      <c r="D206" s="140" t="s">
        <v>404</v>
      </c>
      <c r="E206" s="164">
        <v>341</v>
      </c>
      <c r="F206" s="164">
        <v>26.1</v>
      </c>
      <c r="G206" s="164">
        <v>57.7</v>
      </c>
      <c r="H206" s="164">
        <v>1.5</v>
      </c>
      <c r="I206" s="164">
        <v>1.6</v>
      </c>
      <c r="J206" s="140" t="s">
        <v>405</v>
      </c>
      <c r="K206" s="165" t="s">
        <v>405</v>
      </c>
      <c r="L206" s="140" t="s">
        <v>406</v>
      </c>
      <c r="M206" s="140" t="s">
        <v>66</v>
      </c>
      <c r="N206" s="140" t="str">
        <f t="shared" si="3"/>
        <v>Haba seca · INTA-0199</v>
      </c>
      <c r="O206" s="13"/>
      <c r="P206" s="13"/>
      <c r="Q206" s="13"/>
    </row>
    <row r="207" spans="1:17" ht="15" customHeight="1">
      <c r="A207" s="140" t="s">
        <v>849</v>
      </c>
      <c r="B207" s="140" t="s">
        <v>850</v>
      </c>
      <c r="C207" s="140" t="s">
        <v>461</v>
      </c>
      <c r="D207" s="140" t="s">
        <v>404</v>
      </c>
      <c r="E207" s="164">
        <v>116</v>
      </c>
      <c r="F207" s="164">
        <v>9</v>
      </c>
      <c r="G207" s="164">
        <v>12.2</v>
      </c>
      <c r="H207" s="164">
        <v>0.4</v>
      </c>
      <c r="I207" s="164">
        <v>7.9</v>
      </c>
      <c r="J207" s="140" t="s">
        <v>405</v>
      </c>
      <c r="K207" s="165" t="s">
        <v>405</v>
      </c>
      <c r="L207" s="140" t="s">
        <v>406</v>
      </c>
      <c r="M207" s="140" t="s">
        <v>66</v>
      </c>
      <c r="N207" s="140" t="str">
        <f t="shared" si="3"/>
        <v>Lenteja cocida · INTA-0200</v>
      </c>
      <c r="O207" s="13"/>
      <c r="P207" s="13"/>
      <c r="Q207" s="13"/>
    </row>
    <row r="208" spans="1:17" ht="15" customHeight="1">
      <c r="A208" s="136" t="s">
        <v>851</v>
      </c>
      <c r="B208" s="136" t="s">
        <v>852</v>
      </c>
      <c r="C208" s="136" t="s">
        <v>461</v>
      </c>
      <c r="D208" s="136" t="s">
        <v>404</v>
      </c>
      <c r="E208" s="162">
        <v>352</v>
      </c>
      <c r="F208" s="162">
        <v>24.6</v>
      </c>
      <c r="G208" s="162">
        <v>52.6</v>
      </c>
      <c r="H208" s="162">
        <v>1.1000000000000001</v>
      </c>
      <c r="I208" s="162">
        <v>10.7</v>
      </c>
      <c r="J208" s="136" t="s">
        <v>405</v>
      </c>
      <c r="K208" s="163" t="s">
        <v>405</v>
      </c>
      <c r="L208" s="136" t="s">
        <v>406</v>
      </c>
      <c r="M208" s="136" t="s">
        <v>66</v>
      </c>
      <c r="N208" s="136" t="str">
        <f t="shared" si="3"/>
        <v>Lenteja · INTA-0201</v>
      </c>
      <c r="O208" s="13"/>
      <c r="P208" s="13"/>
      <c r="Q208" s="13"/>
    </row>
    <row r="209" spans="1:17" ht="15" customHeight="1">
      <c r="A209" s="136" t="s">
        <v>853</v>
      </c>
      <c r="B209" s="136" t="s">
        <v>854</v>
      </c>
      <c r="C209" s="136" t="s">
        <v>461</v>
      </c>
      <c r="D209" s="136" t="s">
        <v>404</v>
      </c>
      <c r="E209" s="162">
        <v>340</v>
      </c>
      <c r="F209" s="162">
        <v>32.799999999999997</v>
      </c>
      <c r="G209" s="162">
        <v>43</v>
      </c>
      <c r="H209" s="162">
        <v>1</v>
      </c>
      <c r="I209" s="163" t="s">
        <v>405</v>
      </c>
      <c r="J209" s="136" t="s">
        <v>405</v>
      </c>
      <c r="K209" s="163" t="s">
        <v>405</v>
      </c>
      <c r="L209" s="136" t="s">
        <v>406</v>
      </c>
      <c r="M209" s="136" t="s">
        <v>66</v>
      </c>
      <c r="N209" s="136" t="str">
        <f t="shared" si="3"/>
        <v>Lenteja harina · INTA-0202</v>
      </c>
      <c r="O209" s="13"/>
      <c r="P209" s="13"/>
      <c r="Q209" s="13"/>
    </row>
    <row r="210" spans="1:17" ht="15" customHeight="1">
      <c r="A210" s="136" t="s">
        <v>855</v>
      </c>
      <c r="B210" s="136" t="s">
        <v>856</v>
      </c>
      <c r="C210" s="136" t="s">
        <v>461</v>
      </c>
      <c r="D210" s="136" t="s">
        <v>404</v>
      </c>
      <c r="E210" s="162">
        <v>139</v>
      </c>
      <c r="F210" s="162">
        <v>9.6999999999999993</v>
      </c>
      <c r="G210" s="162">
        <v>19.100000000000001</v>
      </c>
      <c r="H210" s="162">
        <v>0.4</v>
      </c>
      <c r="I210" s="162">
        <v>4.9000000000000004</v>
      </c>
      <c r="J210" s="136" t="s">
        <v>405</v>
      </c>
      <c r="K210" s="163" t="s">
        <v>405</v>
      </c>
      <c r="L210" s="136" t="s">
        <v>406</v>
      </c>
      <c r="M210" s="136" t="s">
        <v>66</v>
      </c>
      <c r="N210" s="136" t="str">
        <f t="shared" si="3"/>
        <v>Poroto cocido · INTA-0203</v>
      </c>
      <c r="O210" s="13"/>
      <c r="P210" s="13"/>
      <c r="Q210" s="13"/>
    </row>
    <row r="211" spans="1:17" ht="15" customHeight="1">
      <c r="A211" s="140" t="s">
        <v>857</v>
      </c>
      <c r="B211" s="140" t="s">
        <v>858</v>
      </c>
      <c r="C211" s="140" t="s">
        <v>461</v>
      </c>
      <c r="D211" s="140" t="s">
        <v>404</v>
      </c>
      <c r="E211" s="164">
        <v>333</v>
      </c>
      <c r="F211" s="164">
        <v>23.4</v>
      </c>
      <c r="G211" s="164">
        <v>45.1</v>
      </c>
      <c r="H211" s="164">
        <v>0.9</v>
      </c>
      <c r="I211" s="164">
        <v>15.2</v>
      </c>
      <c r="J211" s="140" t="s">
        <v>405</v>
      </c>
      <c r="K211" s="165" t="s">
        <v>405</v>
      </c>
      <c r="L211" s="140" t="s">
        <v>406</v>
      </c>
      <c r="M211" s="140" t="s">
        <v>66</v>
      </c>
      <c r="N211" s="140" t="str">
        <f t="shared" si="3"/>
        <v>Poroto · INTA-0204</v>
      </c>
      <c r="O211" s="13"/>
      <c r="P211" s="13"/>
      <c r="Q211" s="13"/>
    </row>
    <row r="212" spans="1:17" ht="15" customHeight="1">
      <c r="A212" s="140" t="s">
        <v>859</v>
      </c>
      <c r="B212" s="140" t="s">
        <v>860</v>
      </c>
      <c r="C212" s="140" t="s">
        <v>461</v>
      </c>
      <c r="D212" s="140" t="s">
        <v>404</v>
      </c>
      <c r="E212" s="164">
        <v>141</v>
      </c>
      <c r="F212" s="164">
        <v>12.4</v>
      </c>
      <c r="G212" s="164">
        <v>6.9</v>
      </c>
      <c r="H212" s="164">
        <v>6.4</v>
      </c>
      <c r="I212" s="164">
        <v>4.2</v>
      </c>
      <c r="J212" s="140" t="s">
        <v>405</v>
      </c>
      <c r="K212" s="165" t="s">
        <v>405</v>
      </c>
      <c r="L212" s="140" t="s">
        <v>406</v>
      </c>
      <c r="M212" s="140" t="s">
        <v>66</v>
      </c>
      <c r="N212" s="140" t="str">
        <f t="shared" si="3"/>
        <v>Poroto de soya · INTA-0205</v>
      </c>
      <c r="O212" s="13"/>
      <c r="P212" s="13"/>
      <c r="Q212" s="13"/>
    </row>
    <row r="213" spans="1:17" ht="15" customHeight="1">
      <c r="A213" s="136" t="s">
        <v>861</v>
      </c>
      <c r="B213" s="136" t="s">
        <v>862</v>
      </c>
      <c r="C213" s="136" t="s">
        <v>461</v>
      </c>
      <c r="D213" s="136" t="s">
        <v>404</v>
      </c>
      <c r="E213" s="162">
        <v>147</v>
      </c>
      <c r="F213" s="162">
        <v>13</v>
      </c>
      <c r="G213" s="162">
        <v>6.9</v>
      </c>
      <c r="H213" s="162">
        <v>6.8</v>
      </c>
      <c r="I213" s="162">
        <v>4.2</v>
      </c>
      <c r="J213" s="136" t="s">
        <v>405</v>
      </c>
      <c r="K213" s="163" t="s">
        <v>405</v>
      </c>
      <c r="L213" s="136" t="s">
        <v>406</v>
      </c>
      <c r="M213" s="136" t="s">
        <v>66</v>
      </c>
      <c r="N213" s="136" t="str">
        <f t="shared" si="3"/>
        <v>Poroto de soya cocido · INTA-0206</v>
      </c>
      <c r="O213" s="13"/>
      <c r="P213" s="13"/>
      <c r="Q213" s="13"/>
    </row>
    <row r="214" spans="1:17" ht="15" customHeight="1">
      <c r="A214" s="140" t="s">
        <v>863</v>
      </c>
      <c r="B214" s="140" t="s">
        <v>864</v>
      </c>
      <c r="C214" s="140" t="s">
        <v>461</v>
      </c>
      <c r="D214" s="140" t="s">
        <v>404</v>
      </c>
      <c r="E214" s="164">
        <v>115</v>
      </c>
      <c r="F214" s="164">
        <v>7.8</v>
      </c>
      <c r="G214" s="164">
        <v>13</v>
      </c>
      <c r="H214" s="164">
        <v>0.4</v>
      </c>
      <c r="I214" s="164">
        <v>9</v>
      </c>
      <c r="J214" s="140" t="s">
        <v>405</v>
      </c>
      <c r="K214" s="165" t="s">
        <v>405</v>
      </c>
      <c r="L214" s="140" t="s">
        <v>406</v>
      </c>
      <c r="M214" s="140" t="s">
        <v>66</v>
      </c>
      <c r="N214" s="140" t="str">
        <f t="shared" si="3"/>
        <v>Porotos granados · INTA-0207</v>
      </c>
      <c r="O214" s="13"/>
      <c r="P214" s="13"/>
      <c r="Q214" s="13"/>
    </row>
    <row r="215" spans="1:17" ht="15" customHeight="1">
      <c r="A215" s="136" t="s">
        <v>865</v>
      </c>
      <c r="B215" s="136" t="s">
        <v>866</v>
      </c>
      <c r="C215" s="136" t="s">
        <v>461</v>
      </c>
      <c r="D215" s="136" t="s">
        <v>404</v>
      </c>
      <c r="E215" s="162">
        <v>341</v>
      </c>
      <c r="F215" s="162">
        <v>21.6</v>
      </c>
      <c r="G215" s="162">
        <v>46.9</v>
      </c>
      <c r="H215" s="162">
        <v>1.4</v>
      </c>
      <c r="I215" s="162">
        <v>15.5</v>
      </c>
      <c r="J215" s="136" t="s">
        <v>405</v>
      </c>
      <c r="K215" s="163" t="s">
        <v>405</v>
      </c>
      <c r="L215" s="136" t="s">
        <v>406</v>
      </c>
      <c r="M215" s="136" t="s">
        <v>66</v>
      </c>
      <c r="N215" s="136" t="str">
        <f t="shared" si="3"/>
        <v>Porotos negros · INTA-0208</v>
      </c>
      <c r="O215" s="13"/>
      <c r="P215" s="13"/>
      <c r="Q215" s="13"/>
    </row>
    <row r="216" spans="1:17" ht="15" customHeight="1">
      <c r="A216" s="140" t="s">
        <v>867</v>
      </c>
      <c r="B216" s="140" t="s">
        <v>868</v>
      </c>
      <c r="C216" s="140" t="s">
        <v>493</v>
      </c>
      <c r="D216" s="140" t="s">
        <v>404</v>
      </c>
      <c r="E216" s="164">
        <v>579</v>
      </c>
      <c r="F216" s="164">
        <v>21.2</v>
      </c>
      <c r="G216" s="164">
        <v>9</v>
      </c>
      <c r="H216" s="164">
        <v>49.9</v>
      </c>
      <c r="I216" s="164">
        <v>12.5</v>
      </c>
      <c r="J216" s="140" t="s">
        <v>405</v>
      </c>
      <c r="K216" s="165" t="s">
        <v>405</v>
      </c>
      <c r="L216" s="140" t="s">
        <v>406</v>
      </c>
      <c r="M216" s="140" t="s">
        <v>66</v>
      </c>
      <c r="N216" s="140" t="str">
        <f t="shared" si="3"/>
        <v>Almendras · INTA-0209</v>
      </c>
      <c r="O216" s="13"/>
      <c r="P216" s="13"/>
      <c r="Q216" s="13"/>
    </row>
    <row r="217" spans="1:17" ht="15" customHeight="1">
      <c r="A217" s="136" t="s">
        <v>869</v>
      </c>
      <c r="B217" s="136" t="s">
        <v>870</v>
      </c>
      <c r="C217" s="136" t="s">
        <v>493</v>
      </c>
      <c r="D217" s="136" t="s">
        <v>404</v>
      </c>
      <c r="E217" s="162">
        <v>578</v>
      </c>
      <c r="F217" s="162">
        <v>24</v>
      </c>
      <c r="G217" s="162">
        <v>7.3</v>
      </c>
      <c r="H217" s="162">
        <v>50.3</v>
      </c>
      <c r="I217" s="162">
        <v>10.9</v>
      </c>
      <c r="J217" s="136" t="s">
        <v>405</v>
      </c>
      <c r="K217" s="163" t="s">
        <v>405</v>
      </c>
      <c r="L217" s="136" t="s">
        <v>406</v>
      </c>
      <c r="M217" s="136" t="s">
        <v>66</v>
      </c>
      <c r="N217" s="136" t="str">
        <f t="shared" si="3"/>
        <v>Almendras tostadas · INTA-0210</v>
      </c>
      <c r="O217" s="13"/>
      <c r="P217" s="13"/>
      <c r="Q217" s="13"/>
    </row>
    <row r="218" spans="1:17" ht="15" customHeight="1">
      <c r="A218" s="140" t="s">
        <v>871</v>
      </c>
      <c r="B218" s="140" t="s">
        <v>872</v>
      </c>
      <c r="C218" s="140" t="s">
        <v>493</v>
      </c>
      <c r="D218" s="140" t="s">
        <v>404</v>
      </c>
      <c r="E218" s="164">
        <v>628</v>
      </c>
      <c r="F218" s="164">
        <v>15</v>
      </c>
      <c r="G218" s="164">
        <v>7</v>
      </c>
      <c r="H218" s="164">
        <v>60.8</v>
      </c>
      <c r="I218" s="164">
        <v>9.6999999999999993</v>
      </c>
      <c r="J218" s="140" t="s">
        <v>405</v>
      </c>
      <c r="K218" s="165" t="s">
        <v>405</v>
      </c>
      <c r="L218" s="140" t="s">
        <v>406</v>
      </c>
      <c r="M218" s="140" t="s">
        <v>66</v>
      </c>
      <c r="N218" s="140" t="str">
        <f t="shared" si="3"/>
        <v>Avellana · INTA-0211</v>
      </c>
      <c r="O218" s="13"/>
      <c r="P218" s="13"/>
      <c r="Q218" s="13"/>
    </row>
    <row r="219" spans="1:17" ht="15" customHeight="1">
      <c r="A219" s="140" t="s">
        <v>873</v>
      </c>
      <c r="B219" s="140" t="s">
        <v>874</v>
      </c>
      <c r="C219" s="140" t="s">
        <v>493</v>
      </c>
      <c r="D219" s="140" t="s">
        <v>404</v>
      </c>
      <c r="E219" s="164">
        <v>574</v>
      </c>
      <c r="F219" s="164">
        <v>15.3</v>
      </c>
      <c r="G219" s="164">
        <v>29.7</v>
      </c>
      <c r="H219" s="164">
        <v>46.4</v>
      </c>
      <c r="I219" s="164">
        <v>3</v>
      </c>
      <c r="J219" s="140" t="s">
        <v>405</v>
      </c>
      <c r="K219" s="165" t="s">
        <v>405</v>
      </c>
      <c r="L219" s="140" t="s">
        <v>406</v>
      </c>
      <c r="M219" s="140" t="s">
        <v>66</v>
      </c>
      <c r="N219" s="140" t="str">
        <f t="shared" si="3"/>
        <v>Castaña de cajú · INTA-0212</v>
      </c>
      <c r="O219" s="13"/>
      <c r="P219" s="13"/>
      <c r="Q219" s="13"/>
    </row>
    <row r="220" spans="1:17" ht="15" customHeight="1">
      <c r="A220" s="140" t="s">
        <v>875</v>
      </c>
      <c r="B220" s="140" t="s">
        <v>876</v>
      </c>
      <c r="C220" s="140" t="s">
        <v>493</v>
      </c>
      <c r="D220" s="140" t="s">
        <v>404</v>
      </c>
      <c r="E220" s="164">
        <v>718</v>
      </c>
      <c r="F220" s="164">
        <v>7.9</v>
      </c>
      <c r="G220" s="164">
        <v>5.2</v>
      </c>
      <c r="H220" s="164">
        <v>75.8</v>
      </c>
      <c r="I220" s="164">
        <v>8.6</v>
      </c>
      <c r="J220" s="140" t="s">
        <v>405</v>
      </c>
      <c r="K220" s="165" t="s">
        <v>405</v>
      </c>
      <c r="L220" s="140" t="s">
        <v>406</v>
      </c>
      <c r="M220" s="140" t="s">
        <v>66</v>
      </c>
      <c r="N220" s="140" t="str">
        <f t="shared" si="3"/>
        <v>Macadamia · INTA-0213</v>
      </c>
      <c r="O220" s="13"/>
      <c r="P220" s="13"/>
      <c r="Q220" s="13"/>
    </row>
    <row r="221" spans="1:17" ht="15" customHeight="1">
      <c r="A221" s="136" t="s">
        <v>877</v>
      </c>
      <c r="B221" s="136" t="s">
        <v>878</v>
      </c>
      <c r="C221" s="136" t="s">
        <v>493</v>
      </c>
      <c r="D221" s="136" t="s">
        <v>404</v>
      </c>
      <c r="E221" s="162">
        <v>567</v>
      </c>
      <c r="F221" s="162">
        <v>25.8</v>
      </c>
      <c r="G221" s="162">
        <v>7.6</v>
      </c>
      <c r="H221" s="162">
        <v>49.2</v>
      </c>
      <c r="I221" s="162">
        <v>8.5</v>
      </c>
      <c r="J221" s="136" t="s">
        <v>405</v>
      </c>
      <c r="K221" s="163" t="s">
        <v>405</v>
      </c>
      <c r="L221" s="136" t="s">
        <v>406</v>
      </c>
      <c r="M221" s="136" t="s">
        <v>66</v>
      </c>
      <c r="N221" s="136" t="str">
        <f t="shared" si="3"/>
        <v>Maní · INTA-0214</v>
      </c>
      <c r="O221" s="13"/>
      <c r="P221" s="13"/>
      <c r="Q221" s="13"/>
    </row>
    <row r="222" spans="1:17" ht="15" customHeight="1">
      <c r="A222" s="140" t="s">
        <v>879</v>
      </c>
      <c r="B222" s="140" t="s">
        <v>880</v>
      </c>
      <c r="C222" s="140" t="s">
        <v>493</v>
      </c>
      <c r="D222" s="140" t="s">
        <v>404</v>
      </c>
      <c r="E222" s="164">
        <v>437</v>
      </c>
      <c r="F222" s="164">
        <v>17.7</v>
      </c>
      <c r="G222" s="164">
        <v>44.2</v>
      </c>
      <c r="H222" s="164">
        <v>21.1</v>
      </c>
      <c r="I222" s="164">
        <v>12.4</v>
      </c>
      <c r="J222" s="140" t="s">
        <v>405</v>
      </c>
      <c r="K222" s="165" t="s">
        <v>405</v>
      </c>
      <c r="L222" s="140" t="s">
        <v>406</v>
      </c>
      <c r="M222" s="140" t="s">
        <v>66</v>
      </c>
      <c r="N222" s="140" t="str">
        <f t="shared" si="3"/>
        <v>Maní Japonés · INTA-0215</v>
      </c>
      <c r="O222" s="13"/>
      <c r="P222" s="13"/>
      <c r="Q222" s="13"/>
    </row>
    <row r="223" spans="1:17" ht="15" customHeight="1">
      <c r="A223" s="136" t="s">
        <v>881</v>
      </c>
      <c r="B223" s="136" t="s">
        <v>882</v>
      </c>
      <c r="C223" s="136" t="s">
        <v>493</v>
      </c>
      <c r="D223" s="136" t="s">
        <v>404</v>
      </c>
      <c r="E223" s="162">
        <v>587</v>
      </c>
      <c r="F223" s="162">
        <v>24.4</v>
      </c>
      <c r="G223" s="162">
        <v>12.9</v>
      </c>
      <c r="H223" s="162">
        <v>49.7</v>
      </c>
      <c r="I223" s="162">
        <v>8.4</v>
      </c>
      <c r="J223" s="136" t="s">
        <v>405</v>
      </c>
      <c r="K223" s="163" t="s">
        <v>405</v>
      </c>
      <c r="L223" s="136" t="s">
        <v>406</v>
      </c>
      <c r="M223" s="136" t="s">
        <v>66</v>
      </c>
      <c r="N223" s="136" t="str">
        <f t="shared" si="3"/>
        <v>Maní tostado salado · INTA-0216</v>
      </c>
      <c r="O223" s="13"/>
      <c r="P223" s="13"/>
      <c r="Q223" s="13"/>
    </row>
    <row r="224" spans="1:17" ht="15" customHeight="1">
      <c r="A224" s="140" t="s">
        <v>883</v>
      </c>
      <c r="B224" s="140" t="s">
        <v>884</v>
      </c>
      <c r="C224" s="140" t="s">
        <v>493</v>
      </c>
      <c r="D224" s="140" t="s">
        <v>404</v>
      </c>
      <c r="E224" s="164">
        <v>551</v>
      </c>
      <c r="F224" s="164">
        <v>17.5</v>
      </c>
      <c r="G224" s="164">
        <v>3.1</v>
      </c>
      <c r="H224" s="164">
        <v>52.1</v>
      </c>
      <c r="I224" s="164">
        <v>22.4</v>
      </c>
      <c r="J224" s="140" t="s">
        <v>405</v>
      </c>
      <c r="K224" s="165" t="s">
        <v>405</v>
      </c>
      <c r="L224" s="140" t="s">
        <v>406</v>
      </c>
      <c r="M224" s="140" t="s">
        <v>66</v>
      </c>
      <c r="N224" s="140" t="str">
        <f t="shared" si="3"/>
        <v>Nueces · INTA-0217</v>
      </c>
      <c r="O224" s="13"/>
      <c r="P224" s="13"/>
      <c r="Q224" s="13"/>
    </row>
    <row r="225" spans="1:17" ht="15" customHeight="1">
      <c r="A225" s="136" t="s">
        <v>885</v>
      </c>
      <c r="B225" s="136" t="s">
        <v>886</v>
      </c>
      <c r="C225" s="136" t="s">
        <v>493</v>
      </c>
      <c r="D225" s="136" t="s">
        <v>404</v>
      </c>
      <c r="E225" s="162">
        <v>606</v>
      </c>
      <c r="F225" s="162">
        <v>24.3</v>
      </c>
      <c r="G225" s="162">
        <v>8.1999999999999993</v>
      </c>
      <c r="H225" s="162">
        <v>56.6</v>
      </c>
      <c r="I225" s="162">
        <v>5</v>
      </c>
      <c r="J225" s="136" t="s">
        <v>405</v>
      </c>
      <c r="K225" s="163" t="s">
        <v>405</v>
      </c>
      <c r="L225" s="136" t="s">
        <v>406</v>
      </c>
      <c r="M225" s="136" t="s">
        <v>66</v>
      </c>
      <c r="N225" s="136" t="str">
        <f t="shared" si="3"/>
        <v>Nueces 2 · INTA-0218</v>
      </c>
      <c r="O225" s="13"/>
      <c r="P225" s="13"/>
      <c r="Q225" s="13"/>
    </row>
    <row r="226" spans="1:17" ht="15" customHeight="1">
      <c r="A226" s="140" t="s">
        <v>887</v>
      </c>
      <c r="B226" s="140" t="s">
        <v>888</v>
      </c>
      <c r="C226" s="140" t="s">
        <v>493</v>
      </c>
      <c r="D226" s="140" t="s">
        <v>404</v>
      </c>
      <c r="E226" s="164">
        <v>560</v>
      </c>
      <c r="F226" s="164">
        <v>20.2</v>
      </c>
      <c r="G226" s="164">
        <v>16.600000000000001</v>
      </c>
      <c r="H226" s="164">
        <v>45.3</v>
      </c>
      <c r="I226" s="164">
        <v>10.6</v>
      </c>
      <c r="J226" s="140" t="s">
        <v>405</v>
      </c>
      <c r="K226" s="165" t="s">
        <v>405</v>
      </c>
      <c r="L226" s="140" t="s">
        <v>406</v>
      </c>
      <c r="M226" s="140" t="s">
        <v>66</v>
      </c>
      <c r="N226" s="140" t="str">
        <f t="shared" si="3"/>
        <v>Pistacho · INTA-0219</v>
      </c>
      <c r="O226" s="13"/>
      <c r="P226" s="13"/>
      <c r="Q226" s="13"/>
    </row>
    <row r="227" spans="1:17" ht="15" customHeight="1">
      <c r="A227" s="136" t="s">
        <v>889</v>
      </c>
      <c r="B227" s="136" t="s">
        <v>890</v>
      </c>
      <c r="C227" s="136" t="s">
        <v>493</v>
      </c>
      <c r="D227" s="136" t="s">
        <v>404</v>
      </c>
      <c r="E227" s="162">
        <v>369</v>
      </c>
      <c r="F227" s="162">
        <v>5</v>
      </c>
      <c r="G227" s="162">
        <v>78.400000000000006</v>
      </c>
      <c r="H227" s="162">
        <v>3.9</v>
      </c>
      <c r="I227" s="163" t="s">
        <v>405</v>
      </c>
      <c r="J227" s="136" t="s">
        <v>405</v>
      </c>
      <c r="K227" s="163" t="s">
        <v>405</v>
      </c>
      <c r="L227" s="136" t="s">
        <v>406</v>
      </c>
      <c r="M227" s="136" t="s">
        <v>66</v>
      </c>
      <c r="N227" s="136" t="str">
        <f t="shared" si="3"/>
        <v>Castaña cruda pelada · INTA-0220</v>
      </c>
      <c r="O227" s="13"/>
      <c r="P227" s="13"/>
      <c r="Q227" s="13"/>
    </row>
    <row r="228" spans="1:17" ht="15" customHeight="1">
      <c r="A228" s="136" t="s">
        <v>891</v>
      </c>
      <c r="B228" s="136" t="s">
        <v>892</v>
      </c>
      <c r="C228" s="136" t="s">
        <v>493</v>
      </c>
      <c r="D228" s="136" t="s">
        <v>404</v>
      </c>
      <c r="E228" s="162">
        <v>180</v>
      </c>
      <c r="F228" s="162">
        <v>4.5</v>
      </c>
      <c r="G228" s="162">
        <v>9.4</v>
      </c>
      <c r="H228" s="162">
        <v>1.1000000000000001</v>
      </c>
      <c r="I228" s="163" t="s">
        <v>405</v>
      </c>
      <c r="J228" s="136" t="s">
        <v>405</v>
      </c>
      <c r="K228" s="163" t="s">
        <v>405</v>
      </c>
      <c r="L228" s="136" t="s">
        <v>406</v>
      </c>
      <c r="M228" s="136" t="s">
        <v>66</v>
      </c>
      <c r="N228" s="136" t="str">
        <f t="shared" si="3"/>
        <v>Piñón · INTA-0221</v>
      </c>
      <c r="O228" s="13"/>
      <c r="P228" s="13"/>
      <c r="Q228" s="13"/>
    </row>
    <row r="229" spans="1:17" ht="15" customHeight="1">
      <c r="A229" s="140" t="s">
        <v>893</v>
      </c>
      <c r="B229" s="140" t="s">
        <v>894</v>
      </c>
      <c r="C229" s="140" t="s">
        <v>493</v>
      </c>
      <c r="D229" s="140" t="s">
        <v>404</v>
      </c>
      <c r="E229" s="164">
        <v>673</v>
      </c>
      <c r="F229" s="164">
        <v>13.7</v>
      </c>
      <c r="G229" s="165" t="s">
        <v>405</v>
      </c>
      <c r="H229" s="164">
        <v>68.400000000000006</v>
      </c>
      <c r="I229" s="164">
        <v>3.7</v>
      </c>
      <c r="J229" s="140" t="s">
        <v>405</v>
      </c>
      <c r="K229" s="165" t="s">
        <v>405</v>
      </c>
      <c r="L229" s="140" t="s">
        <v>406</v>
      </c>
      <c r="M229" s="140" t="s">
        <v>66</v>
      </c>
      <c r="N229" s="140" t="str">
        <f t="shared" si="3"/>
        <v>Piñón deshidratado · INTA-0222</v>
      </c>
      <c r="O229" s="13"/>
      <c r="P229" s="13"/>
      <c r="Q229" s="13"/>
    </row>
    <row r="230" spans="1:17" ht="15" customHeight="1">
      <c r="A230" s="136" t="s">
        <v>895</v>
      </c>
      <c r="B230" s="136" t="s">
        <v>896</v>
      </c>
      <c r="C230" s="136" t="s">
        <v>493</v>
      </c>
      <c r="D230" s="136" t="s">
        <v>404</v>
      </c>
      <c r="E230" s="162">
        <v>486</v>
      </c>
      <c r="F230" s="162">
        <v>16.5</v>
      </c>
      <c r="G230" s="162">
        <v>7.7</v>
      </c>
      <c r="H230" s="162">
        <v>30.7</v>
      </c>
      <c r="I230" s="162">
        <v>34.4</v>
      </c>
      <c r="J230" s="136" t="s">
        <v>405</v>
      </c>
      <c r="K230" s="163" t="s">
        <v>405</v>
      </c>
      <c r="L230" s="136" t="s">
        <v>406</v>
      </c>
      <c r="M230" s="136" t="s">
        <v>66</v>
      </c>
      <c r="N230" s="136" t="str">
        <f t="shared" si="3"/>
        <v>Chía · INTA-0223</v>
      </c>
      <c r="O230" s="13"/>
      <c r="P230" s="13"/>
      <c r="Q230" s="13"/>
    </row>
    <row r="231" spans="1:17" ht="15" customHeight="1">
      <c r="A231" s="136" t="s">
        <v>897</v>
      </c>
      <c r="B231" s="136" t="s">
        <v>898</v>
      </c>
      <c r="C231" s="136" t="s">
        <v>493</v>
      </c>
      <c r="D231" s="136" t="s">
        <v>404</v>
      </c>
      <c r="E231" s="162">
        <v>525</v>
      </c>
      <c r="F231" s="162">
        <v>18</v>
      </c>
      <c r="G231" s="162">
        <v>8.6</v>
      </c>
      <c r="H231" s="162">
        <v>41.6</v>
      </c>
      <c r="I231" s="162">
        <v>19.5</v>
      </c>
      <c r="J231" s="136" t="s">
        <v>405</v>
      </c>
      <c r="K231" s="163" t="s">
        <v>405</v>
      </c>
      <c r="L231" s="136" t="s">
        <v>406</v>
      </c>
      <c r="M231" s="136" t="s">
        <v>66</v>
      </c>
      <c r="N231" s="136" t="str">
        <f t="shared" si="3"/>
        <v>Semilla amapola · INTA-0224</v>
      </c>
      <c r="O231" s="13"/>
      <c r="P231" s="13"/>
      <c r="Q231" s="13"/>
    </row>
    <row r="232" spans="1:17" ht="15" customHeight="1">
      <c r="A232" s="136" t="s">
        <v>899</v>
      </c>
      <c r="B232" s="136" t="s">
        <v>900</v>
      </c>
      <c r="C232" s="136" t="s">
        <v>493</v>
      </c>
      <c r="D232" s="136" t="s">
        <v>404</v>
      </c>
      <c r="E232" s="162">
        <v>565</v>
      </c>
      <c r="F232" s="162">
        <v>17</v>
      </c>
      <c r="G232" s="162">
        <v>11.7</v>
      </c>
      <c r="H232" s="162">
        <v>48</v>
      </c>
      <c r="I232" s="162">
        <v>14</v>
      </c>
      <c r="J232" s="136" t="s">
        <v>405</v>
      </c>
      <c r="K232" s="163" t="s">
        <v>405</v>
      </c>
      <c r="L232" s="136" t="s">
        <v>406</v>
      </c>
      <c r="M232" s="136" t="s">
        <v>66</v>
      </c>
      <c r="N232" s="136" t="str">
        <f t="shared" si="3"/>
        <v>Semilla tostada de sésamo · INTA-0225</v>
      </c>
      <c r="O232" s="13"/>
      <c r="P232" s="13"/>
      <c r="Q232" s="13"/>
    </row>
    <row r="233" spans="1:17" ht="15" customHeight="1">
      <c r="A233" s="140" t="s">
        <v>901</v>
      </c>
      <c r="B233" s="140" t="s">
        <v>902</v>
      </c>
      <c r="C233" s="140" t="s">
        <v>493</v>
      </c>
      <c r="D233" s="140" t="s">
        <v>404</v>
      </c>
      <c r="E233" s="164">
        <v>619</v>
      </c>
      <c r="F233" s="164">
        <v>17.2</v>
      </c>
      <c r="G233" s="164">
        <v>9.1</v>
      </c>
      <c r="H233" s="164">
        <v>56.8</v>
      </c>
      <c r="I233" s="164">
        <v>11.5</v>
      </c>
      <c r="J233" s="140" t="s">
        <v>405</v>
      </c>
      <c r="K233" s="165" t="s">
        <v>405</v>
      </c>
      <c r="L233" s="140" t="s">
        <v>406</v>
      </c>
      <c r="M233" s="140" t="s">
        <v>66</v>
      </c>
      <c r="N233" s="140" t="str">
        <f t="shared" si="3"/>
        <v>Semilla maravilla tostada pelada · INTA-0226</v>
      </c>
      <c r="O233" s="13"/>
      <c r="P233" s="13"/>
      <c r="Q233" s="13"/>
    </row>
    <row r="234" spans="1:17" ht="15" customHeight="1">
      <c r="A234" s="140" t="s">
        <v>903</v>
      </c>
      <c r="B234" s="140" t="s">
        <v>904</v>
      </c>
      <c r="C234" s="140" t="s">
        <v>493</v>
      </c>
      <c r="D234" s="140" t="s">
        <v>404</v>
      </c>
      <c r="E234" s="164">
        <v>559</v>
      </c>
      <c r="F234" s="164">
        <v>30.2</v>
      </c>
      <c r="G234" s="164">
        <v>4.7</v>
      </c>
      <c r="H234" s="164">
        <v>49.1</v>
      </c>
      <c r="I234" s="164">
        <v>6</v>
      </c>
      <c r="J234" s="140" t="s">
        <v>405</v>
      </c>
      <c r="K234" s="165" t="s">
        <v>405</v>
      </c>
      <c r="L234" s="140" t="s">
        <v>406</v>
      </c>
      <c r="M234" s="140" t="s">
        <v>66</v>
      </c>
      <c r="N234" s="140" t="str">
        <f t="shared" si="3"/>
        <v>Semilla zapallo · INTA-0227</v>
      </c>
      <c r="O234" s="13"/>
      <c r="P234" s="13"/>
      <c r="Q234" s="13"/>
    </row>
    <row r="235" spans="1:17" ht="15" customHeight="1">
      <c r="A235" s="136" t="s">
        <v>905</v>
      </c>
      <c r="B235" s="136" t="s">
        <v>906</v>
      </c>
      <c r="C235" s="136" t="s">
        <v>493</v>
      </c>
      <c r="D235" s="136" t="s">
        <v>404</v>
      </c>
      <c r="E235" s="162">
        <v>418</v>
      </c>
      <c r="F235" s="162">
        <v>21.9</v>
      </c>
      <c r="G235" s="162">
        <v>29.6</v>
      </c>
      <c r="H235" s="162">
        <v>22.2</v>
      </c>
      <c r="I235" s="162">
        <v>16.100000000000001</v>
      </c>
      <c r="J235" s="136" t="s">
        <v>405</v>
      </c>
      <c r="K235" s="163" t="s">
        <v>405</v>
      </c>
      <c r="L235" s="136" t="s">
        <v>406</v>
      </c>
      <c r="M235" s="136" t="s">
        <v>66</v>
      </c>
      <c r="N235" s="136" t="str">
        <f t="shared" si="3"/>
        <v>Semillas de linaza · INTA-0228</v>
      </c>
      <c r="O235" s="13"/>
      <c r="P235" s="13"/>
      <c r="Q235" s="13"/>
    </row>
    <row r="236" spans="1:17" ht="15" customHeight="1">
      <c r="A236" s="136" t="s">
        <v>907</v>
      </c>
      <c r="B236" s="136" t="s">
        <v>908</v>
      </c>
      <c r="C236" s="136" t="s">
        <v>427</v>
      </c>
      <c r="D236" s="136" t="s">
        <v>404</v>
      </c>
      <c r="E236" s="162">
        <v>407</v>
      </c>
      <c r="F236" s="162">
        <v>11.9</v>
      </c>
      <c r="G236" s="162">
        <v>68.400000000000006</v>
      </c>
      <c r="H236" s="162">
        <v>6.6</v>
      </c>
      <c r="I236" s="162">
        <v>5.0999999999999996</v>
      </c>
      <c r="J236" s="136" t="s">
        <v>405</v>
      </c>
      <c r="K236" s="163" t="s">
        <v>405</v>
      </c>
      <c r="L236" s="136" t="s">
        <v>406</v>
      </c>
      <c r="M236" s="136" t="s">
        <v>66</v>
      </c>
      <c r="N236" s="136" t="str">
        <f t="shared" si="3"/>
        <v>Crutones · INTA-0229</v>
      </c>
      <c r="O236" s="13"/>
      <c r="P236" s="13"/>
      <c r="Q236" s="13"/>
    </row>
    <row r="237" spans="1:17" ht="15" customHeight="1">
      <c r="A237" s="136" t="s">
        <v>909</v>
      </c>
      <c r="B237" s="136" t="s">
        <v>910</v>
      </c>
      <c r="C237" s="136" t="s">
        <v>427</v>
      </c>
      <c r="D237" s="136" t="s">
        <v>404</v>
      </c>
      <c r="E237" s="162">
        <v>267</v>
      </c>
      <c r="F237" s="162">
        <v>8.1999999999999993</v>
      </c>
      <c r="G237" s="162">
        <v>47.3</v>
      </c>
      <c r="H237" s="162">
        <v>3.6</v>
      </c>
      <c r="I237" s="162">
        <v>2.2999999999999998</v>
      </c>
      <c r="J237" s="136" t="s">
        <v>405</v>
      </c>
      <c r="K237" s="163" t="s">
        <v>405</v>
      </c>
      <c r="L237" s="136" t="s">
        <v>406</v>
      </c>
      <c r="M237" s="136" t="s">
        <v>66</v>
      </c>
      <c r="N237" s="136" t="str">
        <f t="shared" si="3"/>
        <v>Pan blanco sin sal · INTA-0230</v>
      </c>
      <c r="O237" s="13"/>
      <c r="P237" s="13"/>
      <c r="Q237" s="13"/>
    </row>
    <row r="238" spans="1:17" ht="15" customHeight="1">
      <c r="A238" s="140" t="s">
        <v>911</v>
      </c>
      <c r="B238" s="140" t="s">
        <v>912</v>
      </c>
      <c r="C238" s="140" t="s">
        <v>427</v>
      </c>
      <c r="D238" s="140" t="s">
        <v>404</v>
      </c>
      <c r="E238" s="164">
        <v>259</v>
      </c>
      <c r="F238" s="164">
        <v>8.5</v>
      </c>
      <c r="G238" s="164">
        <v>42.6</v>
      </c>
      <c r="H238" s="164">
        <v>3.3</v>
      </c>
      <c r="I238" s="164">
        <v>5.8</v>
      </c>
      <c r="J238" s="140" t="s">
        <v>405</v>
      </c>
      <c r="K238" s="165" t="s">
        <v>405</v>
      </c>
      <c r="L238" s="140" t="s">
        <v>406</v>
      </c>
      <c r="M238" s="140" t="s">
        <v>66</v>
      </c>
      <c r="N238" s="140" t="str">
        <f t="shared" si="3"/>
        <v>Pan de centeno · INTA-0231</v>
      </c>
      <c r="O238" s="13"/>
      <c r="P238" s="13"/>
      <c r="Q238" s="13"/>
    </row>
    <row r="239" spans="1:17" ht="15" customHeight="1">
      <c r="A239" s="136" t="s">
        <v>913</v>
      </c>
      <c r="B239" s="136" t="s">
        <v>914</v>
      </c>
      <c r="C239" s="136" t="s">
        <v>427</v>
      </c>
      <c r="D239" s="136" t="s">
        <v>404</v>
      </c>
      <c r="E239" s="162">
        <v>250</v>
      </c>
      <c r="F239" s="162">
        <v>12</v>
      </c>
      <c r="G239" s="162">
        <v>44.9</v>
      </c>
      <c r="H239" s="162">
        <v>2.5</v>
      </c>
      <c r="I239" s="162">
        <v>4</v>
      </c>
      <c r="J239" s="136" t="s">
        <v>405</v>
      </c>
      <c r="K239" s="163" t="s">
        <v>405</v>
      </c>
      <c r="L239" s="136" t="s">
        <v>406</v>
      </c>
      <c r="M239" s="136" t="s">
        <v>66</v>
      </c>
      <c r="N239" s="136" t="str">
        <f t="shared" si="3"/>
        <v>Pan de miel · INTA-0232</v>
      </c>
      <c r="O239" s="13"/>
      <c r="P239" s="13"/>
      <c r="Q239" s="13"/>
    </row>
    <row r="240" spans="1:17" ht="15" customHeight="1">
      <c r="A240" s="140" t="s">
        <v>915</v>
      </c>
      <c r="B240" s="140" t="s">
        <v>916</v>
      </c>
      <c r="C240" s="140" t="s">
        <v>427</v>
      </c>
      <c r="D240" s="140" t="s">
        <v>404</v>
      </c>
      <c r="E240" s="164">
        <v>212</v>
      </c>
      <c r="F240" s="164">
        <v>10.199999999999999</v>
      </c>
      <c r="G240" s="164">
        <v>38.4</v>
      </c>
      <c r="H240" s="164">
        <v>1.9</v>
      </c>
      <c r="I240" s="164">
        <v>8.4</v>
      </c>
      <c r="J240" s="140" t="s">
        <v>405</v>
      </c>
      <c r="K240" s="165" t="s">
        <v>405</v>
      </c>
      <c r="L240" s="140" t="s">
        <v>406</v>
      </c>
      <c r="M240" s="140" t="s">
        <v>66</v>
      </c>
      <c r="N240" s="140" t="str">
        <f t="shared" si="3"/>
        <v>Pan especial · INTA-0233</v>
      </c>
      <c r="O240" s="13"/>
      <c r="P240" s="13"/>
      <c r="Q240" s="13"/>
    </row>
    <row r="241" spans="1:17" ht="15" customHeight="1">
      <c r="A241" s="136" t="s">
        <v>917</v>
      </c>
      <c r="B241" s="136" t="s">
        <v>918</v>
      </c>
      <c r="C241" s="136" t="s">
        <v>427</v>
      </c>
      <c r="D241" s="136" t="s">
        <v>404</v>
      </c>
      <c r="E241" s="162">
        <v>363</v>
      </c>
      <c r="F241" s="162">
        <v>9.1</v>
      </c>
      <c r="G241" s="162">
        <v>53.6</v>
      </c>
      <c r="H241" s="162">
        <v>12.5</v>
      </c>
      <c r="I241" s="163" t="s">
        <v>405</v>
      </c>
      <c r="J241" s="136" t="s">
        <v>405</v>
      </c>
      <c r="K241" s="163" t="s">
        <v>405</v>
      </c>
      <c r="L241" s="136" t="s">
        <v>406</v>
      </c>
      <c r="M241" s="136" t="s">
        <v>66</v>
      </c>
      <c r="N241" s="136" t="str">
        <f t="shared" si="3"/>
        <v>Pan hallulla · INTA-0234</v>
      </c>
      <c r="O241" s="13"/>
      <c r="P241" s="13"/>
      <c r="Q241" s="13"/>
    </row>
    <row r="242" spans="1:17" ht="15" customHeight="1">
      <c r="A242" s="140" t="s">
        <v>919</v>
      </c>
      <c r="B242" s="140" t="s">
        <v>920</v>
      </c>
      <c r="C242" s="140" t="s">
        <v>427</v>
      </c>
      <c r="D242" s="140" t="s">
        <v>404</v>
      </c>
      <c r="E242" s="164">
        <v>252</v>
      </c>
      <c r="F242" s="164">
        <v>12.5</v>
      </c>
      <c r="G242" s="164">
        <v>36.700000000000003</v>
      </c>
      <c r="H242" s="164">
        <v>3.5</v>
      </c>
      <c r="I242" s="164">
        <v>6</v>
      </c>
      <c r="J242" s="140" t="s">
        <v>405</v>
      </c>
      <c r="K242" s="165" t="s">
        <v>405</v>
      </c>
      <c r="L242" s="140" t="s">
        <v>406</v>
      </c>
      <c r="M242" s="140" t="s">
        <v>66</v>
      </c>
      <c r="N242" s="140" t="str">
        <f t="shared" si="3"/>
        <v>Pan integral · INTA-0235</v>
      </c>
      <c r="O242" s="13"/>
      <c r="P242" s="13"/>
      <c r="Q242" s="13"/>
    </row>
    <row r="243" spans="1:17" ht="15" customHeight="1">
      <c r="A243" s="136" t="s">
        <v>921</v>
      </c>
      <c r="B243" s="136" t="s">
        <v>922</v>
      </c>
      <c r="C243" s="136" t="s">
        <v>427</v>
      </c>
      <c r="D243" s="136" t="s">
        <v>404</v>
      </c>
      <c r="E243" s="162">
        <v>272</v>
      </c>
      <c r="F243" s="162">
        <v>10.8</v>
      </c>
      <c r="G243" s="162">
        <v>49.7</v>
      </c>
      <c r="H243" s="162">
        <v>2.4</v>
      </c>
      <c r="I243" s="162">
        <v>2.2000000000000002</v>
      </c>
      <c r="J243" s="136" t="s">
        <v>405</v>
      </c>
      <c r="K243" s="163" t="s">
        <v>405</v>
      </c>
      <c r="L243" s="136" t="s">
        <v>406</v>
      </c>
      <c r="M243" s="136" t="s">
        <v>66</v>
      </c>
      <c r="N243" s="136" t="str">
        <f t="shared" si="3"/>
        <v>Pan marraqueta · INTA-0236</v>
      </c>
      <c r="O243" s="13"/>
      <c r="P243" s="13"/>
      <c r="Q243" s="13"/>
    </row>
    <row r="244" spans="1:17" ht="15" customHeight="1">
      <c r="A244" s="140" t="s">
        <v>923</v>
      </c>
      <c r="B244" s="140" t="s">
        <v>924</v>
      </c>
      <c r="C244" s="140" t="s">
        <v>427</v>
      </c>
      <c r="D244" s="140" t="s">
        <v>404</v>
      </c>
      <c r="E244" s="164">
        <v>269</v>
      </c>
      <c r="F244" s="164">
        <v>8.6999999999999993</v>
      </c>
      <c r="G244" s="164">
        <v>48.8</v>
      </c>
      <c r="H244" s="164">
        <v>3.2</v>
      </c>
      <c r="I244" s="164">
        <v>1.9</v>
      </c>
      <c r="J244" s="140" t="s">
        <v>405</v>
      </c>
      <c r="K244" s="165" t="s">
        <v>405</v>
      </c>
      <c r="L244" s="140" t="s">
        <v>406</v>
      </c>
      <c r="M244" s="140" t="s">
        <v>66</v>
      </c>
      <c r="N244" s="140" t="str">
        <f t="shared" si="3"/>
        <v>Pan molde · INTA-0237</v>
      </c>
      <c r="O244" s="13"/>
      <c r="P244" s="13"/>
      <c r="Q244" s="13"/>
    </row>
    <row r="245" spans="1:17" ht="15" customHeight="1">
      <c r="A245" s="136" t="s">
        <v>925</v>
      </c>
      <c r="B245" s="136" t="s">
        <v>926</v>
      </c>
      <c r="C245" s="136" t="s">
        <v>427</v>
      </c>
      <c r="D245" s="136" t="s">
        <v>404</v>
      </c>
      <c r="E245" s="162">
        <v>244</v>
      </c>
      <c r="F245" s="162">
        <v>8.1</v>
      </c>
      <c r="G245" s="162">
        <v>49.9</v>
      </c>
      <c r="H245" s="162">
        <v>1.4</v>
      </c>
      <c r="I245" s="162">
        <v>3.3</v>
      </c>
      <c r="J245" s="136" t="s">
        <v>405</v>
      </c>
      <c r="K245" s="163" t="s">
        <v>405</v>
      </c>
      <c r="L245" s="136" t="s">
        <v>406</v>
      </c>
      <c r="M245" s="136" t="s">
        <v>66</v>
      </c>
      <c r="N245" s="136" t="str">
        <f t="shared" si="3"/>
        <v>Pan molde 2 · INTA-0238</v>
      </c>
      <c r="O245" s="13"/>
      <c r="P245" s="13"/>
      <c r="Q245" s="13"/>
    </row>
    <row r="246" spans="1:17" ht="15" customHeight="1">
      <c r="A246" s="140" t="s">
        <v>927</v>
      </c>
      <c r="B246" s="140" t="s">
        <v>928</v>
      </c>
      <c r="C246" s="140" t="s">
        <v>427</v>
      </c>
      <c r="D246" s="140" t="s">
        <v>404</v>
      </c>
      <c r="E246" s="164">
        <v>275</v>
      </c>
      <c r="F246" s="164">
        <v>9.1</v>
      </c>
      <c r="G246" s="164">
        <v>53.5</v>
      </c>
      <c r="H246" s="164">
        <v>1.2</v>
      </c>
      <c r="I246" s="164">
        <v>2.2000000000000002</v>
      </c>
      <c r="J246" s="140" t="s">
        <v>405</v>
      </c>
      <c r="K246" s="165" t="s">
        <v>405</v>
      </c>
      <c r="L246" s="140" t="s">
        <v>406</v>
      </c>
      <c r="M246" s="140" t="s">
        <v>66</v>
      </c>
      <c r="N246" s="140" t="str">
        <f t="shared" si="3"/>
        <v>Pan pita blanco · INTA-0239</v>
      </c>
      <c r="O246" s="13"/>
      <c r="P246" s="13"/>
      <c r="Q246" s="13"/>
    </row>
    <row r="247" spans="1:17" ht="15" customHeight="1">
      <c r="A247" s="136" t="s">
        <v>929</v>
      </c>
      <c r="B247" s="136" t="s">
        <v>930</v>
      </c>
      <c r="C247" s="136" t="s">
        <v>427</v>
      </c>
      <c r="D247" s="136" t="s">
        <v>404</v>
      </c>
      <c r="E247" s="162">
        <v>395</v>
      </c>
      <c r="F247" s="162">
        <v>13.4</v>
      </c>
      <c r="G247" s="162">
        <v>67.5</v>
      </c>
      <c r="H247" s="162">
        <v>5.3</v>
      </c>
      <c r="I247" s="162">
        <v>4.5</v>
      </c>
      <c r="J247" s="136" t="s">
        <v>405</v>
      </c>
      <c r="K247" s="163" t="s">
        <v>405</v>
      </c>
      <c r="L247" s="136" t="s">
        <v>406</v>
      </c>
      <c r="M247" s="136" t="s">
        <v>66</v>
      </c>
      <c r="N247" s="136" t="str">
        <f t="shared" si="3"/>
        <v>Pan rallado seco · INTA-0240</v>
      </c>
      <c r="O247" s="13"/>
      <c r="P247" s="13"/>
      <c r="Q247" s="13"/>
    </row>
    <row r="248" spans="1:17" ht="15" customHeight="1">
      <c r="A248" s="140" t="s">
        <v>931</v>
      </c>
      <c r="B248" s="140" t="s">
        <v>932</v>
      </c>
      <c r="C248" s="140" t="s">
        <v>427</v>
      </c>
      <c r="D248" s="140" t="s">
        <v>404</v>
      </c>
      <c r="E248" s="164">
        <v>248</v>
      </c>
      <c r="F248" s="164">
        <v>8.8000000000000007</v>
      </c>
      <c r="G248" s="164">
        <v>43.8</v>
      </c>
      <c r="H248" s="164">
        <v>3.4</v>
      </c>
      <c r="I248" s="164">
        <v>4</v>
      </c>
      <c r="J248" s="140" t="s">
        <v>405</v>
      </c>
      <c r="K248" s="165" t="s">
        <v>405</v>
      </c>
      <c r="L248" s="140" t="s">
        <v>406</v>
      </c>
      <c r="M248" s="140" t="s">
        <v>66</v>
      </c>
      <c r="N248" s="140" t="str">
        <f t="shared" si="3"/>
        <v>Pan salvado de trigo · INTA-0241</v>
      </c>
      <c r="O248" s="13"/>
      <c r="P248" s="13"/>
      <c r="Q248" s="13"/>
    </row>
    <row r="249" spans="1:17" ht="15" customHeight="1">
      <c r="A249" s="136" t="s">
        <v>933</v>
      </c>
      <c r="B249" s="136" t="s">
        <v>934</v>
      </c>
      <c r="C249" s="136" t="s">
        <v>427</v>
      </c>
      <c r="D249" s="136" t="s">
        <v>404</v>
      </c>
      <c r="E249" s="162">
        <v>260</v>
      </c>
      <c r="F249" s="162">
        <v>8.6999999999999993</v>
      </c>
      <c r="G249" s="162">
        <v>44</v>
      </c>
      <c r="H249" s="162">
        <v>3.9</v>
      </c>
      <c r="I249" s="162">
        <v>5.5</v>
      </c>
      <c r="J249" s="136" t="s">
        <v>405</v>
      </c>
      <c r="K249" s="163" t="s">
        <v>405</v>
      </c>
      <c r="L249" s="136" t="s">
        <v>406</v>
      </c>
      <c r="M249" s="136" t="s">
        <v>66</v>
      </c>
      <c r="N249" s="136" t="str">
        <f t="shared" si="3"/>
        <v>Pan trigo · INTA-0242</v>
      </c>
      <c r="O249" s="13"/>
      <c r="P249" s="13"/>
      <c r="Q249" s="13"/>
    </row>
    <row r="250" spans="1:17" ht="15" customHeight="1">
      <c r="A250" s="140" t="s">
        <v>935</v>
      </c>
      <c r="B250" s="140" t="s">
        <v>936</v>
      </c>
      <c r="C250" s="140" t="s">
        <v>427</v>
      </c>
      <c r="D250" s="140" t="s">
        <v>404</v>
      </c>
      <c r="E250" s="164">
        <v>269</v>
      </c>
      <c r="F250" s="164">
        <v>8.9</v>
      </c>
      <c r="G250" s="164">
        <v>45</v>
      </c>
      <c r="H250" s="164">
        <v>5.9</v>
      </c>
      <c r="I250" s="165" t="s">
        <v>405</v>
      </c>
      <c r="J250" s="140" t="s">
        <v>405</v>
      </c>
      <c r="K250" s="165" t="s">
        <v>405</v>
      </c>
      <c r="L250" s="140" t="s">
        <v>406</v>
      </c>
      <c r="M250" s="140" t="s">
        <v>66</v>
      </c>
      <c r="N250" s="140" t="str">
        <f t="shared" si="3"/>
        <v>Tortilla para tacos · INTA-0243</v>
      </c>
      <c r="O250" s="13"/>
      <c r="P250" s="13"/>
      <c r="Q250" s="13"/>
    </row>
    <row r="251" spans="1:17" ht="15" customHeight="1">
      <c r="A251" s="136" t="s">
        <v>937</v>
      </c>
      <c r="B251" s="136" t="s">
        <v>938</v>
      </c>
      <c r="C251" s="136" t="s">
        <v>427</v>
      </c>
      <c r="D251" s="136" t="s">
        <v>404</v>
      </c>
      <c r="E251" s="162">
        <v>370</v>
      </c>
      <c r="F251" s="162">
        <v>6.8</v>
      </c>
      <c r="G251" s="162">
        <v>78.900000000000006</v>
      </c>
      <c r="H251" s="162">
        <v>0.6</v>
      </c>
      <c r="I251" s="162">
        <v>2.8</v>
      </c>
      <c r="J251" s="136" t="s">
        <v>405</v>
      </c>
      <c r="K251" s="163" t="s">
        <v>405</v>
      </c>
      <c r="L251" s="136" t="s">
        <v>406</v>
      </c>
      <c r="M251" s="136" t="s">
        <v>66</v>
      </c>
      <c r="N251" s="136" t="str">
        <f t="shared" si="3"/>
        <v>Arroz blanco · INTA-0244</v>
      </c>
      <c r="O251" s="13"/>
      <c r="P251" s="13"/>
      <c r="Q251" s="13"/>
    </row>
    <row r="252" spans="1:17" ht="15" customHeight="1">
      <c r="A252" s="140" t="s">
        <v>939</v>
      </c>
      <c r="B252" s="140" t="s">
        <v>940</v>
      </c>
      <c r="C252" s="140" t="s">
        <v>427</v>
      </c>
      <c r="D252" s="140" t="s">
        <v>404</v>
      </c>
      <c r="E252" s="164">
        <v>130</v>
      </c>
      <c r="F252" s="164">
        <v>2.7</v>
      </c>
      <c r="G252" s="164">
        <v>27.8</v>
      </c>
      <c r="H252" s="164">
        <v>0.3</v>
      </c>
      <c r="I252" s="164">
        <v>0.4</v>
      </c>
      <c r="J252" s="140" t="s">
        <v>405</v>
      </c>
      <c r="K252" s="165" t="s">
        <v>405</v>
      </c>
      <c r="L252" s="140" t="s">
        <v>406</v>
      </c>
      <c r="M252" s="140" t="s">
        <v>66</v>
      </c>
      <c r="N252" s="140" t="str">
        <f t="shared" si="3"/>
        <v>Arroz blanco cocido · INTA-0245</v>
      </c>
      <c r="O252" s="13"/>
      <c r="P252" s="13"/>
      <c r="Q252" s="13"/>
    </row>
    <row r="253" spans="1:17" ht="15" customHeight="1">
      <c r="A253" s="136" t="s">
        <v>941</v>
      </c>
      <c r="B253" s="136" t="s">
        <v>942</v>
      </c>
      <c r="C253" s="136" t="s">
        <v>427</v>
      </c>
      <c r="D253" s="136" t="s">
        <v>404</v>
      </c>
      <c r="E253" s="162">
        <v>367</v>
      </c>
      <c r="F253" s="162">
        <v>7.5</v>
      </c>
      <c r="G253" s="162">
        <v>72.7</v>
      </c>
      <c r="H253" s="162">
        <v>3.2</v>
      </c>
      <c r="I253" s="162">
        <v>3.6</v>
      </c>
      <c r="J253" s="136" t="s">
        <v>405</v>
      </c>
      <c r="K253" s="163" t="s">
        <v>405</v>
      </c>
      <c r="L253" s="136" t="s">
        <v>406</v>
      </c>
      <c r="M253" s="136" t="s">
        <v>66</v>
      </c>
      <c r="N253" s="136" t="str">
        <f t="shared" si="3"/>
        <v>Arroz integral · INTA-0246</v>
      </c>
      <c r="O253" s="13"/>
      <c r="P253" s="13"/>
      <c r="Q253" s="13"/>
    </row>
    <row r="254" spans="1:17" ht="15" customHeight="1">
      <c r="A254" s="140" t="s">
        <v>943</v>
      </c>
      <c r="B254" s="140" t="s">
        <v>944</v>
      </c>
      <c r="C254" s="140" t="s">
        <v>427</v>
      </c>
      <c r="D254" s="140" t="s">
        <v>404</v>
      </c>
      <c r="E254" s="164">
        <v>112</v>
      </c>
      <c r="F254" s="164">
        <v>2.2999999999999998</v>
      </c>
      <c r="G254" s="164">
        <v>21.7</v>
      </c>
      <c r="H254" s="164">
        <v>0.8</v>
      </c>
      <c r="I254" s="164">
        <v>1.8</v>
      </c>
      <c r="J254" s="140" t="s">
        <v>405</v>
      </c>
      <c r="K254" s="165" t="s">
        <v>405</v>
      </c>
      <c r="L254" s="140" t="s">
        <v>406</v>
      </c>
      <c r="M254" s="140" t="s">
        <v>66</v>
      </c>
      <c r="N254" s="140" t="str">
        <f t="shared" si="3"/>
        <v>Arroz integral cocido · INTA-0247</v>
      </c>
      <c r="O254" s="13"/>
      <c r="P254" s="13"/>
      <c r="Q254" s="13"/>
    </row>
    <row r="255" spans="1:17" ht="15" customHeight="1">
      <c r="A255" s="136" t="s">
        <v>945</v>
      </c>
      <c r="B255" s="136" t="s">
        <v>946</v>
      </c>
      <c r="C255" s="136" t="s">
        <v>427</v>
      </c>
      <c r="D255" s="136" t="s">
        <v>404</v>
      </c>
      <c r="E255" s="162">
        <v>387</v>
      </c>
      <c r="F255" s="162">
        <v>12.9</v>
      </c>
      <c r="G255" s="162">
        <v>63.3</v>
      </c>
      <c r="H255" s="162">
        <v>4.5</v>
      </c>
      <c r="I255" s="162">
        <v>14.5</v>
      </c>
      <c r="J255" s="136" t="s">
        <v>405</v>
      </c>
      <c r="K255" s="163" t="s">
        <v>405</v>
      </c>
      <c r="L255" s="136" t="s">
        <v>406</v>
      </c>
      <c r="M255" s="136" t="s">
        <v>66</v>
      </c>
      <c r="N255" s="136" t="str">
        <f t="shared" si="3"/>
        <v>Cabritas · INTA-0248</v>
      </c>
      <c r="O255" s="13"/>
      <c r="P255" s="13"/>
      <c r="Q255" s="13"/>
    </row>
    <row r="256" spans="1:17" ht="15" customHeight="1">
      <c r="A256" s="140" t="s">
        <v>947</v>
      </c>
      <c r="B256" s="140" t="s">
        <v>948</v>
      </c>
      <c r="C256" s="140" t="s">
        <v>427</v>
      </c>
      <c r="D256" s="140" t="s">
        <v>404</v>
      </c>
      <c r="E256" s="164">
        <v>96</v>
      </c>
      <c r="F256" s="164">
        <v>3.4</v>
      </c>
      <c r="G256" s="164">
        <v>18.600000000000001</v>
      </c>
      <c r="H256" s="164">
        <v>1.5</v>
      </c>
      <c r="I256" s="164">
        <v>2.4</v>
      </c>
      <c r="J256" s="140" t="s">
        <v>405</v>
      </c>
      <c r="K256" s="165" t="s">
        <v>405</v>
      </c>
      <c r="L256" s="140" t="s">
        <v>406</v>
      </c>
      <c r="M256" s="140" t="s">
        <v>66</v>
      </c>
      <c r="N256" s="140" t="str">
        <f t="shared" si="3"/>
        <v>Choclo · INTA-0249</v>
      </c>
      <c r="O256" s="13"/>
      <c r="P256" s="13"/>
      <c r="Q256" s="13"/>
    </row>
    <row r="257" spans="1:17" ht="15" customHeight="1">
      <c r="A257" s="136" t="s">
        <v>949</v>
      </c>
      <c r="B257" s="136" t="s">
        <v>950</v>
      </c>
      <c r="C257" s="136" t="s">
        <v>427</v>
      </c>
      <c r="D257" s="136" t="s">
        <v>404</v>
      </c>
      <c r="E257" s="162">
        <v>81</v>
      </c>
      <c r="F257" s="162">
        <v>2.6</v>
      </c>
      <c r="G257" s="162">
        <v>16.899999999999999</v>
      </c>
      <c r="H257" s="162">
        <v>0.7</v>
      </c>
      <c r="I257" s="162">
        <v>2.4</v>
      </c>
      <c r="J257" s="136" t="s">
        <v>405</v>
      </c>
      <c r="K257" s="163" t="s">
        <v>405</v>
      </c>
      <c r="L257" s="136" t="s">
        <v>406</v>
      </c>
      <c r="M257" s="136" t="s">
        <v>66</v>
      </c>
      <c r="N257" s="136" t="str">
        <f t="shared" si="3"/>
        <v>Choclo cocido · INTA-0250</v>
      </c>
      <c r="O257" s="13"/>
      <c r="P257" s="13"/>
      <c r="Q257" s="13"/>
    </row>
    <row r="258" spans="1:17" ht="15" customHeight="1">
      <c r="A258" s="140" t="s">
        <v>951</v>
      </c>
      <c r="B258" s="140" t="s">
        <v>952</v>
      </c>
      <c r="C258" s="140" t="s">
        <v>427</v>
      </c>
      <c r="D258" s="140" t="s">
        <v>404</v>
      </c>
      <c r="E258" s="164">
        <v>86</v>
      </c>
      <c r="F258" s="164">
        <v>3.3</v>
      </c>
      <c r="G258" s="164">
        <v>16.7</v>
      </c>
      <c r="H258" s="164">
        <v>1.4</v>
      </c>
      <c r="I258" s="164">
        <v>2</v>
      </c>
      <c r="J258" s="140" t="s">
        <v>405</v>
      </c>
      <c r="K258" s="165" t="s">
        <v>405</v>
      </c>
      <c r="L258" s="140" t="s">
        <v>406</v>
      </c>
      <c r="M258" s="140" t="s">
        <v>66</v>
      </c>
      <c r="N258" s="140" t="str">
        <f t="shared" si="3"/>
        <v>Choclo congelado · INTA-0251</v>
      </c>
      <c r="O258" s="13"/>
      <c r="P258" s="13"/>
      <c r="Q258" s="13"/>
    </row>
    <row r="259" spans="1:17" ht="15" customHeight="1">
      <c r="A259" s="140" t="s">
        <v>953</v>
      </c>
      <c r="B259" s="140" t="s">
        <v>954</v>
      </c>
      <c r="C259" s="140" t="s">
        <v>427</v>
      </c>
      <c r="D259" s="140" t="s">
        <v>404</v>
      </c>
      <c r="E259" s="164">
        <v>131</v>
      </c>
      <c r="F259" s="164">
        <v>3.5</v>
      </c>
      <c r="G259" s="165" t="s">
        <v>405</v>
      </c>
      <c r="H259" s="164">
        <v>0.4</v>
      </c>
      <c r="I259" s="164">
        <v>0</v>
      </c>
      <c r="J259" s="140" t="s">
        <v>405</v>
      </c>
      <c r="K259" s="165" t="s">
        <v>405</v>
      </c>
      <c r="L259" s="140" t="s">
        <v>406</v>
      </c>
      <c r="M259" s="140" t="s">
        <v>66</v>
      </c>
      <c r="N259" s="140" t="str">
        <f t="shared" si="3"/>
        <v>Mote trigo cocido · INTA-0252</v>
      </c>
      <c r="O259" s="13"/>
      <c r="P259" s="13"/>
      <c r="Q259" s="13"/>
    </row>
    <row r="260" spans="1:17" ht="15" customHeight="1">
      <c r="A260" s="136" t="s">
        <v>955</v>
      </c>
      <c r="B260" s="136" t="s">
        <v>956</v>
      </c>
      <c r="C260" s="136" t="s">
        <v>427</v>
      </c>
      <c r="D260" s="136" t="s">
        <v>404</v>
      </c>
      <c r="E260" s="162">
        <v>354</v>
      </c>
      <c r="F260" s="162">
        <v>10.5</v>
      </c>
      <c r="G260" s="162">
        <v>73.599999999999994</v>
      </c>
      <c r="H260" s="162">
        <v>2</v>
      </c>
      <c r="I260" s="163" t="s">
        <v>405</v>
      </c>
      <c r="J260" s="136" t="s">
        <v>405</v>
      </c>
      <c r="K260" s="163" t="s">
        <v>405</v>
      </c>
      <c r="L260" s="136" t="s">
        <v>406</v>
      </c>
      <c r="M260" s="136" t="s">
        <v>66</v>
      </c>
      <c r="N260" s="136" t="str">
        <f t="shared" si="3"/>
        <v>Mote trigo · INTA-0253</v>
      </c>
      <c r="O260" s="13"/>
      <c r="P260" s="13"/>
      <c r="Q260" s="13"/>
    </row>
    <row r="261" spans="1:17" ht="15" customHeight="1">
      <c r="A261" s="140" t="s">
        <v>957</v>
      </c>
      <c r="B261" s="140" t="s">
        <v>958</v>
      </c>
      <c r="C261" s="140" t="s">
        <v>427</v>
      </c>
      <c r="D261" s="140" t="s">
        <v>404</v>
      </c>
      <c r="E261" s="164">
        <v>368</v>
      </c>
      <c r="F261" s="164">
        <v>14.1</v>
      </c>
      <c r="G261" s="164">
        <v>57.2</v>
      </c>
      <c r="H261" s="164">
        <v>6.1</v>
      </c>
      <c r="I261" s="164">
        <v>7</v>
      </c>
      <c r="J261" s="140" t="s">
        <v>405</v>
      </c>
      <c r="K261" s="165" t="s">
        <v>405</v>
      </c>
      <c r="L261" s="140" t="s">
        <v>406</v>
      </c>
      <c r="M261" s="140" t="s">
        <v>66</v>
      </c>
      <c r="N261" s="140" t="str">
        <f t="shared" si="3"/>
        <v>Quinoa · INTA-0254</v>
      </c>
      <c r="O261" s="13"/>
      <c r="P261" s="13"/>
      <c r="Q261" s="13"/>
    </row>
    <row r="262" spans="1:17" ht="15" customHeight="1">
      <c r="A262" s="136" t="s">
        <v>959</v>
      </c>
      <c r="B262" s="136" t="s">
        <v>960</v>
      </c>
      <c r="C262" s="136" t="s">
        <v>427</v>
      </c>
      <c r="D262" s="136" t="s">
        <v>404</v>
      </c>
      <c r="E262" s="162">
        <v>351</v>
      </c>
      <c r="F262" s="162">
        <v>12.2</v>
      </c>
      <c r="G262" s="162">
        <v>65.599999999999994</v>
      </c>
      <c r="H262" s="162">
        <v>4.4000000000000004</v>
      </c>
      <c r="I262" s="162">
        <v>5.9</v>
      </c>
      <c r="J262" s="136" t="s">
        <v>405</v>
      </c>
      <c r="K262" s="163" t="s">
        <v>405</v>
      </c>
      <c r="L262" s="136" t="s">
        <v>406</v>
      </c>
      <c r="M262" s="136" t="s">
        <v>66</v>
      </c>
      <c r="N262" s="136" t="str">
        <f t="shared" si="3"/>
        <v>Quinoa 2 · INTA-0255</v>
      </c>
      <c r="O262" s="13"/>
      <c r="P262" s="13"/>
      <c r="Q262" s="13"/>
    </row>
    <row r="263" spans="1:17" ht="15" customHeight="1">
      <c r="A263" s="140" t="s">
        <v>961</v>
      </c>
      <c r="B263" s="140" t="s">
        <v>962</v>
      </c>
      <c r="C263" s="140" t="s">
        <v>427</v>
      </c>
      <c r="D263" s="140" t="s">
        <v>404</v>
      </c>
      <c r="E263" s="164">
        <v>120</v>
      </c>
      <c r="F263" s="164">
        <v>4.4000000000000004</v>
      </c>
      <c r="G263" s="164">
        <v>18.5</v>
      </c>
      <c r="H263" s="164">
        <v>1.9</v>
      </c>
      <c r="I263" s="164">
        <v>2.8</v>
      </c>
      <c r="J263" s="140" t="s">
        <v>405</v>
      </c>
      <c r="K263" s="165" t="s">
        <v>405</v>
      </c>
      <c r="L263" s="140" t="s">
        <v>406</v>
      </c>
      <c r="M263" s="140" t="s">
        <v>66</v>
      </c>
      <c r="N263" s="140" t="str">
        <f t="shared" si="3"/>
        <v>Quinoa cocida · INTA-0256</v>
      </c>
      <c r="O263" s="13"/>
      <c r="P263" s="13"/>
      <c r="Q263" s="13"/>
    </row>
    <row r="264" spans="1:17" ht="15" customHeight="1">
      <c r="A264" s="136" t="s">
        <v>963</v>
      </c>
      <c r="B264" s="136" t="s">
        <v>964</v>
      </c>
      <c r="C264" s="136" t="s">
        <v>427</v>
      </c>
      <c r="D264" s="136" t="s">
        <v>404</v>
      </c>
      <c r="E264" s="162">
        <v>246</v>
      </c>
      <c r="F264" s="162">
        <v>17.3</v>
      </c>
      <c r="G264" s="162">
        <v>50.8</v>
      </c>
      <c r="H264" s="162">
        <v>7</v>
      </c>
      <c r="I264" s="162">
        <v>15.4</v>
      </c>
      <c r="J264" s="136" t="s">
        <v>405</v>
      </c>
      <c r="K264" s="163" t="s">
        <v>405</v>
      </c>
      <c r="L264" s="136" t="s">
        <v>406</v>
      </c>
      <c r="M264" s="136" t="s">
        <v>66</v>
      </c>
      <c r="N264" s="136" t="str">
        <f t="shared" ref="N264:N327" si="4">B264&amp;" · "&amp;A264</f>
        <v>Salvado de avena · INTA-0257</v>
      </c>
      <c r="O264" s="13"/>
      <c r="P264" s="13"/>
      <c r="Q264" s="13"/>
    </row>
    <row r="265" spans="1:17" ht="15" customHeight="1">
      <c r="A265" s="140" t="s">
        <v>965</v>
      </c>
      <c r="B265" s="140" t="s">
        <v>966</v>
      </c>
      <c r="C265" s="140" t="s">
        <v>427</v>
      </c>
      <c r="D265" s="140" t="s">
        <v>404</v>
      </c>
      <c r="E265" s="164">
        <v>216</v>
      </c>
      <c r="F265" s="164">
        <v>15.6</v>
      </c>
      <c r="G265" s="164">
        <v>21.7</v>
      </c>
      <c r="H265" s="164">
        <v>4.3</v>
      </c>
      <c r="I265" s="164">
        <v>42.8</v>
      </c>
      <c r="J265" s="140" t="s">
        <v>405</v>
      </c>
      <c r="K265" s="165" t="s">
        <v>405</v>
      </c>
      <c r="L265" s="140" t="s">
        <v>406</v>
      </c>
      <c r="M265" s="140" t="s">
        <v>66</v>
      </c>
      <c r="N265" s="140" t="str">
        <f t="shared" si="4"/>
        <v>Salvado de trigo · INTA-0258</v>
      </c>
      <c r="O265" s="13"/>
      <c r="P265" s="13"/>
      <c r="Q265" s="13"/>
    </row>
    <row r="266" spans="1:17" ht="15" customHeight="1">
      <c r="A266" s="136" t="s">
        <v>967</v>
      </c>
      <c r="B266" s="136" t="s">
        <v>968</v>
      </c>
      <c r="C266" s="136" t="s">
        <v>427</v>
      </c>
      <c r="D266" s="136" t="s">
        <v>404</v>
      </c>
      <c r="E266" s="162">
        <v>389</v>
      </c>
      <c r="F266" s="162">
        <v>16.899999999999999</v>
      </c>
      <c r="G266" s="162">
        <v>55.7</v>
      </c>
      <c r="H266" s="162">
        <v>6.9</v>
      </c>
      <c r="I266" s="162">
        <v>10.6</v>
      </c>
      <c r="J266" s="136" t="s">
        <v>405</v>
      </c>
      <c r="K266" s="163" t="s">
        <v>405</v>
      </c>
      <c r="L266" s="136" t="s">
        <v>406</v>
      </c>
      <c r="M266" s="136" t="s">
        <v>66</v>
      </c>
      <c r="N266" s="136" t="str">
        <f t="shared" si="4"/>
        <v>Avena · INTA-0259</v>
      </c>
      <c r="O266" s="13"/>
      <c r="P266" s="13"/>
      <c r="Q266" s="13"/>
    </row>
    <row r="267" spans="1:17" ht="15" customHeight="1">
      <c r="A267" s="140" t="s">
        <v>969</v>
      </c>
      <c r="B267" s="140" t="s">
        <v>970</v>
      </c>
      <c r="C267" s="140" t="s">
        <v>427</v>
      </c>
      <c r="D267" s="140" t="s">
        <v>404</v>
      </c>
      <c r="E267" s="164">
        <v>358</v>
      </c>
      <c r="F267" s="164">
        <v>8.1</v>
      </c>
      <c r="G267" s="164">
        <v>79</v>
      </c>
      <c r="H267" s="164">
        <v>1.1000000000000001</v>
      </c>
      <c r="I267" s="164">
        <v>3.7</v>
      </c>
      <c r="J267" s="140" t="s">
        <v>405</v>
      </c>
      <c r="K267" s="165" t="s">
        <v>405</v>
      </c>
      <c r="L267" s="140" t="s">
        <v>406</v>
      </c>
      <c r="M267" s="140" t="s">
        <v>66</v>
      </c>
      <c r="N267" s="140" t="str">
        <f t="shared" si="4"/>
        <v>Cereal de maíz · INTA-0260</v>
      </c>
      <c r="O267" s="13"/>
      <c r="P267" s="13"/>
      <c r="Q267" s="13"/>
    </row>
    <row r="268" spans="1:17" ht="15" customHeight="1">
      <c r="A268" s="136" t="s">
        <v>971</v>
      </c>
      <c r="B268" s="136" t="s">
        <v>972</v>
      </c>
      <c r="C268" s="136" t="s">
        <v>427</v>
      </c>
      <c r="D268" s="136" t="s">
        <v>404</v>
      </c>
      <c r="E268" s="162">
        <v>357</v>
      </c>
      <c r="F268" s="162">
        <v>7.5</v>
      </c>
      <c r="G268" s="162">
        <v>81</v>
      </c>
      <c r="H268" s="162">
        <v>0.4</v>
      </c>
      <c r="I268" s="162">
        <v>3.3</v>
      </c>
      <c r="J268" s="136" t="s">
        <v>405</v>
      </c>
      <c r="K268" s="163" t="s">
        <v>405</v>
      </c>
      <c r="L268" s="136" t="s">
        <v>406</v>
      </c>
      <c r="M268" s="136" t="s">
        <v>66</v>
      </c>
      <c r="N268" s="136" t="str">
        <f t="shared" si="4"/>
        <v>Cereal de maíz 2 · INTA-0261</v>
      </c>
      <c r="O268" s="13"/>
      <c r="P268" s="13"/>
      <c r="Q268" s="13"/>
    </row>
    <row r="269" spans="1:17" ht="15" customHeight="1">
      <c r="A269" s="136" t="s">
        <v>973</v>
      </c>
      <c r="B269" s="136" t="s">
        <v>974</v>
      </c>
      <c r="C269" s="136" t="s">
        <v>427</v>
      </c>
      <c r="D269" s="136" t="s">
        <v>404</v>
      </c>
      <c r="E269" s="162">
        <v>442</v>
      </c>
      <c r="F269" s="162">
        <v>11.4</v>
      </c>
      <c r="G269" s="162">
        <v>51.1</v>
      </c>
      <c r="H269" s="162">
        <v>21.4</v>
      </c>
      <c r="I269" s="162">
        <v>11.5</v>
      </c>
      <c r="J269" s="136" t="s">
        <v>405</v>
      </c>
      <c r="K269" s="163" t="s">
        <v>405</v>
      </c>
      <c r="L269" s="136" t="s">
        <v>406</v>
      </c>
      <c r="M269" s="136" t="s">
        <v>66</v>
      </c>
      <c r="N269" s="136" t="str">
        <f t="shared" si="4"/>
        <v>Granola · INTA-0262</v>
      </c>
      <c r="O269" s="13"/>
      <c r="P269" s="13"/>
      <c r="Q269" s="13"/>
    </row>
    <row r="270" spans="1:17" ht="15" customHeight="1">
      <c r="A270" s="140" t="s">
        <v>975</v>
      </c>
      <c r="B270" s="140" t="s">
        <v>976</v>
      </c>
      <c r="C270" s="140" t="s">
        <v>427</v>
      </c>
      <c r="D270" s="140" t="s">
        <v>404</v>
      </c>
      <c r="E270" s="164">
        <v>364</v>
      </c>
      <c r="F270" s="164">
        <v>10.4</v>
      </c>
      <c r="G270" s="164">
        <v>78</v>
      </c>
      <c r="H270" s="164">
        <v>1.1000000000000001</v>
      </c>
      <c r="I270" s="165" t="s">
        <v>405</v>
      </c>
      <c r="J270" s="140" t="s">
        <v>405</v>
      </c>
      <c r="K270" s="165" t="s">
        <v>405</v>
      </c>
      <c r="L270" s="140" t="s">
        <v>406</v>
      </c>
      <c r="M270" s="140" t="s">
        <v>66</v>
      </c>
      <c r="N270" s="140" t="str">
        <f t="shared" si="4"/>
        <v>Burgol · INTA-0263</v>
      </c>
      <c r="O270" s="13"/>
      <c r="P270" s="13"/>
      <c r="Q270" s="13"/>
    </row>
    <row r="271" spans="1:17" ht="15" customHeight="1">
      <c r="A271" s="140" t="s">
        <v>977</v>
      </c>
      <c r="B271" s="140" t="s">
        <v>978</v>
      </c>
      <c r="C271" s="140" t="s">
        <v>427</v>
      </c>
      <c r="D271" s="140" t="s">
        <v>404</v>
      </c>
      <c r="E271" s="164">
        <v>112</v>
      </c>
      <c r="F271" s="164">
        <v>3.8</v>
      </c>
      <c r="G271" s="164">
        <v>21.8</v>
      </c>
      <c r="H271" s="164">
        <v>0.2</v>
      </c>
      <c r="I271" s="164">
        <v>1.4</v>
      </c>
      <c r="J271" s="140" t="s">
        <v>405</v>
      </c>
      <c r="K271" s="165" t="s">
        <v>405</v>
      </c>
      <c r="L271" s="140" t="s">
        <v>406</v>
      </c>
      <c r="M271" s="140" t="s">
        <v>66</v>
      </c>
      <c r="N271" s="140" t="str">
        <f t="shared" si="4"/>
        <v>Cuscús cocido · INTA-0264</v>
      </c>
      <c r="O271" s="13"/>
      <c r="P271" s="13"/>
      <c r="Q271" s="13"/>
    </row>
    <row r="272" spans="1:17" ht="15" customHeight="1">
      <c r="A272" s="136" t="s">
        <v>979</v>
      </c>
      <c r="B272" s="136" t="s">
        <v>980</v>
      </c>
      <c r="C272" s="136" t="s">
        <v>427</v>
      </c>
      <c r="D272" s="136" t="s">
        <v>404</v>
      </c>
      <c r="E272" s="162">
        <v>376</v>
      </c>
      <c r="F272" s="162">
        <v>12.8</v>
      </c>
      <c r="G272" s="162">
        <v>72.400000000000006</v>
      </c>
      <c r="H272" s="162">
        <v>0.6</v>
      </c>
      <c r="I272" s="162">
        <v>5</v>
      </c>
      <c r="J272" s="136" t="s">
        <v>405</v>
      </c>
      <c r="K272" s="163" t="s">
        <v>405</v>
      </c>
      <c r="L272" s="136" t="s">
        <v>406</v>
      </c>
      <c r="M272" s="136" t="s">
        <v>66</v>
      </c>
      <c r="N272" s="136" t="str">
        <f t="shared" si="4"/>
        <v>Cuscús seco · INTA-0265</v>
      </c>
      <c r="O272" s="13"/>
      <c r="P272" s="13"/>
      <c r="Q272" s="13"/>
    </row>
    <row r="273" spans="1:17" ht="15" customHeight="1">
      <c r="A273" s="140" t="s">
        <v>981</v>
      </c>
      <c r="B273" s="140" t="s">
        <v>982</v>
      </c>
      <c r="C273" s="140" t="s">
        <v>427</v>
      </c>
      <c r="D273" s="140" t="s">
        <v>404</v>
      </c>
      <c r="E273" s="164">
        <v>352</v>
      </c>
      <c r="F273" s="164">
        <v>13.9</v>
      </c>
      <c r="G273" s="164">
        <v>64.2</v>
      </c>
      <c r="H273" s="164">
        <v>2.9</v>
      </c>
      <c r="I273" s="164">
        <v>9.1999999999999993</v>
      </c>
      <c r="J273" s="140" t="s">
        <v>405</v>
      </c>
      <c r="K273" s="165" t="s">
        <v>405</v>
      </c>
      <c r="L273" s="140" t="s">
        <v>406</v>
      </c>
      <c r="M273" s="140" t="s">
        <v>66</v>
      </c>
      <c r="N273" s="140" t="str">
        <f t="shared" si="4"/>
        <v>Fideos · INTA-0266</v>
      </c>
      <c r="O273" s="13"/>
      <c r="P273" s="13"/>
      <c r="Q273" s="13"/>
    </row>
    <row r="274" spans="1:17" ht="15" customHeight="1">
      <c r="A274" s="136" t="s">
        <v>983</v>
      </c>
      <c r="B274" s="136" t="s">
        <v>984</v>
      </c>
      <c r="C274" s="136" t="s">
        <v>427</v>
      </c>
      <c r="D274" s="136" t="s">
        <v>404</v>
      </c>
      <c r="E274" s="162">
        <v>149</v>
      </c>
      <c r="F274" s="162">
        <v>6</v>
      </c>
      <c r="G274" s="162">
        <v>26.2</v>
      </c>
      <c r="H274" s="162">
        <v>1.7</v>
      </c>
      <c r="I274" s="162">
        <v>3.9</v>
      </c>
      <c r="J274" s="136" t="s">
        <v>405</v>
      </c>
      <c r="K274" s="163" t="s">
        <v>405</v>
      </c>
      <c r="L274" s="136" t="s">
        <v>406</v>
      </c>
      <c r="M274" s="136" t="s">
        <v>66</v>
      </c>
      <c r="N274" s="136" t="str">
        <f t="shared" si="4"/>
        <v>Fideos cocidos · INTA-0267</v>
      </c>
      <c r="O274" s="13"/>
      <c r="P274" s="13"/>
      <c r="Q274" s="13"/>
    </row>
    <row r="275" spans="1:17" ht="15" customHeight="1">
      <c r="A275" s="140" t="s">
        <v>985</v>
      </c>
      <c r="B275" s="140" t="s">
        <v>986</v>
      </c>
      <c r="C275" s="140" t="s">
        <v>427</v>
      </c>
      <c r="D275" s="140" t="s">
        <v>404</v>
      </c>
      <c r="E275" s="164">
        <v>108</v>
      </c>
      <c r="F275" s="164">
        <v>1.8</v>
      </c>
      <c r="G275" s="164">
        <v>23</v>
      </c>
      <c r="H275" s="164">
        <v>0.2</v>
      </c>
      <c r="I275" s="164">
        <v>1</v>
      </c>
      <c r="J275" s="140" t="s">
        <v>405</v>
      </c>
      <c r="K275" s="165" t="s">
        <v>405</v>
      </c>
      <c r="L275" s="140" t="s">
        <v>406</v>
      </c>
      <c r="M275" s="140" t="s">
        <v>66</v>
      </c>
      <c r="N275" s="140" t="str">
        <f t="shared" si="4"/>
        <v>Fideos de arroz cocido · INTA-0268</v>
      </c>
      <c r="O275" s="13"/>
      <c r="P275" s="13"/>
      <c r="Q275" s="13"/>
    </row>
    <row r="276" spans="1:17" ht="15" customHeight="1">
      <c r="A276" s="140" t="s">
        <v>987</v>
      </c>
      <c r="B276" s="140" t="s">
        <v>988</v>
      </c>
      <c r="C276" s="140" t="s">
        <v>427</v>
      </c>
      <c r="D276" s="140" t="s">
        <v>404</v>
      </c>
      <c r="E276" s="164">
        <v>409</v>
      </c>
      <c r="F276" s="164">
        <v>5.6</v>
      </c>
      <c r="G276" s="164">
        <v>81.7</v>
      </c>
      <c r="H276" s="164">
        <v>6.6</v>
      </c>
      <c r="I276" s="165" t="s">
        <v>405</v>
      </c>
      <c r="J276" s="140" t="s">
        <v>405</v>
      </c>
      <c r="K276" s="165" t="s">
        <v>405</v>
      </c>
      <c r="L276" s="140" t="s">
        <v>406</v>
      </c>
      <c r="M276" s="140" t="s">
        <v>66</v>
      </c>
      <c r="N276" s="140" t="str">
        <f t="shared" si="4"/>
        <v>Galleta champaña · INTA-0269</v>
      </c>
      <c r="O276" s="13"/>
      <c r="P276" s="13"/>
      <c r="Q276" s="13"/>
    </row>
    <row r="277" spans="1:17" ht="15" customHeight="1">
      <c r="A277" s="136" t="s">
        <v>989</v>
      </c>
      <c r="B277" s="136" t="s">
        <v>990</v>
      </c>
      <c r="C277" s="136" t="s">
        <v>427</v>
      </c>
      <c r="D277" s="136" t="s">
        <v>404</v>
      </c>
      <c r="E277" s="162">
        <v>428</v>
      </c>
      <c r="F277" s="162">
        <v>8.6</v>
      </c>
      <c r="G277" s="162">
        <v>56.1</v>
      </c>
      <c r="H277" s="162">
        <v>17</v>
      </c>
      <c r="I277" s="162">
        <v>6.5</v>
      </c>
      <c r="J277" s="136" t="s">
        <v>405</v>
      </c>
      <c r="K277" s="163" t="s">
        <v>405</v>
      </c>
      <c r="L277" s="136" t="s">
        <v>406</v>
      </c>
      <c r="M277" s="136" t="s">
        <v>66</v>
      </c>
      <c r="N277" s="136" t="str">
        <f t="shared" si="4"/>
        <v>Galleta cereal avena · INTA-0270</v>
      </c>
      <c r="O277" s="13"/>
      <c r="P277" s="13"/>
      <c r="Q277" s="13"/>
    </row>
    <row r="278" spans="1:17" ht="15" customHeight="1">
      <c r="A278" s="140" t="s">
        <v>991</v>
      </c>
      <c r="B278" s="140" t="s">
        <v>992</v>
      </c>
      <c r="C278" s="140" t="s">
        <v>427</v>
      </c>
      <c r="D278" s="140" t="s">
        <v>404</v>
      </c>
      <c r="E278" s="164">
        <v>430</v>
      </c>
      <c r="F278" s="164">
        <v>8.5</v>
      </c>
      <c r="G278" s="164">
        <v>57.9</v>
      </c>
      <c r="H278" s="164">
        <v>16.399999999999999</v>
      </c>
      <c r="I278" s="164">
        <v>5.0999999999999996</v>
      </c>
      <c r="J278" s="140" t="s">
        <v>405</v>
      </c>
      <c r="K278" s="165" t="s">
        <v>405</v>
      </c>
      <c r="L278" s="140" t="s">
        <v>406</v>
      </c>
      <c r="M278" s="140" t="s">
        <v>66</v>
      </c>
      <c r="N278" s="140" t="str">
        <f t="shared" si="4"/>
        <v>Galleta cereal berries · INTA-0271</v>
      </c>
      <c r="O278" s="13"/>
      <c r="P278" s="13"/>
      <c r="Q278" s="13"/>
    </row>
    <row r="279" spans="1:17" ht="15" customHeight="1">
      <c r="A279" s="136" t="s">
        <v>993</v>
      </c>
      <c r="B279" s="136" t="s">
        <v>994</v>
      </c>
      <c r="C279" s="136" t="s">
        <v>427</v>
      </c>
      <c r="D279" s="136" t="s">
        <v>404</v>
      </c>
      <c r="E279" s="162">
        <v>427</v>
      </c>
      <c r="F279" s="162">
        <v>8.3000000000000007</v>
      </c>
      <c r="G279" s="162">
        <v>54.2</v>
      </c>
      <c r="H279" s="162">
        <v>17.3</v>
      </c>
      <c r="I279" s="162">
        <v>6.9</v>
      </c>
      <c r="J279" s="136" t="s">
        <v>405</v>
      </c>
      <c r="K279" s="163" t="s">
        <v>405</v>
      </c>
      <c r="L279" s="136" t="s">
        <v>406</v>
      </c>
      <c r="M279" s="136" t="s">
        <v>66</v>
      </c>
      <c r="N279" s="136" t="str">
        <f t="shared" si="4"/>
        <v>Galleta cereal cacao · INTA-0272</v>
      </c>
      <c r="O279" s="13"/>
      <c r="P279" s="13"/>
      <c r="Q279" s="13"/>
    </row>
    <row r="280" spans="1:17" ht="15" customHeight="1">
      <c r="A280" s="140" t="s">
        <v>995</v>
      </c>
      <c r="B280" s="140" t="s">
        <v>996</v>
      </c>
      <c r="C280" s="140" t="s">
        <v>427</v>
      </c>
      <c r="D280" s="140" t="s">
        <v>404</v>
      </c>
      <c r="E280" s="164">
        <v>430</v>
      </c>
      <c r="F280" s="164">
        <v>7.6</v>
      </c>
      <c r="G280" s="164">
        <v>61.8</v>
      </c>
      <c r="H280" s="164">
        <v>16.899999999999999</v>
      </c>
      <c r="I280" s="164">
        <v>7.7</v>
      </c>
      <c r="J280" s="140" t="s">
        <v>405</v>
      </c>
      <c r="K280" s="165" t="s">
        <v>405</v>
      </c>
      <c r="L280" s="140" t="s">
        <v>406</v>
      </c>
      <c r="M280" s="140" t="s">
        <v>66</v>
      </c>
      <c r="N280" s="140" t="str">
        <f t="shared" si="4"/>
        <v>Galleta cereal clásica · INTA-0273</v>
      </c>
      <c r="O280" s="13"/>
      <c r="P280" s="13"/>
      <c r="Q280" s="13"/>
    </row>
    <row r="281" spans="1:17" ht="15" customHeight="1">
      <c r="A281" s="136" t="s">
        <v>997</v>
      </c>
      <c r="B281" s="136" t="s">
        <v>998</v>
      </c>
      <c r="C281" s="136" t="s">
        <v>427</v>
      </c>
      <c r="D281" s="136" t="s">
        <v>404</v>
      </c>
      <c r="E281" s="162">
        <v>427</v>
      </c>
      <c r="F281" s="162">
        <v>8.9</v>
      </c>
      <c r="G281" s="162">
        <v>54.8</v>
      </c>
      <c r="H281" s="162">
        <v>19</v>
      </c>
      <c r="I281" s="162">
        <v>11.7</v>
      </c>
      <c r="J281" s="136" t="s">
        <v>405</v>
      </c>
      <c r="K281" s="163" t="s">
        <v>405</v>
      </c>
      <c r="L281" s="136" t="s">
        <v>406</v>
      </c>
      <c r="M281" s="136" t="s">
        <v>66</v>
      </c>
      <c r="N281" s="136" t="str">
        <f t="shared" si="4"/>
        <v>Galleta cereal fibra cacao · INTA-0274</v>
      </c>
      <c r="O281" s="13"/>
      <c r="P281" s="13"/>
      <c r="Q281" s="13"/>
    </row>
    <row r="282" spans="1:17" ht="15" customHeight="1">
      <c r="A282" s="136" t="s">
        <v>999</v>
      </c>
      <c r="B282" s="136" t="s">
        <v>1000</v>
      </c>
      <c r="C282" s="136" t="s">
        <v>427</v>
      </c>
      <c r="D282" s="136" t="s">
        <v>404</v>
      </c>
      <c r="E282" s="162">
        <v>481</v>
      </c>
      <c r="F282" s="162">
        <v>5.4</v>
      </c>
      <c r="G282" s="162">
        <v>64.3</v>
      </c>
      <c r="H282" s="162">
        <v>22.6</v>
      </c>
      <c r="I282" s="162">
        <v>2.5</v>
      </c>
      <c r="J282" s="136" t="s">
        <v>405</v>
      </c>
      <c r="K282" s="163" t="s">
        <v>405</v>
      </c>
      <c r="L282" s="136" t="s">
        <v>406</v>
      </c>
      <c r="M282" s="136" t="s">
        <v>66</v>
      </c>
      <c r="N282" s="136" t="str">
        <f t="shared" si="4"/>
        <v>Galleta chips de chocolate · INTA-0275</v>
      </c>
      <c r="O282" s="13"/>
      <c r="P282" s="13"/>
      <c r="Q282" s="13"/>
    </row>
    <row r="283" spans="1:17" ht="15" customHeight="1">
      <c r="A283" s="140" t="s">
        <v>1001</v>
      </c>
      <c r="B283" s="140" t="s">
        <v>1002</v>
      </c>
      <c r="C283" s="140" t="s">
        <v>427</v>
      </c>
      <c r="D283" s="140" t="s">
        <v>404</v>
      </c>
      <c r="E283" s="164">
        <v>463</v>
      </c>
      <c r="F283" s="164">
        <v>7.1</v>
      </c>
      <c r="G283" s="164">
        <v>66</v>
      </c>
      <c r="H283" s="164">
        <v>18.899999999999999</v>
      </c>
      <c r="I283" s="164">
        <v>3.1</v>
      </c>
      <c r="J283" s="140" t="s">
        <v>405</v>
      </c>
      <c r="K283" s="165" t="s">
        <v>405</v>
      </c>
      <c r="L283" s="140" t="s">
        <v>406</v>
      </c>
      <c r="M283" s="140" t="s">
        <v>66</v>
      </c>
      <c r="N283" s="140" t="str">
        <f t="shared" si="4"/>
        <v>Galleta chocolate · INTA-0276</v>
      </c>
      <c r="O283" s="13"/>
      <c r="P283" s="13"/>
      <c r="Q283" s="13"/>
    </row>
    <row r="284" spans="1:17" ht="15" customHeight="1">
      <c r="A284" s="136" t="s">
        <v>1003</v>
      </c>
      <c r="B284" s="136" t="s">
        <v>1004</v>
      </c>
      <c r="C284" s="136" t="s">
        <v>427</v>
      </c>
      <c r="D284" s="136" t="s">
        <v>404</v>
      </c>
      <c r="E284" s="162">
        <v>363</v>
      </c>
      <c r="F284" s="162">
        <v>6.7</v>
      </c>
      <c r="G284" s="162">
        <v>83.4</v>
      </c>
      <c r="H284" s="162">
        <v>0.3</v>
      </c>
      <c r="I284" s="162">
        <v>3.7</v>
      </c>
      <c r="J284" s="136" t="s">
        <v>405</v>
      </c>
      <c r="K284" s="163" t="s">
        <v>405</v>
      </c>
      <c r="L284" s="136" t="s">
        <v>406</v>
      </c>
      <c r="M284" s="136" t="s">
        <v>66</v>
      </c>
      <c r="N284" s="136" t="str">
        <f t="shared" si="4"/>
        <v>Galleta de arroz · INTA-0277</v>
      </c>
      <c r="O284" s="13"/>
      <c r="P284" s="13"/>
      <c r="Q284" s="13"/>
    </row>
    <row r="285" spans="1:17" ht="15" customHeight="1">
      <c r="A285" s="140" t="s">
        <v>1005</v>
      </c>
      <c r="B285" s="140" t="s">
        <v>1006</v>
      </c>
      <c r="C285" s="140" t="s">
        <v>427</v>
      </c>
      <c r="D285" s="140" t="s">
        <v>404</v>
      </c>
      <c r="E285" s="164">
        <v>373</v>
      </c>
      <c r="F285" s="164">
        <v>5.2</v>
      </c>
      <c r="G285" s="164">
        <v>82.7</v>
      </c>
      <c r="H285" s="164">
        <v>1.3</v>
      </c>
      <c r="I285" s="164">
        <v>3.2</v>
      </c>
      <c r="J285" s="140" t="s">
        <v>405</v>
      </c>
      <c r="K285" s="165" t="s">
        <v>405</v>
      </c>
      <c r="L285" s="140" t="s">
        <v>406</v>
      </c>
      <c r="M285" s="140" t="s">
        <v>66</v>
      </c>
      <c r="N285" s="140" t="str">
        <f t="shared" si="4"/>
        <v>Galleta de arroz 2 · INTA-0278</v>
      </c>
      <c r="O285" s="13"/>
      <c r="P285" s="13"/>
      <c r="Q285" s="13"/>
    </row>
    <row r="286" spans="1:17" ht="15" customHeight="1">
      <c r="A286" s="140" t="s">
        <v>1007</v>
      </c>
      <c r="B286" s="140" t="s">
        <v>1008</v>
      </c>
      <c r="C286" s="140" t="s">
        <v>427</v>
      </c>
      <c r="D286" s="140" t="s">
        <v>404</v>
      </c>
      <c r="E286" s="164">
        <v>371</v>
      </c>
      <c r="F286" s="164">
        <v>7.5</v>
      </c>
      <c r="G286" s="164">
        <v>74.2</v>
      </c>
      <c r="H286" s="164">
        <v>4.9000000000000004</v>
      </c>
      <c r="I286" s="164">
        <v>5.7</v>
      </c>
      <c r="J286" s="140" t="s">
        <v>405</v>
      </c>
      <c r="K286" s="165" t="s">
        <v>405</v>
      </c>
      <c r="L286" s="140" t="s">
        <v>406</v>
      </c>
      <c r="M286" s="140" t="s">
        <v>66</v>
      </c>
      <c r="N286" s="140" t="str">
        <f t="shared" si="4"/>
        <v>Galleta de arroz sésamo · INTA-0279</v>
      </c>
      <c r="O286" s="13"/>
      <c r="P286" s="13"/>
      <c r="Q286" s="13"/>
    </row>
    <row r="287" spans="1:17" ht="15" customHeight="1">
      <c r="A287" s="136" t="s">
        <v>1009</v>
      </c>
      <c r="B287" s="136" t="s">
        <v>1010</v>
      </c>
      <c r="C287" s="136" t="s">
        <v>427</v>
      </c>
      <c r="D287" s="136" t="s">
        <v>404</v>
      </c>
      <c r="E287" s="162">
        <v>363</v>
      </c>
      <c r="F287" s="162">
        <v>7.7</v>
      </c>
      <c r="G287" s="162">
        <v>80.099999999999994</v>
      </c>
      <c r="H287" s="162">
        <v>1.3</v>
      </c>
      <c r="I287" s="162">
        <v>4.5999999999999996</v>
      </c>
      <c r="J287" s="136" t="s">
        <v>405</v>
      </c>
      <c r="K287" s="163" t="s">
        <v>405</v>
      </c>
      <c r="L287" s="136" t="s">
        <v>406</v>
      </c>
      <c r="M287" s="136" t="s">
        <v>66</v>
      </c>
      <c r="N287" s="136" t="str">
        <f t="shared" si="4"/>
        <v>Galleta de arroz sin sal · INTA-0280</v>
      </c>
      <c r="O287" s="13"/>
      <c r="P287" s="13"/>
      <c r="Q287" s="13"/>
    </row>
    <row r="288" spans="1:17" ht="15" customHeight="1">
      <c r="A288" s="136" t="s">
        <v>1011</v>
      </c>
      <c r="B288" s="136" t="s">
        <v>1012</v>
      </c>
      <c r="C288" s="136" t="s">
        <v>427</v>
      </c>
      <c r="D288" s="136" t="s">
        <v>404</v>
      </c>
      <c r="E288" s="162">
        <v>356</v>
      </c>
      <c r="F288" s="162">
        <v>11</v>
      </c>
      <c r="G288" s="162">
        <v>72.2</v>
      </c>
      <c r="H288" s="162">
        <v>2.6</v>
      </c>
      <c r="I288" s="162">
        <v>7.5</v>
      </c>
      <c r="J288" s="136" t="s">
        <v>405</v>
      </c>
      <c r="K288" s="163" t="s">
        <v>405</v>
      </c>
      <c r="L288" s="136" t="s">
        <v>406</v>
      </c>
      <c r="M288" s="136" t="s">
        <v>66</v>
      </c>
      <c r="N288" s="136" t="str">
        <f t="shared" si="4"/>
        <v>Galleta de arroz trigo avena · INTA-0281</v>
      </c>
      <c r="O288" s="13"/>
      <c r="P288" s="13"/>
      <c r="Q288" s="13"/>
    </row>
    <row r="289" spans="1:17" ht="15" customHeight="1">
      <c r="A289" s="140" t="s">
        <v>1013</v>
      </c>
      <c r="B289" s="140" t="s">
        <v>1014</v>
      </c>
      <c r="C289" s="140" t="s">
        <v>427</v>
      </c>
      <c r="D289" s="140" t="s">
        <v>404</v>
      </c>
      <c r="E289" s="164">
        <v>469</v>
      </c>
      <c r="F289" s="164">
        <v>5.8</v>
      </c>
      <c r="G289" s="164">
        <v>71</v>
      </c>
      <c r="H289" s="164">
        <v>18</v>
      </c>
      <c r="I289" s="164">
        <v>1.6</v>
      </c>
      <c r="J289" s="140" t="s">
        <v>405</v>
      </c>
      <c r="K289" s="165" t="s">
        <v>405</v>
      </c>
      <c r="L289" s="140" t="s">
        <v>406</v>
      </c>
      <c r="M289" s="140" t="s">
        <v>66</v>
      </c>
      <c r="N289" s="140" t="str">
        <f t="shared" si="4"/>
        <v>Galleta mantequilla · INTA-0282</v>
      </c>
      <c r="O289" s="13"/>
      <c r="P289" s="13"/>
      <c r="Q289" s="13"/>
    </row>
    <row r="290" spans="1:17" ht="15" customHeight="1">
      <c r="A290" s="136" t="s">
        <v>1015</v>
      </c>
      <c r="B290" s="136" t="s">
        <v>1016</v>
      </c>
      <c r="C290" s="136" t="s">
        <v>427</v>
      </c>
      <c r="D290" s="136" t="s">
        <v>404</v>
      </c>
      <c r="E290" s="162">
        <v>483</v>
      </c>
      <c r="F290" s="162">
        <v>5.4</v>
      </c>
      <c r="G290" s="162">
        <v>65.5</v>
      </c>
      <c r="H290" s="162">
        <v>22.2</v>
      </c>
      <c r="I290" s="162">
        <v>4</v>
      </c>
      <c r="J290" s="136" t="s">
        <v>405</v>
      </c>
      <c r="K290" s="163" t="s">
        <v>405</v>
      </c>
      <c r="L290" s="136" t="s">
        <v>406</v>
      </c>
      <c r="M290" s="136" t="s">
        <v>66</v>
      </c>
      <c r="N290" s="136" t="str">
        <f t="shared" si="4"/>
        <v>Galleta mini cocaditas · INTA-0283</v>
      </c>
      <c r="O290" s="13"/>
      <c r="P290" s="13"/>
      <c r="Q290" s="13"/>
    </row>
    <row r="291" spans="1:17" ht="15" customHeight="1">
      <c r="A291" s="140" t="s">
        <v>1017</v>
      </c>
      <c r="B291" s="140" t="s">
        <v>1018</v>
      </c>
      <c r="C291" s="140" t="s">
        <v>427</v>
      </c>
      <c r="D291" s="140" t="s">
        <v>404</v>
      </c>
      <c r="E291" s="164">
        <v>467</v>
      </c>
      <c r="F291" s="164">
        <v>7.3</v>
      </c>
      <c r="G291" s="164">
        <v>67.400000000000006</v>
      </c>
      <c r="H291" s="164">
        <v>18.7</v>
      </c>
      <c r="I291" s="164">
        <v>2.2000000000000002</v>
      </c>
      <c r="J291" s="140" t="s">
        <v>405</v>
      </c>
      <c r="K291" s="165" t="s">
        <v>405</v>
      </c>
      <c r="L291" s="140" t="s">
        <v>406</v>
      </c>
      <c r="M291" s="140" t="s">
        <v>66</v>
      </c>
      <c r="N291" s="140" t="str">
        <f t="shared" si="4"/>
        <v>Galleta mini limón · INTA-0284</v>
      </c>
      <c r="O291" s="13"/>
      <c r="P291" s="13"/>
      <c r="Q291" s="13"/>
    </row>
    <row r="292" spans="1:17" ht="15" customHeight="1">
      <c r="A292" s="136" t="s">
        <v>1019</v>
      </c>
      <c r="B292" s="136" t="s">
        <v>1020</v>
      </c>
      <c r="C292" s="136" t="s">
        <v>427</v>
      </c>
      <c r="D292" s="136" t="s">
        <v>404</v>
      </c>
      <c r="E292" s="162">
        <v>476</v>
      </c>
      <c r="F292" s="162">
        <v>6.5</v>
      </c>
      <c r="G292" s="162">
        <v>67.400000000000006</v>
      </c>
      <c r="H292" s="162">
        <v>20</v>
      </c>
      <c r="I292" s="162">
        <v>1.9</v>
      </c>
      <c r="J292" s="136" t="s">
        <v>405</v>
      </c>
      <c r="K292" s="163" t="s">
        <v>405</v>
      </c>
      <c r="L292" s="136" t="s">
        <v>406</v>
      </c>
      <c r="M292" s="136" t="s">
        <v>66</v>
      </c>
      <c r="N292" s="136" t="str">
        <f t="shared" si="4"/>
        <v>Galleta mini mantequilla · INTA-0285</v>
      </c>
      <c r="O292" s="13"/>
      <c r="P292" s="13"/>
      <c r="Q292" s="13"/>
    </row>
    <row r="293" spans="1:17" ht="15" customHeight="1">
      <c r="A293" s="140" t="s">
        <v>1021</v>
      </c>
      <c r="B293" s="140" t="s">
        <v>1022</v>
      </c>
      <c r="C293" s="140" t="s">
        <v>427</v>
      </c>
      <c r="D293" s="140" t="s">
        <v>404</v>
      </c>
      <c r="E293" s="164">
        <v>409</v>
      </c>
      <c r="F293" s="164">
        <v>9.6</v>
      </c>
      <c r="G293" s="164">
        <v>59.5</v>
      </c>
      <c r="H293" s="164">
        <v>14.7</v>
      </c>
      <c r="I293" s="164">
        <v>13.6</v>
      </c>
      <c r="J293" s="140" t="s">
        <v>405</v>
      </c>
      <c r="K293" s="165" t="s">
        <v>405</v>
      </c>
      <c r="L293" s="140" t="s">
        <v>406</v>
      </c>
      <c r="M293" s="140" t="s">
        <v>66</v>
      </c>
      <c r="N293" s="140" t="str">
        <f t="shared" si="4"/>
        <v>Galleta mini vino · INTA-0286</v>
      </c>
      <c r="O293" s="13"/>
      <c r="P293" s="13"/>
      <c r="Q293" s="13"/>
    </row>
    <row r="294" spans="1:17" ht="15" customHeight="1">
      <c r="A294" s="136" t="s">
        <v>1023</v>
      </c>
      <c r="B294" s="136" t="s">
        <v>1024</v>
      </c>
      <c r="C294" s="136" t="s">
        <v>427</v>
      </c>
      <c r="D294" s="136" t="s">
        <v>404</v>
      </c>
      <c r="E294" s="162">
        <v>428</v>
      </c>
      <c r="F294" s="162">
        <v>9</v>
      </c>
      <c r="G294" s="162">
        <v>73.400000000000006</v>
      </c>
      <c r="H294" s="162">
        <v>10.4</v>
      </c>
      <c r="I294" s="163" t="s">
        <v>405</v>
      </c>
      <c r="J294" s="136" t="s">
        <v>405</v>
      </c>
      <c r="K294" s="163" t="s">
        <v>405</v>
      </c>
      <c r="L294" s="136" t="s">
        <v>406</v>
      </c>
      <c r="M294" s="136" t="s">
        <v>66</v>
      </c>
      <c r="N294" s="136" t="str">
        <f t="shared" si="4"/>
        <v>Galleta soda · INTA-0287</v>
      </c>
      <c r="O294" s="13"/>
      <c r="P294" s="13"/>
      <c r="Q294" s="13"/>
    </row>
    <row r="295" spans="1:17" ht="15" customHeight="1">
      <c r="A295" s="140" t="s">
        <v>1025</v>
      </c>
      <c r="B295" s="140" t="s">
        <v>1026</v>
      </c>
      <c r="C295" s="140" t="s">
        <v>427</v>
      </c>
      <c r="D295" s="140" t="s">
        <v>404</v>
      </c>
      <c r="E295" s="164">
        <v>453</v>
      </c>
      <c r="F295" s="164">
        <v>8</v>
      </c>
      <c r="G295" s="164">
        <v>69.7</v>
      </c>
      <c r="H295" s="164">
        <v>15.8</v>
      </c>
      <c r="I295" s="164">
        <v>2.2000000000000002</v>
      </c>
      <c r="J295" s="140" t="s">
        <v>405</v>
      </c>
      <c r="K295" s="165" t="s">
        <v>405</v>
      </c>
      <c r="L295" s="140" t="s">
        <v>406</v>
      </c>
      <c r="M295" s="140" t="s">
        <v>66</v>
      </c>
      <c r="N295" s="140" t="str">
        <f t="shared" si="4"/>
        <v>Galleta vainilla · INTA-0288</v>
      </c>
      <c r="O295" s="13"/>
      <c r="P295" s="13"/>
      <c r="Q295" s="13"/>
    </row>
    <row r="296" spans="1:17" ht="15" customHeight="1">
      <c r="A296" s="136" t="s">
        <v>1027</v>
      </c>
      <c r="B296" s="136" t="s">
        <v>1028</v>
      </c>
      <c r="C296" s="136" t="s">
        <v>427</v>
      </c>
      <c r="D296" s="136" t="s">
        <v>404</v>
      </c>
      <c r="E296" s="162">
        <v>405</v>
      </c>
      <c r="F296" s="162">
        <v>7.4</v>
      </c>
      <c r="G296" s="162">
        <v>60.3</v>
      </c>
      <c r="H296" s="162">
        <v>14.9</v>
      </c>
      <c r="I296" s="162">
        <v>14.6</v>
      </c>
      <c r="J296" s="136" t="s">
        <v>405</v>
      </c>
      <c r="K296" s="163" t="s">
        <v>405</v>
      </c>
      <c r="L296" s="136" t="s">
        <v>406</v>
      </c>
      <c r="M296" s="136" t="s">
        <v>66</v>
      </c>
      <c r="N296" s="136" t="str">
        <f t="shared" si="4"/>
        <v>Galleta vino · INTA-0289</v>
      </c>
      <c r="O296" s="13"/>
      <c r="P296" s="13"/>
      <c r="Q296" s="13"/>
    </row>
    <row r="297" spans="1:17" ht="15" customHeight="1">
      <c r="A297" s="140" t="s">
        <v>1029</v>
      </c>
      <c r="B297" s="140" t="s">
        <v>1030</v>
      </c>
      <c r="C297" s="140" t="s">
        <v>427</v>
      </c>
      <c r="D297" s="140" t="s">
        <v>404</v>
      </c>
      <c r="E297" s="164">
        <v>386</v>
      </c>
      <c r="F297" s="164">
        <v>5.7</v>
      </c>
      <c r="G297" s="164">
        <v>72.3</v>
      </c>
      <c r="H297" s="164">
        <v>5.7</v>
      </c>
      <c r="I297" s="164">
        <v>5.7</v>
      </c>
      <c r="J297" s="140" t="s">
        <v>405</v>
      </c>
      <c r="K297" s="165" t="s">
        <v>405</v>
      </c>
      <c r="L297" s="140" t="s">
        <v>406</v>
      </c>
      <c r="M297" s="140" t="s">
        <v>66</v>
      </c>
      <c r="N297" s="140" t="str">
        <f t="shared" si="4"/>
        <v>Galletas cracker · INTA-0290</v>
      </c>
      <c r="O297" s="13"/>
      <c r="P297" s="13"/>
      <c r="Q297" s="13"/>
    </row>
    <row r="298" spans="1:17" ht="15" customHeight="1">
      <c r="A298" s="136" t="s">
        <v>1031</v>
      </c>
      <c r="B298" s="136" t="s">
        <v>1032</v>
      </c>
      <c r="C298" s="136" t="s">
        <v>427</v>
      </c>
      <c r="D298" s="136" t="s">
        <v>404</v>
      </c>
      <c r="E298" s="162">
        <v>384</v>
      </c>
      <c r="F298" s="162">
        <v>8</v>
      </c>
      <c r="G298" s="162">
        <v>71.099999999999994</v>
      </c>
      <c r="H298" s="162">
        <v>9.4</v>
      </c>
      <c r="I298" s="162">
        <v>2.5</v>
      </c>
      <c r="J298" s="136" t="s">
        <v>405</v>
      </c>
      <c r="K298" s="163" t="s">
        <v>405</v>
      </c>
      <c r="L298" s="136" t="s">
        <v>406</v>
      </c>
      <c r="M298" s="136" t="s">
        <v>66</v>
      </c>
      <c r="N298" s="136" t="str">
        <f t="shared" si="4"/>
        <v>Galletas de agua · INTA-0291</v>
      </c>
      <c r="O298" s="13"/>
      <c r="P298" s="13"/>
      <c r="Q298" s="13"/>
    </row>
    <row r="299" spans="1:17" ht="15" customHeight="1">
      <c r="A299" s="140" t="s">
        <v>1033</v>
      </c>
      <c r="B299" s="140" t="s">
        <v>1034</v>
      </c>
      <c r="C299" s="140" t="s">
        <v>427</v>
      </c>
      <c r="D299" s="140" t="s">
        <v>404</v>
      </c>
      <c r="E299" s="164">
        <v>363</v>
      </c>
      <c r="F299" s="164">
        <v>8.4</v>
      </c>
      <c r="G299" s="164">
        <v>77</v>
      </c>
      <c r="H299" s="164">
        <v>2.4</v>
      </c>
      <c r="I299" s="164">
        <v>5.5</v>
      </c>
      <c r="J299" s="140" t="s">
        <v>405</v>
      </c>
      <c r="K299" s="165" t="s">
        <v>405</v>
      </c>
      <c r="L299" s="140" t="s">
        <v>406</v>
      </c>
      <c r="M299" s="140" t="s">
        <v>66</v>
      </c>
      <c r="N299" s="140" t="str">
        <f t="shared" si="4"/>
        <v>Galletas de arroz · INTA-0292</v>
      </c>
      <c r="O299" s="13"/>
      <c r="P299" s="13"/>
      <c r="Q299" s="13"/>
    </row>
    <row r="300" spans="1:17" ht="15" customHeight="1">
      <c r="A300" s="140" t="s">
        <v>1035</v>
      </c>
      <c r="B300" s="140" t="s">
        <v>1036</v>
      </c>
      <c r="C300" s="140" t="s">
        <v>427</v>
      </c>
      <c r="D300" s="140" t="s">
        <v>404</v>
      </c>
      <c r="E300" s="164">
        <v>349</v>
      </c>
      <c r="F300" s="164">
        <v>10.9</v>
      </c>
      <c r="G300" s="164">
        <v>63.6</v>
      </c>
      <c r="H300" s="164">
        <v>1.5</v>
      </c>
      <c r="I300" s="164">
        <v>11.8</v>
      </c>
      <c r="J300" s="140" t="s">
        <v>405</v>
      </c>
      <c r="K300" s="165" t="s">
        <v>405</v>
      </c>
      <c r="L300" s="140" t="s">
        <v>406</v>
      </c>
      <c r="M300" s="140" t="s">
        <v>66</v>
      </c>
      <c r="N300" s="140" t="str">
        <f t="shared" si="4"/>
        <v>Harina de centeno · INTA-0293</v>
      </c>
      <c r="O300" s="13"/>
      <c r="P300" s="13"/>
      <c r="Q300" s="13"/>
    </row>
    <row r="301" spans="1:17" ht="15" customHeight="1">
      <c r="A301" s="136" t="s">
        <v>1037</v>
      </c>
      <c r="B301" s="136" t="s">
        <v>1038</v>
      </c>
      <c r="C301" s="136" t="s">
        <v>427</v>
      </c>
      <c r="D301" s="136" t="s">
        <v>404</v>
      </c>
      <c r="E301" s="162">
        <v>364</v>
      </c>
      <c r="F301" s="162">
        <v>10.3</v>
      </c>
      <c r="G301" s="162">
        <v>73.599999999999994</v>
      </c>
      <c r="H301" s="162">
        <v>1</v>
      </c>
      <c r="I301" s="162">
        <v>2.7</v>
      </c>
      <c r="J301" s="136" t="s">
        <v>405</v>
      </c>
      <c r="K301" s="163" t="s">
        <v>405</v>
      </c>
      <c r="L301" s="136" t="s">
        <v>406</v>
      </c>
      <c r="M301" s="136" t="s">
        <v>66</v>
      </c>
      <c r="N301" s="136" t="str">
        <f t="shared" si="4"/>
        <v>Harina de trigo · INTA-0294</v>
      </c>
      <c r="O301" s="13"/>
      <c r="P301" s="13"/>
      <c r="Q301" s="13"/>
    </row>
    <row r="302" spans="1:17" ht="15" customHeight="1">
      <c r="A302" s="136" t="s">
        <v>1039</v>
      </c>
      <c r="B302" s="136" t="s">
        <v>1040</v>
      </c>
      <c r="C302" s="136" t="s">
        <v>427</v>
      </c>
      <c r="D302" s="136" t="s">
        <v>404</v>
      </c>
      <c r="E302" s="162">
        <v>333</v>
      </c>
      <c r="F302" s="162">
        <v>0.3</v>
      </c>
      <c r="G302" s="162">
        <v>82.7</v>
      </c>
      <c r="H302" s="162">
        <v>0.1</v>
      </c>
      <c r="I302" s="162">
        <v>8</v>
      </c>
      <c r="J302" s="136" t="s">
        <v>405</v>
      </c>
      <c r="K302" s="163" t="s">
        <v>405</v>
      </c>
      <c r="L302" s="136" t="s">
        <v>406</v>
      </c>
      <c r="M302" s="136" t="s">
        <v>66</v>
      </c>
      <c r="N302" s="136" t="str">
        <f t="shared" si="4"/>
        <v>Harina de yuca · INTA-0295</v>
      </c>
      <c r="O302" s="13"/>
      <c r="P302" s="13"/>
      <c r="Q302" s="13"/>
    </row>
    <row r="303" spans="1:17" ht="15" customHeight="1">
      <c r="A303" s="140" t="s">
        <v>1041</v>
      </c>
      <c r="B303" s="140" t="s">
        <v>1042</v>
      </c>
      <c r="C303" s="140" t="s">
        <v>427</v>
      </c>
      <c r="D303" s="140" t="s">
        <v>404</v>
      </c>
      <c r="E303" s="164">
        <v>380</v>
      </c>
      <c r="F303" s="164">
        <v>13.4</v>
      </c>
      <c r="G303" s="164">
        <v>77.400000000000006</v>
      </c>
      <c r="H303" s="164">
        <v>1.9</v>
      </c>
      <c r="I303" s="164">
        <v>0.9</v>
      </c>
      <c r="J303" s="140" t="s">
        <v>405</v>
      </c>
      <c r="K303" s="165" t="s">
        <v>405</v>
      </c>
      <c r="L303" s="140" t="s">
        <v>406</v>
      </c>
      <c r="M303" s="140" t="s">
        <v>66</v>
      </c>
      <c r="N303" s="140" t="str">
        <f t="shared" si="4"/>
        <v>Harina de trigo tostada · INTA-0296</v>
      </c>
      <c r="O303" s="13"/>
      <c r="P303" s="13"/>
      <c r="Q303" s="13"/>
    </row>
    <row r="304" spans="1:17" ht="15" customHeight="1">
      <c r="A304" s="136" t="s">
        <v>1043</v>
      </c>
      <c r="B304" s="136" t="s">
        <v>1044</v>
      </c>
      <c r="C304" s="136" t="s">
        <v>427</v>
      </c>
      <c r="D304" s="136" t="s">
        <v>404</v>
      </c>
      <c r="E304" s="162">
        <v>361</v>
      </c>
      <c r="F304" s="162">
        <v>6.9</v>
      </c>
      <c r="G304" s="162">
        <v>69.599999999999994</v>
      </c>
      <c r="H304" s="162">
        <v>3.9</v>
      </c>
      <c r="I304" s="162">
        <v>7.3</v>
      </c>
      <c r="J304" s="136" t="s">
        <v>405</v>
      </c>
      <c r="K304" s="163" t="s">
        <v>405</v>
      </c>
      <c r="L304" s="136" t="s">
        <v>406</v>
      </c>
      <c r="M304" s="136" t="s">
        <v>66</v>
      </c>
      <c r="N304" s="136" t="str">
        <f t="shared" si="4"/>
        <v>Chuchoca · INTA-0297</v>
      </c>
      <c r="O304" s="13"/>
      <c r="P304" s="13"/>
      <c r="Q304" s="13"/>
    </row>
    <row r="305" spans="1:17" ht="15" customHeight="1">
      <c r="A305" s="140" t="s">
        <v>1045</v>
      </c>
      <c r="B305" s="140" t="s">
        <v>1046</v>
      </c>
      <c r="C305" s="140" t="s">
        <v>427</v>
      </c>
      <c r="D305" s="140" t="s">
        <v>404</v>
      </c>
      <c r="E305" s="164">
        <v>351</v>
      </c>
      <c r="F305" s="164">
        <v>8</v>
      </c>
      <c r="G305" s="164">
        <v>78.900000000000006</v>
      </c>
      <c r="H305" s="164">
        <v>0.8</v>
      </c>
      <c r="I305" s="164">
        <v>1.1000000000000001</v>
      </c>
      <c r="J305" s="140" t="s">
        <v>405</v>
      </c>
      <c r="K305" s="165" t="s">
        <v>405</v>
      </c>
      <c r="L305" s="140" t="s">
        <v>406</v>
      </c>
      <c r="M305" s="140" t="s">
        <v>66</v>
      </c>
      <c r="N305" s="140" t="str">
        <f t="shared" si="4"/>
        <v>Chuño · INTA-0298</v>
      </c>
      <c r="O305" s="13"/>
      <c r="P305" s="13"/>
      <c r="Q305" s="13"/>
    </row>
    <row r="306" spans="1:17" ht="15" customHeight="1">
      <c r="A306" s="140" t="s">
        <v>1047</v>
      </c>
      <c r="B306" s="140" t="s">
        <v>1048</v>
      </c>
      <c r="C306" s="140" t="s">
        <v>427</v>
      </c>
      <c r="D306" s="140" t="s">
        <v>404</v>
      </c>
      <c r="E306" s="164">
        <v>381</v>
      </c>
      <c r="F306" s="164">
        <v>0.3</v>
      </c>
      <c r="G306" s="164">
        <v>90.4</v>
      </c>
      <c r="H306" s="164">
        <v>0.1</v>
      </c>
      <c r="I306" s="164">
        <v>0.9</v>
      </c>
      <c r="J306" s="140" t="s">
        <v>405</v>
      </c>
      <c r="K306" s="165" t="s">
        <v>405</v>
      </c>
      <c r="L306" s="140" t="s">
        <v>406</v>
      </c>
      <c r="M306" s="140" t="s">
        <v>66</v>
      </c>
      <c r="N306" s="140" t="str">
        <f t="shared" si="4"/>
        <v>Maicena · INTA-0299</v>
      </c>
      <c r="O306" s="13"/>
      <c r="P306" s="13"/>
      <c r="Q306" s="13"/>
    </row>
    <row r="307" spans="1:17" ht="15" customHeight="1">
      <c r="A307" s="136" t="s">
        <v>1049</v>
      </c>
      <c r="B307" s="136" t="s">
        <v>1050</v>
      </c>
      <c r="C307" s="136" t="s">
        <v>427</v>
      </c>
      <c r="D307" s="136" t="s">
        <v>404</v>
      </c>
      <c r="E307" s="162">
        <v>360</v>
      </c>
      <c r="F307" s="162">
        <v>12.7</v>
      </c>
      <c r="G307" s="162">
        <v>68.900000000000006</v>
      </c>
      <c r="H307" s="162">
        <v>1.1000000000000001</v>
      </c>
      <c r="I307" s="162">
        <v>3.9</v>
      </c>
      <c r="J307" s="136" t="s">
        <v>405</v>
      </c>
      <c r="K307" s="163" t="s">
        <v>405</v>
      </c>
      <c r="L307" s="136" t="s">
        <v>406</v>
      </c>
      <c r="M307" s="136" t="s">
        <v>66</v>
      </c>
      <c r="N307" s="136" t="str">
        <f t="shared" si="4"/>
        <v>Sémola · INTA-0300</v>
      </c>
      <c r="O307" s="13"/>
      <c r="P307" s="13"/>
      <c r="Q307" s="13"/>
    </row>
    <row r="308" spans="1:17" ht="15" customHeight="1">
      <c r="A308" s="140" t="s">
        <v>1051</v>
      </c>
      <c r="B308" s="140" t="s">
        <v>1052</v>
      </c>
      <c r="C308" s="140" t="s">
        <v>427</v>
      </c>
      <c r="D308" s="140" t="s">
        <v>404</v>
      </c>
      <c r="E308" s="164">
        <v>342</v>
      </c>
      <c r="F308" s="164">
        <v>12</v>
      </c>
      <c r="G308" s="164">
        <v>69</v>
      </c>
      <c r="H308" s="164">
        <v>2</v>
      </c>
      <c r="I308" s="165" t="s">
        <v>405</v>
      </c>
      <c r="J308" s="140" t="s">
        <v>405</v>
      </c>
      <c r="K308" s="165" t="s">
        <v>405</v>
      </c>
      <c r="L308" s="140" t="s">
        <v>406</v>
      </c>
      <c r="M308" s="140" t="s">
        <v>66</v>
      </c>
      <c r="N308" s="140" t="str">
        <f t="shared" si="4"/>
        <v>Sémola 2 · INTA-0301</v>
      </c>
      <c r="O308" s="13"/>
      <c r="P308" s="13"/>
      <c r="Q308" s="13"/>
    </row>
    <row r="309" spans="1:17" ht="15" customHeight="1">
      <c r="A309" s="136" t="s">
        <v>1053</v>
      </c>
      <c r="B309" s="136" t="s">
        <v>1054</v>
      </c>
      <c r="C309" s="136" t="s">
        <v>427</v>
      </c>
      <c r="D309" s="136" t="s">
        <v>404</v>
      </c>
      <c r="E309" s="162">
        <v>358</v>
      </c>
      <c r="F309" s="162">
        <v>0.2</v>
      </c>
      <c r="G309" s="162">
        <v>87.8</v>
      </c>
      <c r="H309" s="162">
        <v>0</v>
      </c>
      <c r="I309" s="162">
        <v>0.9</v>
      </c>
      <c r="J309" s="136" t="s">
        <v>405</v>
      </c>
      <c r="K309" s="163" t="s">
        <v>405</v>
      </c>
      <c r="L309" s="136" t="s">
        <v>406</v>
      </c>
      <c r="M309" s="136" t="s">
        <v>66</v>
      </c>
      <c r="N309" s="136" t="str">
        <f t="shared" si="4"/>
        <v>Tapioca · INTA-0302</v>
      </c>
      <c r="O309" s="13"/>
      <c r="P309" s="13"/>
      <c r="Q309" s="13"/>
    </row>
    <row r="310" spans="1:17" ht="15" customHeight="1">
      <c r="A310" s="140" t="s">
        <v>1055</v>
      </c>
      <c r="B310" s="140" t="s">
        <v>1056</v>
      </c>
      <c r="C310" s="140" t="s">
        <v>465</v>
      </c>
      <c r="D310" s="140" t="s">
        <v>404</v>
      </c>
      <c r="E310" s="164">
        <v>131</v>
      </c>
      <c r="F310" s="164">
        <v>1.6</v>
      </c>
      <c r="G310" s="164">
        <v>30.2</v>
      </c>
      <c r="H310" s="164">
        <v>0.4</v>
      </c>
      <c r="I310" s="165" t="s">
        <v>405</v>
      </c>
      <c r="J310" s="140" t="s">
        <v>405</v>
      </c>
      <c r="K310" s="165" t="s">
        <v>405</v>
      </c>
      <c r="L310" s="140" t="s">
        <v>406</v>
      </c>
      <c r="M310" s="140" t="s">
        <v>66</v>
      </c>
      <c r="N310" s="140" t="str">
        <f t="shared" si="4"/>
        <v>Camote · INTA-0303</v>
      </c>
      <c r="O310" s="13"/>
      <c r="P310" s="13"/>
      <c r="Q310" s="13"/>
    </row>
    <row r="311" spans="1:17" ht="15" customHeight="1">
      <c r="A311" s="136" t="s">
        <v>1057</v>
      </c>
      <c r="B311" s="136" t="s">
        <v>1058</v>
      </c>
      <c r="C311" s="136" t="s">
        <v>465</v>
      </c>
      <c r="D311" s="136" t="s">
        <v>404</v>
      </c>
      <c r="E311" s="162">
        <v>89</v>
      </c>
      <c r="F311" s="162">
        <v>2.2999999999999998</v>
      </c>
      <c r="G311" s="162">
        <v>17.8</v>
      </c>
      <c r="H311" s="162">
        <v>0.2</v>
      </c>
      <c r="I311" s="162">
        <v>1.8</v>
      </c>
      <c r="J311" s="136" t="s">
        <v>405</v>
      </c>
      <c r="K311" s="163" t="s">
        <v>405</v>
      </c>
      <c r="L311" s="136" t="s">
        <v>406</v>
      </c>
      <c r="M311" s="136" t="s">
        <v>66</v>
      </c>
      <c r="N311" s="136" t="str">
        <f t="shared" si="4"/>
        <v>Papa cocida · INTA-0304</v>
      </c>
      <c r="O311" s="13"/>
      <c r="P311" s="13"/>
      <c r="Q311" s="13"/>
    </row>
    <row r="312" spans="1:17" ht="15" customHeight="1">
      <c r="A312" s="140" t="s">
        <v>1059</v>
      </c>
      <c r="B312" s="140" t="s">
        <v>1060</v>
      </c>
      <c r="C312" s="140" t="s">
        <v>465</v>
      </c>
      <c r="D312" s="140" t="s">
        <v>404</v>
      </c>
      <c r="E312" s="164">
        <v>80</v>
      </c>
      <c r="F312" s="164">
        <v>3.1</v>
      </c>
      <c r="G312" s="164">
        <v>16.5</v>
      </c>
      <c r="H312" s="164">
        <v>0.2</v>
      </c>
      <c r="I312" s="165" t="s">
        <v>405</v>
      </c>
      <c r="J312" s="140" t="s">
        <v>405</v>
      </c>
      <c r="K312" s="165" t="s">
        <v>405</v>
      </c>
      <c r="L312" s="140" t="s">
        <v>406</v>
      </c>
      <c r="M312" s="140" t="s">
        <v>66</v>
      </c>
      <c r="N312" s="140" t="str">
        <f t="shared" si="4"/>
        <v>Papa cruda · INTA-0305</v>
      </c>
      <c r="O312" s="13"/>
      <c r="P312" s="13"/>
      <c r="Q312" s="13"/>
    </row>
    <row r="313" spans="1:17" ht="15" customHeight="1">
      <c r="A313" s="136" t="s">
        <v>1061</v>
      </c>
      <c r="B313" s="136" t="s">
        <v>1062</v>
      </c>
      <c r="C313" s="136" t="s">
        <v>465</v>
      </c>
      <c r="D313" s="136" t="s">
        <v>404</v>
      </c>
      <c r="E313" s="162">
        <v>79</v>
      </c>
      <c r="F313" s="162">
        <v>2.1</v>
      </c>
      <c r="G313" s="162">
        <v>16.8</v>
      </c>
      <c r="H313" s="162">
        <v>0.1</v>
      </c>
      <c r="I313" s="162">
        <v>1.3</v>
      </c>
      <c r="J313" s="136" t="s">
        <v>405</v>
      </c>
      <c r="K313" s="163" t="s">
        <v>405</v>
      </c>
      <c r="L313" s="136" t="s">
        <v>406</v>
      </c>
      <c r="M313" s="136" t="s">
        <v>66</v>
      </c>
      <c r="N313" s="136" t="str">
        <f t="shared" si="4"/>
        <v>Papa entera rojiza · INTA-0306</v>
      </c>
      <c r="O313" s="13"/>
      <c r="P313" s="13"/>
      <c r="Q313" s="13"/>
    </row>
    <row r="314" spans="1:17" ht="15" customHeight="1">
      <c r="A314" s="140" t="s">
        <v>1063</v>
      </c>
      <c r="B314" s="140" t="s">
        <v>1064</v>
      </c>
      <c r="C314" s="140" t="s">
        <v>407</v>
      </c>
      <c r="D314" s="140" t="s">
        <v>404</v>
      </c>
      <c r="E314" s="164">
        <v>884</v>
      </c>
      <c r="F314" s="164">
        <v>0</v>
      </c>
      <c r="G314" s="164">
        <v>0</v>
      </c>
      <c r="H314" s="164">
        <v>100</v>
      </c>
      <c r="I314" s="164">
        <v>0</v>
      </c>
      <c r="J314" s="140" t="s">
        <v>405</v>
      </c>
      <c r="K314" s="165" t="s">
        <v>405</v>
      </c>
      <c r="L314" s="140" t="s">
        <v>406</v>
      </c>
      <c r="M314" s="140" t="s">
        <v>66</v>
      </c>
      <c r="N314" s="140" t="str">
        <f t="shared" si="4"/>
        <v>Aceite de canola · INTA-0307</v>
      </c>
      <c r="O314" s="13"/>
      <c r="P314" s="13"/>
      <c r="Q314" s="13"/>
    </row>
    <row r="315" spans="1:17" ht="15" customHeight="1">
      <c r="A315" s="136" t="s">
        <v>1065</v>
      </c>
      <c r="B315" s="136" t="s">
        <v>1066</v>
      </c>
      <c r="C315" s="136" t="s">
        <v>407</v>
      </c>
      <c r="D315" s="136" t="s">
        <v>404</v>
      </c>
      <c r="E315" s="162">
        <v>892</v>
      </c>
      <c r="F315" s="162">
        <v>0</v>
      </c>
      <c r="G315" s="162">
        <v>0.9</v>
      </c>
      <c r="H315" s="162">
        <v>99.1</v>
      </c>
      <c r="I315" s="162">
        <v>0</v>
      </c>
      <c r="J315" s="136" t="s">
        <v>405</v>
      </c>
      <c r="K315" s="163" t="s">
        <v>405</v>
      </c>
      <c r="L315" s="136" t="s">
        <v>406</v>
      </c>
      <c r="M315" s="136" t="s">
        <v>66</v>
      </c>
      <c r="N315" s="136" t="str">
        <f t="shared" si="4"/>
        <v>Aceite de coco · INTA-0308</v>
      </c>
      <c r="O315" s="13"/>
      <c r="P315" s="13"/>
      <c r="Q315" s="13"/>
    </row>
    <row r="316" spans="1:17" ht="15" customHeight="1">
      <c r="A316" s="136" t="s">
        <v>1067</v>
      </c>
      <c r="B316" s="136" t="s">
        <v>1068</v>
      </c>
      <c r="C316" s="136" t="s">
        <v>407</v>
      </c>
      <c r="D316" s="136" t="s">
        <v>404</v>
      </c>
      <c r="E316" s="162">
        <v>897</v>
      </c>
      <c r="F316" s="162">
        <v>0</v>
      </c>
      <c r="G316" s="162">
        <v>0.3</v>
      </c>
      <c r="H316" s="162">
        <v>99.7</v>
      </c>
      <c r="I316" s="162">
        <v>0</v>
      </c>
      <c r="J316" s="136" t="s">
        <v>405</v>
      </c>
      <c r="K316" s="163" t="s">
        <v>405</v>
      </c>
      <c r="L316" s="136" t="s">
        <v>406</v>
      </c>
      <c r="M316" s="136" t="s">
        <v>66</v>
      </c>
      <c r="N316" s="136" t="str">
        <f t="shared" si="4"/>
        <v>Aceite de maíz · INTA-0309</v>
      </c>
      <c r="O316" s="13"/>
      <c r="P316" s="13"/>
      <c r="Q316" s="13"/>
    </row>
    <row r="317" spans="1:17" ht="15" customHeight="1">
      <c r="A317" s="140" t="s">
        <v>1069</v>
      </c>
      <c r="B317" s="140" t="s">
        <v>1070</v>
      </c>
      <c r="C317" s="140" t="s">
        <v>407</v>
      </c>
      <c r="D317" s="140" t="s">
        <v>404</v>
      </c>
      <c r="E317" s="164">
        <v>884</v>
      </c>
      <c r="F317" s="164">
        <v>0</v>
      </c>
      <c r="G317" s="164">
        <v>0</v>
      </c>
      <c r="H317" s="164">
        <v>100</v>
      </c>
      <c r="I317" s="164">
        <v>0</v>
      </c>
      <c r="J317" s="140" t="s">
        <v>405</v>
      </c>
      <c r="K317" s="165" t="s">
        <v>405</v>
      </c>
      <c r="L317" s="140" t="s">
        <v>406</v>
      </c>
      <c r="M317" s="140" t="s">
        <v>66</v>
      </c>
      <c r="N317" s="140" t="str">
        <f t="shared" si="4"/>
        <v>Aceite de maravilla · INTA-0310</v>
      </c>
      <c r="O317" s="13"/>
      <c r="P317" s="13"/>
      <c r="Q317" s="13"/>
    </row>
    <row r="318" spans="1:17" ht="15" customHeight="1">
      <c r="A318" s="140" t="s">
        <v>1071</v>
      </c>
      <c r="B318" s="140" t="s">
        <v>1072</v>
      </c>
      <c r="C318" s="140" t="s">
        <v>407</v>
      </c>
      <c r="D318" s="140" t="s">
        <v>404</v>
      </c>
      <c r="E318" s="164">
        <v>898</v>
      </c>
      <c r="F318" s="164">
        <v>0</v>
      </c>
      <c r="G318" s="164">
        <v>0.2</v>
      </c>
      <c r="H318" s="164">
        <v>99.8</v>
      </c>
      <c r="I318" s="164">
        <v>0</v>
      </c>
      <c r="J318" s="140" t="s">
        <v>405</v>
      </c>
      <c r="K318" s="165" t="s">
        <v>405</v>
      </c>
      <c r="L318" s="140" t="s">
        <v>406</v>
      </c>
      <c r="M318" s="140" t="s">
        <v>66</v>
      </c>
      <c r="N318" s="140" t="str">
        <f t="shared" si="4"/>
        <v>Aceite de maravilla (USDA) · INTA-0311</v>
      </c>
      <c r="O318" s="13"/>
      <c r="P318" s="13"/>
      <c r="Q318" s="13"/>
    </row>
    <row r="319" spans="1:17" ht="15" customHeight="1">
      <c r="A319" s="136" t="s">
        <v>1073</v>
      </c>
      <c r="B319" s="136" t="s">
        <v>1074</v>
      </c>
      <c r="C319" s="136" t="s">
        <v>407</v>
      </c>
      <c r="D319" s="136" t="s">
        <v>404</v>
      </c>
      <c r="E319" s="162">
        <v>897</v>
      </c>
      <c r="F319" s="162">
        <v>0</v>
      </c>
      <c r="G319" s="162">
        <v>0.3</v>
      </c>
      <c r="H319" s="162">
        <v>99.7</v>
      </c>
      <c r="I319" s="162">
        <v>0</v>
      </c>
      <c r="J319" s="136" t="s">
        <v>405</v>
      </c>
      <c r="K319" s="163" t="s">
        <v>405</v>
      </c>
      <c r="L319" s="136" t="s">
        <v>406</v>
      </c>
      <c r="M319" s="136" t="s">
        <v>66</v>
      </c>
      <c r="N319" s="136" t="str">
        <f t="shared" si="4"/>
        <v>Aceite de maravilla (Schmidt) · INTA-0312</v>
      </c>
      <c r="O319" s="13"/>
      <c r="P319" s="13"/>
      <c r="Q319" s="13"/>
    </row>
    <row r="320" spans="1:17" ht="15" customHeight="1">
      <c r="A320" s="140" t="s">
        <v>1075</v>
      </c>
      <c r="B320" s="140" t="s">
        <v>1076</v>
      </c>
      <c r="C320" s="140" t="s">
        <v>407</v>
      </c>
      <c r="D320" s="140" t="s">
        <v>404</v>
      </c>
      <c r="E320" s="164">
        <v>884</v>
      </c>
      <c r="F320" s="164">
        <v>0</v>
      </c>
      <c r="G320" s="164">
        <v>0</v>
      </c>
      <c r="H320" s="164">
        <v>100</v>
      </c>
      <c r="I320" s="164">
        <v>0</v>
      </c>
      <c r="J320" s="140" t="s">
        <v>405</v>
      </c>
      <c r="K320" s="165" t="s">
        <v>405</v>
      </c>
      <c r="L320" s="140" t="s">
        <v>406</v>
      </c>
      <c r="M320" s="140" t="s">
        <v>66</v>
      </c>
      <c r="N320" s="140" t="str">
        <f t="shared" si="4"/>
        <v>Aceite de oliva · INTA-0313</v>
      </c>
      <c r="O320" s="13"/>
      <c r="P320" s="13"/>
      <c r="Q320" s="13"/>
    </row>
    <row r="321" spans="1:17" ht="15" customHeight="1">
      <c r="A321" s="136" t="s">
        <v>1077</v>
      </c>
      <c r="B321" s="136" t="s">
        <v>1078</v>
      </c>
      <c r="C321" s="136" t="s">
        <v>407</v>
      </c>
      <c r="D321" s="136" t="s">
        <v>404</v>
      </c>
      <c r="E321" s="162">
        <v>887</v>
      </c>
      <c r="F321" s="162">
        <v>0.2</v>
      </c>
      <c r="G321" s="162">
        <v>0</v>
      </c>
      <c r="H321" s="162">
        <v>97.9</v>
      </c>
      <c r="I321" s="163" t="s">
        <v>405</v>
      </c>
      <c r="J321" s="136" t="s">
        <v>405</v>
      </c>
      <c r="K321" s="163" t="s">
        <v>405</v>
      </c>
      <c r="L321" s="136" t="s">
        <v>406</v>
      </c>
      <c r="M321" s="136" t="s">
        <v>66</v>
      </c>
      <c r="N321" s="136" t="str">
        <f t="shared" si="4"/>
        <v>Aceite de oliva extra virgen · INTA-0314</v>
      </c>
      <c r="O321" s="13"/>
      <c r="P321" s="13"/>
      <c r="Q321" s="13"/>
    </row>
    <row r="322" spans="1:17" ht="15" customHeight="1">
      <c r="A322" s="140" t="s">
        <v>1079</v>
      </c>
      <c r="B322" s="140" t="s">
        <v>1080</v>
      </c>
      <c r="C322" s="140" t="s">
        <v>407</v>
      </c>
      <c r="D322" s="140" t="s">
        <v>404</v>
      </c>
      <c r="E322" s="164">
        <v>884</v>
      </c>
      <c r="F322" s="164">
        <v>0</v>
      </c>
      <c r="G322" s="164">
        <v>0</v>
      </c>
      <c r="H322" s="164">
        <v>100</v>
      </c>
      <c r="I322" s="164">
        <v>0</v>
      </c>
      <c r="J322" s="140" t="s">
        <v>405</v>
      </c>
      <c r="K322" s="165" t="s">
        <v>405</v>
      </c>
      <c r="L322" s="140" t="s">
        <v>406</v>
      </c>
      <c r="M322" s="140" t="s">
        <v>66</v>
      </c>
      <c r="N322" s="140" t="str">
        <f t="shared" si="4"/>
        <v>Aceite de palma · INTA-0315</v>
      </c>
      <c r="O322" s="13"/>
      <c r="P322" s="13"/>
      <c r="Q322" s="13"/>
    </row>
    <row r="323" spans="1:17" ht="15" customHeight="1">
      <c r="A323" s="136" t="s">
        <v>1081</v>
      </c>
      <c r="B323" s="136" t="s">
        <v>1082</v>
      </c>
      <c r="C323" s="136" t="s">
        <v>407</v>
      </c>
      <c r="D323" s="136" t="s">
        <v>404</v>
      </c>
      <c r="E323" s="162">
        <v>897</v>
      </c>
      <c r="F323" s="162">
        <v>0</v>
      </c>
      <c r="G323" s="162">
        <v>0.3</v>
      </c>
      <c r="H323" s="162">
        <v>99.7</v>
      </c>
      <c r="I323" s="162">
        <v>0</v>
      </c>
      <c r="J323" s="136" t="s">
        <v>405</v>
      </c>
      <c r="K323" s="163" t="s">
        <v>405</v>
      </c>
      <c r="L323" s="136" t="s">
        <v>406</v>
      </c>
      <c r="M323" s="136" t="s">
        <v>66</v>
      </c>
      <c r="N323" s="136" t="str">
        <f t="shared" si="4"/>
        <v>Aceite de soja · INTA-0316</v>
      </c>
      <c r="O323" s="13"/>
      <c r="P323" s="13"/>
      <c r="Q323" s="13"/>
    </row>
    <row r="324" spans="1:17" ht="15" customHeight="1">
      <c r="A324" s="140" t="s">
        <v>1083</v>
      </c>
      <c r="B324" s="140" t="s">
        <v>1084</v>
      </c>
      <c r="C324" s="140" t="s">
        <v>407</v>
      </c>
      <c r="D324" s="140" t="s">
        <v>404</v>
      </c>
      <c r="E324" s="164">
        <v>884</v>
      </c>
      <c r="F324" s="164">
        <v>0</v>
      </c>
      <c r="G324" s="164">
        <v>0</v>
      </c>
      <c r="H324" s="164">
        <v>100</v>
      </c>
      <c r="I324" s="164">
        <v>0</v>
      </c>
      <c r="J324" s="140" t="s">
        <v>405</v>
      </c>
      <c r="K324" s="165" t="s">
        <v>405</v>
      </c>
      <c r="L324" s="140" t="s">
        <v>406</v>
      </c>
      <c r="M324" s="140" t="s">
        <v>66</v>
      </c>
      <c r="N324" s="140" t="str">
        <f t="shared" si="4"/>
        <v>Aceite de soja (USDA) · INTA-0317</v>
      </c>
      <c r="O324" s="13"/>
      <c r="P324" s="13"/>
      <c r="Q324" s="13"/>
    </row>
    <row r="325" spans="1:17" ht="15" customHeight="1">
      <c r="A325" s="136" t="s">
        <v>1085</v>
      </c>
      <c r="B325" s="136" t="s">
        <v>1086</v>
      </c>
      <c r="C325" s="136" t="s">
        <v>407</v>
      </c>
      <c r="D325" s="136" t="s">
        <v>404</v>
      </c>
      <c r="E325" s="162">
        <v>897</v>
      </c>
      <c r="F325" s="162">
        <v>0.4</v>
      </c>
      <c r="G325" s="162">
        <v>0</v>
      </c>
      <c r="H325" s="162">
        <v>99.4</v>
      </c>
      <c r="I325" s="162">
        <v>0</v>
      </c>
      <c r="J325" s="136" t="s">
        <v>405</v>
      </c>
      <c r="K325" s="163" t="s">
        <v>405</v>
      </c>
      <c r="L325" s="136" t="s">
        <v>406</v>
      </c>
      <c r="M325" s="136" t="s">
        <v>66</v>
      </c>
      <c r="N325" s="136" t="str">
        <f t="shared" si="4"/>
        <v>Aceite palta orgánico · INTA-0318</v>
      </c>
      <c r="O325" s="13"/>
      <c r="P325" s="13"/>
      <c r="Q325" s="13"/>
    </row>
    <row r="326" spans="1:17" ht="15" customHeight="1">
      <c r="A326" s="140" t="s">
        <v>1087</v>
      </c>
      <c r="B326" s="140" t="s">
        <v>1088</v>
      </c>
      <c r="C326" s="140" t="s">
        <v>407</v>
      </c>
      <c r="D326" s="140" t="s">
        <v>404</v>
      </c>
      <c r="E326" s="164">
        <v>181</v>
      </c>
      <c r="F326" s="164">
        <v>7</v>
      </c>
      <c r="G326" s="164">
        <v>7</v>
      </c>
      <c r="H326" s="164">
        <v>14.1</v>
      </c>
      <c r="I326" s="164">
        <v>0</v>
      </c>
      <c r="J326" s="140" t="s">
        <v>405</v>
      </c>
      <c r="K326" s="165" t="s">
        <v>405</v>
      </c>
      <c r="L326" s="140" t="s">
        <v>406</v>
      </c>
      <c r="M326" s="140" t="s">
        <v>66</v>
      </c>
      <c r="N326" s="140" t="str">
        <f t="shared" si="4"/>
        <v>Crema ácida · INTA-0319</v>
      </c>
      <c r="O326" s="13"/>
      <c r="P326" s="13"/>
      <c r="Q326" s="13"/>
    </row>
    <row r="327" spans="1:17" ht="15" customHeight="1">
      <c r="A327" s="140" t="s">
        <v>1089</v>
      </c>
      <c r="B327" s="140" t="s">
        <v>1090</v>
      </c>
      <c r="C327" s="140" t="s">
        <v>407</v>
      </c>
      <c r="D327" s="140" t="s">
        <v>404</v>
      </c>
      <c r="E327" s="164">
        <v>345</v>
      </c>
      <c r="F327" s="164">
        <v>2.1</v>
      </c>
      <c r="G327" s="164">
        <v>2.8</v>
      </c>
      <c r="H327" s="164">
        <v>37</v>
      </c>
      <c r="I327" s="164">
        <v>0</v>
      </c>
      <c r="J327" s="140" t="s">
        <v>405</v>
      </c>
      <c r="K327" s="165" t="s">
        <v>405</v>
      </c>
      <c r="L327" s="140" t="s">
        <v>406</v>
      </c>
      <c r="M327" s="140" t="s">
        <v>66</v>
      </c>
      <c r="N327" s="140" t="str">
        <f t="shared" si="4"/>
        <v>Crema chantilly · INTA-0320</v>
      </c>
      <c r="O327" s="13"/>
      <c r="P327" s="13"/>
      <c r="Q327" s="13"/>
    </row>
    <row r="328" spans="1:17" ht="15" customHeight="1">
      <c r="A328" s="136" t="s">
        <v>1091</v>
      </c>
      <c r="B328" s="136" t="s">
        <v>1092</v>
      </c>
      <c r="C328" s="136" t="s">
        <v>407</v>
      </c>
      <c r="D328" s="136" t="s">
        <v>404</v>
      </c>
      <c r="E328" s="162">
        <v>194</v>
      </c>
      <c r="F328" s="162">
        <v>2.7</v>
      </c>
      <c r="G328" s="162">
        <v>4.8</v>
      </c>
      <c r="H328" s="162">
        <v>18.2</v>
      </c>
      <c r="I328" s="162">
        <v>0</v>
      </c>
      <c r="J328" s="136" t="s">
        <v>405</v>
      </c>
      <c r="K328" s="163" t="s">
        <v>405</v>
      </c>
      <c r="L328" s="136" t="s">
        <v>406</v>
      </c>
      <c r="M328" s="136" t="s">
        <v>66</v>
      </c>
      <c r="N328" s="136" t="str">
        <f t="shared" ref="N328:N391" si="5">B328&amp;" · "&amp;A328</f>
        <v>Crema de leche light · INTA-0321</v>
      </c>
      <c r="O328" s="13"/>
      <c r="P328" s="13"/>
      <c r="Q328" s="13"/>
    </row>
    <row r="329" spans="1:17" ht="15" customHeight="1">
      <c r="A329" s="140" t="s">
        <v>1093</v>
      </c>
      <c r="B329" s="140" t="s">
        <v>1094</v>
      </c>
      <c r="C329" s="140" t="s">
        <v>407</v>
      </c>
      <c r="D329" s="140" t="s">
        <v>404</v>
      </c>
      <c r="E329" s="164">
        <v>897</v>
      </c>
      <c r="F329" s="164">
        <v>0</v>
      </c>
      <c r="G329" s="164">
        <v>0</v>
      </c>
      <c r="H329" s="164">
        <v>99.5</v>
      </c>
      <c r="I329" s="164">
        <v>0</v>
      </c>
      <c r="J329" s="140" t="s">
        <v>405</v>
      </c>
      <c r="K329" s="165" t="s">
        <v>405</v>
      </c>
      <c r="L329" s="140" t="s">
        <v>406</v>
      </c>
      <c r="M329" s="140" t="s">
        <v>66</v>
      </c>
      <c r="N329" s="140" t="str">
        <f t="shared" si="5"/>
        <v>Grasa animal · INTA-0322</v>
      </c>
      <c r="O329" s="13"/>
      <c r="P329" s="13"/>
      <c r="Q329" s="13"/>
    </row>
    <row r="330" spans="1:17" ht="15" customHeight="1">
      <c r="A330" s="136" t="s">
        <v>1095</v>
      </c>
      <c r="B330" s="136" t="s">
        <v>1096</v>
      </c>
      <c r="C330" s="136" t="s">
        <v>407</v>
      </c>
      <c r="D330" s="136" t="s">
        <v>404</v>
      </c>
      <c r="E330" s="162">
        <v>897</v>
      </c>
      <c r="F330" s="162">
        <v>0</v>
      </c>
      <c r="G330" s="162">
        <v>0.3</v>
      </c>
      <c r="H330" s="162">
        <v>99.7</v>
      </c>
      <c r="I330" s="162">
        <v>0</v>
      </c>
      <c r="J330" s="136" t="s">
        <v>405</v>
      </c>
      <c r="K330" s="163" t="s">
        <v>405</v>
      </c>
      <c r="L330" s="136" t="s">
        <v>406</v>
      </c>
      <c r="M330" s="136" t="s">
        <v>66</v>
      </c>
      <c r="N330" s="136" t="str">
        <f t="shared" si="5"/>
        <v>Manteca vegetal · INTA-0323</v>
      </c>
      <c r="O330" s="13"/>
      <c r="P330" s="13"/>
      <c r="Q330" s="13"/>
    </row>
    <row r="331" spans="1:17" ht="15" customHeight="1">
      <c r="A331" s="136" t="s">
        <v>1097</v>
      </c>
      <c r="B331" s="136" t="s">
        <v>1098</v>
      </c>
      <c r="C331" s="136" t="s">
        <v>407</v>
      </c>
      <c r="D331" s="136" t="s">
        <v>404</v>
      </c>
      <c r="E331" s="162">
        <v>717</v>
      </c>
      <c r="F331" s="162">
        <v>0.9</v>
      </c>
      <c r="G331" s="162">
        <v>0.1</v>
      </c>
      <c r="H331" s="162">
        <v>81.099999999999994</v>
      </c>
      <c r="I331" s="162">
        <v>0</v>
      </c>
      <c r="J331" s="136" t="s">
        <v>405</v>
      </c>
      <c r="K331" s="163" t="s">
        <v>405</v>
      </c>
      <c r="L331" s="136" t="s">
        <v>406</v>
      </c>
      <c r="M331" s="136" t="s">
        <v>66</v>
      </c>
      <c r="N331" s="136" t="str">
        <f t="shared" si="5"/>
        <v>Mantequilla (USDA) · INTA-0324</v>
      </c>
      <c r="O331" s="13"/>
      <c r="P331" s="13"/>
      <c r="Q331" s="13"/>
    </row>
    <row r="332" spans="1:17" ht="15" customHeight="1">
      <c r="A332" s="140" t="s">
        <v>1099</v>
      </c>
      <c r="B332" s="140" t="s">
        <v>1100</v>
      </c>
      <c r="C332" s="140" t="s">
        <v>407</v>
      </c>
      <c r="D332" s="140" t="s">
        <v>404</v>
      </c>
      <c r="E332" s="164">
        <v>749</v>
      </c>
      <c r="F332" s="164">
        <v>0.3</v>
      </c>
      <c r="G332" s="164">
        <v>0</v>
      </c>
      <c r="H332" s="164">
        <v>83.1</v>
      </c>
      <c r="I332" s="165" t="s">
        <v>405</v>
      </c>
      <c r="J332" s="140" t="s">
        <v>405</v>
      </c>
      <c r="K332" s="165" t="s">
        <v>405</v>
      </c>
      <c r="L332" s="140" t="s">
        <v>406</v>
      </c>
      <c r="M332" s="140" t="s">
        <v>66</v>
      </c>
      <c r="N332" s="140" t="str">
        <f t="shared" si="5"/>
        <v>Mantequilla (Analisis INTA) · INTA-0325</v>
      </c>
      <c r="O332" s="13"/>
      <c r="P332" s="13"/>
      <c r="Q332" s="13"/>
    </row>
    <row r="333" spans="1:17" ht="15" customHeight="1">
      <c r="A333" s="136" t="s">
        <v>1101</v>
      </c>
      <c r="B333" s="136" t="s">
        <v>1102</v>
      </c>
      <c r="C333" s="136" t="s">
        <v>407</v>
      </c>
      <c r="D333" s="136" t="s">
        <v>404</v>
      </c>
      <c r="E333" s="162">
        <v>717</v>
      </c>
      <c r="F333" s="162">
        <v>0.2</v>
      </c>
      <c r="G333" s="162">
        <v>0.7</v>
      </c>
      <c r="H333" s="162">
        <v>80.7</v>
      </c>
      <c r="I333" s="162">
        <v>0</v>
      </c>
      <c r="J333" s="136" t="s">
        <v>405</v>
      </c>
      <c r="K333" s="163" t="s">
        <v>405</v>
      </c>
      <c r="L333" s="136" t="s">
        <v>406</v>
      </c>
      <c r="M333" s="136" t="s">
        <v>66</v>
      </c>
      <c r="N333" s="136" t="str">
        <f t="shared" si="5"/>
        <v>Margarina (USDA) · INTA-0326</v>
      </c>
      <c r="O333" s="13"/>
      <c r="P333" s="13"/>
      <c r="Q333" s="13"/>
    </row>
    <row r="334" spans="1:17" ht="15" customHeight="1">
      <c r="A334" s="140" t="s">
        <v>1103</v>
      </c>
      <c r="B334" s="140" t="s">
        <v>1104</v>
      </c>
      <c r="C334" s="140" t="s">
        <v>407</v>
      </c>
      <c r="D334" s="140" t="s">
        <v>404</v>
      </c>
      <c r="E334" s="164">
        <v>700</v>
      </c>
      <c r="F334" s="164">
        <v>0.6</v>
      </c>
      <c r="G334" s="164">
        <v>0.2</v>
      </c>
      <c r="H334" s="164">
        <v>77.400000000000006</v>
      </c>
      <c r="I334" s="165" t="s">
        <v>405</v>
      </c>
      <c r="J334" s="140" t="s">
        <v>405</v>
      </c>
      <c r="K334" s="165" t="s">
        <v>405</v>
      </c>
      <c r="L334" s="140" t="s">
        <v>406</v>
      </c>
      <c r="M334" s="140" t="s">
        <v>66</v>
      </c>
      <c r="N334" s="140" t="str">
        <f t="shared" si="5"/>
        <v>Margarina (Analisis INTA) · INTA-0327</v>
      </c>
      <c r="O334" s="13"/>
      <c r="P334" s="13"/>
      <c r="Q334" s="13"/>
    </row>
    <row r="335" spans="1:17" ht="15" customHeight="1">
      <c r="A335" s="140" t="s">
        <v>1105</v>
      </c>
      <c r="B335" s="140" t="s">
        <v>1106</v>
      </c>
      <c r="C335" s="140" t="s">
        <v>407</v>
      </c>
      <c r="D335" s="140" t="s">
        <v>404</v>
      </c>
      <c r="E335" s="164">
        <v>424</v>
      </c>
      <c r="F335" s="164">
        <v>0.2</v>
      </c>
      <c r="G335" s="164">
        <v>0.9</v>
      </c>
      <c r="H335" s="164">
        <v>47.5</v>
      </c>
      <c r="I335" s="164">
        <v>0</v>
      </c>
      <c r="J335" s="140" t="s">
        <v>405</v>
      </c>
      <c r="K335" s="165" t="s">
        <v>405</v>
      </c>
      <c r="L335" s="140" t="s">
        <v>406</v>
      </c>
      <c r="M335" s="140" t="s">
        <v>66</v>
      </c>
      <c r="N335" s="140" t="str">
        <f t="shared" si="5"/>
        <v>Margarina reducida en grasa · INTA-0328</v>
      </c>
      <c r="O335" s="13"/>
      <c r="P335" s="13"/>
      <c r="Q335" s="13"/>
    </row>
    <row r="336" spans="1:17" ht="15" customHeight="1">
      <c r="A336" s="136" t="s">
        <v>1107</v>
      </c>
      <c r="B336" s="136" t="s">
        <v>1108</v>
      </c>
      <c r="C336" s="136" t="s">
        <v>407</v>
      </c>
      <c r="D336" s="136" t="s">
        <v>404</v>
      </c>
      <c r="E336" s="162">
        <v>192</v>
      </c>
      <c r="F336" s="162">
        <v>0</v>
      </c>
      <c r="G336" s="162">
        <v>0</v>
      </c>
      <c r="H336" s="162">
        <v>21.3</v>
      </c>
      <c r="I336" s="162">
        <v>0</v>
      </c>
      <c r="J336" s="136" t="s">
        <v>405</v>
      </c>
      <c r="K336" s="163" t="s">
        <v>405</v>
      </c>
      <c r="L336" s="136" t="s">
        <v>406</v>
      </c>
      <c r="M336" s="136" t="s">
        <v>66</v>
      </c>
      <c r="N336" s="136" t="str">
        <f t="shared" si="5"/>
        <v>Margarina reducida en grasa (Mercado) · INTA-0329</v>
      </c>
      <c r="O336" s="13"/>
      <c r="P336" s="13"/>
      <c r="Q336" s="13"/>
    </row>
    <row r="337" spans="1:17" ht="15" customHeight="1">
      <c r="A337" s="140" t="s">
        <v>1109</v>
      </c>
      <c r="B337" s="140" t="s">
        <v>1110</v>
      </c>
      <c r="C337" s="140" t="s">
        <v>407</v>
      </c>
      <c r="D337" s="140" t="s">
        <v>404</v>
      </c>
      <c r="E337" s="164">
        <v>717</v>
      </c>
      <c r="F337" s="164">
        <v>1.1000000000000001</v>
      </c>
      <c r="G337" s="164">
        <v>2.75</v>
      </c>
      <c r="H337" s="164">
        <v>79.7</v>
      </c>
      <c r="I337" s="164">
        <v>0</v>
      </c>
      <c r="J337" s="140" t="s">
        <v>405</v>
      </c>
      <c r="K337" s="165" t="s">
        <v>405</v>
      </c>
      <c r="L337" s="140" t="s">
        <v>406</v>
      </c>
      <c r="M337" s="140" t="s">
        <v>66</v>
      </c>
      <c r="N337" s="140" t="str">
        <f t="shared" si="5"/>
        <v>Mayonesa · INTA-0330</v>
      </c>
      <c r="O337" s="13"/>
      <c r="P337" s="13"/>
      <c r="Q337" s="13"/>
    </row>
    <row r="338" spans="1:17" ht="15" customHeight="1">
      <c r="A338" s="136" t="s">
        <v>1111</v>
      </c>
      <c r="B338" s="136" t="s">
        <v>1112</v>
      </c>
      <c r="C338" s="136" t="s">
        <v>407</v>
      </c>
      <c r="D338" s="136" t="s">
        <v>404</v>
      </c>
      <c r="E338" s="162">
        <v>671</v>
      </c>
      <c r="F338" s="162">
        <v>7.2</v>
      </c>
      <c r="G338" s="162">
        <v>1.8</v>
      </c>
      <c r="H338" s="162">
        <v>70.599999999999994</v>
      </c>
      <c r="I338" s="163" t="s">
        <v>405</v>
      </c>
      <c r="J338" s="136" t="s">
        <v>405</v>
      </c>
      <c r="K338" s="163" t="s">
        <v>405</v>
      </c>
      <c r="L338" s="136" t="s">
        <v>406</v>
      </c>
      <c r="M338" s="136" t="s">
        <v>66</v>
      </c>
      <c r="N338" s="136" t="str">
        <f t="shared" si="5"/>
        <v>Mayonesa casera · INTA-0331</v>
      </c>
      <c r="O338" s="13"/>
      <c r="P338" s="13"/>
      <c r="Q338" s="13"/>
    </row>
    <row r="339" spans="1:17" ht="15" customHeight="1">
      <c r="A339" s="136" t="s">
        <v>1113</v>
      </c>
      <c r="B339" s="136" t="s">
        <v>1114</v>
      </c>
      <c r="C339" s="136" t="s">
        <v>497</v>
      </c>
      <c r="D339" s="136" t="s">
        <v>404</v>
      </c>
      <c r="E339" s="162">
        <v>27</v>
      </c>
      <c r="F339" s="162">
        <v>4.4000000000000004</v>
      </c>
      <c r="G339" s="162">
        <v>2</v>
      </c>
      <c r="H339" s="162">
        <v>0.2</v>
      </c>
      <c r="I339" s="162">
        <v>5</v>
      </c>
      <c r="J339" s="136" t="s">
        <v>405</v>
      </c>
      <c r="K339" s="163" t="s">
        <v>405</v>
      </c>
      <c r="L339" s="136" t="s">
        <v>406</v>
      </c>
      <c r="M339" s="136" t="s">
        <v>66</v>
      </c>
      <c r="N339" s="136" t="str">
        <f t="shared" si="5"/>
        <v>Acelga cocida · INTA-0332</v>
      </c>
      <c r="O339" s="13"/>
      <c r="P339" s="13"/>
      <c r="Q339" s="13"/>
    </row>
    <row r="340" spans="1:17" ht="15" customHeight="1">
      <c r="A340" s="140" t="s">
        <v>1115</v>
      </c>
      <c r="B340" s="140" t="s">
        <v>1116</v>
      </c>
      <c r="C340" s="140" t="s">
        <v>497</v>
      </c>
      <c r="D340" s="140" t="s">
        <v>404</v>
      </c>
      <c r="E340" s="164">
        <v>20</v>
      </c>
      <c r="F340" s="164">
        <v>1.7</v>
      </c>
      <c r="G340" s="164">
        <v>0.7</v>
      </c>
      <c r="H340" s="164">
        <v>0.1</v>
      </c>
      <c r="I340" s="164">
        <v>1.6</v>
      </c>
      <c r="J340" s="140" t="s">
        <v>405</v>
      </c>
      <c r="K340" s="165" t="s">
        <v>405</v>
      </c>
      <c r="L340" s="140" t="s">
        <v>406</v>
      </c>
      <c r="M340" s="140" t="s">
        <v>66</v>
      </c>
      <c r="N340" s="140" t="str">
        <f t="shared" si="5"/>
        <v>Acelga · INTA-0333</v>
      </c>
      <c r="O340" s="13"/>
      <c r="P340" s="13"/>
      <c r="Q340" s="13"/>
    </row>
    <row r="341" spans="1:17" ht="15" customHeight="1">
      <c r="A341" s="136" t="s">
        <v>1117</v>
      </c>
      <c r="B341" s="136" t="s">
        <v>1118</v>
      </c>
      <c r="C341" s="136" t="s">
        <v>497</v>
      </c>
      <c r="D341" s="136" t="s">
        <v>404</v>
      </c>
      <c r="E341" s="162">
        <v>19</v>
      </c>
      <c r="F341" s="162">
        <v>1.9</v>
      </c>
      <c r="G341" s="162">
        <v>2</v>
      </c>
      <c r="H341" s="162">
        <v>0.2</v>
      </c>
      <c r="I341" s="162">
        <v>4</v>
      </c>
      <c r="J341" s="136" t="s">
        <v>405</v>
      </c>
      <c r="K341" s="163" t="s">
        <v>405</v>
      </c>
      <c r="L341" s="136" t="s">
        <v>406</v>
      </c>
      <c r="M341" s="136" t="s">
        <v>66</v>
      </c>
      <c r="N341" s="136" t="str">
        <f t="shared" si="5"/>
        <v>Acelga 2 · INTA-0334</v>
      </c>
      <c r="O341" s="13"/>
      <c r="P341" s="13"/>
      <c r="Q341" s="13"/>
    </row>
    <row r="342" spans="1:17" ht="15" customHeight="1">
      <c r="A342" s="136" t="s">
        <v>1119</v>
      </c>
      <c r="B342" s="136" t="s">
        <v>1120</v>
      </c>
      <c r="C342" s="136" t="s">
        <v>497</v>
      </c>
      <c r="D342" s="136" t="s">
        <v>404</v>
      </c>
      <c r="E342" s="162">
        <v>23</v>
      </c>
      <c r="F342" s="162">
        <v>1.8</v>
      </c>
      <c r="G342" s="162">
        <v>2.1</v>
      </c>
      <c r="H342" s="162">
        <v>0.3</v>
      </c>
      <c r="I342" s="162">
        <v>2.1</v>
      </c>
      <c r="J342" s="136" t="s">
        <v>405</v>
      </c>
      <c r="K342" s="163" t="s">
        <v>405</v>
      </c>
      <c r="L342" s="136" t="s">
        <v>406</v>
      </c>
      <c r="M342" s="136" t="s">
        <v>66</v>
      </c>
      <c r="N342" s="136" t="str">
        <f t="shared" si="5"/>
        <v>Achicoria · INTA-0335</v>
      </c>
      <c r="O342" s="13"/>
      <c r="P342" s="13"/>
      <c r="Q342" s="13"/>
    </row>
    <row r="343" spans="1:17" ht="15" customHeight="1">
      <c r="A343" s="140" t="s">
        <v>1121</v>
      </c>
      <c r="B343" s="140" t="s">
        <v>1122</v>
      </c>
      <c r="C343" s="140" t="s">
        <v>497</v>
      </c>
      <c r="D343" s="140" t="s">
        <v>404</v>
      </c>
      <c r="E343" s="164">
        <v>149</v>
      </c>
      <c r="F343" s="164">
        <v>6.4</v>
      </c>
      <c r="G343" s="164">
        <v>31</v>
      </c>
      <c r="H343" s="164">
        <v>0.5</v>
      </c>
      <c r="I343" s="164">
        <v>2.1</v>
      </c>
      <c r="J343" s="140" t="s">
        <v>405</v>
      </c>
      <c r="K343" s="165" t="s">
        <v>405</v>
      </c>
      <c r="L343" s="140" t="s">
        <v>406</v>
      </c>
      <c r="M343" s="140" t="s">
        <v>66</v>
      </c>
      <c r="N343" s="140" t="str">
        <f t="shared" si="5"/>
        <v>Ajo · INTA-0336</v>
      </c>
      <c r="O343" s="13"/>
      <c r="P343" s="13"/>
      <c r="Q343" s="13"/>
    </row>
    <row r="344" spans="1:17" ht="15" customHeight="1">
      <c r="A344" s="136" t="s">
        <v>1123</v>
      </c>
      <c r="B344" s="136" t="s">
        <v>1124</v>
      </c>
      <c r="C344" s="136" t="s">
        <v>497</v>
      </c>
      <c r="D344" s="136" t="s">
        <v>404</v>
      </c>
      <c r="E344" s="162">
        <v>53</v>
      </c>
      <c r="F344" s="162">
        <v>2.9</v>
      </c>
      <c r="G344" s="162">
        <v>6.3</v>
      </c>
      <c r="H344" s="162">
        <v>0.3</v>
      </c>
      <c r="I344" s="163">
        <v>5.7</v>
      </c>
      <c r="J344" s="136" t="s">
        <v>405</v>
      </c>
      <c r="K344" s="163" t="s">
        <v>405</v>
      </c>
      <c r="L344" s="136" t="s">
        <v>406</v>
      </c>
      <c r="M344" s="136" t="s">
        <v>66</v>
      </c>
      <c r="N344" s="136" t="str">
        <f t="shared" si="5"/>
        <v>Alcachofa · INTA-0337</v>
      </c>
      <c r="O344" s="13"/>
      <c r="P344" s="13"/>
      <c r="Q344" s="13"/>
    </row>
    <row r="345" spans="1:17" ht="15" customHeight="1">
      <c r="A345" s="140" t="s">
        <v>1125</v>
      </c>
      <c r="B345" s="140" t="s">
        <v>1126</v>
      </c>
      <c r="C345" s="140" t="s">
        <v>497</v>
      </c>
      <c r="D345" s="140" t="s">
        <v>404</v>
      </c>
      <c r="E345" s="164">
        <v>23</v>
      </c>
      <c r="F345" s="164">
        <v>4</v>
      </c>
      <c r="G345" s="164">
        <v>1</v>
      </c>
      <c r="H345" s="164">
        <v>0.7</v>
      </c>
      <c r="I345" s="164">
        <v>1.9</v>
      </c>
      <c r="J345" s="140" t="s">
        <v>405</v>
      </c>
      <c r="K345" s="165" t="s">
        <v>405</v>
      </c>
      <c r="L345" s="140" t="s">
        <v>406</v>
      </c>
      <c r="M345" s="140" t="s">
        <v>66</v>
      </c>
      <c r="N345" s="140" t="str">
        <f t="shared" si="5"/>
        <v>Alfalfa brotes · INTA-0338</v>
      </c>
      <c r="O345" s="13"/>
      <c r="P345" s="13"/>
      <c r="Q345" s="13"/>
    </row>
    <row r="346" spans="1:17" ht="15" customHeight="1">
      <c r="A346" s="136" t="s">
        <v>1127</v>
      </c>
      <c r="B346" s="136" t="s">
        <v>1128</v>
      </c>
      <c r="C346" s="136" t="s">
        <v>497</v>
      </c>
      <c r="D346" s="136" t="s">
        <v>404</v>
      </c>
      <c r="E346" s="162">
        <v>16</v>
      </c>
      <c r="F346" s="162">
        <v>0.7</v>
      </c>
      <c r="G346" s="162">
        <v>1.4</v>
      </c>
      <c r="H346" s="162">
        <v>0.2</v>
      </c>
      <c r="I346" s="162">
        <v>1.6</v>
      </c>
      <c r="J346" s="136" t="s">
        <v>405</v>
      </c>
      <c r="K346" s="163" t="s">
        <v>405</v>
      </c>
      <c r="L346" s="136" t="s">
        <v>406</v>
      </c>
      <c r="M346" s="136" t="s">
        <v>66</v>
      </c>
      <c r="N346" s="136" t="str">
        <f t="shared" si="5"/>
        <v>Apio · INTA-0339</v>
      </c>
      <c r="O346" s="13"/>
      <c r="P346" s="13"/>
      <c r="Q346" s="13"/>
    </row>
    <row r="347" spans="1:17" ht="15" customHeight="1">
      <c r="A347" s="140" t="s">
        <v>1129</v>
      </c>
      <c r="B347" s="140" t="s">
        <v>1130</v>
      </c>
      <c r="C347" s="140" t="s">
        <v>497</v>
      </c>
      <c r="D347" s="140" t="s">
        <v>404</v>
      </c>
      <c r="E347" s="164">
        <v>35</v>
      </c>
      <c r="F347" s="164">
        <v>0.8</v>
      </c>
      <c r="G347" s="164">
        <v>6.2</v>
      </c>
      <c r="H347" s="164">
        <v>0.2</v>
      </c>
      <c r="I347" s="164">
        <v>2.5</v>
      </c>
      <c r="J347" s="140" t="s">
        <v>405</v>
      </c>
      <c r="K347" s="165" t="s">
        <v>405</v>
      </c>
      <c r="L347" s="140" t="s">
        <v>406</v>
      </c>
      <c r="M347" s="140" t="s">
        <v>66</v>
      </c>
      <c r="N347" s="140" t="str">
        <f t="shared" si="5"/>
        <v>Berenjena · INTA-0340</v>
      </c>
      <c r="O347" s="13"/>
      <c r="P347" s="13"/>
      <c r="Q347" s="13"/>
    </row>
    <row r="348" spans="1:17" ht="15" customHeight="1">
      <c r="A348" s="140" t="s">
        <v>1131</v>
      </c>
      <c r="B348" s="140" t="s">
        <v>1132</v>
      </c>
      <c r="C348" s="140" t="s">
        <v>497</v>
      </c>
      <c r="D348" s="140" t="s">
        <v>404</v>
      </c>
      <c r="E348" s="164">
        <v>11</v>
      </c>
      <c r="F348" s="164">
        <v>2.2999999999999998</v>
      </c>
      <c r="G348" s="164">
        <v>0.8</v>
      </c>
      <c r="H348" s="164">
        <v>0.1</v>
      </c>
      <c r="I348" s="164">
        <v>0.5</v>
      </c>
      <c r="J348" s="140" t="s">
        <v>405</v>
      </c>
      <c r="K348" s="165" t="s">
        <v>405</v>
      </c>
      <c r="L348" s="140" t="s">
        <v>406</v>
      </c>
      <c r="M348" s="140" t="s">
        <v>66</v>
      </c>
      <c r="N348" s="140" t="str">
        <f t="shared" si="5"/>
        <v>Berro · INTA-0341</v>
      </c>
      <c r="O348" s="13"/>
      <c r="P348" s="13"/>
      <c r="Q348" s="13"/>
    </row>
    <row r="349" spans="1:17" ht="15" customHeight="1">
      <c r="A349" s="136" t="s">
        <v>1133</v>
      </c>
      <c r="B349" s="136" t="s">
        <v>1134</v>
      </c>
      <c r="C349" s="136" t="s">
        <v>497</v>
      </c>
      <c r="D349" s="136" t="s">
        <v>404</v>
      </c>
      <c r="E349" s="162">
        <v>43</v>
      </c>
      <c r="F349" s="162">
        <v>1.6</v>
      </c>
      <c r="G349" s="162">
        <v>6.8</v>
      </c>
      <c r="H349" s="162">
        <v>0.2</v>
      </c>
      <c r="I349" s="163">
        <v>2.8</v>
      </c>
      <c r="J349" s="136" t="s">
        <v>405</v>
      </c>
      <c r="K349" s="163" t="s">
        <v>405</v>
      </c>
      <c r="L349" s="136" t="s">
        <v>406</v>
      </c>
      <c r="M349" s="136" t="s">
        <v>66</v>
      </c>
      <c r="N349" s="136" t="str">
        <f t="shared" si="5"/>
        <v>Betarraga · INTA-0342</v>
      </c>
      <c r="O349" s="13"/>
      <c r="P349" s="13"/>
      <c r="Q349" s="13"/>
    </row>
    <row r="350" spans="1:17" ht="15" customHeight="1">
      <c r="A350" s="136" t="s">
        <v>1135</v>
      </c>
      <c r="B350" s="136" t="s">
        <v>1136</v>
      </c>
      <c r="C350" s="136" t="s">
        <v>497</v>
      </c>
      <c r="D350" s="136" t="s">
        <v>404</v>
      </c>
      <c r="E350" s="162">
        <v>28</v>
      </c>
      <c r="F350" s="162">
        <v>3.1</v>
      </c>
      <c r="G350" s="162">
        <v>2.4</v>
      </c>
      <c r="H350" s="162">
        <v>0.1</v>
      </c>
      <c r="I350" s="162">
        <v>3</v>
      </c>
      <c r="J350" s="136" t="s">
        <v>405</v>
      </c>
      <c r="K350" s="163" t="s">
        <v>405</v>
      </c>
      <c r="L350" s="136" t="s">
        <v>406</v>
      </c>
      <c r="M350" s="136" t="s">
        <v>66</v>
      </c>
      <c r="N350" s="136" t="str">
        <f t="shared" si="5"/>
        <v>Brócoli · INTA-0343</v>
      </c>
      <c r="O350" s="13"/>
      <c r="P350" s="13"/>
      <c r="Q350" s="13"/>
    </row>
    <row r="351" spans="1:17" ht="15" customHeight="1">
      <c r="A351" s="140" t="s">
        <v>1137</v>
      </c>
      <c r="B351" s="140" t="s">
        <v>1138</v>
      </c>
      <c r="C351" s="140" t="s">
        <v>497</v>
      </c>
      <c r="D351" s="140" t="s">
        <v>404</v>
      </c>
      <c r="E351" s="164">
        <v>40</v>
      </c>
      <c r="F351" s="164">
        <v>1.1000000000000001</v>
      </c>
      <c r="G351" s="164">
        <v>7.6</v>
      </c>
      <c r="H351" s="164">
        <v>0.1</v>
      </c>
      <c r="I351" s="164">
        <v>1.7</v>
      </c>
      <c r="J351" s="140" t="s">
        <v>405</v>
      </c>
      <c r="K351" s="165" t="s">
        <v>405</v>
      </c>
      <c r="L351" s="140" t="s">
        <v>406</v>
      </c>
      <c r="M351" s="140" t="s">
        <v>66</v>
      </c>
      <c r="N351" s="140" t="str">
        <f t="shared" si="5"/>
        <v>Cebolla · INTA-0344</v>
      </c>
      <c r="O351" s="13"/>
      <c r="P351" s="13"/>
      <c r="Q351" s="13"/>
    </row>
    <row r="352" spans="1:17" ht="15" customHeight="1">
      <c r="A352" s="140" t="s">
        <v>1139</v>
      </c>
      <c r="B352" s="140" t="s">
        <v>1140</v>
      </c>
      <c r="C352" s="140" t="s">
        <v>497</v>
      </c>
      <c r="D352" s="140" t="s">
        <v>404</v>
      </c>
      <c r="E352" s="164">
        <v>32</v>
      </c>
      <c r="F352" s="164">
        <v>1.8</v>
      </c>
      <c r="G352" s="164">
        <v>4.7</v>
      </c>
      <c r="H352" s="164">
        <v>0.2</v>
      </c>
      <c r="I352" s="164">
        <v>2.6</v>
      </c>
      <c r="J352" s="140" t="s">
        <v>405</v>
      </c>
      <c r="K352" s="165" t="s">
        <v>405</v>
      </c>
      <c r="L352" s="140" t="s">
        <v>406</v>
      </c>
      <c r="M352" s="140" t="s">
        <v>66</v>
      </c>
      <c r="N352" s="140" t="str">
        <f t="shared" si="5"/>
        <v>Cebollín · INTA-0345</v>
      </c>
      <c r="O352" s="13"/>
      <c r="P352" s="13"/>
      <c r="Q352" s="13"/>
    </row>
    <row r="353" spans="1:17" ht="15" customHeight="1">
      <c r="A353" s="136" t="s">
        <v>1141</v>
      </c>
      <c r="B353" s="136" t="s">
        <v>1142</v>
      </c>
      <c r="C353" s="136" t="s">
        <v>497</v>
      </c>
      <c r="D353" s="136" t="s">
        <v>404</v>
      </c>
      <c r="E353" s="162">
        <v>22</v>
      </c>
      <c r="F353" s="162">
        <v>3.1</v>
      </c>
      <c r="G353" s="162">
        <v>2.2999999999999998</v>
      </c>
      <c r="H353" s="162">
        <v>0.3</v>
      </c>
      <c r="I353" s="162">
        <v>1</v>
      </c>
      <c r="J353" s="136" t="s">
        <v>405</v>
      </c>
      <c r="K353" s="163" t="s">
        <v>405</v>
      </c>
      <c r="L353" s="136" t="s">
        <v>406</v>
      </c>
      <c r="M353" s="136" t="s">
        <v>66</v>
      </c>
      <c r="N353" s="136" t="str">
        <f t="shared" si="5"/>
        <v>Champiñón blanco · INTA-0346</v>
      </c>
      <c r="O353" s="13"/>
      <c r="P353" s="13"/>
      <c r="Q353" s="13"/>
    </row>
    <row r="354" spans="1:17" ht="15" customHeight="1">
      <c r="A354" s="140" t="s">
        <v>1143</v>
      </c>
      <c r="B354" s="140" t="s">
        <v>1144</v>
      </c>
      <c r="C354" s="140" t="s">
        <v>497</v>
      </c>
      <c r="D354" s="140" t="s">
        <v>404</v>
      </c>
      <c r="E354" s="164">
        <v>28</v>
      </c>
      <c r="F354" s="164">
        <v>2.2000000000000002</v>
      </c>
      <c r="G354" s="164">
        <v>3.1</v>
      </c>
      <c r="H354" s="164">
        <v>0.5</v>
      </c>
      <c r="I354" s="164">
        <v>2.2000000000000002</v>
      </c>
      <c r="J354" s="140" t="s">
        <v>405</v>
      </c>
      <c r="K354" s="165" t="s">
        <v>405</v>
      </c>
      <c r="L354" s="140" t="s">
        <v>406</v>
      </c>
      <c r="M354" s="140" t="s">
        <v>66</v>
      </c>
      <c r="N354" s="140" t="str">
        <f t="shared" si="5"/>
        <v>Champiñón blanco cocido con sal · INTA-0347</v>
      </c>
      <c r="O354" s="13"/>
      <c r="P354" s="13"/>
      <c r="Q354" s="13"/>
    </row>
    <row r="355" spans="1:17" ht="15" customHeight="1">
      <c r="A355" s="136" t="s">
        <v>1145</v>
      </c>
      <c r="B355" s="136" t="s">
        <v>1146</v>
      </c>
      <c r="C355" s="136" t="s">
        <v>497</v>
      </c>
      <c r="D355" s="136" t="s">
        <v>404</v>
      </c>
      <c r="E355" s="162">
        <v>33</v>
      </c>
      <c r="F355" s="162">
        <v>3.3</v>
      </c>
      <c r="G355" s="162">
        <v>3.8</v>
      </c>
      <c r="H355" s="162">
        <v>0.4</v>
      </c>
      <c r="I355" s="162">
        <v>2.2999999999999998</v>
      </c>
      <c r="J355" s="136" t="s">
        <v>405</v>
      </c>
      <c r="K355" s="163" t="s">
        <v>405</v>
      </c>
      <c r="L355" s="136" t="s">
        <v>406</v>
      </c>
      <c r="M355" s="136" t="s">
        <v>66</v>
      </c>
      <c r="N355" s="136" t="str">
        <f t="shared" si="5"/>
        <v>Champiñón ostra · INTA-0348</v>
      </c>
      <c r="O355" s="13"/>
      <c r="P355" s="13"/>
      <c r="Q355" s="13"/>
    </row>
    <row r="356" spans="1:17" ht="15" customHeight="1">
      <c r="A356" s="140" t="s">
        <v>1147</v>
      </c>
      <c r="B356" s="140" t="s">
        <v>1148</v>
      </c>
      <c r="C356" s="140" t="s">
        <v>497</v>
      </c>
      <c r="D356" s="140" t="s">
        <v>404</v>
      </c>
      <c r="E356" s="164">
        <v>22</v>
      </c>
      <c r="F356" s="164">
        <v>2.1</v>
      </c>
      <c r="G356" s="164">
        <v>2.6</v>
      </c>
      <c r="H356" s="164">
        <v>0.4</v>
      </c>
      <c r="I356" s="164">
        <v>1.3</v>
      </c>
      <c r="J356" s="140" t="s">
        <v>405</v>
      </c>
      <c r="K356" s="165" t="s">
        <v>405</v>
      </c>
      <c r="L356" s="140" t="s">
        <v>406</v>
      </c>
      <c r="M356" s="140" t="s">
        <v>66</v>
      </c>
      <c r="N356" s="140" t="str">
        <f t="shared" si="5"/>
        <v>Champiñón portabella · INTA-0349</v>
      </c>
      <c r="O356" s="13"/>
      <c r="P356" s="13"/>
      <c r="Q356" s="13"/>
    </row>
    <row r="357" spans="1:17" ht="15" customHeight="1">
      <c r="A357" s="136" t="s">
        <v>1149</v>
      </c>
      <c r="B357" s="136" t="s">
        <v>1150</v>
      </c>
      <c r="C357" s="136" t="s">
        <v>497</v>
      </c>
      <c r="D357" s="136" t="s">
        <v>404</v>
      </c>
      <c r="E357" s="162">
        <v>34</v>
      </c>
      <c r="F357" s="162">
        <v>2.2000000000000002</v>
      </c>
      <c r="G357" s="162">
        <v>4.3</v>
      </c>
      <c r="H357" s="162">
        <v>0.5</v>
      </c>
      <c r="I357" s="162">
        <v>2.5</v>
      </c>
      <c r="J357" s="136" t="s">
        <v>405</v>
      </c>
      <c r="K357" s="163" t="s">
        <v>405</v>
      </c>
      <c r="L357" s="136" t="s">
        <v>406</v>
      </c>
      <c r="M357" s="136" t="s">
        <v>66</v>
      </c>
      <c r="N357" s="136" t="str">
        <f t="shared" si="5"/>
        <v>Champiñón shiitake · INTA-0350</v>
      </c>
      <c r="O357" s="13"/>
      <c r="P357" s="13"/>
      <c r="Q357" s="13"/>
    </row>
    <row r="358" spans="1:17" ht="15" customHeight="1">
      <c r="A358" s="140" t="s">
        <v>1151</v>
      </c>
      <c r="B358" s="140" t="s">
        <v>1152</v>
      </c>
      <c r="C358" s="140" t="s">
        <v>497</v>
      </c>
      <c r="D358" s="140" t="s">
        <v>404</v>
      </c>
      <c r="E358" s="164">
        <v>56</v>
      </c>
      <c r="F358" s="164">
        <v>1.6</v>
      </c>
      <c r="G358" s="164">
        <v>12.3</v>
      </c>
      <c r="H358" s="164">
        <v>0.2</v>
      </c>
      <c r="I358" s="164">
        <v>2.1</v>
      </c>
      <c r="J358" s="140" t="s">
        <v>405</v>
      </c>
      <c r="K358" s="165" t="s">
        <v>405</v>
      </c>
      <c r="L358" s="140" t="s">
        <v>406</v>
      </c>
      <c r="M358" s="140" t="s">
        <v>66</v>
      </c>
      <c r="N358" s="140" t="str">
        <f t="shared" si="5"/>
        <v>Champiñón shiitake cocido con sal · INTA-0351</v>
      </c>
      <c r="O358" s="13"/>
      <c r="P358" s="13"/>
      <c r="Q358" s="13"/>
    </row>
    <row r="359" spans="1:17" ht="15" customHeight="1">
      <c r="A359" s="136" t="s">
        <v>1153</v>
      </c>
      <c r="B359" s="136" t="s">
        <v>1154</v>
      </c>
      <c r="C359" s="136" t="s">
        <v>497</v>
      </c>
      <c r="D359" s="136" t="s">
        <v>404</v>
      </c>
      <c r="E359" s="162">
        <v>25</v>
      </c>
      <c r="F359" s="162">
        <v>1.9</v>
      </c>
      <c r="G359" s="162">
        <v>2.7</v>
      </c>
      <c r="H359" s="162">
        <v>0.3</v>
      </c>
      <c r="I359" s="162">
        <v>2.4</v>
      </c>
      <c r="J359" s="136" t="s">
        <v>405</v>
      </c>
      <c r="K359" s="163" t="s">
        <v>405</v>
      </c>
      <c r="L359" s="136" t="s">
        <v>406</v>
      </c>
      <c r="M359" s="136" t="s">
        <v>66</v>
      </c>
      <c r="N359" s="136" t="str">
        <f t="shared" si="5"/>
        <v>Champiñones en conserva · INTA-0352</v>
      </c>
      <c r="O359" s="13"/>
      <c r="P359" s="13"/>
      <c r="Q359" s="13"/>
    </row>
    <row r="360" spans="1:17" ht="15" customHeight="1">
      <c r="A360" s="140" t="s">
        <v>1155</v>
      </c>
      <c r="B360" s="140" t="s">
        <v>1156</v>
      </c>
      <c r="C360" s="140" t="s">
        <v>497</v>
      </c>
      <c r="D360" s="140" t="s">
        <v>404</v>
      </c>
      <c r="E360" s="164">
        <v>56</v>
      </c>
      <c r="F360" s="164">
        <v>1.7</v>
      </c>
      <c r="G360" s="164">
        <v>6.2</v>
      </c>
      <c r="H360" s="164">
        <v>0.2</v>
      </c>
      <c r="I360" s="164">
        <v>6.9</v>
      </c>
      <c r="J360" s="140" t="s">
        <v>405</v>
      </c>
      <c r="K360" s="165" t="s">
        <v>405</v>
      </c>
      <c r="L360" s="140" t="s">
        <v>406</v>
      </c>
      <c r="M360" s="140" t="s">
        <v>66</v>
      </c>
      <c r="N360" s="140" t="str">
        <f t="shared" si="5"/>
        <v>Cochayuyo · INTA-0353</v>
      </c>
      <c r="O360" s="13"/>
      <c r="P360" s="13"/>
      <c r="Q360" s="13"/>
    </row>
    <row r="361" spans="1:17" ht="15" customHeight="1">
      <c r="A361" s="136" t="s">
        <v>1157</v>
      </c>
      <c r="B361" s="136" t="s">
        <v>1158</v>
      </c>
      <c r="C361" s="136" t="s">
        <v>497</v>
      </c>
      <c r="D361" s="136" t="s">
        <v>404</v>
      </c>
      <c r="E361" s="162">
        <v>23</v>
      </c>
      <c r="F361" s="162">
        <v>1.8</v>
      </c>
      <c r="G361" s="162">
        <v>1.8</v>
      </c>
      <c r="H361" s="162">
        <v>0.5</v>
      </c>
      <c r="I361" s="162">
        <v>2.2999999999999998</v>
      </c>
      <c r="J361" s="136" t="s">
        <v>405</v>
      </c>
      <c r="K361" s="163" t="s">
        <v>405</v>
      </c>
      <c r="L361" s="136" t="s">
        <v>406</v>
      </c>
      <c r="M361" s="136" t="s">
        <v>66</v>
      </c>
      <c r="N361" s="136" t="str">
        <f t="shared" si="5"/>
        <v>Coliflor · INTA-0354</v>
      </c>
      <c r="O361" s="13"/>
      <c r="P361" s="13"/>
      <c r="Q361" s="13"/>
    </row>
    <row r="362" spans="1:17" ht="15" customHeight="1">
      <c r="A362" s="140" t="s">
        <v>1159</v>
      </c>
      <c r="B362" s="140" t="s">
        <v>1160</v>
      </c>
      <c r="C362" s="140" t="s">
        <v>497</v>
      </c>
      <c r="D362" s="140" t="s">
        <v>404</v>
      </c>
      <c r="E362" s="164">
        <v>17</v>
      </c>
      <c r="F362" s="164">
        <v>1.3</v>
      </c>
      <c r="G362" s="164">
        <v>0.3</v>
      </c>
      <c r="H362" s="164">
        <v>0.2</v>
      </c>
      <c r="I362" s="164">
        <v>3.1</v>
      </c>
      <c r="J362" s="140" t="s">
        <v>405</v>
      </c>
      <c r="K362" s="165" t="s">
        <v>405</v>
      </c>
      <c r="L362" s="140" t="s">
        <v>406</v>
      </c>
      <c r="M362" s="140" t="s">
        <v>66</v>
      </c>
      <c r="N362" s="140" t="str">
        <f t="shared" si="5"/>
        <v>Endivia · INTA-0355</v>
      </c>
      <c r="O362" s="13"/>
      <c r="P362" s="13"/>
      <c r="Q362" s="13"/>
    </row>
    <row r="363" spans="1:17" ht="15" customHeight="1">
      <c r="A363" s="136" t="s">
        <v>1161</v>
      </c>
      <c r="B363" s="136" t="s">
        <v>1162</v>
      </c>
      <c r="C363" s="136" t="s">
        <v>497</v>
      </c>
      <c r="D363" s="136" t="s">
        <v>404</v>
      </c>
      <c r="E363" s="162">
        <v>22</v>
      </c>
      <c r="F363" s="162">
        <v>2.4</v>
      </c>
      <c r="G363" s="162">
        <v>2.1</v>
      </c>
      <c r="H363" s="162">
        <v>0.2</v>
      </c>
      <c r="I363" s="162">
        <v>2</v>
      </c>
      <c r="J363" s="136" t="s">
        <v>405</v>
      </c>
      <c r="K363" s="163" t="s">
        <v>405</v>
      </c>
      <c r="L363" s="136" t="s">
        <v>406</v>
      </c>
      <c r="M363" s="136" t="s">
        <v>66</v>
      </c>
      <c r="N363" s="136" t="str">
        <f t="shared" si="5"/>
        <v>Espárrago · INTA-0356</v>
      </c>
      <c r="O363" s="13"/>
      <c r="P363" s="13"/>
      <c r="Q363" s="13"/>
    </row>
    <row r="364" spans="1:17" ht="15" customHeight="1">
      <c r="A364" s="140" t="s">
        <v>1163</v>
      </c>
      <c r="B364" s="140" t="s">
        <v>1164</v>
      </c>
      <c r="C364" s="140" t="s">
        <v>497</v>
      </c>
      <c r="D364" s="140" t="s">
        <v>404</v>
      </c>
      <c r="E364" s="164">
        <v>23</v>
      </c>
      <c r="F364" s="164">
        <v>3</v>
      </c>
      <c r="G364" s="164">
        <v>1.3</v>
      </c>
      <c r="H364" s="164">
        <v>0.3</v>
      </c>
      <c r="I364" s="164">
        <v>2.4</v>
      </c>
      <c r="J364" s="140" t="s">
        <v>405</v>
      </c>
      <c r="K364" s="165" t="s">
        <v>405</v>
      </c>
      <c r="L364" s="140" t="s">
        <v>406</v>
      </c>
      <c r="M364" s="140" t="s">
        <v>66</v>
      </c>
      <c r="N364" s="140" t="str">
        <f t="shared" si="5"/>
        <v>Espinaca cocida · INTA-0357</v>
      </c>
      <c r="O364" s="13"/>
      <c r="P364" s="13"/>
      <c r="Q364" s="13"/>
    </row>
    <row r="365" spans="1:17" ht="15" customHeight="1">
      <c r="A365" s="136" t="s">
        <v>1165</v>
      </c>
      <c r="B365" s="136" t="s">
        <v>1166</v>
      </c>
      <c r="C365" s="136" t="s">
        <v>497</v>
      </c>
      <c r="D365" s="136" t="s">
        <v>404</v>
      </c>
      <c r="E365" s="162">
        <v>31</v>
      </c>
      <c r="F365" s="162">
        <v>2.9</v>
      </c>
      <c r="G365" s="162">
        <v>4.2</v>
      </c>
      <c r="H365" s="162">
        <v>0.4</v>
      </c>
      <c r="I365" s="162">
        <v>2.2000000000000002</v>
      </c>
      <c r="J365" s="136" t="s">
        <v>405</v>
      </c>
      <c r="K365" s="163" t="s">
        <v>405</v>
      </c>
      <c r="L365" s="136" t="s">
        <v>406</v>
      </c>
      <c r="M365" s="136" t="s">
        <v>66</v>
      </c>
      <c r="N365" s="136" t="str">
        <f t="shared" si="5"/>
        <v>Espinaca · INTA-0358</v>
      </c>
      <c r="O365" s="13"/>
      <c r="P365" s="13"/>
      <c r="Q365" s="13"/>
    </row>
    <row r="366" spans="1:17" ht="15" customHeight="1">
      <c r="A366" s="140" t="s">
        <v>1167</v>
      </c>
      <c r="B366" s="140" t="s">
        <v>1168</v>
      </c>
      <c r="C366" s="140" t="s">
        <v>497</v>
      </c>
      <c r="D366" s="140" t="s">
        <v>404</v>
      </c>
      <c r="E366" s="164">
        <v>23</v>
      </c>
      <c r="F366" s="164">
        <v>1.2</v>
      </c>
      <c r="G366" s="164">
        <v>1.4</v>
      </c>
      <c r="H366" s="164">
        <v>0.2</v>
      </c>
      <c r="I366" s="164">
        <v>3.1</v>
      </c>
      <c r="J366" s="140" t="s">
        <v>405</v>
      </c>
      <c r="K366" s="165" t="s">
        <v>405</v>
      </c>
      <c r="L366" s="140" t="s">
        <v>406</v>
      </c>
      <c r="M366" s="140" t="s">
        <v>66</v>
      </c>
      <c r="N366" s="140" t="str">
        <f t="shared" si="5"/>
        <v>Hinojo bulbo · INTA-0359</v>
      </c>
      <c r="O366" s="13"/>
      <c r="P366" s="13"/>
      <c r="Q366" s="13"/>
    </row>
    <row r="367" spans="1:17" ht="15" customHeight="1">
      <c r="A367" s="140" t="s">
        <v>1169</v>
      </c>
      <c r="B367" s="140" t="s">
        <v>1170</v>
      </c>
      <c r="C367" s="140" t="s">
        <v>497</v>
      </c>
      <c r="D367" s="140" t="s">
        <v>404</v>
      </c>
      <c r="E367" s="164">
        <v>13</v>
      </c>
      <c r="F367" s="164">
        <v>1.4</v>
      </c>
      <c r="G367" s="164">
        <v>1.1000000000000001</v>
      </c>
      <c r="H367" s="164">
        <v>0.2</v>
      </c>
      <c r="I367" s="164">
        <v>1.1000000000000001</v>
      </c>
      <c r="J367" s="140" t="s">
        <v>405</v>
      </c>
      <c r="K367" s="165" t="s">
        <v>405</v>
      </c>
      <c r="L367" s="140" t="s">
        <v>406</v>
      </c>
      <c r="M367" s="140" t="s">
        <v>66</v>
      </c>
      <c r="N367" s="140" t="str">
        <f t="shared" si="5"/>
        <v>Lechuga · INTA-0360</v>
      </c>
      <c r="O367" s="13"/>
      <c r="P367" s="13"/>
      <c r="Q367" s="13"/>
    </row>
    <row r="368" spans="1:17" ht="15" customHeight="1">
      <c r="A368" s="136" t="s">
        <v>1171</v>
      </c>
      <c r="B368" s="136" t="s">
        <v>1172</v>
      </c>
      <c r="C368" s="136" t="s">
        <v>497</v>
      </c>
      <c r="D368" s="136" t="s">
        <v>404</v>
      </c>
      <c r="E368" s="162">
        <v>14</v>
      </c>
      <c r="F368" s="162">
        <v>0.7</v>
      </c>
      <c r="G368" s="162">
        <v>1.3</v>
      </c>
      <c r="H368" s="162">
        <v>0.7</v>
      </c>
      <c r="I368" s="162" t="s">
        <v>405</v>
      </c>
      <c r="J368" s="136" t="s">
        <v>405</v>
      </c>
      <c r="K368" s="163" t="s">
        <v>405</v>
      </c>
      <c r="L368" s="136" t="s">
        <v>406</v>
      </c>
      <c r="M368" s="136" t="s">
        <v>66</v>
      </c>
      <c r="N368" s="136" t="str">
        <f t="shared" si="5"/>
        <v>Lechuga escarola · INTA-0361</v>
      </c>
      <c r="O368" s="13"/>
      <c r="P368" s="13"/>
      <c r="Q368" s="13"/>
    </row>
    <row r="369" spans="1:17" ht="15" customHeight="1">
      <c r="A369" s="136" t="s">
        <v>1173</v>
      </c>
      <c r="B369" s="136" t="s">
        <v>1174</v>
      </c>
      <c r="C369" s="136" t="s">
        <v>497</v>
      </c>
      <c r="D369" s="136" t="s">
        <v>404</v>
      </c>
      <c r="E369" s="162">
        <v>16</v>
      </c>
      <c r="F369" s="162">
        <v>1.3</v>
      </c>
      <c r="G369" s="162">
        <v>1.4</v>
      </c>
      <c r="H369" s="162">
        <v>0.2</v>
      </c>
      <c r="I369" s="162">
        <v>0.9</v>
      </c>
      <c r="J369" s="136" t="s">
        <v>405</v>
      </c>
      <c r="K369" s="163" t="s">
        <v>405</v>
      </c>
      <c r="L369" s="136" t="s">
        <v>406</v>
      </c>
      <c r="M369" s="136" t="s">
        <v>66</v>
      </c>
      <c r="N369" s="136" t="str">
        <f t="shared" si="5"/>
        <v>Lechuga roja · INTA-0362</v>
      </c>
      <c r="O369" s="13"/>
      <c r="P369" s="13"/>
      <c r="Q369" s="13"/>
    </row>
    <row r="370" spans="1:17" ht="15" customHeight="1">
      <c r="A370" s="140" t="s">
        <v>1175</v>
      </c>
      <c r="B370" s="140" t="s">
        <v>1176</v>
      </c>
      <c r="C370" s="140" t="s">
        <v>497</v>
      </c>
      <c r="D370" s="140" t="s">
        <v>404</v>
      </c>
      <c r="E370" s="164">
        <v>37</v>
      </c>
      <c r="F370" s="164">
        <v>3.3</v>
      </c>
      <c r="G370" s="164">
        <v>0</v>
      </c>
      <c r="H370" s="164">
        <v>0.7</v>
      </c>
      <c r="I370" s="165">
        <v>8.8000000000000007</v>
      </c>
      <c r="J370" s="140" t="s">
        <v>405</v>
      </c>
      <c r="K370" s="165" t="s">
        <v>405</v>
      </c>
      <c r="L370" s="140" t="s">
        <v>406</v>
      </c>
      <c r="M370" s="140" t="s">
        <v>66</v>
      </c>
      <c r="N370" s="140" t="str">
        <f t="shared" si="5"/>
        <v>Luche · INTA-0363</v>
      </c>
      <c r="O370" s="13"/>
      <c r="P370" s="13"/>
      <c r="Q370" s="13"/>
    </row>
    <row r="371" spans="1:17" ht="15" customHeight="1">
      <c r="A371" s="136" t="s">
        <v>1177</v>
      </c>
      <c r="B371" s="136" t="s">
        <v>1178</v>
      </c>
      <c r="C371" s="136" t="s">
        <v>497</v>
      </c>
      <c r="D371" s="136" t="s">
        <v>404</v>
      </c>
      <c r="E371" s="162">
        <v>157</v>
      </c>
      <c r="F371" s="162">
        <v>23.9</v>
      </c>
      <c r="G371" s="162">
        <v>15.1</v>
      </c>
      <c r="H371" s="162">
        <v>0.1</v>
      </c>
      <c r="I371" s="163">
        <v>41.6</v>
      </c>
      <c r="J371" s="136" t="s">
        <v>405</v>
      </c>
      <c r="K371" s="163" t="s">
        <v>405</v>
      </c>
      <c r="L371" s="136" t="s">
        <v>406</v>
      </c>
      <c r="M371" s="136" t="s">
        <v>66</v>
      </c>
      <c r="N371" s="136" t="str">
        <f t="shared" si="5"/>
        <v>Luche Ahumado · INTA-0364</v>
      </c>
      <c r="O371" s="13"/>
      <c r="P371" s="13"/>
      <c r="Q371" s="13"/>
    </row>
    <row r="372" spans="1:17" ht="15" customHeight="1">
      <c r="A372" s="140" t="s">
        <v>1179</v>
      </c>
      <c r="B372" s="140" t="s">
        <v>1180</v>
      </c>
      <c r="C372" s="140" t="s">
        <v>497</v>
      </c>
      <c r="D372" s="140" t="s">
        <v>404</v>
      </c>
      <c r="E372" s="164">
        <v>28</v>
      </c>
      <c r="F372" s="164">
        <v>0.9</v>
      </c>
      <c r="G372" s="164">
        <v>4.5999999999999996</v>
      </c>
      <c r="H372" s="164">
        <v>0.1</v>
      </c>
      <c r="I372" s="164">
        <v>1.8</v>
      </c>
      <c r="J372" s="140" t="s">
        <v>405</v>
      </c>
      <c r="K372" s="165" t="s">
        <v>405</v>
      </c>
      <c r="L372" s="140" t="s">
        <v>406</v>
      </c>
      <c r="M372" s="140" t="s">
        <v>66</v>
      </c>
      <c r="N372" s="140" t="str">
        <f t="shared" si="5"/>
        <v>Nabos · INTA-0365</v>
      </c>
      <c r="O372" s="13"/>
      <c r="P372" s="13"/>
      <c r="Q372" s="13"/>
    </row>
    <row r="373" spans="1:17" ht="15" customHeight="1">
      <c r="A373" s="136" t="s">
        <v>1181</v>
      </c>
      <c r="B373" s="136" t="s">
        <v>1182</v>
      </c>
      <c r="C373" s="136" t="s">
        <v>497</v>
      </c>
      <c r="D373" s="136" t="s">
        <v>404</v>
      </c>
      <c r="E373" s="162">
        <v>21</v>
      </c>
      <c r="F373" s="162">
        <v>0.4</v>
      </c>
      <c r="G373" s="162">
        <v>4.4000000000000004</v>
      </c>
      <c r="H373" s="162">
        <v>0.2</v>
      </c>
      <c r="I373" s="162" t="s">
        <v>405</v>
      </c>
      <c r="J373" s="136" t="s">
        <v>405</v>
      </c>
      <c r="K373" s="163" t="s">
        <v>405</v>
      </c>
      <c r="L373" s="136" t="s">
        <v>406</v>
      </c>
      <c r="M373" s="136" t="s">
        <v>66</v>
      </c>
      <c r="N373" s="136" t="str">
        <f t="shared" si="5"/>
        <v>Penca · INTA-0366</v>
      </c>
      <c r="O373" s="13"/>
      <c r="P373" s="13"/>
      <c r="Q373" s="13"/>
    </row>
    <row r="374" spans="1:17" ht="15" customHeight="1">
      <c r="A374" s="140" t="s">
        <v>1183</v>
      </c>
      <c r="B374" s="140" t="s">
        <v>1184</v>
      </c>
      <c r="C374" s="140" t="s">
        <v>497</v>
      </c>
      <c r="D374" s="140" t="s">
        <v>404</v>
      </c>
      <c r="E374" s="164">
        <v>12</v>
      </c>
      <c r="F374" s="164">
        <v>0.6</v>
      </c>
      <c r="G374" s="164">
        <v>1.5</v>
      </c>
      <c r="H374" s="164">
        <v>0.2</v>
      </c>
      <c r="I374" s="164">
        <v>0.7</v>
      </c>
      <c r="J374" s="140" t="s">
        <v>405</v>
      </c>
      <c r="K374" s="165" t="s">
        <v>405</v>
      </c>
      <c r="L374" s="140" t="s">
        <v>406</v>
      </c>
      <c r="M374" s="140" t="s">
        <v>66</v>
      </c>
      <c r="N374" s="140" t="str">
        <f t="shared" si="5"/>
        <v>Pepino · INTA-0367</v>
      </c>
      <c r="O374" s="13"/>
      <c r="P374" s="13"/>
      <c r="Q374" s="13"/>
    </row>
    <row r="375" spans="1:17" ht="15" customHeight="1">
      <c r="A375" s="136" t="s">
        <v>1185</v>
      </c>
      <c r="B375" s="136" t="s">
        <v>1186</v>
      </c>
      <c r="C375" s="136" t="s">
        <v>497</v>
      </c>
      <c r="D375" s="136" t="s">
        <v>404</v>
      </c>
      <c r="E375" s="162">
        <v>12</v>
      </c>
      <c r="F375" s="162">
        <v>0.5</v>
      </c>
      <c r="G375" s="162">
        <v>1.4</v>
      </c>
      <c r="H375" s="162">
        <v>0.3</v>
      </c>
      <c r="I375" s="162">
        <v>1</v>
      </c>
      <c r="J375" s="136" t="s">
        <v>405</v>
      </c>
      <c r="K375" s="163" t="s">
        <v>405</v>
      </c>
      <c r="L375" s="136" t="s">
        <v>406</v>
      </c>
      <c r="M375" s="136" t="s">
        <v>66</v>
      </c>
      <c r="N375" s="136" t="str">
        <f t="shared" si="5"/>
        <v>Pepinillos en conserva · INTA-0368</v>
      </c>
      <c r="O375" s="13"/>
      <c r="P375" s="13"/>
      <c r="Q375" s="13"/>
    </row>
    <row r="376" spans="1:17" ht="15" customHeight="1">
      <c r="A376" s="140" t="s">
        <v>1187</v>
      </c>
      <c r="B376" s="140" t="s">
        <v>1188</v>
      </c>
      <c r="C376" s="140" t="s">
        <v>497</v>
      </c>
      <c r="D376" s="140" t="s">
        <v>404</v>
      </c>
      <c r="E376" s="164">
        <v>67</v>
      </c>
      <c r="F376" s="164">
        <v>0.9</v>
      </c>
      <c r="G376" s="164">
        <v>16.3</v>
      </c>
      <c r="H376" s="164">
        <v>0.2</v>
      </c>
      <c r="I376" s="164">
        <v>1.3</v>
      </c>
      <c r="J376" s="140" t="s">
        <v>405</v>
      </c>
      <c r="K376" s="165" t="s">
        <v>405</v>
      </c>
      <c r="L376" s="140" t="s">
        <v>406</v>
      </c>
      <c r="M376" s="140" t="s">
        <v>66</v>
      </c>
      <c r="N376" s="140" t="str">
        <f t="shared" si="5"/>
        <v>Pickles · INTA-0369</v>
      </c>
      <c r="O376" s="13"/>
      <c r="P376" s="13"/>
      <c r="Q376" s="13"/>
    </row>
    <row r="377" spans="1:17" ht="15" customHeight="1">
      <c r="A377" s="136" t="s">
        <v>1189</v>
      </c>
      <c r="B377" s="136" t="s">
        <v>1190</v>
      </c>
      <c r="C377" s="136" t="s">
        <v>497</v>
      </c>
      <c r="D377" s="136" t="s">
        <v>404</v>
      </c>
      <c r="E377" s="162">
        <v>31</v>
      </c>
      <c r="F377" s="162">
        <v>1</v>
      </c>
      <c r="G377" s="162">
        <v>3.9</v>
      </c>
      <c r="H377" s="162">
        <v>0.3</v>
      </c>
      <c r="I377" s="162">
        <v>2.1</v>
      </c>
      <c r="J377" s="136" t="s">
        <v>405</v>
      </c>
      <c r="K377" s="163" t="s">
        <v>405</v>
      </c>
      <c r="L377" s="136" t="s">
        <v>406</v>
      </c>
      <c r="M377" s="136" t="s">
        <v>66</v>
      </c>
      <c r="N377" s="136" t="str">
        <f t="shared" si="5"/>
        <v>Pimentón rojo · INTA-0370</v>
      </c>
      <c r="O377" s="13"/>
      <c r="P377" s="13"/>
      <c r="Q377" s="13"/>
    </row>
    <row r="378" spans="1:17" ht="15" customHeight="1">
      <c r="A378" s="140" t="s">
        <v>1191</v>
      </c>
      <c r="B378" s="140" t="s">
        <v>1192</v>
      </c>
      <c r="C378" s="140" t="s">
        <v>497</v>
      </c>
      <c r="D378" s="140" t="s">
        <v>404</v>
      </c>
      <c r="E378" s="164">
        <v>20</v>
      </c>
      <c r="F378" s="164">
        <v>0.9</v>
      </c>
      <c r="G378" s="164">
        <v>2.9</v>
      </c>
      <c r="H378" s="164">
        <v>0.2</v>
      </c>
      <c r="I378" s="164">
        <v>1.7</v>
      </c>
      <c r="J378" s="140" t="s">
        <v>405</v>
      </c>
      <c r="K378" s="165" t="s">
        <v>405</v>
      </c>
      <c r="L378" s="140" t="s">
        <v>406</v>
      </c>
      <c r="M378" s="140" t="s">
        <v>66</v>
      </c>
      <c r="N378" s="140" t="str">
        <f t="shared" si="5"/>
        <v>Pimentón verde · INTA-0371</v>
      </c>
      <c r="O378" s="13"/>
      <c r="P378" s="13"/>
      <c r="Q378" s="13"/>
    </row>
    <row r="379" spans="1:17" ht="15" customHeight="1">
      <c r="A379" s="136" t="s">
        <v>1193</v>
      </c>
      <c r="B379" s="136" t="s">
        <v>1194</v>
      </c>
      <c r="C379" s="136" t="s">
        <v>497</v>
      </c>
      <c r="D379" s="136" t="s">
        <v>404</v>
      </c>
      <c r="E379" s="162">
        <v>21</v>
      </c>
      <c r="F379" s="162">
        <v>1.1000000000000001</v>
      </c>
      <c r="G379" s="162">
        <v>2.2999999999999998</v>
      </c>
      <c r="H379" s="162">
        <v>0.4</v>
      </c>
      <c r="I379" s="162">
        <v>1.9</v>
      </c>
      <c r="J379" s="136" t="s">
        <v>405</v>
      </c>
      <c r="K379" s="163" t="s">
        <v>405</v>
      </c>
      <c r="L379" s="136" t="s">
        <v>406</v>
      </c>
      <c r="M379" s="136" t="s">
        <v>66</v>
      </c>
      <c r="N379" s="136" t="str">
        <f t="shared" si="5"/>
        <v>Poroto verde enlatado · INTA-0372</v>
      </c>
      <c r="O379" s="13"/>
      <c r="P379" s="13"/>
      <c r="Q379" s="13"/>
    </row>
    <row r="380" spans="1:17" ht="15" customHeight="1">
      <c r="A380" s="140" t="s">
        <v>1195</v>
      </c>
      <c r="B380" s="140" t="s">
        <v>1196</v>
      </c>
      <c r="C380" s="140" t="s">
        <v>497</v>
      </c>
      <c r="D380" s="140" t="s">
        <v>404</v>
      </c>
      <c r="E380" s="164">
        <v>35</v>
      </c>
      <c r="F380" s="164">
        <v>1.9</v>
      </c>
      <c r="G380" s="164">
        <v>4.7</v>
      </c>
      <c r="H380" s="164">
        <v>0.3</v>
      </c>
      <c r="I380" s="164">
        <v>3.2</v>
      </c>
      <c r="J380" s="140" t="s">
        <v>405</v>
      </c>
      <c r="K380" s="165" t="s">
        <v>405</v>
      </c>
      <c r="L380" s="140" t="s">
        <v>406</v>
      </c>
      <c r="M380" s="140" t="s">
        <v>66</v>
      </c>
      <c r="N380" s="140" t="str">
        <f t="shared" si="5"/>
        <v>Porotos verdes · INTA-0373</v>
      </c>
      <c r="O380" s="13"/>
      <c r="P380" s="13"/>
      <c r="Q380" s="13"/>
    </row>
    <row r="381" spans="1:17" ht="15" customHeight="1">
      <c r="A381" s="136" t="s">
        <v>1197</v>
      </c>
      <c r="B381" s="136" t="s">
        <v>1198</v>
      </c>
      <c r="C381" s="136" t="s">
        <v>497</v>
      </c>
      <c r="D381" s="136" t="s">
        <v>404</v>
      </c>
      <c r="E381" s="162">
        <v>61</v>
      </c>
      <c r="F381" s="162">
        <v>1.5</v>
      </c>
      <c r="G381" s="162">
        <v>12.4</v>
      </c>
      <c r="H381" s="162">
        <v>0.3</v>
      </c>
      <c r="I381" s="162">
        <v>1.8</v>
      </c>
      <c r="J381" s="136" t="s">
        <v>405</v>
      </c>
      <c r="K381" s="163" t="s">
        <v>405</v>
      </c>
      <c r="L381" s="136" t="s">
        <v>406</v>
      </c>
      <c r="M381" s="136" t="s">
        <v>66</v>
      </c>
      <c r="N381" s="136" t="str">
        <f t="shared" si="5"/>
        <v>Puerro · INTA-0374</v>
      </c>
      <c r="O381" s="13"/>
      <c r="P381" s="13"/>
      <c r="Q381" s="13"/>
    </row>
    <row r="382" spans="1:17" ht="15" customHeight="1">
      <c r="A382" s="140" t="s">
        <v>1199</v>
      </c>
      <c r="B382" s="140" t="s">
        <v>1200</v>
      </c>
      <c r="C382" s="140" t="s">
        <v>497</v>
      </c>
      <c r="D382" s="140" t="s">
        <v>404</v>
      </c>
      <c r="E382" s="164">
        <v>36</v>
      </c>
      <c r="F382" s="164">
        <v>0.7</v>
      </c>
      <c r="G382" s="164">
        <v>4.5</v>
      </c>
      <c r="H382" s="164">
        <v>0.5</v>
      </c>
      <c r="I382" s="164">
        <v>1.6</v>
      </c>
      <c r="J382" s="140" t="s">
        <v>405</v>
      </c>
      <c r="K382" s="165" t="s">
        <v>405</v>
      </c>
      <c r="L382" s="140" t="s">
        <v>406</v>
      </c>
      <c r="M382" s="140" t="s">
        <v>66</v>
      </c>
      <c r="N382" s="140" t="str">
        <f t="shared" si="5"/>
        <v>Rabanito · INTA-0375</v>
      </c>
      <c r="O382" s="13"/>
      <c r="P382" s="13"/>
      <c r="Q382" s="13"/>
    </row>
    <row r="383" spans="1:17" ht="15" customHeight="1">
      <c r="A383" s="136" t="s">
        <v>1201</v>
      </c>
      <c r="B383" s="136" t="s">
        <v>1202</v>
      </c>
      <c r="C383" s="136" t="s">
        <v>497</v>
      </c>
      <c r="D383" s="136" t="s">
        <v>404</v>
      </c>
      <c r="E383" s="162">
        <v>16</v>
      </c>
      <c r="F383" s="162">
        <v>2.6</v>
      </c>
      <c r="G383" s="162">
        <v>1.8</v>
      </c>
      <c r="H383" s="162">
        <v>0.1</v>
      </c>
      <c r="I383" s="163">
        <v>2.6</v>
      </c>
      <c r="J383" s="136" t="s">
        <v>405</v>
      </c>
      <c r="K383" s="163" t="s">
        <v>405</v>
      </c>
      <c r="L383" s="136" t="s">
        <v>406</v>
      </c>
      <c r="M383" s="136" t="s">
        <v>66</v>
      </c>
      <c r="N383" s="136" t="str">
        <f t="shared" si="5"/>
        <v>Repollitos de bruselas · INTA-0376</v>
      </c>
      <c r="O383" s="13"/>
      <c r="P383" s="13"/>
      <c r="Q383" s="13"/>
    </row>
    <row r="384" spans="1:17" ht="15" customHeight="1">
      <c r="A384" s="140" t="s">
        <v>1203</v>
      </c>
      <c r="B384" s="140" t="s">
        <v>1204</v>
      </c>
      <c r="C384" s="140" t="s">
        <v>497</v>
      </c>
      <c r="D384" s="140" t="s">
        <v>404</v>
      </c>
      <c r="E384" s="164">
        <v>42</v>
      </c>
      <c r="F384" s="164">
        <v>3.6</v>
      </c>
      <c r="G384" s="164">
        <v>4.2</v>
      </c>
      <c r="H384" s="164">
        <v>0.4</v>
      </c>
      <c r="I384" s="164">
        <v>4.0999999999999996</v>
      </c>
      <c r="J384" s="140" t="s">
        <v>405</v>
      </c>
      <c r="K384" s="165" t="s">
        <v>405</v>
      </c>
      <c r="L384" s="140" t="s">
        <v>406</v>
      </c>
      <c r="M384" s="140" t="s">
        <v>66</v>
      </c>
      <c r="N384" s="140" t="str">
        <f t="shared" si="5"/>
        <v>Repollitos de bruselas cocido con sal · INTA-0377</v>
      </c>
      <c r="O384" s="13"/>
      <c r="P384" s="13"/>
      <c r="Q384" s="13"/>
    </row>
    <row r="385" spans="1:17" ht="15" customHeight="1">
      <c r="A385" s="136" t="s">
        <v>1205</v>
      </c>
      <c r="B385" s="136" t="s">
        <v>1206</v>
      </c>
      <c r="C385" s="136" t="s">
        <v>497</v>
      </c>
      <c r="D385" s="136" t="s">
        <v>404</v>
      </c>
      <c r="E385" s="162">
        <v>25</v>
      </c>
      <c r="F385" s="162">
        <v>1.3</v>
      </c>
      <c r="G385" s="162">
        <v>3.3</v>
      </c>
      <c r="H385" s="162">
        <v>0.1</v>
      </c>
      <c r="I385" s="162">
        <v>2.5</v>
      </c>
      <c r="J385" s="136" t="s">
        <v>405</v>
      </c>
      <c r="K385" s="163" t="s">
        <v>405</v>
      </c>
      <c r="L385" s="136" t="s">
        <v>406</v>
      </c>
      <c r="M385" s="136" t="s">
        <v>66</v>
      </c>
      <c r="N385" s="136" t="str">
        <f t="shared" si="5"/>
        <v>Repollo · INTA-0378</v>
      </c>
      <c r="O385" s="13"/>
      <c r="P385" s="13"/>
      <c r="Q385" s="13"/>
    </row>
    <row r="386" spans="1:17" ht="15" customHeight="1">
      <c r="A386" s="140" t="s">
        <v>1207</v>
      </c>
      <c r="B386" s="140" t="s">
        <v>1208</v>
      </c>
      <c r="C386" s="140" t="s">
        <v>497</v>
      </c>
      <c r="D386" s="140" t="s">
        <v>404</v>
      </c>
      <c r="E386" s="164">
        <v>31</v>
      </c>
      <c r="F386" s="164">
        <v>1.4</v>
      </c>
      <c r="G386" s="164">
        <v>5.3</v>
      </c>
      <c r="H386" s="164">
        <v>0.2</v>
      </c>
      <c r="I386" s="164">
        <v>2.1</v>
      </c>
      <c r="J386" s="140" t="s">
        <v>405</v>
      </c>
      <c r="K386" s="165" t="s">
        <v>405</v>
      </c>
      <c r="L386" s="140" t="s">
        <v>406</v>
      </c>
      <c r="M386" s="140" t="s">
        <v>66</v>
      </c>
      <c r="N386" s="140" t="str">
        <f t="shared" si="5"/>
        <v>Repollo morado · INTA-0379</v>
      </c>
      <c r="O386" s="13"/>
      <c r="P386" s="13"/>
      <c r="Q386" s="13"/>
    </row>
    <row r="387" spans="1:17" ht="15" customHeight="1">
      <c r="A387" s="136" t="s">
        <v>1209</v>
      </c>
      <c r="B387" s="136" t="s">
        <v>1210</v>
      </c>
      <c r="C387" s="136" t="s">
        <v>497</v>
      </c>
      <c r="D387" s="136" t="s">
        <v>404</v>
      </c>
      <c r="E387" s="162">
        <v>18</v>
      </c>
      <c r="F387" s="162">
        <v>0.9</v>
      </c>
      <c r="G387" s="162">
        <v>2.7</v>
      </c>
      <c r="H387" s="162">
        <v>0.2</v>
      </c>
      <c r="I387" s="162">
        <v>1.2</v>
      </c>
      <c r="J387" s="136" t="s">
        <v>405</v>
      </c>
      <c r="K387" s="163" t="s">
        <v>405</v>
      </c>
      <c r="L387" s="136" t="s">
        <v>406</v>
      </c>
      <c r="M387" s="136" t="s">
        <v>66</v>
      </c>
      <c r="N387" s="136" t="str">
        <f t="shared" si="5"/>
        <v>Tomate · INTA-0380</v>
      </c>
      <c r="O387" s="13"/>
      <c r="P387" s="13"/>
      <c r="Q387" s="13"/>
    </row>
    <row r="388" spans="1:17" ht="15" customHeight="1">
      <c r="A388" s="140" t="s">
        <v>1211</v>
      </c>
      <c r="B388" s="140" t="s">
        <v>1212</v>
      </c>
      <c r="C388" s="140" t="s">
        <v>497</v>
      </c>
      <c r="D388" s="140" t="s">
        <v>404</v>
      </c>
      <c r="E388" s="164">
        <v>29</v>
      </c>
      <c r="F388" s="164">
        <v>1.5</v>
      </c>
      <c r="G388" s="164">
        <v>4.7</v>
      </c>
      <c r="H388" s="164">
        <v>0.4</v>
      </c>
      <c r="I388" s="164">
        <v>6.4</v>
      </c>
      <c r="J388" s="140" t="s">
        <v>405</v>
      </c>
      <c r="K388" s="165" t="s">
        <v>405</v>
      </c>
      <c r="L388" s="140" t="s">
        <v>406</v>
      </c>
      <c r="M388" s="140" t="s">
        <v>66</v>
      </c>
      <c r="N388" s="140" t="str">
        <f t="shared" si="5"/>
        <v>Ulte · INTA-0381</v>
      </c>
      <c r="O388" s="13"/>
      <c r="P388" s="13"/>
      <c r="Q388" s="13"/>
    </row>
    <row r="389" spans="1:17" ht="15" customHeight="1">
      <c r="A389" s="136" t="s">
        <v>1213</v>
      </c>
      <c r="B389" s="136" t="s">
        <v>1214</v>
      </c>
      <c r="C389" s="136" t="s">
        <v>497</v>
      </c>
      <c r="D389" s="136" t="s">
        <v>404</v>
      </c>
      <c r="E389" s="162">
        <v>35</v>
      </c>
      <c r="F389" s="162">
        <v>0.8</v>
      </c>
      <c r="G389" s="162">
        <v>5.2</v>
      </c>
      <c r="H389" s="162">
        <v>0.2</v>
      </c>
      <c r="I389" s="162">
        <v>3</v>
      </c>
      <c r="J389" s="136" t="s">
        <v>405</v>
      </c>
      <c r="K389" s="163" t="s">
        <v>405</v>
      </c>
      <c r="L389" s="136" t="s">
        <v>406</v>
      </c>
      <c r="M389" s="136" t="s">
        <v>66</v>
      </c>
      <c r="N389" s="136" t="str">
        <f t="shared" si="5"/>
        <v>Zanahoria · INTA-0382</v>
      </c>
      <c r="O389" s="13"/>
      <c r="P389" s="13"/>
      <c r="Q389" s="13"/>
    </row>
    <row r="390" spans="1:17" ht="15" customHeight="1">
      <c r="A390" s="140" t="s">
        <v>1215</v>
      </c>
      <c r="B390" s="140" t="s">
        <v>1216</v>
      </c>
      <c r="C390" s="140" t="s">
        <v>497</v>
      </c>
      <c r="D390" s="140" t="s">
        <v>404</v>
      </c>
      <c r="E390" s="164">
        <v>41</v>
      </c>
      <c r="F390" s="164">
        <v>0.9</v>
      </c>
      <c r="G390" s="164">
        <v>6.8</v>
      </c>
      <c r="H390" s="164">
        <v>0.2</v>
      </c>
      <c r="I390" s="164">
        <v>2.8</v>
      </c>
      <c r="J390" s="140" t="s">
        <v>405</v>
      </c>
      <c r="K390" s="165" t="s">
        <v>405</v>
      </c>
      <c r="L390" s="140" t="s">
        <v>406</v>
      </c>
      <c r="M390" s="140" t="s">
        <v>66</v>
      </c>
      <c r="N390" s="140" t="str">
        <f t="shared" si="5"/>
        <v>Zanahoria cocida con sal · INTA-0383</v>
      </c>
      <c r="O390" s="13"/>
      <c r="P390" s="13"/>
      <c r="Q390" s="13"/>
    </row>
    <row r="391" spans="1:17" ht="15" customHeight="1">
      <c r="A391" s="136" t="s">
        <v>1217</v>
      </c>
      <c r="B391" s="136" t="s">
        <v>1218</v>
      </c>
      <c r="C391" s="136" t="s">
        <v>497</v>
      </c>
      <c r="D391" s="136" t="s">
        <v>404</v>
      </c>
      <c r="E391" s="162">
        <v>15</v>
      </c>
      <c r="F391" s="162">
        <v>1.2</v>
      </c>
      <c r="G391" s="162">
        <v>2.1</v>
      </c>
      <c r="H391" s="162">
        <v>0.3</v>
      </c>
      <c r="I391" s="162">
        <v>1</v>
      </c>
      <c r="J391" s="136" t="s">
        <v>405</v>
      </c>
      <c r="K391" s="163" t="s">
        <v>405</v>
      </c>
      <c r="L391" s="136" t="s">
        <v>406</v>
      </c>
      <c r="M391" s="136" t="s">
        <v>66</v>
      </c>
      <c r="N391" s="136" t="str">
        <f t="shared" si="5"/>
        <v>Zapallo italiano · INTA-0384</v>
      </c>
      <c r="O391" s="13"/>
      <c r="P391" s="13"/>
      <c r="Q391" s="13"/>
    </row>
    <row r="392" spans="1:17" ht="15" customHeight="1">
      <c r="A392" s="140" t="s">
        <v>1219</v>
      </c>
      <c r="B392" s="140" t="s">
        <v>1220</v>
      </c>
      <c r="C392" s="140" t="s">
        <v>497</v>
      </c>
      <c r="D392" s="140" t="s">
        <v>404</v>
      </c>
      <c r="E392" s="164">
        <v>17</v>
      </c>
      <c r="F392" s="164">
        <v>1.1000000000000001</v>
      </c>
      <c r="G392" s="164">
        <v>1.7</v>
      </c>
      <c r="H392" s="164">
        <v>0.4</v>
      </c>
      <c r="I392" s="164">
        <v>1</v>
      </c>
      <c r="J392" s="140" t="s">
        <v>405</v>
      </c>
      <c r="K392" s="165" t="s">
        <v>405</v>
      </c>
      <c r="L392" s="140" t="s">
        <v>406</v>
      </c>
      <c r="M392" s="140" t="s">
        <v>66</v>
      </c>
      <c r="N392" s="140" t="str">
        <f t="shared" ref="N392:N455" si="6">B392&amp;" · "&amp;A392</f>
        <v>Zapallo italianos cocido con sal · INTA-0385</v>
      </c>
      <c r="O392" s="13"/>
      <c r="P392" s="13"/>
      <c r="Q392" s="13"/>
    </row>
    <row r="393" spans="1:17" ht="15" customHeight="1">
      <c r="A393" s="136" t="s">
        <v>1221</v>
      </c>
      <c r="B393" s="136" t="s">
        <v>1222</v>
      </c>
      <c r="C393" s="136" t="s">
        <v>497</v>
      </c>
      <c r="D393" s="136" t="s">
        <v>404</v>
      </c>
      <c r="E393" s="162">
        <v>20</v>
      </c>
      <c r="F393" s="162">
        <v>0.7</v>
      </c>
      <c r="G393" s="162">
        <v>3.8</v>
      </c>
      <c r="H393" s="162">
        <v>0.1</v>
      </c>
      <c r="I393" s="162">
        <v>1.1000000000000001</v>
      </c>
      <c r="J393" s="136" t="s">
        <v>405</v>
      </c>
      <c r="K393" s="163" t="s">
        <v>405</v>
      </c>
      <c r="L393" s="136" t="s">
        <v>406</v>
      </c>
      <c r="M393" s="136" t="s">
        <v>66</v>
      </c>
      <c r="N393" s="136" t="str">
        <f t="shared" si="6"/>
        <v>Zapallo · INTA-0386</v>
      </c>
      <c r="O393" s="13"/>
      <c r="P393" s="13"/>
      <c r="Q393" s="13"/>
    </row>
    <row r="394" spans="1:17" ht="15" customHeight="1">
      <c r="A394" s="140" t="s">
        <v>1223</v>
      </c>
      <c r="B394" s="140" t="s">
        <v>1224</v>
      </c>
      <c r="C394" s="140" t="s">
        <v>339</v>
      </c>
      <c r="D394" s="140" t="s">
        <v>404</v>
      </c>
      <c r="E394" s="164">
        <v>232</v>
      </c>
      <c r="F394" s="164">
        <v>1.1000000000000001</v>
      </c>
      <c r="G394" s="164">
        <v>4.2</v>
      </c>
      <c r="H394" s="164">
        <v>24.4</v>
      </c>
      <c r="I394" s="164" t="s">
        <v>405</v>
      </c>
      <c r="J394" s="140" t="s">
        <v>405</v>
      </c>
      <c r="K394" s="165" t="s">
        <v>405</v>
      </c>
      <c r="L394" s="140" t="s">
        <v>406</v>
      </c>
      <c r="M394" s="140" t="s">
        <v>66</v>
      </c>
      <c r="N394" s="140" t="str">
        <f t="shared" si="6"/>
        <v>Aceitunas negras · INTA-0387</v>
      </c>
      <c r="O394" s="13"/>
      <c r="P394" s="13"/>
      <c r="Q394" s="13"/>
    </row>
    <row r="395" spans="1:17" ht="15" customHeight="1">
      <c r="A395" s="136" t="s">
        <v>1225</v>
      </c>
      <c r="B395" s="136" t="s">
        <v>1226</v>
      </c>
      <c r="C395" s="136" t="s">
        <v>339</v>
      </c>
      <c r="D395" s="136" t="s">
        <v>404</v>
      </c>
      <c r="E395" s="162">
        <v>263</v>
      </c>
      <c r="F395" s="162">
        <v>1.2</v>
      </c>
      <c r="G395" s="162">
        <v>2.1</v>
      </c>
      <c r="H395" s="162">
        <v>27.3</v>
      </c>
      <c r="I395" s="162" t="s">
        <v>405</v>
      </c>
      <c r="J395" s="136" t="s">
        <v>405</v>
      </c>
      <c r="K395" s="163" t="s">
        <v>405</v>
      </c>
      <c r="L395" s="136" t="s">
        <v>406</v>
      </c>
      <c r="M395" s="136" t="s">
        <v>66</v>
      </c>
      <c r="N395" s="136" t="str">
        <f t="shared" si="6"/>
        <v>Aceitunas verdes · INTA-0388</v>
      </c>
      <c r="O395" s="13"/>
      <c r="P395" s="13"/>
      <c r="Q395" s="13"/>
    </row>
    <row r="396" spans="1:17" ht="15" customHeight="1">
      <c r="A396" s="140" t="s">
        <v>1227</v>
      </c>
      <c r="B396" s="140" t="s">
        <v>1228</v>
      </c>
      <c r="C396" s="140" t="s">
        <v>339</v>
      </c>
      <c r="D396" s="140" t="s">
        <v>404</v>
      </c>
      <c r="E396" s="164">
        <v>57</v>
      </c>
      <c r="F396" s="164">
        <v>0.7</v>
      </c>
      <c r="G396" s="164">
        <v>12.1</v>
      </c>
      <c r="H396" s="164">
        <v>0.3</v>
      </c>
      <c r="I396" s="164">
        <v>2.4</v>
      </c>
      <c r="J396" s="140" t="s">
        <v>405</v>
      </c>
      <c r="K396" s="165" t="s">
        <v>405</v>
      </c>
      <c r="L396" s="140" t="s">
        <v>406</v>
      </c>
      <c r="M396" s="140" t="s">
        <v>66</v>
      </c>
      <c r="N396" s="140" t="str">
        <f t="shared" si="6"/>
        <v>Arándanos azul · INTA-0389</v>
      </c>
      <c r="O396" s="13"/>
      <c r="P396" s="13"/>
      <c r="Q396" s="13"/>
    </row>
    <row r="397" spans="1:17" ht="15" customHeight="1">
      <c r="A397" s="136" t="s">
        <v>1229</v>
      </c>
      <c r="B397" s="136" t="s">
        <v>1230</v>
      </c>
      <c r="C397" s="136" t="s">
        <v>339</v>
      </c>
      <c r="D397" s="136" t="s">
        <v>404</v>
      </c>
      <c r="E397" s="162">
        <v>46</v>
      </c>
      <c r="F397" s="162">
        <v>0.5</v>
      </c>
      <c r="G397" s="162">
        <v>3.4</v>
      </c>
      <c r="H397" s="162">
        <v>0.1</v>
      </c>
      <c r="I397" s="162">
        <v>3.6</v>
      </c>
      <c r="J397" s="136" t="s">
        <v>405</v>
      </c>
      <c r="K397" s="163" t="s">
        <v>405</v>
      </c>
      <c r="L397" s="136" t="s">
        <v>406</v>
      </c>
      <c r="M397" s="136" t="s">
        <v>66</v>
      </c>
      <c r="N397" s="136" t="str">
        <f t="shared" si="6"/>
        <v>Arándanos rojo · INTA-0390</v>
      </c>
      <c r="O397" s="13"/>
      <c r="P397" s="13"/>
      <c r="Q397" s="13"/>
    </row>
    <row r="398" spans="1:17" ht="15" customHeight="1">
      <c r="A398" s="140" t="s">
        <v>1231</v>
      </c>
      <c r="B398" s="140" t="s">
        <v>1232</v>
      </c>
      <c r="C398" s="140" t="s">
        <v>339</v>
      </c>
      <c r="D398" s="140" t="s">
        <v>404</v>
      </c>
      <c r="E398" s="164">
        <v>70</v>
      </c>
      <c r="F398" s="164">
        <v>0.6</v>
      </c>
      <c r="G398" s="164">
        <v>16.8</v>
      </c>
      <c r="H398" s="164">
        <v>0.2</v>
      </c>
      <c r="I398" s="164">
        <v>1.8</v>
      </c>
      <c r="J398" s="140" t="s">
        <v>405</v>
      </c>
      <c r="K398" s="165" t="s">
        <v>405</v>
      </c>
      <c r="L398" s="140" t="s">
        <v>406</v>
      </c>
      <c r="M398" s="140" t="s">
        <v>66</v>
      </c>
      <c r="N398" s="140" t="str">
        <f t="shared" si="6"/>
        <v>Caqui · INTA-0391</v>
      </c>
      <c r="O398" s="13"/>
      <c r="P398" s="13"/>
      <c r="Q398" s="13"/>
    </row>
    <row r="399" spans="1:17" ht="15" customHeight="1">
      <c r="A399" s="136" t="s">
        <v>1233</v>
      </c>
      <c r="B399" s="136" t="s">
        <v>1234</v>
      </c>
      <c r="C399" s="136" t="s">
        <v>339</v>
      </c>
      <c r="D399" s="136" t="s">
        <v>404</v>
      </c>
      <c r="E399" s="162">
        <v>63</v>
      </c>
      <c r="F399" s="162">
        <v>1.1000000000000001</v>
      </c>
      <c r="G399" s="162">
        <v>10.6</v>
      </c>
      <c r="H399" s="162">
        <v>0.3</v>
      </c>
      <c r="I399" s="162">
        <v>1.6</v>
      </c>
      <c r="J399" s="136" t="s">
        <v>405</v>
      </c>
      <c r="K399" s="163" t="s">
        <v>405</v>
      </c>
      <c r="L399" s="136" t="s">
        <v>406</v>
      </c>
      <c r="M399" s="136" t="s">
        <v>66</v>
      </c>
      <c r="N399" s="136" t="str">
        <f t="shared" si="6"/>
        <v>Cerezas · INTA-0392</v>
      </c>
      <c r="O399" s="13"/>
      <c r="P399" s="13"/>
      <c r="Q399" s="13"/>
    </row>
    <row r="400" spans="1:17" ht="15" customHeight="1">
      <c r="A400" s="140" t="s">
        <v>1235</v>
      </c>
      <c r="B400" s="140" t="s">
        <v>1236</v>
      </c>
      <c r="C400" s="140" t="s">
        <v>339</v>
      </c>
      <c r="D400" s="140" t="s">
        <v>404</v>
      </c>
      <c r="E400" s="164">
        <v>75</v>
      </c>
      <c r="F400" s="164">
        <v>1.6</v>
      </c>
      <c r="G400" s="164">
        <v>14.7</v>
      </c>
      <c r="H400" s="164">
        <v>0.7</v>
      </c>
      <c r="I400" s="164">
        <v>3</v>
      </c>
      <c r="J400" s="140" t="s">
        <v>405</v>
      </c>
      <c r="K400" s="165" t="s">
        <v>405</v>
      </c>
      <c r="L400" s="140" t="s">
        <v>406</v>
      </c>
      <c r="M400" s="140" t="s">
        <v>66</v>
      </c>
      <c r="N400" s="140" t="str">
        <f t="shared" si="6"/>
        <v>Chirimoya · INTA-0393</v>
      </c>
      <c r="O400" s="13"/>
      <c r="P400" s="13"/>
      <c r="Q400" s="13"/>
    </row>
    <row r="401" spans="1:17" ht="15" customHeight="1">
      <c r="A401" s="136" t="s">
        <v>1237</v>
      </c>
      <c r="B401" s="136" t="s">
        <v>1238</v>
      </c>
      <c r="C401" s="136" t="s">
        <v>339</v>
      </c>
      <c r="D401" s="136" t="s">
        <v>404</v>
      </c>
      <c r="E401" s="162">
        <v>46</v>
      </c>
      <c r="F401" s="162">
        <v>0.7</v>
      </c>
      <c r="G401" s="162">
        <v>10</v>
      </c>
      <c r="H401" s="162">
        <v>0.3</v>
      </c>
      <c r="I401" s="162">
        <v>1.4</v>
      </c>
      <c r="J401" s="136" t="s">
        <v>405</v>
      </c>
      <c r="K401" s="163" t="s">
        <v>405</v>
      </c>
      <c r="L401" s="136" t="s">
        <v>406</v>
      </c>
      <c r="M401" s="136" t="s">
        <v>66</v>
      </c>
      <c r="N401" s="136" t="str">
        <f t="shared" si="6"/>
        <v>Ciruelas · INTA-0394</v>
      </c>
      <c r="O401" s="13"/>
      <c r="P401" s="13"/>
      <c r="Q401" s="13"/>
    </row>
    <row r="402" spans="1:17" ht="15" customHeight="1">
      <c r="A402" s="140" t="s">
        <v>1239</v>
      </c>
      <c r="B402" s="140" t="s">
        <v>1240</v>
      </c>
      <c r="C402" s="140" t="s">
        <v>339</v>
      </c>
      <c r="D402" s="140" t="s">
        <v>404</v>
      </c>
      <c r="E402" s="164">
        <v>240</v>
      </c>
      <c r="F402" s="164">
        <v>2.2000000000000002</v>
      </c>
      <c r="G402" s="164">
        <v>56.8</v>
      </c>
      <c r="H402" s="164">
        <v>0.4</v>
      </c>
      <c r="I402" s="164">
        <v>7.1</v>
      </c>
      <c r="J402" s="140" t="s">
        <v>405</v>
      </c>
      <c r="K402" s="165" t="s">
        <v>405</v>
      </c>
      <c r="L402" s="140" t="s">
        <v>406</v>
      </c>
      <c r="M402" s="140" t="s">
        <v>66</v>
      </c>
      <c r="N402" s="140" t="str">
        <f t="shared" si="6"/>
        <v>Ciruelas desecadas · INTA-0395</v>
      </c>
      <c r="O402" s="13"/>
      <c r="P402" s="13"/>
      <c r="Q402" s="13"/>
    </row>
    <row r="403" spans="1:17" ht="15" customHeight="1">
      <c r="A403" s="136" t="s">
        <v>1241</v>
      </c>
      <c r="B403" s="136" t="s">
        <v>1242</v>
      </c>
      <c r="C403" s="136" t="s">
        <v>339</v>
      </c>
      <c r="D403" s="136" t="s">
        <v>404</v>
      </c>
      <c r="E403" s="162">
        <v>47</v>
      </c>
      <c r="F403" s="162">
        <v>0.9</v>
      </c>
      <c r="G403" s="162">
        <v>10.3</v>
      </c>
      <c r="H403" s="162">
        <v>0.2</v>
      </c>
      <c r="I403" s="162">
        <v>1.7</v>
      </c>
      <c r="J403" s="136" t="s">
        <v>405</v>
      </c>
      <c r="K403" s="163" t="s">
        <v>405</v>
      </c>
      <c r="L403" s="136" t="s">
        <v>406</v>
      </c>
      <c r="M403" s="136" t="s">
        <v>66</v>
      </c>
      <c r="N403" s="136" t="str">
        <f t="shared" si="6"/>
        <v>Clementinas · INTA-0396</v>
      </c>
      <c r="O403" s="13"/>
      <c r="P403" s="13"/>
      <c r="Q403" s="13"/>
    </row>
    <row r="404" spans="1:17" ht="15" customHeight="1">
      <c r="A404" s="140" t="s">
        <v>1243</v>
      </c>
      <c r="B404" s="140" t="s">
        <v>1244</v>
      </c>
      <c r="C404" s="140" t="s">
        <v>339</v>
      </c>
      <c r="D404" s="140" t="s">
        <v>404</v>
      </c>
      <c r="E404" s="164">
        <v>48</v>
      </c>
      <c r="F404" s="164">
        <v>1.4</v>
      </c>
      <c r="G404" s="164">
        <v>9.1</v>
      </c>
      <c r="H404" s="164">
        <v>0.4</v>
      </c>
      <c r="I404" s="164">
        <v>2</v>
      </c>
      <c r="J404" s="140" t="s">
        <v>405</v>
      </c>
      <c r="K404" s="165" t="s">
        <v>405</v>
      </c>
      <c r="L404" s="140" t="s">
        <v>406</v>
      </c>
      <c r="M404" s="140" t="s">
        <v>66</v>
      </c>
      <c r="N404" s="140" t="str">
        <f t="shared" si="6"/>
        <v>Damasco · INTA-0397</v>
      </c>
      <c r="O404" s="13"/>
      <c r="P404" s="13"/>
      <c r="Q404" s="13"/>
    </row>
    <row r="405" spans="1:17" ht="15" customHeight="1">
      <c r="A405" s="136" t="s">
        <v>1245</v>
      </c>
      <c r="B405" s="136" t="s">
        <v>1246</v>
      </c>
      <c r="C405" s="136" t="s">
        <v>339</v>
      </c>
      <c r="D405" s="136" t="s">
        <v>404</v>
      </c>
      <c r="E405" s="162">
        <v>244</v>
      </c>
      <c r="F405" s="162">
        <v>4.5999999999999996</v>
      </c>
      <c r="G405" s="162">
        <v>56.1</v>
      </c>
      <c r="H405" s="162">
        <v>0.4</v>
      </c>
      <c r="I405" s="162">
        <v>9.1</v>
      </c>
      <c r="J405" s="136" t="s">
        <v>405</v>
      </c>
      <c r="K405" s="163" t="s">
        <v>405</v>
      </c>
      <c r="L405" s="136" t="s">
        <v>406</v>
      </c>
      <c r="M405" s="136" t="s">
        <v>66</v>
      </c>
      <c r="N405" s="136" t="str">
        <f t="shared" si="6"/>
        <v>Damascos secos · INTA-0398</v>
      </c>
      <c r="O405" s="13"/>
      <c r="P405" s="13"/>
      <c r="Q405" s="13"/>
    </row>
    <row r="406" spans="1:17" ht="15" customHeight="1">
      <c r="A406" s="140" t="s">
        <v>1247</v>
      </c>
      <c r="B406" s="140" t="s">
        <v>50</v>
      </c>
      <c r="C406" s="140" t="s">
        <v>339</v>
      </c>
      <c r="D406" s="140" t="s">
        <v>404</v>
      </c>
      <c r="E406" s="164">
        <v>39</v>
      </c>
      <c r="F406" s="164">
        <v>0.9</v>
      </c>
      <c r="G406" s="164">
        <v>8</v>
      </c>
      <c r="H406" s="164">
        <v>0.3</v>
      </c>
      <c r="I406" s="164">
        <v>1.5</v>
      </c>
      <c r="J406" s="140" t="s">
        <v>405</v>
      </c>
      <c r="K406" s="165" t="s">
        <v>405</v>
      </c>
      <c r="L406" s="140" t="s">
        <v>406</v>
      </c>
      <c r="M406" s="140" t="s">
        <v>66</v>
      </c>
      <c r="N406" s="140" t="str">
        <f t="shared" si="6"/>
        <v>Durazno · INTA-0399</v>
      </c>
      <c r="O406" s="13"/>
      <c r="P406" s="13"/>
      <c r="Q406" s="13"/>
    </row>
    <row r="407" spans="1:17" ht="15" customHeight="1">
      <c r="A407" s="136" t="s">
        <v>1248</v>
      </c>
      <c r="B407" s="136" t="s">
        <v>1249</v>
      </c>
      <c r="C407" s="136" t="s">
        <v>339</v>
      </c>
      <c r="D407" s="136" t="s">
        <v>404</v>
      </c>
      <c r="E407" s="162">
        <v>50</v>
      </c>
      <c r="F407" s="162">
        <v>0.6</v>
      </c>
      <c r="G407" s="162">
        <v>10</v>
      </c>
      <c r="H407" s="162">
        <v>0.3</v>
      </c>
      <c r="I407" s="162" t="s">
        <v>405</v>
      </c>
      <c r="J407" s="136" t="s">
        <v>405</v>
      </c>
      <c r="K407" s="163" t="s">
        <v>405</v>
      </c>
      <c r="L407" s="136" t="s">
        <v>406</v>
      </c>
      <c r="M407" s="136" t="s">
        <v>66</v>
      </c>
      <c r="N407" s="136" t="str">
        <f t="shared" si="6"/>
        <v>Duraznos en conserva · INTA-0400</v>
      </c>
      <c r="O407" s="13"/>
      <c r="P407" s="13"/>
      <c r="Q407" s="13"/>
    </row>
    <row r="408" spans="1:17" ht="15" customHeight="1">
      <c r="A408" s="140" t="s">
        <v>1250</v>
      </c>
      <c r="B408" s="140" t="s">
        <v>1251</v>
      </c>
      <c r="C408" s="140" t="s">
        <v>339</v>
      </c>
      <c r="D408" s="140" t="s">
        <v>404</v>
      </c>
      <c r="E408" s="164">
        <v>52</v>
      </c>
      <c r="F408" s="164">
        <v>1.2</v>
      </c>
      <c r="G408" s="164">
        <v>5.4</v>
      </c>
      <c r="H408" s="164">
        <v>0.7</v>
      </c>
      <c r="I408" s="164">
        <v>6.5</v>
      </c>
      <c r="J408" s="140" t="s">
        <v>405</v>
      </c>
      <c r="K408" s="165" t="s">
        <v>405</v>
      </c>
      <c r="L408" s="140" t="s">
        <v>406</v>
      </c>
      <c r="M408" s="140" t="s">
        <v>66</v>
      </c>
      <c r="N408" s="140" t="str">
        <f t="shared" si="6"/>
        <v>Frambuesa · INTA-0401</v>
      </c>
      <c r="O408" s="13"/>
      <c r="P408" s="13"/>
      <c r="Q408" s="13"/>
    </row>
    <row r="409" spans="1:17" ht="15" customHeight="1">
      <c r="A409" s="136" t="s">
        <v>1252</v>
      </c>
      <c r="B409" s="136" t="s">
        <v>1253</v>
      </c>
      <c r="C409" s="136" t="s">
        <v>339</v>
      </c>
      <c r="D409" s="136" t="s">
        <v>404</v>
      </c>
      <c r="E409" s="162">
        <v>32</v>
      </c>
      <c r="F409" s="162">
        <v>0.7</v>
      </c>
      <c r="G409" s="162">
        <v>5.7</v>
      </c>
      <c r="H409" s="162">
        <v>0.3</v>
      </c>
      <c r="I409" s="162">
        <v>2</v>
      </c>
      <c r="J409" s="136" t="s">
        <v>405</v>
      </c>
      <c r="K409" s="163" t="s">
        <v>405</v>
      </c>
      <c r="L409" s="136" t="s">
        <v>406</v>
      </c>
      <c r="M409" s="136" t="s">
        <v>66</v>
      </c>
      <c r="N409" s="136" t="str">
        <f t="shared" si="6"/>
        <v>Frutilla · INTA-0402</v>
      </c>
      <c r="O409" s="13"/>
      <c r="P409" s="13"/>
      <c r="Q409" s="13"/>
    </row>
    <row r="410" spans="1:17" ht="15" customHeight="1">
      <c r="A410" s="140" t="s">
        <v>1254</v>
      </c>
      <c r="B410" s="140" t="s">
        <v>1255</v>
      </c>
      <c r="C410" s="140" t="s">
        <v>339</v>
      </c>
      <c r="D410" s="140" t="s">
        <v>404</v>
      </c>
      <c r="E410" s="164">
        <v>83</v>
      </c>
      <c r="F410" s="164">
        <v>1.2</v>
      </c>
      <c r="G410" s="165">
        <v>14.7</v>
      </c>
      <c r="H410" s="164">
        <v>1.2</v>
      </c>
      <c r="I410" s="165">
        <v>4</v>
      </c>
      <c r="J410" s="140" t="s">
        <v>405</v>
      </c>
      <c r="K410" s="165" t="s">
        <v>405</v>
      </c>
      <c r="L410" s="140" t="s">
        <v>406</v>
      </c>
      <c r="M410" s="140" t="s">
        <v>66</v>
      </c>
      <c r="N410" s="140" t="str">
        <f t="shared" si="6"/>
        <v>Granada · INTA-0403</v>
      </c>
      <c r="O410" s="13"/>
      <c r="P410" s="13"/>
      <c r="Q410" s="13"/>
    </row>
    <row r="411" spans="1:17" ht="15" customHeight="1">
      <c r="A411" s="136" t="s">
        <v>1256</v>
      </c>
      <c r="B411" s="136" t="s">
        <v>1257</v>
      </c>
      <c r="C411" s="136" t="s">
        <v>339</v>
      </c>
      <c r="D411" s="136" t="s">
        <v>404</v>
      </c>
      <c r="E411" s="162">
        <v>56</v>
      </c>
      <c r="F411" s="162">
        <v>1.4</v>
      </c>
      <c r="G411" s="162">
        <v>9.5</v>
      </c>
      <c r="H411" s="162">
        <v>0.2</v>
      </c>
      <c r="I411" s="162">
        <v>4.3</v>
      </c>
      <c r="J411" s="136" t="s">
        <v>405</v>
      </c>
      <c r="K411" s="163" t="s">
        <v>405</v>
      </c>
      <c r="L411" s="136" t="s">
        <v>406</v>
      </c>
      <c r="M411" s="136" t="s">
        <v>66</v>
      </c>
      <c r="N411" s="136" t="str">
        <f t="shared" si="6"/>
        <v>Grosella roja y blanca · INTA-0404</v>
      </c>
      <c r="O411" s="13"/>
      <c r="P411" s="13"/>
      <c r="Q411" s="13"/>
    </row>
    <row r="412" spans="1:17" ht="15" customHeight="1">
      <c r="A412" s="140" t="s">
        <v>1258</v>
      </c>
      <c r="B412" s="140" t="s">
        <v>1259</v>
      </c>
      <c r="C412" s="140" t="s">
        <v>339</v>
      </c>
      <c r="D412" s="140" t="s">
        <v>404</v>
      </c>
      <c r="E412" s="164">
        <v>68</v>
      </c>
      <c r="F412" s="164">
        <v>2.6</v>
      </c>
      <c r="G412" s="164">
        <v>8.9</v>
      </c>
      <c r="H412" s="164">
        <v>1</v>
      </c>
      <c r="I412" s="164">
        <v>5.4</v>
      </c>
      <c r="J412" s="140" t="s">
        <v>405</v>
      </c>
      <c r="K412" s="165" t="s">
        <v>405</v>
      </c>
      <c r="L412" s="140" t="s">
        <v>406</v>
      </c>
      <c r="M412" s="140" t="s">
        <v>66</v>
      </c>
      <c r="N412" s="140" t="str">
        <f t="shared" si="6"/>
        <v>Guayaba · INTA-0405</v>
      </c>
      <c r="O412" s="13"/>
      <c r="P412" s="13"/>
      <c r="Q412" s="13"/>
    </row>
    <row r="413" spans="1:17" ht="15" customHeight="1">
      <c r="A413" s="136" t="s">
        <v>1260</v>
      </c>
      <c r="B413" s="136" t="s">
        <v>1261</v>
      </c>
      <c r="C413" s="136" t="s">
        <v>339</v>
      </c>
      <c r="D413" s="136" t="s">
        <v>404</v>
      </c>
      <c r="E413" s="162">
        <v>63</v>
      </c>
      <c r="F413" s="162">
        <v>1.1000000000000001</v>
      </c>
      <c r="G413" s="162">
        <v>13.9</v>
      </c>
      <c r="H413" s="162">
        <v>0.2</v>
      </c>
      <c r="I413" s="162">
        <v>2.1</v>
      </c>
      <c r="J413" s="136" t="s">
        <v>405</v>
      </c>
      <c r="K413" s="163" t="s">
        <v>405</v>
      </c>
      <c r="L413" s="136" t="s">
        <v>406</v>
      </c>
      <c r="M413" s="136" t="s">
        <v>66</v>
      </c>
      <c r="N413" s="136" t="str">
        <f t="shared" si="6"/>
        <v>Guindas · INTA-0406</v>
      </c>
      <c r="O413" s="13"/>
      <c r="P413" s="13"/>
      <c r="Q413" s="13"/>
    </row>
    <row r="414" spans="1:17" ht="15" customHeight="1">
      <c r="A414" s="136" t="s">
        <v>1262</v>
      </c>
      <c r="B414" s="136" t="s">
        <v>1263</v>
      </c>
      <c r="C414" s="136" t="s">
        <v>339</v>
      </c>
      <c r="D414" s="136" t="s">
        <v>404</v>
      </c>
      <c r="E414" s="162">
        <v>50</v>
      </c>
      <c r="F414" s="162">
        <v>1</v>
      </c>
      <c r="G414" s="162">
        <v>10.6</v>
      </c>
      <c r="H414" s="162">
        <v>0.3</v>
      </c>
      <c r="I414" s="162">
        <v>1.6</v>
      </c>
      <c r="J414" s="136" t="s">
        <v>405</v>
      </c>
      <c r="K414" s="163" t="s">
        <v>405</v>
      </c>
      <c r="L414" s="136" t="s">
        <v>406</v>
      </c>
      <c r="M414" s="136" t="s">
        <v>66</v>
      </c>
      <c r="N414" s="136" t="str">
        <f t="shared" si="6"/>
        <v>Guindas ácidas rojas · INTA-0407</v>
      </c>
      <c r="O414" s="13"/>
      <c r="P414" s="13"/>
      <c r="Q414" s="13"/>
    </row>
    <row r="415" spans="1:17" ht="15" customHeight="1">
      <c r="A415" s="140" t="s">
        <v>1264</v>
      </c>
      <c r="B415" s="140" t="s">
        <v>1265</v>
      </c>
      <c r="C415" s="140" t="s">
        <v>339</v>
      </c>
      <c r="D415" s="140" t="s">
        <v>404</v>
      </c>
      <c r="E415" s="164">
        <v>74</v>
      </c>
      <c r="F415" s="164">
        <v>0.8</v>
      </c>
      <c r="G415" s="164">
        <v>16.3</v>
      </c>
      <c r="H415" s="165">
        <v>0.3</v>
      </c>
      <c r="I415" s="164">
        <v>2.9</v>
      </c>
      <c r="J415" s="140" t="s">
        <v>405</v>
      </c>
      <c r="K415" s="165" t="s">
        <v>405</v>
      </c>
      <c r="L415" s="140" t="s">
        <v>406</v>
      </c>
      <c r="M415" s="140" t="s">
        <v>66</v>
      </c>
      <c r="N415" s="140" t="str">
        <f t="shared" si="6"/>
        <v>Higos frescos · INTA-0408</v>
      </c>
      <c r="O415" s="13"/>
      <c r="P415" s="13"/>
      <c r="Q415" s="13"/>
    </row>
    <row r="416" spans="1:17" ht="15" customHeight="1">
      <c r="A416" s="136" t="s">
        <v>1266</v>
      </c>
      <c r="B416" s="136" t="s">
        <v>1267</v>
      </c>
      <c r="C416" s="136" t="s">
        <v>339</v>
      </c>
      <c r="D416" s="136" t="s">
        <v>404</v>
      </c>
      <c r="E416" s="162">
        <v>249</v>
      </c>
      <c r="F416" s="162">
        <v>3.3</v>
      </c>
      <c r="G416" s="162">
        <v>54.1</v>
      </c>
      <c r="H416" s="162">
        <v>0.9</v>
      </c>
      <c r="I416" s="162">
        <v>9.8000000000000007</v>
      </c>
      <c r="J416" s="136" t="s">
        <v>405</v>
      </c>
      <c r="K416" s="163" t="s">
        <v>405</v>
      </c>
      <c r="L416" s="136" t="s">
        <v>406</v>
      </c>
      <c r="M416" s="136" t="s">
        <v>66</v>
      </c>
      <c r="N416" s="136" t="str">
        <f t="shared" si="6"/>
        <v>Higos secos · INTA-0409</v>
      </c>
      <c r="O416" s="13"/>
      <c r="P416" s="13"/>
      <c r="Q416" s="13"/>
    </row>
    <row r="417" spans="1:17" ht="15" customHeight="1">
      <c r="A417" s="140" t="s">
        <v>1268</v>
      </c>
      <c r="B417" s="140" t="s">
        <v>1269</v>
      </c>
      <c r="C417" s="140" t="s">
        <v>339</v>
      </c>
      <c r="D417" s="140" t="s">
        <v>404</v>
      </c>
      <c r="E417" s="164">
        <v>239</v>
      </c>
      <c r="F417" s="164">
        <v>3.6</v>
      </c>
      <c r="G417" s="164">
        <v>53.1</v>
      </c>
      <c r="H417" s="164">
        <v>0.8</v>
      </c>
      <c r="I417" s="164">
        <v>8.1999999999999993</v>
      </c>
      <c r="J417" s="140" t="s">
        <v>405</v>
      </c>
      <c r="K417" s="165" t="s">
        <v>405</v>
      </c>
      <c r="L417" s="140" t="s">
        <v>406</v>
      </c>
      <c r="M417" s="140" t="s">
        <v>66</v>
      </c>
      <c r="N417" s="140" t="str">
        <f t="shared" si="6"/>
        <v>Huesillo · INTA-0410</v>
      </c>
      <c r="O417" s="13"/>
      <c r="P417" s="13"/>
      <c r="Q417" s="13"/>
    </row>
    <row r="418" spans="1:17" ht="15" customHeight="1">
      <c r="A418" s="136" t="s">
        <v>1270</v>
      </c>
      <c r="B418" s="136" t="s">
        <v>1271</v>
      </c>
      <c r="C418" s="136" t="s">
        <v>339</v>
      </c>
      <c r="D418" s="136" t="s">
        <v>404</v>
      </c>
      <c r="E418" s="162">
        <v>61</v>
      </c>
      <c r="F418" s="162">
        <v>1.1000000000000001</v>
      </c>
      <c r="G418" s="162">
        <v>11.7</v>
      </c>
      <c r="H418" s="162">
        <v>0.5</v>
      </c>
      <c r="I418" s="163">
        <v>3</v>
      </c>
      <c r="J418" s="136" t="s">
        <v>405</v>
      </c>
      <c r="K418" s="163" t="s">
        <v>405</v>
      </c>
      <c r="L418" s="136" t="s">
        <v>406</v>
      </c>
      <c r="M418" s="136" t="s">
        <v>66</v>
      </c>
      <c r="N418" s="136" t="str">
        <f t="shared" si="6"/>
        <v>Kiwi · INTA-0411</v>
      </c>
      <c r="O418" s="13"/>
      <c r="P418" s="13"/>
      <c r="Q418" s="13"/>
    </row>
    <row r="419" spans="1:17" ht="15" customHeight="1">
      <c r="A419" s="140" t="s">
        <v>1272</v>
      </c>
      <c r="B419" s="140" t="s">
        <v>1273</v>
      </c>
      <c r="C419" s="140" t="s">
        <v>339</v>
      </c>
      <c r="D419" s="140" t="s">
        <v>404</v>
      </c>
      <c r="E419" s="164">
        <v>29</v>
      </c>
      <c r="F419" s="164">
        <v>1.1000000000000001</v>
      </c>
      <c r="G419" s="164">
        <v>6.5</v>
      </c>
      <c r="H419" s="164">
        <v>0.3</v>
      </c>
      <c r="I419" s="164">
        <v>2.8</v>
      </c>
      <c r="J419" s="140" t="s">
        <v>405</v>
      </c>
      <c r="K419" s="165" t="s">
        <v>405</v>
      </c>
      <c r="L419" s="140" t="s">
        <v>406</v>
      </c>
      <c r="M419" s="140" t="s">
        <v>66</v>
      </c>
      <c r="N419" s="140" t="str">
        <f t="shared" si="6"/>
        <v>Limón fruto · INTA-0412</v>
      </c>
      <c r="O419" s="13"/>
      <c r="P419" s="13"/>
      <c r="Q419" s="13"/>
    </row>
    <row r="420" spans="1:17" ht="15" customHeight="1">
      <c r="A420" s="136" t="s">
        <v>1274</v>
      </c>
      <c r="B420" s="136" t="s">
        <v>1275</v>
      </c>
      <c r="C420" s="136" t="s">
        <v>339</v>
      </c>
      <c r="D420" s="136" t="s">
        <v>404</v>
      </c>
      <c r="E420" s="162">
        <v>53</v>
      </c>
      <c r="F420" s="162">
        <v>0.8</v>
      </c>
      <c r="G420" s="162">
        <v>4.8</v>
      </c>
      <c r="H420" s="162">
        <v>0.3</v>
      </c>
      <c r="I420" s="162">
        <v>1.8</v>
      </c>
      <c r="J420" s="136" t="s">
        <v>405</v>
      </c>
      <c r="K420" s="163" t="s">
        <v>405</v>
      </c>
      <c r="L420" s="136" t="s">
        <v>406</v>
      </c>
      <c r="M420" s="136" t="s">
        <v>66</v>
      </c>
      <c r="N420" s="136" t="str">
        <f t="shared" si="6"/>
        <v>Mandarina · INTA-0413</v>
      </c>
      <c r="O420" s="13"/>
      <c r="P420" s="13"/>
      <c r="Q420" s="13"/>
    </row>
    <row r="421" spans="1:17" ht="15" customHeight="1">
      <c r="A421" s="140" t="s">
        <v>1276</v>
      </c>
      <c r="B421" s="140" t="s">
        <v>1277</v>
      </c>
      <c r="C421" s="140" t="s">
        <v>339</v>
      </c>
      <c r="D421" s="140" t="s">
        <v>404</v>
      </c>
      <c r="E421" s="164">
        <v>60</v>
      </c>
      <c r="F421" s="164">
        <v>0.8</v>
      </c>
      <c r="G421" s="164">
        <v>13.4</v>
      </c>
      <c r="H421" s="164">
        <v>0.4</v>
      </c>
      <c r="I421" s="164">
        <v>1.6</v>
      </c>
      <c r="J421" s="140" t="s">
        <v>405</v>
      </c>
      <c r="K421" s="165" t="s">
        <v>405</v>
      </c>
      <c r="L421" s="140" t="s">
        <v>406</v>
      </c>
      <c r="M421" s="140" t="s">
        <v>66</v>
      </c>
      <c r="N421" s="140" t="str">
        <f t="shared" si="6"/>
        <v>Mango · INTA-0414</v>
      </c>
      <c r="O421" s="13"/>
      <c r="P421" s="13"/>
      <c r="Q421" s="13"/>
    </row>
    <row r="422" spans="1:17" ht="15" customHeight="1">
      <c r="A422" s="136" t="s">
        <v>1278</v>
      </c>
      <c r="B422" s="136" t="s">
        <v>1279</v>
      </c>
      <c r="C422" s="136" t="s">
        <v>339</v>
      </c>
      <c r="D422" s="136" t="s">
        <v>404</v>
      </c>
      <c r="E422" s="162">
        <v>52</v>
      </c>
      <c r="F422" s="162">
        <v>0.3</v>
      </c>
      <c r="G422" s="162">
        <v>11.4</v>
      </c>
      <c r="H422" s="162">
        <v>0.2</v>
      </c>
      <c r="I422" s="162">
        <v>2.4</v>
      </c>
      <c r="J422" s="136" t="s">
        <v>405</v>
      </c>
      <c r="K422" s="163" t="s">
        <v>405</v>
      </c>
      <c r="L422" s="136" t="s">
        <v>406</v>
      </c>
      <c r="M422" s="136" t="s">
        <v>66</v>
      </c>
      <c r="N422" s="136" t="str">
        <f t="shared" si="6"/>
        <v>Manzana · INTA-0415</v>
      </c>
      <c r="O422" s="13"/>
      <c r="P422" s="13"/>
      <c r="Q422" s="13"/>
    </row>
    <row r="423" spans="1:17" ht="15" customHeight="1">
      <c r="A423" s="140" t="s">
        <v>1280</v>
      </c>
      <c r="B423" s="140" t="s">
        <v>1281</v>
      </c>
      <c r="C423" s="140" t="s">
        <v>339</v>
      </c>
      <c r="D423" s="140" t="s">
        <v>404</v>
      </c>
      <c r="E423" s="164">
        <v>63</v>
      </c>
      <c r="F423" s="164">
        <v>0.2</v>
      </c>
      <c r="G423" s="164">
        <v>13.1</v>
      </c>
      <c r="H423" s="164">
        <v>0.2</v>
      </c>
      <c r="I423" s="164">
        <v>2.1</v>
      </c>
      <c r="J423" s="140" t="s">
        <v>405</v>
      </c>
      <c r="K423" s="165" t="s">
        <v>405</v>
      </c>
      <c r="L423" s="140" t="s">
        <v>406</v>
      </c>
      <c r="M423" s="140" t="s">
        <v>66</v>
      </c>
      <c r="N423" s="140" t="str">
        <f t="shared" si="6"/>
        <v>Manzana fuji · INTA-0416</v>
      </c>
      <c r="O423" s="13"/>
      <c r="P423" s="13"/>
      <c r="Q423" s="13"/>
    </row>
    <row r="424" spans="1:17" ht="15" customHeight="1">
      <c r="A424" s="136" t="s">
        <v>1282</v>
      </c>
      <c r="B424" s="136" t="s">
        <v>1283</v>
      </c>
      <c r="C424" s="136" t="s">
        <v>339</v>
      </c>
      <c r="D424" s="136" t="s">
        <v>404</v>
      </c>
      <c r="E424" s="162">
        <v>57</v>
      </c>
      <c r="F424" s="162">
        <v>0.3</v>
      </c>
      <c r="G424" s="162">
        <v>11.2</v>
      </c>
      <c r="H424" s="162">
        <v>0.2</v>
      </c>
      <c r="I424" s="163">
        <v>2.4</v>
      </c>
      <c r="J424" s="136" t="s">
        <v>405</v>
      </c>
      <c r="K424" s="163" t="s">
        <v>405</v>
      </c>
      <c r="L424" s="136" t="s">
        <v>406</v>
      </c>
      <c r="M424" s="136" t="s">
        <v>66</v>
      </c>
      <c r="N424" s="136" t="str">
        <f t="shared" si="6"/>
        <v>Manzana golden · INTA-0417</v>
      </c>
      <c r="O424" s="13"/>
      <c r="P424" s="13"/>
      <c r="Q424" s="13"/>
    </row>
    <row r="425" spans="1:17" ht="15" customHeight="1">
      <c r="A425" s="140" t="s">
        <v>1284</v>
      </c>
      <c r="B425" s="140" t="s">
        <v>1285</v>
      </c>
      <c r="C425" s="140" t="s">
        <v>339</v>
      </c>
      <c r="D425" s="140" t="s">
        <v>404</v>
      </c>
      <c r="E425" s="164">
        <v>59</v>
      </c>
      <c r="F425" s="164">
        <v>0.3</v>
      </c>
      <c r="G425" s="164">
        <v>11.8</v>
      </c>
      <c r="H425" s="164">
        <v>0.2</v>
      </c>
      <c r="I425" s="164">
        <v>2.2999999999999998</v>
      </c>
      <c r="J425" s="140" t="s">
        <v>405</v>
      </c>
      <c r="K425" s="165" t="s">
        <v>405</v>
      </c>
      <c r="L425" s="140" t="s">
        <v>406</v>
      </c>
      <c r="M425" s="140" t="s">
        <v>66</v>
      </c>
      <c r="N425" s="140" t="str">
        <f t="shared" si="6"/>
        <v>Manzana roja · INTA-0418</v>
      </c>
      <c r="O425" s="13"/>
      <c r="P425" s="13"/>
      <c r="Q425" s="13"/>
    </row>
    <row r="426" spans="1:17" ht="15" customHeight="1">
      <c r="A426" s="136" t="s">
        <v>1286</v>
      </c>
      <c r="B426" s="136" t="s">
        <v>1287</v>
      </c>
      <c r="C426" s="136" t="s">
        <v>339</v>
      </c>
      <c r="D426" s="136" t="s">
        <v>404</v>
      </c>
      <c r="E426" s="162">
        <v>52</v>
      </c>
      <c r="F426" s="162">
        <v>0.3</v>
      </c>
      <c r="G426" s="162">
        <v>11.5</v>
      </c>
      <c r="H426" s="162">
        <v>0.2</v>
      </c>
      <c r="I426" s="162">
        <v>1.3</v>
      </c>
      <c r="J426" s="136" t="s">
        <v>405</v>
      </c>
      <c r="K426" s="163" t="s">
        <v>405</v>
      </c>
      <c r="L426" s="136" t="s">
        <v>406</v>
      </c>
      <c r="M426" s="136" t="s">
        <v>66</v>
      </c>
      <c r="N426" s="136" t="str">
        <f t="shared" si="6"/>
        <v>Manzana sin cáscara · INTA-0419</v>
      </c>
      <c r="O426" s="13"/>
      <c r="P426" s="13"/>
      <c r="Q426" s="13"/>
    </row>
    <row r="427" spans="1:17" ht="15" customHeight="1">
      <c r="A427" s="136" t="s">
        <v>1288</v>
      </c>
      <c r="B427" s="136" t="s">
        <v>1289</v>
      </c>
      <c r="C427" s="136" t="s">
        <v>339</v>
      </c>
      <c r="D427" s="136" t="s">
        <v>404</v>
      </c>
      <c r="E427" s="162">
        <v>58</v>
      </c>
      <c r="F427" s="162">
        <v>0.4</v>
      </c>
      <c r="G427" s="162">
        <v>10.8</v>
      </c>
      <c r="H427" s="162">
        <v>0.2</v>
      </c>
      <c r="I427" s="162">
        <v>2.8</v>
      </c>
      <c r="J427" s="136" t="s">
        <v>405</v>
      </c>
      <c r="K427" s="163" t="s">
        <v>405</v>
      </c>
      <c r="L427" s="136" t="s">
        <v>406</v>
      </c>
      <c r="M427" s="136" t="s">
        <v>66</v>
      </c>
      <c r="N427" s="136" t="str">
        <f t="shared" si="6"/>
        <v>Manzana verde · INTA-0420</v>
      </c>
      <c r="O427" s="13"/>
      <c r="P427" s="13"/>
      <c r="Q427" s="13"/>
    </row>
    <row r="428" spans="1:17" ht="15" customHeight="1">
      <c r="A428" s="140" t="s">
        <v>1290</v>
      </c>
      <c r="B428" s="140" t="s">
        <v>1291</v>
      </c>
      <c r="C428" s="140" t="s">
        <v>339</v>
      </c>
      <c r="D428" s="140" t="s">
        <v>404</v>
      </c>
      <c r="E428" s="164">
        <v>34</v>
      </c>
      <c r="F428" s="164">
        <v>0.8</v>
      </c>
      <c r="G428" s="164">
        <v>7.3</v>
      </c>
      <c r="H428" s="164">
        <v>0.2</v>
      </c>
      <c r="I428" s="165">
        <v>0.9</v>
      </c>
      <c r="J428" s="140" t="s">
        <v>405</v>
      </c>
      <c r="K428" s="165" t="s">
        <v>405</v>
      </c>
      <c r="L428" s="140" t="s">
        <v>406</v>
      </c>
      <c r="M428" s="140" t="s">
        <v>66</v>
      </c>
      <c r="N428" s="140" t="str">
        <f t="shared" si="6"/>
        <v>Melón · INTA-0421</v>
      </c>
      <c r="O428" s="13"/>
      <c r="P428" s="13"/>
      <c r="Q428" s="13"/>
    </row>
    <row r="429" spans="1:17" ht="15" customHeight="1">
      <c r="A429" s="140" t="s">
        <v>1292</v>
      </c>
      <c r="B429" s="140" t="s">
        <v>1293</v>
      </c>
      <c r="C429" s="140" t="s">
        <v>339</v>
      </c>
      <c r="D429" s="140" t="s">
        <v>404</v>
      </c>
      <c r="E429" s="164">
        <v>57</v>
      </c>
      <c r="F429" s="164">
        <v>0.4</v>
      </c>
      <c r="G429" s="164">
        <v>13.4</v>
      </c>
      <c r="H429" s="164">
        <v>0.1</v>
      </c>
      <c r="I429" s="165">
        <v>1.9</v>
      </c>
      <c r="J429" s="140" t="s">
        <v>405</v>
      </c>
      <c r="K429" s="165" t="s">
        <v>405</v>
      </c>
      <c r="L429" s="140" t="s">
        <v>406</v>
      </c>
      <c r="M429" s="140" t="s">
        <v>66</v>
      </c>
      <c r="N429" s="140" t="str">
        <f t="shared" si="6"/>
        <v>Membrillo · INTA-0422</v>
      </c>
      <c r="O429" s="13"/>
      <c r="P429" s="13"/>
      <c r="Q429" s="13"/>
    </row>
    <row r="430" spans="1:17" ht="15" customHeight="1">
      <c r="A430" s="136" t="s">
        <v>1294</v>
      </c>
      <c r="B430" s="136" t="s">
        <v>1295</v>
      </c>
      <c r="C430" s="136" t="s">
        <v>339</v>
      </c>
      <c r="D430" s="136" t="s">
        <v>404</v>
      </c>
      <c r="E430" s="162">
        <v>43</v>
      </c>
      <c r="F430" s="162">
        <v>1.4</v>
      </c>
      <c r="G430" s="162">
        <v>4.3</v>
      </c>
      <c r="H430" s="162">
        <v>0.5</v>
      </c>
      <c r="I430" s="162">
        <v>5.3</v>
      </c>
      <c r="J430" s="136" t="s">
        <v>405</v>
      </c>
      <c r="K430" s="163" t="s">
        <v>405</v>
      </c>
      <c r="L430" s="136" t="s">
        <v>406</v>
      </c>
      <c r="M430" s="136" t="s">
        <v>66</v>
      </c>
      <c r="N430" s="136" t="str">
        <f t="shared" si="6"/>
        <v>Mora · INTA-0423</v>
      </c>
      <c r="O430" s="13"/>
      <c r="P430" s="13"/>
      <c r="Q430" s="13"/>
    </row>
    <row r="431" spans="1:17" ht="15" customHeight="1">
      <c r="A431" s="140" t="s">
        <v>1296</v>
      </c>
      <c r="B431" s="140" t="s">
        <v>1297</v>
      </c>
      <c r="C431" s="140" t="s">
        <v>339</v>
      </c>
      <c r="D431" s="140" t="s">
        <v>404</v>
      </c>
      <c r="E431" s="164">
        <v>47</v>
      </c>
      <c r="F431" s="164">
        <v>0.9</v>
      </c>
      <c r="G431" s="164">
        <v>9.3000000000000007</v>
      </c>
      <c r="H431" s="164">
        <v>0.1</v>
      </c>
      <c r="I431" s="164">
        <v>2.4</v>
      </c>
      <c r="J431" s="140" t="s">
        <v>405</v>
      </c>
      <c r="K431" s="165" t="s">
        <v>405</v>
      </c>
      <c r="L431" s="140" t="s">
        <v>406</v>
      </c>
      <c r="M431" s="140" t="s">
        <v>66</v>
      </c>
      <c r="N431" s="140" t="str">
        <f t="shared" si="6"/>
        <v>Naranja · INTA-0424</v>
      </c>
      <c r="O431" s="13"/>
      <c r="P431" s="13"/>
      <c r="Q431" s="13"/>
    </row>
    <row r="432" spans="1:17" ht="15" customHeight="1">
      <c r="A432" s="136" t="s">
        <v>1298</v>
      </c>
      <c r="B432" s="136" t="s">
        <v>1299</v>
      </c>
      <c r="C432" s="136" t="s">
        <v>339</v>
      </c>
      <c r="D432" s="136" t="s">
        <v>404</v>
      </c>
      <c r="E432" s="162">
        <v>47</v>
      </c>
      <c r="F432" s="162">
        <v>0.4</v>
      </c>
      <c r="G432" s="162">
        <v>8.9</v>
      </c>
      <c r="H432" s="162">
        <v>0.2</v>
      </c>
      <c r="I432" s="163">
        <v>1.7</v>
      </c>
      <c r="J432" s="136" t="s">
        <v>405</v>
      </c>
      <c r="K432" s="163" t="s">
        <v>405</v>
      </c>
      <c r="L432" s="136" t="s">
        <v>406</v>
      </c>
      <c r="M432" s="136" t="s">
        <v>66</v>
      </c>
      <c r="N432" s="136" t="str">
        <f t="shared" si="6"/>
        <v>Níspero · INTA-0425</v>
      </c>
      <c r="O432" s="13"/>
      <c r="P432" s="13"/>
      <c r="Q432" s="13"/>
    </row>
    <row r="433" spans="1:17" ht="15" customHeight="1">
      <c r="A433" s="140" t="s">
        <v>1300</v>
      </c>
      <c r="B433" s="140" t="s">
        <v>1301</v>
      </c>
      <c r="C433" s="140" t="s">
        <v>339</v>
      </c>
      <c r="D433" s="140" t="s">
        <v>404</v>
      </c>
      <c r="E433" s="164">
        <v>160</v>
      </c>
      <c r="F433" s="164">
        <v>2</v>
      </c>
      <c r="G433" s="164">
        <v>1.8</v>
      </c>
      <c r="H433" s="164">
        <v>14.7</v>
      </c>
      <c r="I433" s="164">
        <v>6.7</v>
      </c>
      <c r="J433" s="140" t="s">
        <v>405</v>
      </c>
      <c r="K433" s="165" t="s">
        <v>405</v>
      </c>
      <c r="L433" s="140" t="s">
        <v>406</v>
      </c>
      <c r="M433" s="140" t="s">
        <v>66</v>
      </c>
      <c r="N433" s="140" t="str">
        <f t="shared" si="6"/>
        <v>Palta · INTA-0426</v>
      </c>
      <c r="O433" s="13"/>
      <c r="P433" s="13"/>
      <c r="Q433" s="13"/>
    </row>
    <row r="434" spans="1:17" ht="15" customHeight="1">
      <c r="A434" s="136" t="s">
        <v>1302</v>
      </c>
      <c r="B434" s="136" t="s">
        <v>1303</v>
      </c>
      <c r="C434" s="136" t="s">
        <v>339</v>
      </c>
      <c r="D434" s="136" t="s">
        <v>404</v>
      </c>
      <c r="E434" s="162">
        <v>160</v>
      </c>
      <c r="F434" s="163">
        <v>1.7</v>
      </c>
      <c r="G434" s="162" t="s">
        <v>405</v>
      </c>
      <c r="H434" s="163">
        <v>15.4</v>
      </c>
      <c r="I434" s="163" t="s">
        <v>405</v>
      </c>
      <c r="J434" s="136" t="s">
        <v>405</v>
      </c>
      <c r="K434" s="163" t="s">
        <v>405</v>
      </c>
      <c r="L434" s="136" t="s">
        <v>406</v>
      </c>
      <c r="M434" s="136" t="s">
        <v>66</v>
      </c>
      <c r="N434" s="136" t="str">
        <f t="shared" si="6"/>
        <v>Palta hass · INTA-0427</v>
      </c>
      <c r="O434" s="13"/>
      <c r="P434" s="13"/>
      <c r="Q434" s="13"/>
    </row>
    <row r="435" spans="1:17" ht="15" customHeight="1">
      <c r="A435" s="140" t="s">
        <v>1304</v>
      </c>
      <c r="B435" s="140" t="s">
        <v>1305</v>
      </c>
      <c r="C435" s="140" t="s">
        <v>339</v>
      </c>
      <c r="D435" s="140" t="s">
        <v>404</v>
      </c>
      <c r="E435" s="164">
        <v>43</v>
      </c>
      <c r="F435" s="164">
        <v>0.5</v>
      </c>
      <c r="G435" s="164">
        <v>9.1</v>
      </c>
      <c r="H435" s="164">
        <v>0.3</v>
      </c>
      <c r="I435" s="164">
        <v>1.7</v>
      </c>
      <c r="J435" s="140" t="s">
        <v>405</v>
      </c>
      <c r="K435" s="165" t="s">
        <v>405</v>
      </c>
      <c r="L435" s="140" t="s">
        <v>406</v>
      </c>
      <c r="M435" s="140" t="s">
        <v>66</v>
      </c>
      <c r="N435" s="140" t="str">
        <f t="shared" si="6"/>
        <v>Papaya · INTA-0428</v>
      </c>
      <c r="O435" s="13"/>
      <c r="P435" s="13"/>
      <c r="Q435" s="13"/>
    </row>
    <row r="436" spans="1:17" ht="15" customHeight="1">
      <c r="A436" s="140" t="s">
        <v>1306</v>
      </c>
      <c r="B436" s="140" t="s">
        <v>1307</v>
      </c>
      <c r="C436" s="140" t="s">
        <v>339</v>
      </c>
      <c r="D436" s="140" t="s">
        <v>404</v>
      </c>
      <c r="E436" s="164">
        <v>299</v>
      </c>
      <c r="F436" s="164">
        <v>3.1</v>
      </c>
      <c r="G436" s="164">
        <v>75.5</v>
      </c>
      <c r="H436" s="164">
        <v>0.5</v>
      </c>
      <c r="I436" s="164">
        <v>3.7</v>
      </c>
      <c r="J436" s="140" t="s">
        <v>405</v>
      </c>
      <c r="K436" s="165" t="s">
        <v>405</v>
      </c>
      <c r="L436" s="140" t="s">
        <v>406</v>
      </c>
      <c r="M436" s="140" t="s">
        <v>66</v>
      </c>
      <c r="N436" s="140" t="str">
        <f t="shared" si="6"/>
        <v>Pasas · INTA-0429</v>
      </c>
      <c r="O436" s="13"/>
      <c r="P436" s="13"/>
      <c r="Q436" s="13"/>
    </row>
    <row r="437" spans="1:17" ht="15" customHeight="1">
      <c r="A437" s="136" t="s">
        <v>1308</v>
      </c>
      <c r="B437" s="136" t="s">
        <v>1309</v>
      </c>
      <c r="C437" s="136" t="s">
        <v>339</v>
      </c>
      <c r="D437" s="136" t="s">
        <v>404</v>
      </c>
      <c r="E437" s="162">
        <v>255</v>
      </c>
      <c r="F437" s="162">
        <v>0.4</v>
      </c>
      <c r="G437" s="162">
        <v>6.3</v>
      </c>
      <c r="H437" s="162">
        <v>0.1</v>
      </c>
      <c r="I437" s="162">
        <v>0.5</v>
      </c>
      <c r="J437" s="136" t="s">
        <v>405</v>
      </c>
      <c r="K437" s="163" t="s">
        <v>405</v>
      </c>
      <c r="L437" s="136" t="s">
        <v>406</v>
      </c>
      <c r="M437" s="136" t="s">
        <v>66</v>
      </c>
      <c r="N437" s="136" t="str">
        <f t="shared" si="6"/>
        <v>Pepino dulce · INTA-0430</v>
      </c>
      <c r="O437" s="13"/>
      <c r="P437" s="13"/>
      <c r="Q437" s="13"/>
    </row>
    <row r="438" spans="1:17" ht="15" customHeight="1">
      <c r="A438" s="136" t="s">
        <v>1310</v>
      </c>
      <c r="B438" s="136" t="s">
        <v>1311</v>
      </c>
      <c r="C438" s="136" t="s">
        <v>431</v>
      </c>
      <c r="D438" s="136" t="s">
        <v>404</v>
      </c>
      <c r="E438" s="162">
        <v>387</v>
      </c>
      <c r="F438" s="162">
        <v>0</v>
      </c>
      <c r="G438" s="162">
        <v>100</v>
      </c>
      <c r="H438" s="162">
        <v>0</v>
      </c>
      <c r="I438" s="163">
        <v>0</v>
      </c>
      <c r="J438" s="136" t="s">
        <v>405</v>
      </c>
      <c r="K438" s="163" t="s">
        <v>405</v>
      </c>
      <c r="L438" s="136" t="s">
        <v>406</v>
      </c>
      <c r="M438" s="136" t="s">
        <v>66</v>
      </c>
      <c r="N438" s="136" t="str">
        <f t="shared" si="6"/>
        <v>Azúcar · INTA-0431</v>
      </c>
      <c r="O438" s="13"/>
      <c r="P438" s="13"/>
      <c r="Q438" s="13"/>
    </row>
    <row r="439" spans="1:17" ht="15" customHeight="1">
      <c r="A439" s="140" t="s">
        <v>1312</v>
      </c>
      <c r="B439" s="140" t="s">
        <v>1313</v>
      </c>
      <c r="C439" s="140" t="s">
        <v>431</v>
      </c>
      <c r="D439" s="140" t="s">
        <v>404</v>
      </c>
      <c r="E439" s="164">
        <v>399</v>
      </c>
      <c r="F439" s="164">
        <v>0.1</v>
      </c>
      <c r="G439" s="164">
        <v>99.6</v>
      </c>
      <c r="H439" s="164" t="s">
        <v>405</v>
      </c>
      <c r="I439" s="165">
        <v>0.1</v>
      </c>
      <c r="J439" s="140" t="s">
        <v>405</v>
      </c>
      <c r="K439" s="165" t="s">
        <v>405</v>
      </c>
      <c r="L439" s="140" t="s">
        <v>406</v>
      </c>
      <c r="M439" s="140" t="s">
        <v>66</v>
      </c>
      <c r="N439" s="140" t="str">
        <f t="shared" si="6"/>
        <v>Azúcar flor · INTA-0432</v>
      </c>
      <c r="O439" s="13"/>
      <c r="P439" s="13"/>
      <c r="Q439" s="13"/>
    </row>
    <row r="440" spans="1:17" ht="15" customHeight="1">
      <c r="A440" s="140" t="s">
        <v>1314</v>
      </c>
      <c r="B440" s="140" t="s">
        <v>1315</v>
      </c>
      <c r="C440" s="140" t="s">
        <v>431</v>
      </c>
      <c r="D440" s="140" t="s">
        <v>404</v>
      </c>
      <c r="E440" s="164">
        <v>389</v>
      </c>
      <c r="F440" s="164">
        <v>0</v>
      </c>
      <c r="G440" s="164">
        <v>98</v>
      </c>
      <c r="H440" s="164">
        <v>0</v>
      </c>
      <c r="I440" s="164">
        <v>0</v>
      </c>
      <c r="J440" s="140" t="s">
        <v>405</v>
      </c>
      <c r="K440" s="165" t="s">
        <v>405</v>
      </c>
      <c r="L440" s="140" t="s">
        <v>406</v>
      </c>
      <c r="M440" s="140" t="s">
        <v>66</v>
      </c>
      <c r="N440" s="140" t="str">
        <f t="shared" si="6"/>
        <v>Azúcar light con estevia · INTA-0433</v>
      </c>
      <c r="O440" s="13"/>
      <c r="P440" s="13"/>
      <c r="Q440" s="13"/>
    </row>
    <row r="441" spans="1:17" ht="15" customHeight="1">
      <c r="A441" s="136" t="s">
        <v>1316</v>
      </c>
      <c r="B441" s="136" t="s">
        <v>1317</v>
      </c>
      <c r="C441" s="136" t="s">
        <v>431</v>
      </c>
      <c r="D441" s="136" t="s">
        <v>404</v>
      </c>
      <c r="E441" s="162">
        <v>400</v>
      </c>
      <c r="F441" s="162">
        <v>0</v>
      </c>
      <c r="G441" s="162">
        <v>99.9</v>
      </c>
      <c r="H441" s="162">
        <v>0</v>
      </c>
      <c r="I441" s="162">
        <v>0</v>
      </c>
      <c r="J441" s="136" t="s">
        <v>405</v>
      </c>
      <c r="K441" s="163" t="s">
        <v>405</v>
      </c>
      <c r="L441" s="136" t="s">
        <v>406</v>
      </c>
      <c r="M441" s="136" t="s">
        <v>66</v>
      </c>
      <c r="N441" s="136" t="str">
        <f t="shared" si="6"/>
        <v>Azúcar light con sucralosa · INTA-0434</v>
      </c>
      <c r="O441" s="13"/>
      <c r="P441" s="13"/>
      <c r="Q441" s="13"/>
    </row>
    <row r="442" spans="1:17" ht="15" customHeight="1">
      <c r="A442" s="140" t="s">
        <v>1318</v>
      </c>
      <c r="B442" s="140" t="s">
        <v>1319</v>
      </c>
      <c r="C442" s="140" t="s">
        <v>431</v>
      </c>
      <c r="D442" s="140" t="s">
        <v>404</v>
      </c>
      <c r="E442" s="164">
        <v>400</v>
      </c>
      <c r="F442" s="164">
        <v>0</v>
      </c>
      <c r="G442" s="165">
        <v>99</v>
      </c>
      <c r="H442" s="164">
        <v>0</v>
      </c>
      <c r="I442" s="164" t="s">
        <v>405</v>
      </c>
      <c r="J442" s="140" t="s">
        <v>405</v>
      </c>
      <c r="K442" s="165" t="s">
        <v>405</v>
      </c>
      <c r="L442" s="140" t="s">
        <v>406</v>
      </c>
      <c r="M442" s="140" t="s">
        <v>66</v>
      </c>
      <c r="N442" s="140" t="str">
        <f t="shared" si="6"/>
        <v>Azúcar rubia · INTA-0435</v>
      </c>
      <c r="O442" s="13"/>
      <c r="P442" s="13"/>
      <c r="Q442" s="13"/>
    </row>
    <row r="443" spans="1:17" ht="15" customHeight="1">
      <c r="A443" s="140" t="s">
        <v>1320</v>
      </c>
      <c r="B443" s="140" t="s">
        <v>1321</v>
      </c>
      <c r="C443" s="140" t="s">
        <v>431</v>
      </c>
      <c r="D443" s="140" t="s">
        <v>404</v>
      </c>
      <c r="E443" s="164">
        <v>334</v>
      </c>
      <c r="F443" s="164">
        <v>0.6</v>
      </c>
      <c r="G443" s="165">
        <v>82.7</v>
      </c>
      <c r="H443" s="164">
        <v>0.1</v>
      </c>
      <c r="I443" s="164">
        <v>0</v>
      </c>
      <c r="J443" s="140" t="s">
        <v>405</v>
      </c>
      <c r="K443" s="165" t="s">
        <v>405</v>
      </c>
      <c r="L443" s="140" t="s">
        <v>406</v>
      </c>
      <c r="M443" s="140" t="s">
        <v>66</v>
      </c>
      <c r="N443" s="140" t="str">
        <f t="shared" si="6"/>
        <v>Miel de abeja · INTA-0436</v>
      </c>
      <c r="O443" s="13"/>
      <c r="P443" s="13"/>
      <c r="Q443" s="13"/>
    </row>
    <row r="444" spans="1:17" ht="15" customHeight="1">
      <c r="A444" s="136" t="s">
        <v>1322</v>
      </c>
      <c r="B444" s="136" t="s">
        <v>1323</v>
      </c>
      <c r="C444" s="136" t="s">
        <v>431</v>
      </c>
      <c r="D444" s="136" t="s">
        <v>404</v>
      </c>
      <c r="E444" s="162">
        <v>318</v>
      </c>
      <c r="F444" s="162">
        <v>0.3</v>
      </c>
      <c r="G444" s="162">
        <v>78.8</v>
      </c>
      <c r="H444" s="162">
        <v>0</v>
      </c>
      <c r="I444" s="162">
        <v>0</v>
      </c>
      <c r="J444" s="136" t="s">
        <v>405</v>
      </c>
      <c r="K444" s="163" t="s">
        <v>405</v>
      </c>
      <c r="L444" s="136" t="s">
        <v>406</v>
      </c>
      <c r="M444" s="136" t="s">
        <v>66</v>
      </c>
      <c r="N444" s="136" t="str">
        <f t="shared" si="6"/>
        <v>Miel de abeja 2 · INTA-0437</v>
      </c>
      <c r="O444" s="13"/>
      <c r="P444" s="13"/>
      <c r="Q444" s="13"/>
    </row>
    <row r="445" spans="1:17" ht="15" customHeight="1">
      <c r="A445" s="140" t="s">
        <v>1324</v>
      </c>
      <c r="B445" s="140" t="s">
        <v>1325</v>
      </c>
      <c r="C445" s="140" t="s">
        <v>431</v>
      </c>
      <c r="D445" s="140" t="s">
        <v>404</v>
      </c>
      <c r="E445" s="164">
        <v>254</v>
      </c>
      <c r="F445" s="164">
        <v>0</v>
      </c>
      <c r="G445" s="164">
        <v>63.6</v>
      </c>
      <c r="H445" s="164">
        <v>0</v>
      </c>
      <c r="I445" s="164">
        <v>0</v>
      </c>
      <c r="J445" s="140" t="s">
        <v>405</v>
      </c>
      <c r="K445" s="165" t="s">
        <v>405</v>
      </c>
      <c r="L445" s="140" t="s">
        <v>406</v>
      </c>
      <c r="M445" s="140" t="s">
        <v>66</v>
      </c>
      <c r="N445" s="140" t="str">
        <f t="shared" si="6"/>
        <v>Miel de palma · INTA-0438</v>
      </c>
      <c r="O445" s="13"/>
      <c r="P445" s="13"/>
      <c r="Q445" s="13"/>
    </row>
    <row r="446" spans="1:17" ht="15" customHeight="1">
      <c r="A446" s="136" t="s">
        <v>1326</v>
      </c>
      <c r="B446" s="136" t="s">
        <v>1327</v>
      </c>
      <c r="C446" s="136" t="s">
        <v>435</v>
      </c>
      <c r="D446" s="136" t="s">
        <v>404</v>
      </c>
      <c r="E446" s="162">
        <v>410</v>
      </c>
      <c r="F446" s="162">
        <v>2.2999999999999998</v>
      </c>
      <c r="G446" s="162">
        <v>69</v>
      </c>
      <c r="H446" s="162">
        <v>14</v>
      </c>
      <c r="I446" s="163">
        <v>1.8</v>
      </c>
      <c r="J446" s="136" t="s">
        <v>405</v>
      </c>
      <c r="K446" s="163" t="s">
        <v>405</v>
      </c>
      <c r="L446" s="136" t="s">
        <v>406</v>
      </c>
      <c r="M446" s="136" t="s">
        <v>66</v>
      </c>
      <c r="N446" s="136" t="str">
        <f t="shared" si="6"/>
        <v>Alfajor · INTA-0439</v>
      </c>
      <c r="O446" s="13"/>
      <c r="P446" s="13"/>
      <c r="Q446" s="13"/>
    </row>
    <row r="447" spans="1:17" ht="15" customHeight="1">
      <c r="A447" s="136" t="s">
        <v>1328</v>
      </c>
      <c r="B447" s="136" t="s">
        <v>1329</v>
      </c>
      <c r="C447" s="136" t="s">
        <v>435</v>
      </c>
      <c r="D447" s="136" t="s">
        <v>404</v>
      </c>
      <c r="E447" s="162">
        <v>405</v>
      </c>
      <c r="F447" s="162">
        <v>11.6</v>
      </c>
      <c r="G447" s="162">
        <v>66.400000000000006</v>
      </c>
      <c r="H447" s="162">
        <v>8.1999999999999993</v>
      </c>
      <c r="I447" s="162">
        <v>11</v>
      </c>
      <c r="J447" s="136" t="s">
        <v>405</v>
      </c>
      <c r="K447" s="163" t="s">
        <v>405</v>
      </c>
      <c r="L447" s="136" t="s">
        <v>406</v>
      </c>
      <c r="M447" s="136" t="s">
        <v>66</v>
      </c>
      <c r="N447" s="136" t="str">
        <f t="shared" si="6"/>
        <v>Barra cereal · INTA-0440</v>
      </c>
      <c r="O447" s="13"/>
      <c r="P447" s="13"/>
      <c r="Q447" s="13"/>
    </row>
    <row r="448" spans="1:17" ht="15" customHeight="1">
      <c r="A448" s="140" t="s">
        <v>1330</v>
      </c>
      <c r="B448" s="140" t="s">
        <v>1331</v>
      </c>
      <c r="C448" s="140" t="s">
        <v>435</v>
      </c>
      <c r="D448" s="140" t="s">
        <v>404</v>
      </c>
      <c r="E448" s="164">
        <v>385</v>
      </c>
      <c r="F448" s="164">
        <v>3</v>
      </c>
      <c r="G448" s="164">
        <v>82</v>
      </c>
      <c r="H448" s="164">
        <v>7.5</v>
      </c>
      <c r="I448" s="164" t="s">
        <v>405</v>
      </c>
      <c r="J448" s="140" t="s">
        <v>405</v>
      </c>
      <c r="K448" s="165" t="s">
        <v>405</v>
      </c>
      <c r="L448" s="140" t="s">
        <v>406</v>
      </c>
      <c r="M448" s="140" t="s">
        <v>66</v>
      </c>
      <c r="N448" s="140" t="str">
        <f t="shared" si="6"/>
        <v>Barra sabor chocolate con relleno · INTA-0441</v>
      </c>
      <c r="O448" s="13"/>
      <c r="P448" s="13"/>
      <c r="Q448" s="13"/>
    </row>
    <row r="449" spans="1:17" ht="15" customHeight="1">
      <c r="A449" s="136" t="s">
        <v>1332</v>
      </c>
      <c r="B449" s="136" t="s">
        <v>1333</v>
      </c>
      <c r="C449" s="136" t="s">
        <v>435</v>
      </c>
      <c r="D449" s="136" t="s">
        <v>404</v>
      </c>
      <c r="E449" s="162">
        <v>307</v>
      </c>
      <c r="F449" s="162">
        <v>6.2</v>
      </c>
      <c r="G449" s="162">
        <v>74.400000000000006</v>
      </c>
      <c r="H449" s="162">
        <v>10.3</v>
      </c>
      <c r="I449" s="162">
        <v>0</v>
      </c>
      <c r="J449" s="136" t="s">
        <v>405</v>
      </c>
      <c r="K449" s="163" t="s">
        <v>405</v>
      </c>
      <c r="L449" s="136" t="s">
        <v>406</v>
      </c>
      <c r="M449" s="136" t="s">
        <v>66</v>
      </c>
      <c r="N449" s="136" t="str">
        <f t="shared" si="6"/>
        <v>Berlín · INTA-0442</v>
      </c>
      <c r="O449" s="13"/>
      <c r="P449" s="13"/>
      <c r="Q449" s="13"/>
    </row>
    <row r="450" spans="1:17" ht="15" customHeight="1">
      <c r="A450" s="136" t="s">
        <v>1334</v>
      </c>
      <c r="B450" s="136" t="s">
        <v>1335</v>
      </c>
      <c r="C450" s="136" t="s">
        <v>435</v>
      </c>
      <c r="D450" s="136" t="s">
        <v>404</v>
      </c>
      <c r="E450" s="162">
        <v>381</v>
      </c>
      <c r="F450" s="162">
        <v>4.2</v>
      </c>
      <c r="G450" s="162">
        <v>51.7</v>
      </c>
      <c r="H450" s="163">
        <v>17.399999999999999</v>
      </c>
      <c r="I450" s="163">
        <v>0.1</v>
      </c>
      <c r="J450" s="136" t="s">
        <v>405</v>
      </c>
      <c r="K450" s="163" t="s">
        <v>405</v>
      </c>
      <c r="L450" s="136" t="s">
        <v>406</v>
      </c>
      <c r="M450" s="136" t="s">
        <v>66</v>
      </c>
      <c r="N450" s="136" t="str">
        <f t="shared" si="6"/>
        <v>Biscocho simple · INTA-0443</v>
      </c>
      <c r="O450" s="13"/>
      <c r="P450" s="13"/>
      <c r="Q450" s="13"/>
    </row>
    <row r="451" spans="1:17" ht="15" customHeight="1">
      <c r="A451" s="136" t="s">
        <v>1336</v>
      </c>
      <c r="B451" s="136" t="s">
        <v>1337</v>
      </c>
      <c r="C451" s="136" t="s">
        <v>435</v>
      </c>
      <c r="D451" s="136" t="s">
        <v>404</v>
      </c>
      <c r="E451" s="162">
        <v>228</v>
      </c>
      <c r="F451" s="162">
        <v>19.600000000000001</v>
      </c>
      <c r="G451" s="162">
        <v>20.9</v>
      </c>
      <c r="H451" s="162">
        <v>13.7</v>
      </c>
      <c r="I451" s="162">
        <v>37</v>
      </c>
      <c r="J451" s="136" t="s">
        <v>405</v>
      </c>
      <c r="K451" s="163" t="s">
        <v>405</v>
      </c>
      <c r="L451" s="136" t="s">
        <v>406</v>
      </c>
      <c r="M451" s="136" t="s">
        <v>66</v>
      </c>
      <c r="N451" s="136" t="str">
        <f t="shared" si="6"/>
        <v>Cacao en polvo sin azúcar · INTA-0444</v>
      </c>
      <c r="O451" s="13"/>
      <c r="P451" s="13"/>
      <c r="Q451" s="13"/>
    </row>
    <row r="452" spans="1:17" ht="15" customHeight="1">
      <c r="A452" s="140" t="s">
        <v>1338</v>
      </c>
      <c r="B452" s="140" t="s">
        <v>1339</v>
      </c>
      <c r="C452" s="140" t="s">
        <v>435</v>
      </c>
      <c r="D452" s="140" t="s">
        <v>404</v>
      </c>
      <c r="E452" s="164">
        <v>367</v>
      </c>
      <c r="F452" s="164">
        <v>0.8</v>
      </c>
      <c r="G452" s="164">
        <v>91</v>
      </c>
      <c r="H452" s="164">
        <v>0</v>
      </c>
      <c r="I452" s="164" t="s">
        <v>405</v>
      </c>
      <c r="J452" s="140" t="s">
        <v>405</v>
      </c>
      <c r="K452" s="165" t="s">
        <v>405</v>
      </c>
      <c r="L452" s="140" t="s">
        <v>406</v>
      </c>
      <c r="M452" s="140" t="s">
        <v>66</v>
      </c>
      <c r="N452" s="140" t="str">
        <f t="shared" si="6"/>
        <v>Chancaca · INTA-0445</v>
      </c>
      <c r="O452" s="13"/>
      <c r="P452" s="13"/>
      <c r="Q452" s="13"/>
    </row>
    <row r="453" spans="1:17" ht="15" customHeight="1">
      <c r="A453" s="136" t="s">
        <v>1340</v>
      </c>
      <c r="B453" s="136" t="s">
        <v>1341</v>
      </c>
      <c r="C453" s="136" t="s">
        <v>435</v>
      </c>
      <c r="D453" s="136" t="s">
        <v>404</v>
      </c>
      <c r="E453" s="162">
        <v>559</v>
      </c>
      <c r="F453" s="162">
        <v>11.3</v>
      </c>
      <c r="G453" s="162">
        <v>46.9</v>
      </c>
      <c r="H453" s="162">
        <v>36.200000000000003</v>
      </c>
      <c r="I453" s="163" t="s">
        <v>405</v>
      </c>
      <c r="J453" s="136" t="s">
        <v>405</v>
      </c>
      <c r="K453" s="163" t="s">
        <v>405</v>
      </c>
      <c r="L453" s="136" t="s">
        <v>406</v>
      </c>
      <c r="M453" s="136" t="s">
        <v>66</v>
      </c>
      <c r="N453" s="136" t="str">
        <f t="shared" si="6"/>
        <v>Chocolate de leche con almendras · INTA-0446</v>
      </c>
      <c r="O453" s="13"/>
      <c r="P453" s="13"/>
      <c r="Q453" s="13"/>
    </row>
    <row r="454" spans="1:17" ht="15" customHeight="1">
      <c r="A454" s="140" t="s">
        <v>1342</v>
      </c>
      <c r="B454" s="140" t="s">
        <v>1343</v>
      </c>
      <c r="C454" s="140" t="s">
        <v>435</v>
      </c>
      <c r="D454" s="140" t="s">
        <v>404</v>
      </c>
      <c r="E454" s="164">
        <v>579</v>
      </c>
      <c r="F454" s="164">
        <v>6.1</v>
      </c>
      <c r="G454" s="164">
        <v>44.4</v>
      </c>
      <c r="H454" s="164">
        <v>38.299999999999997</v>
      </c>
      <c r="I454" s="165">
        <v>8</v>
      </c>
      <c r="J454" s="140" t="s">
        <v>405</v>
      </c>
      <c r="K454" s="165" t="s">
        <v>405</v>
      </c>
      <c r="L454" s="140" t="s">
        <v>406</v>
      </c>
      <c r="M454" s="140" t="s">
        <v>66</v>
      </c>
      <c r="N454" s="140" t="str">
        <f t="shared" si="6"/>
        <v>Chocolate amargo 60-69% cacao · INTA-0447</v>
      </c>
      <c r="O454" s="13"/>
      <c r="P454" s="13"/>
      <c r="Q454" s="13"/>
    </row>
    <row r="455" spans="1:17" ht="15" customHeight="1">
      <c r="A455" s="140" t="s">
        <v>1344</v>
      </c>
      <c r="B455" s="140" t="s">
        <v>1345</v>
      </c>
      <c r="C455" s="140" t="s">
        <v>435</v>
      </c>
      <c r="D455" s="140" t="s">
        <v>404</v>
      </c>
      <c r="E455" s="164">
        <v>598</v>
      </c>
      <c r="F455" s="164">
        <v>7.8</v>
      </c>
      <c r="G455" s="164">
        <v>35</v>
      </c>
      <c r="H455" s="164">
        <v>42.6</v>
      </c>
      <c r="I455" s="165">
        <v>10.9</v>
      </c>
      <c r="J455" s="140" t="s">
        <v>405</v>
      </c>
      <c r="K455" s="165" t="s">
        <v>405</v>
      </c>
      <c r="L455" s="140" t="s">
        <v>406</v>
      </c>
      <c r="M455" s="140" t="s">
        <v>66</v>
      </c>
      <c r="N455" s="140" t="str">
        <f t="shared" si="6"/>
        <v>Chocolate amargo 70-85% cacao · INTA-0448</v>
      </c>
      <c r="O455" s="13"/>
      <c r="P455" s="13"/>
      <c r="Q455" s="13"/>
    </row>
    <row r="456" spans="1:17" ht="15" customHeight="1">
      <c r="A456" s="136" t="s">
        <v>1346</v>
      </c>
      <c r="B456" s="136" t="s">
        <v>1347</v>
      </c>
      <c r="C456" s="136" t="s">
        <v>435</v>
      </c>
      <c r="D456" s="136" t="s">
        <v>404</v>
      </c>
      <c r="E456" s="162">
        <v>548</v>
      </c>
      <c r="F456" s="162">
        <v>8.3000000000000007</v>
      </c>
      <c r="G456" s="162">
        <v>60</v>
      </c>
      <c r="H456" s="162">
        <v>30.5</v>
      </c>
      <c r="I456" s="162" t="s">
        <v>405</v>
      </c>
      <c r="J456" s="136" t="s">
        <v>405</v>
      </c>
      <c r="K456" s="163" t="s">
        <v>405</v>
      </c>
      <c r="L456" s="136" t="s">
        <v>406</v>
      </c>
      <c r="M456" s="136" t="s">
        <v>66</v>
      </c>
      <c r="N456" s="136" t="str">
        <f t="shared" ref="N456:N519" si="7">B456&amp;" · "&amp;A456</f>
        <v>Chocolate de leche · INTA-0449</v>
      </c>
      <c r="O456" s="13"/>
      <c r="P456" s="13"/>
      <c r="Q456" s="13"/>
    </row>
    <row r="457" spans="1:17" ht="15" customHeight="1">
      <c r="A457" s="136" t="s">
        <v>1348</v>
      </c>
      <c r="B457" s="136" t="s">
        <v>1349</v>
      </c>
      <c r="C457" s="136" t="s">
        <v>435</v>
      </c>
      <c r="D457" s="136" t="s">
        <v>404</v>
      </c>
      <c r="E457" s="162">
        <v>393</v>
      </c>
      <c r="F457" s="162">
        <v>8</v>
      </c>
      <c r="G457" s="162">
        <v>80.5</v>
      </c>
      <c r="H457" s="162">
        <v>4</v>
      </c>
      <c r="I457" s="163">
        <v>2.2999999999999998</v>
      </c>
      <c r="J457" s="136" t="s">
        <v>405</v>
      </c>
      <c r="K457" s="163" t="s">
        <v>405</v>
      </c>
      <c r="L457" s="136" t="s">
        <v>406</v>
      </c>
      <c r="M457" s="136" t="s">
        <v>66</v>
      </c>
      <c r="N457" s="136" t="str">
        <f t="shared" si="7"/>
        <v>Cacao en polvo con azúcar · INTA-0450</v>
      </c>
      <c r="O457" s="13"/>
      <c r="P457" s="13"/>
      <c r="Q457" s="13"/>
    </row>
    <row r="458" spans="1:17" ht="15" customHeight="1">
      <c r="A458" s="140" t="s">
        <v>1350</v>
      </c>
      <c r="B458" s="140" t="s">
        <v>1351</v>
      </c>
      <c r="C458" s="140" t="s">
        <v>435</v>
      </c>
      <c r="D458" s="140" t="s">
        <v>404</v>
      </c>
      <c r="E458" s="164">
        <v>322</v>
      </c>
      <c r="F458" s="165" t="s">
        <v>405</v>
      </c>
      <c r="G458" s="164">
        <v>81.3</v>
      </c>
      <c r="H458" s="164" t="s">
        <v>405</v>
      </c>
      <c r="I458" s="165" t="s">
        <v>405</v>
      </c>
      <c r="J458" s="140" t="s">
        <v>405</v>
      </c>
      <c r="K458" s="165" t="s">
        <v>405</v>
      </c>
      <c r="L458" s="140" t="s">
        <v>406</v>
      </c>
      <c r="M458" s="140" t="s">
        <v>66</v>
      </c>
      <c r="N458" s="140" t="str">
        <f t="shared" si="7"/>
        <v>Fruta confitada · INTA-0451</v>
      </c>
      <c r="O458" s="13"/>
      <c r="P458" s="13"/>
      <c r="Q458" s="13"/>
    </row>
    <row r="459" spans="1:17" ht="15" customHeight="1">
      <c r="A459" s="136" t="s">
        <v>1352</v>
      </c>
      <c r="B459" s="136" t="s">
        <v>1353</v>
      </c>
      <c r="C459" s="136" t="s">
        <v>435</v>
      </c>
      <c r="D459" s="136" t="s">
        <v>404</v>
      </c>
      <c r="E459" s="162">
        <v>381</v>
      </c>
      <c r="F459" s="162">
        <v>7.8</v>
      </c>
      <c r="G459" s="162">
        <v>87.5</v>
      </c>
      <c r="H459" s="162">
        <v>0</v>
      </c>
      <c r="I459" s="162">
        <v>0</v>
      </c>
      <c r="J459" s="136" t="s">
        <v>405</v>
      </c>
      <c r="K459" s="163" t="s">
        <v>405</v>
      </c>
      <c r="L459" s="136" t="s">
        <v>406</v>
      </c>
      <c r="M459" s="136" t="s">
        <v>66</v>
      </c>
      <c r="N459" s="136" t="str">
        <f t="shared" si="7"/>
        <v>Jalea polvo · INTA-0452</v>
      </c>
      <c r="O459" s="13"/>
      <c r="P459" s="13"/>
      <c r="Q459" s="13"/>
    </row>
    <row r="460" spans="1:17" ht="15" customHeight="1">
      <c r="A460" s="140" t="s">
        <v>1354</v>
      </c>
      <c r="B460" s="140" t="s">
        <v>1355</v>
      </c>
      <c r="C460" s="140" t="s">
        <v>435</v>
      </c>
      <c r="D460" s="140" t="s">
        <v>404</v>
      </c>
      <c r="E460" s="164">
        <v>62</v>
      </c>
      <c r="F460" s="164">
        <v>1.2</v>
      </c>
      <c r="G460" s="164">
        <v>14.2</v>
      </c>
      <c r="H460" s="164">
        <v>0</v>
      </c>
      <c r="I460" s="164">
        <v>0</v>
      </c>
      <c r="J460" s="140" t="s">
        <v>405</v>
      </c>
      <c r="K460" s="165" t="s">
        <v>405</v>
      </c>
      <c r="L460" s="140" t="s">
        <v>406</v>
      </c>
      <c r="M460" s="140" t="s">
        <v>66</v>
      </c>
      <c r="N460" s="140" t="str">
        <f t="shared" si="7"/>
        <v>Jalea reconstituida · INTA-0453</v>
      </c>
      <c r="O460" s="13"/>
      <c r="P460" s="13"/>
      <c r="Q460" s="13"/>
    </row>
    <row r="461" spans="1:17" ht="15" customHeight="1">
      <c r="A461" s="136" t="s">
        <v>1356</v>
      </c>
      <c r="B461" s="136" t="s">
        <v>1357</v>
      </c>
      <c r="C461" s="136" t="s">
        <v>435</v>
      </c>
      <c r="D461" s="136" t="s">
        <v>404</v>
      </c>
      <c r="E461" s="162">
        <v>8</v>
      </c>
      <c r="F461" s="162">
        <v>0.2</v>
      </c>
      <c r="G461" s="162">
        <v>1.4</v>
      </c>
      <c r="H461" s="162">
        <v>0</v>
      </c>
      <c r="I461" s="162">
        <v>0</v>
      </c>
      <c r="J461" s="136" t="s">
        <v>405</v>
      </c>
      <c r="K461" s="163" t="s">
        <v>405</v>
      </c>
      <c r="L461" s="136" t="s">
        <v>406</v>
      </c>
      <c r="M461" s="136" t="s">
        <v>66</v>
      </c>
      <c r="N461" s="136" t="str">
        <f t="shared" si="7"/>
        <v>Jalea reconstituida sin azúcar · INTA-0454</v>
      </c>
      <c r="O461" s="13"/>
      <c r="P461" s="13"/>
      <c r="Q461" s="13"/>
    </row>
    <row r="462" spans="1:17" ht="15" customHeight="1">
      <c r="A462" s="140" t="s">
        <v>1358</v>
      </c>
      <c r="B462" s="140" t="s">
        <v>1359</v>
      </c>
      <c r="C462" s="140" t="s">
        <v>435</v>
      </c>
      <c r="D462" s="140" t="s">
        <v>404</v>
      </c>
      <c r="E462" s="164">
        <v>318</v>
      </c>
      <c r="F462" s="164">
        <v>62</v>
      </c>
      <c r="G462" s="164">
        <v>13</v>
      </c>
      <c r="H462" s="164">
        <v>0</v>
      </c>
      <c r="I462" s="165" t="s">
        <v>405</v>
      </c>
      <c r="J462" s="140" t="s">
        <v>405</v>
      </c>
      <c r="K462" s="165" t="s">
        <v>405</v>
      </c>
      <c r="L462" s="140" t="s">
        <v>406</v>
      </c>
      <c r="M462" s="140" t="s">
        <v>66</v>
      </c>
      <c r="N462" s="140" t="str">
        <f t="shared" si="7"/>
        <v>Jalea polvo sin azúcar · INTA-0455</v>
      </c>
      <c r="O462" s="13"/>
      <c r="P462" s="13"/>
      <c r="Q462" s="13"/>
    </row>
    <row r="463" spans="1:17" ht="15" customHeight="1">
      <c r="A463" s="136" t="s">
        <v>1360</v>
      </c>
      <c r="B463" s="136" t="s">
        <v>1361</v>
      </c>
      <c r="C463" s="136" t="s">
        <v>435</v>
      </c>
      <c r="D463" s="136" t="s">
        <v>404</v>
      </c>
      <c r="E463" s="162">
        <v>290</v>
      </c>
      <c r="F463" s="162">
        <v>6.5</v>
      </c>
      <c r="G463" s="162">
        <v>54.8</v>
      </c>
      <c r="H463" s="162">
        <v>8.4</v>
      </c>
      <c r="I463" s="162" t="s">
        <v>405</v>
      </c>
      <c r="J463" s="136" t="s">
        <v>405</v>
      </c>
      <c r="K463" s="163" t="s">
        <v>405</v>
      </c>
      <c r="L463" s="136" t="s">
        <v>406</v>
      </c>
      <c r="M463" s="136" t="s">
        <v>66</v>
      </c>
      <c r="N463" s="136" t="str">
        <f t="shared" si="7"/>
        <v>Manjar · INTA-0456</v>
      </c>
      <c r="O463" s="13"/>
      <c r="P463" s="13"/>
      <c r="Q463" s="13"/>
    </row>
    <row r="464" spans="1:17" ht="15" customHeight="1">
      <c r="A464" s="140" t="s">
        <v>1362</v>
      </c>
      <c r="B464" s="140" t="s">
        <v>1363</v>
      </c>
      <c r="C464" s="140" t="s">
        <v>435</v>
      </c>
      <c r="D464" s="140" t="s">
        <v>404</v>
      </c>
      <c r="E464" s="164">
        <v>232</v>
      </c>
      <c r="F464" s="164">
        <v>0.4</v>
      </c>
      <c r="G464" s="164">
        <v>57.6</v>
      </c>
      <c r="H464" s="164">
        <v>0</v>
      </c>
      <c r="I464" s="164">
        <v>2</v>
      </c>
      <c r="J464" s="140" t="s">
        <v>405</v>
      </c>
      <c r="K464" s="165" t="s">
        <v>405</v>
      </c>
      <c r="L464" s="140" t="s">
        <v>406</v>
      </c>
      <c r="M464" s="140" t="s">
        <v>66</v>
      </c>
      <c r="N464" s="140" t="str">
        <f t="shared" si="7"/>
        <v>Mermelada damasco · INTA-0457</v>
      </c>
      <c r="O464" s="13"/>
      <c r="P464" s="13"/>
      <c r="Q464" s="13"/>
    </row>
    <row r="465" spans="1:17" ht="15" customHeight="1">
      <c r="A465" s="136" t="s">
        <v>1364</v>
      </c>
      <c r="B465" s="136" t="s">
        <v>1365</v>
      </c>
      <c r="C465" s="136" t="s">
        <v>435</v>
      </c>
      <c r="D465" s="136" t="s">
        <v>404</v>
      </c>
      <c r="E465" s="162">
        <v>199</v>
      </c>
      <c r="F465" s="162">
        <v>0.2</v>
      </c>
      <c r="G465" s="162">
        <v>49.6</v>
      </c>
      <c r="H465" s="162">
        <v>0</v>
      </c>
      <c r="I465" s="163">
        <v>1.8</v>
      </c>
      <c r="J465" s="136" t="s">
        <v>405</v>
      </c>
      <c r="K465" s="163" t="s">
        <v>405</v>
      </c>
      <c r="L465" s="136" t="s">
        <v>406</v>
      </c>
      <c r="M465" s="136" t="s">
        <v>66</v>
      </c>
      <c r="N465" s="136" t="str">
        <f t="shared" si="7"/>
        <v>Mermelada membrillo · INTA-0458</v>
      </c>
      <c r="O465" s="13"/>
      <c r="P465" s="13"/>
      <c r="Q465" s="13"/>
    </row>
    <row r="466" spans="1:17" ht="15" customHeight="1">
      <c r="A466" s="140" t="s">
        <v>1366</v>
      </c>
      <c r="B466" s="140" t="s">
        <v>1367</v>
      </c>
      <c r="C466" s="140" t="s">
        <v>435</v>
      </c>
      <c r="D466" s="140" t="s">
        <v>404</v>
      </c>
      <c r="E466" s="164">
        <v>56</v>
      </c>
      <c r="F466" s="164">
        <v>0.7</v>
      </c>
      <c r="G466" s="164" t="s">
        <v>405</v>
      </c>
      <c r="H466" s="164">
        <v>0.2</v>
      </c>
      <c r="I466" s="165">
        <v>7</v>
      </c>
      <c r="J466" s="140" t="s">
        <v>405</v>
      </c>
      <c r="K466" s="165" t="s">
        <v>405</v>
      </c>
      <c r="L466" s="140" t="s">
        <v>406</v>
      </c>
      <c r="M466" s="140" t="s">
        <v>66</v>
      </c>
      <c r="N466" s="140" t="str">
        <f t="shared" si="7"/>
        <v>Mermelada sin azúcar adicionada · INTA-0459</v>
      </c>
      <c r="O466" s="13"/>
      <c r="P466" s="13"/>
      <c r="Q466" s="13"/>
    </row>
    <row r="467" spans="1:17" ht="15" customHeight="1">
      <c r="A467" s="136" t="s">
        <v>1368</v>
      </c>
      <c r="B467" s="136" t="s">
        <v>1369</v>
      </c>
      <c r="C467" s="136" t="s">
        <v>435</v>
      </c>
      <c r="D467" s="136" t="s">
        <v>404</v>
      </c>
      <c r="E467" s="162">
        <v>237</v>
      </c>
      <c r="F467" s="162">
        <v>0.2</v>
      </c>
      <c r="G467" s="162" t="s">
        <v>405</v>
      </c>
      <c r="H467" s="162">
        <v>0</v>
      </c>
      <c r="I467" s="163">
        <v>0.9</v>
      </c>
      <c r="J467" s="136" t="s">
        <v>405</v>
      </c>
      <c r="K467" s="163" t="s">
        <v>405</v>
      </c>
      <c r="L467" s="136" t="s">
        <v>406</v>
      </c>
      <c r="M467" s="136" t="s">
        <v>66</v>
      </c>
      <c r="N467" s="136" t="str">
        <f t="shared" si="7"/>
        <v>Dulce de membrillo · INTA-0460</v>
      </c>
      <c r="O467" s="13"/>
      <c r="P467" s="13"/>
      <c r="Q467" s="13"/>
    </row>
    <row r="468" spans="1:17" ht="15" customHeight="1">
      <c r="A468" s="140" t="s">
        <v>1370</v>
      </c>
      <c r="B468" s="140" t="s">
        <v>1371</v>
      </c>
      <c r="C468" s="140" t="s">
        <v>435</v>
      </c>
      <c r="D468" s="140" t="s">
        <v>404</v>
      </c>
      <c r="E468" s="164">
        <v>149</v>
      </c>
      <c r="F468" s="164">
        <v>6.2</v>
      </c>
      <c r="G468" s="164">
        <v>13.2</v>
      </c>
      <c r="H468" s="164">
        <v>7.1</v>
      </c>
      <c r="I468" s="165">
        <v>0</v>
      </c>
      <c r="J468" s="140" t="s">
        <v>405</v>
      </c>
      <c r="K468" s="165" t="s">
        <v>405</v>
      </c>
      <c r="L468" s="140" t="s">
        <v>406</v>
      </c>
      <c r="M468" s="140" t="s">
        <v>66</v>
      </c>
      <c r="N468" s="140" t="str">
        <f t="shared" si="7"/>
        <v>Mousse vainilla · INTA-0461</v>
      </c>
      <c r="O468" s="13"/>
      <c r="P468" s="13"/>
      <c r="Q468" s="13"/>
    </row>
    <row r="469" spans="1:17" ht="15" customHeight="1">
      <c r="A469" s="136" t="s">
        <v>1372</v>
      </c>
      <c r="B469" s="136" t="s">
        <v>1373</v>
      </c>
      <c r="C469" s="136" t="s">
        <v>435</v>
      </c>
      <c r="D469" s="136" t="s">
        <v>404</v>
      </c>
      <c r="E469" s="162">
        <v>333</v>
      </c>
      <c r="F469" s="162">
        <v>4.9000000000000004</v>
      </c>
      <c r="G469" s="162">
        <v>54.8</v>
      </c>
      <c r="H469" s="162">
        <v>10.1</v>
      </c>
      <c r="I469" s="163">
        <v>1.9</v>
      </c>
      <c r="J469" s="136" t="s">
        <v>405</v>
      </c>
      <c r="K469" s="163" t="s">
        <v>405</v>
      </c>
      <c r="L469" s="136" t="s">
        <v>406</v>
      </c>
      <c r="M469" s="136" t="s">
        <v>66</v>
      </c>
      <c r="N469" s="136" t="str">
        <f t="shared" si="7"/>
        <v>Muffins arándano · INTA-0462</v>
      </c>
      <c r="O469" s="13"/>
      <c r="P469" s="13"/>
      <c r="Q469" s="13"/>
    </row>
    <row r="470" spans="1:17" ht="15" customHeight="1">
      <c r="A470" s="140" t="s">
        <v>1374</v>
      </c>
      <c r="B470" s="140" t="s">
        <v>1375</v>
      </c>
      <c r="C470" s="140" t="s">
        <v>435</v>
      </c>
      <c r="D470" s="140" t="s">
        <v>404</v>
      </c>
      <c r="E470" s="164">
        <v>503</v>
      </c>
      <c r="F470" s="164">
        <v>4</v>
      </c>
      <c r="G470" s="164">
        <v>68</v>
      </c>
      <c r="H470" s="164">
        <v>23.9</v>
      </c>
      <c r="I470" s="165" t="s">
        <v>405</v>
      </c>
      <c r="J470" s="140" t="s">
        <v>405</v>
      </c>
      <c r="K470" s="165" t="s">
        <v>405</v>
      </c>
      <c r="L470" s="140" t="s">
        <v>406</v>
      </c>
      <c r="M470" s="140" t="s">
        <v>66</v>
      </c>
      <c r="N470" s="140" t="str">
        <f t="shared" si="7"/>
        <v>Oblea bañada con cobertura sabor chocolate · INTA-0463</v>
      </c>
      <c r="O470" s="13"/>
      <c r="P470" s="13"/>
      <c r="Q470" s="13"/>
    </row>
    <row r="471" spans="1:17" ht="15" customHeight="1">
      <c r="A471" s="136" t="s">
        <v>1376</v>
      </c>
      <c r="B471" s="136" t="s">
        <v>1377</v>
      </c>
      <c r="C471" s="136" t="s">
        <v>435</v>
      </c>
      <c r="D471" s="136" t="s">
        <v>404</v>
      </c>
      <c r="E471" s="162">
        <v>402</v>
      </c>
      <c r="F471" s="163">
        <v>7.9</v>
      </c>
      <c r="G471" s="162">
        <v>82.5</v>
      </c>
      <c r="H471" s="162">
        <v>3.8</v>
      </c>
      <c r="I471" s="163">
        <v>1.7</v>
      </c>
      <c r="J471" s="136" t="s">
        <v>405</v>
      </c>
      <c r="K471" s="163" t="s">
        <v>405</v>
      </c>
      <c r="L471" s="136" t="s">
        <v>406</v>
      </c>
      <c r="M471" s="136" t="s">
        <v>66</v>
      </c>
      <c r="N471" s="136" t="str">
        <f t="shared" si="7"/>
        <v>Cono de barquillo azucarado · INTA-0464</v>
      </c>
      <c r="O471" s="13"/>
      <c r="P471" s="13"/>
      <c r="Q471" s="13"/>
    </row>
    <row r="472" spans="1:17" ht="15" customHeight="1">
      <c r="A472" s="140" t="s">
        <v>1378</v>
      </c>
      <c r="B472" s="140" t="s">
        <v>1379</v>
      </c>
      <c r="C472" s="140" t="s">
        <v>435</v>
      </c>
      <c r="D472" s="140" t="s">
        <v>404</v>
      </c>
      <c r="E472" s="164">
        <v>268</v>
      </c>
      <c r="F472" s="164">
        <v>3.5</v>
      </c>
      <c r="G472" s="164">
        <v>46</v>
      </c>
      <c r="H472" s="164">
        <v>8.6999999999999993</v>
      </c>
      <c r="I472" s="165">
        <v>1.2</v>
      </c>
      <c r="J472" s="140" t="s">
        <v>405</v>
      </c>
      <c r="K472" s="165" t="s">
        <v>405</v>
      </c>
      <c r="L472" s="140" t="s">
        <v>406</v>
      </c>
      <c r="M472" s="140" t="s">
        <v>66</v>
      </c>
      <c r="N472" s="140" t="str">
        <f t="shared" si="7"/>
        <v>Pie de limón · INTA-0465</v>
      </c>
      <c r="O472" s="13"/>
      <c r="P472" s="13"/>
      <c r="Q472" s="13"/>
    </row>
    <row r="473" spans="1:17" ht="15" customHeight="1">
      <c r="A473" s="136" t="s">
        <v>1380</v>
      </c>
      <c r="B473" s="136" t="s">
        <v>1381</v>
      </c>
      <c r="C473" s="136" t="s">
        <v>435</v>
      </c>
      <c r="D473" s="136" t="s">
        <v>404</v>
      </c>
      <c r="E473" s="162">
        <v>274</v>
      </c>
      <c r="F473" s="162">
        <v>3.3</v>
      </c>
      <c r="G473" s="162">
        <v>32</v>
      </c>
      <c r="H473" s="162">
        <v>11.2</v>
      </c>
      <c r="I473" s="163">
        <v>2.2000000000000002</v>
      </c>
      <c r="J473" s="136" t="s">
        <v>405</v>
      </c>
      <c r="K473" s="163" t="s">
        <v>405</v>
      </c>
      <c r="L473" s="136" t="s">
        <v>406</v>
      </c>
      <c r="M473" s="136" t="s">
        <v>66</v>
      </c>
      <c r="N473" s="136" t="str">
        <f t="shared" si="7"/>
        <v>Strudel de manzana · INTA-0466</v>
      </c>
      <c r="O473" s="13"/>
      <c r="P473" s="13"/>
      <c r="Q473" s="13"/>
    </row>
    <row r="474" spans="1:17" ht="15" customHeight="1">
      <c r="A474" s="140" t="s">
        <v>1382</v>
      </c>
      <c r="B474" s="140" t="s">
        <v>1383</v>
      </c>
      <c r="C474" s="140" t="s">
        <v>435</v>
      </c>
      <c r="D474" s="140" t="s">
        <v>404</v>
      </c>
      <c r="E474" s="164">
        <v>338</v>
      </c>
      <c r="F474" s="164">
        <v>4.3</v>
      </c>
      <c r="G474" s="164">
        <v>80.2</v>
      </c>
      <c r="H474" s="164" t="s">
        <v>405</v>
      </c>
      <c r="I474" s="164" t="s">
        <v>405</v>
      </c>
      <c r="J474" s="140" t="s">
        <v>405</v>
      </c>
      <c r="K474" s="165" t="s">
        <v>405</v>
      </c>
      <c r="L474" s="140" t="s">
        <v>406</v>
      </c>
      <c r="M474" s="140" t="s">
        <v>66</v>
      </c>
      <c r="N474" s="140" t="str">
        <f t="shared" si="7"/>
        <v>Marshmallow · INTA-0467</v>
      </c>
      <c r="O474" s="13"/>
      <c r="P474" s="13"/>
      <c r="Q474" s="13"/>
    </row>
    <row r="475" spans="1:17" ht="15" customHeight="1">
      <c r="A475" s="140" t="s">
        <v>1384</v>
      </c>
      <c r="B475" s="140" t="s">
        <v>1385</v>
      </c>
      <c r="C475" s="140" t="s">
        <v>435</v>
      </c>
      <c r="D475" s="140" t="s">
        <v>404</v>
      </c>
      <c r="E475" s="164">
        <v>349</v>
      </c>
      <c r="F475" s="164">
        <v>2.1</v>
      </c>
      <c r="G475" s="164">
        <v>84.1</v>
      </c>
      <c r="H475" s="164">
        <v>0.5</v>
      </c>
      <c r="I475" s="164">
        <v>0</v>
      </c>
      <c r="J475" s="140" t="s">
        <v>405</v>
      </c>
      <c r="K475" s="165" t="s">
        <v>405</v>
      </c>
      <c r="L475" s="140" t="s">
        <v>406</v>
      </c>
      <c r="M475" s="140" t="s">
        <v>66</v>
      </c>
      <c r="N475" s="140" t="str">
        <f t="shared" si="7"/>
        <v>Sustancia simple (Marshmallow) · INTA-0468</v>
      </c>
      <c r="O475" s="13"/>
      <c r="P475" s="13"/>
      <c r="Q475" s="13"/>
    </row>
    <row r="476" spans="1:17" ht="15" customHeight="1">
      <c r="A476" s="136" t="s">
        <v>1386</v>
      </c>
      <c r="B476" s="136" t="s">
        <v>1387</v>
      </c>
      <c r="C476" s="136" t="s">
        <v>435</v>
      </c>
      <c r="D476" s="136" t="s">
        <v>404</v>
      </c>
      <c r="E476" s="162">
        <v>464</v>
      </c>
      <c r="F476" s="162">
        <v>4.4000000000000004</v>
      </c>
      <c r="G476" s="162">
        <v>69.900000000000006</v>
      </c>
      <c r="H476" s="162">
        <v>18.399999999999999</v>
      </c>
      <c r="I476" s="162">
        <v>0</v>
      </c>
      <c r="J476" s="136" t="s">
        <v>405</v>
      </c>
      <c r="K476" s="163" t="s">
        <v>405</v>
      </c>
      <c r="L476" s="136" t="s">
        <v>406</v>
      </c>
      <c r="M476" s="136" t="s">
        <v>66</v>
      </c>
      <c r="N476" s="136" t="str">
        <f t="shared" si="7"/>
        <v>Sustancia (Marshmallow) con chocolate · INTA-0469</v>
      </c>
      <c r="O476" s="13"/>
      <c r="P476" s="13"/>
      <c r="Q476" s="13"/>
    </row>
    <row r="477" spans="1:17" ht="15" customHeight="1">
      <c r="A477" s="136" t="s">
        <v>1388</v>
      </c>
      <c r="B477" s="136" t="s">
        <v>1389</v>
      </c>
      <c r="C477" s="136" t="s">
        <v>477</v>
      </c>
      <c r="D477" s="136" t="s">
        <v>404</v>
      </c>
      <c r="E477" s="162">
        <v>85</v>
      </c>
      <c r="F477" s="162">
        <v>3</v>
      </c>
      <c r="G477" s="162">
        <v>14.5</v>
      </c>
      <c r="H477" s="162">
        <v>1.4</v>
      </c>
      <c r="I477" s="162" t="s">
        <v>405</v>
      </c>
      <c r="J477" s="136" t="s">
        <v>405</v>
      </c>
      <c r="K477" s="163" t="s">
        <v>405</v>
      </c>
      <c r="L477" s="136" t="s">
        <v>406</v>
      </c>
      <c r="M477" s="136" t="s">
        <v>66</v>
      </c>
      <c r="N477" s="136" t="str">
        <f t="shared" si="7"/>
        <v>Arroz con leche · INTA-0470</v>
      </c>
      <c r="O477" s="13"/>
      <c r="P477" s="13"/>
      <c r="Q477" s="13"/>
    </row>
    <row r="478" spans="1:17" ht="15" customHeight="1">
      <c r="A478" s="140" t="s">
        <v>1390</v>
      </c>
      <c r="B478" s="140" t="s">
        <v>1391</v>
      </c>
      <c r="C478" s="140" t="s">
        <v>477</v>
      </c>
      <c r="D478" s="140" t="s">
        <v>404</v>
      </c>
      <c r="E478" s="164">
        <v>95</v>
      </c>
      <c r="F478" s="164">
        <v>2.8</v>
      </c>
      <c r="G478" s="164">
        <v>24</v>
      </c>
      <c r="H478" s="164">
        <v>1.4</v>
      </c>
      <c r="I478" s="164" t="s">
        <v>405</v>
      </c>
      <c r="J478" s="140" t="s">
        <v>405</v>
      </c>
      <c r="K478" s="165" t="s">
        <v>405</v>
      </c>
      <c r="L478" s="140" t="s">
        <v>406</v>
      </c>
      <c r="M478" s="140" t="s">
        <v>66</v>
      </c>
      <c r="N478" s="140" t="str">
        <f t="shared" si="7"/>
        <v>Flan de vainilla · INTA-0471</v>
      </c>
      <c r="O478" s="13"/>
      <c r="P478" s="13"/>
      <c r="Q478" s="13"/>
    </row>
    <row r="479" spans="1:17" ht="15" customHeight="1">
      <c r="A479" s="136" t="s">
        <v>1392</v>
      </c>
      <c r="B479" s="136" t="s">
        <v>1393</v>
      </c>
      <c r="C479" s="136" t="s">
        <v>477</v>
      </c>
      <c r="D479" s="136" t="s">
        <v>404</v>
      </c>
      <c r="E479" s="162">
        <v>81</v>
      </c>
      <c r="F479" s="162">
        <v>3.4</v>
      </c>
      <c r="G479" s="162">
        <v>8.4</v>
      </c>
      <c r="H479" s="162">
        <v>0.9</v>
      </c>
      <c r="I479" s="163" t="s">
        <v>405</v>
      </c>
      <c r="J479" s="136" t="s">
        <v>405</v>
      </c>
      <c r="K479" s="163" t="s">
        <v>405</v>
      </c>
      <c r="L479" s="136" t="s">
        <v>406</v>
      </c>
      <c r="M479" s="136" t="s">
        <v>66</v>
      </c>
      <c r="N479" s="136" t="str">
        <f t="shared" si="7"/>
        <v>Flan sabor vainilla · INTA-0472</v>
      </c>
      <c r="O479" s="13"/>
      <c r="P479" s="13"/>
      <c r="Q479" s="13"/>
    </row>
    <row r="480" spans="1:17" ht="15" customHeight="1">
      <c r="A480" s="140" t="s">
        <v>1394</v>
      </c>
      <c r="B480" s="140" t="s">
        <v>1395</v>
      </c>
      <c r="C480" s="140" t="s">
        <v>477</v>
      </c>
      <c r="D480" s="140" t="s">
        <v>404</v>
      </c>
      <c r="E480" s="164">
        <v>390</v>
      </c>
      <c r="F480" s="164">
        <v>0</v>
      </c>
      <c r="G480" s="164">
        <v>97.4</v>
      </c>
      <c r="H480" s="164">
        <v>3.8</v>
      </c>
      <c r="I480" s="164">
        <v>0</v>
      </c>
      <c r="J480" s="140" t="s">
        <v>405</v>
      </c>
      <c r="K480" s="165" t="s">
        <v>405</v>
      </c>
      <c r="L480" s="140" t="s">
        <v>406</v>
      </c>
      <c r="M480" s="140" t="s">
        <v>66</v>
      </c>
      <c r="N480" s="140" t="str">
        <f t="shared" si="7"/>
        <v>Flan reconstituido · INTA-0473</v>
      </c>
      <c r="O480" s="13"/>
      <c r="P480" s="13"/>
      <c r="Q480" s="13"/>
    </row>
    <row r="481" spans="1:17" ht="15" customHeight="1">
      <c r="A481" s="136" t="s">
        <v>1396</v>
      </c>
      <c r="B481" s="136" t="s">
        <v>1397</v>
      </c>
      <c r="C481" s="136" t="s">
        <v>477</v>
      </c>
      <c r="D481" s="136" t="s">
        <v>404</v>
      </c>
      <c r="E481" s="162">
        <v>144</v>
      </c>
      <c r="F481" s="162">
        <v>3.6</v>
      </c>
      <c r="G481" s="162">
        <v>24.4</v>
      </c>
      <c r="H481" s="162">
        <v>3.6</v>
      </c>
      <c r="I481" s="162" t="s">
        <v>405</v>
      </c>
      <c r="J481" s="136" t="s">
        <v>405</v>
      </c>
      <c r="K481" s="163" t="s">
        <v>405</v>
      </c>
      <c r="L481" s="136" t="s">
        <v>406</v>
      </c>
      <c r="M481" s="136" t="s">
        <v>66</v>
      </c>
      <c r="N481" s="136" t="str">
        <f t="shared" si="7"/>
        <v>Leche asada con salsa de caramelo · INTA-0474</v>
      </c>
      <c r="O481" s="13"/>
      <c r="P481" s="13"/>
      <c r="Q481" s="13"/>
    </row>
    <row r="482" spans="1:17" ht="15" customHeight="1">
      <c r="A482" s="140" t="s">
        <v>1398</v>
      </c>
      <c r="B482" s="140" t="s">
        <v>1399</v>
      </c>
      <c r="C482" s="140" t="s">
        <v>477</v>
      </c>
      <c r="D482" s="140" t="s">
        <v>404</v>
      </c>
      <c r="E482" s="164">
        <v>142</v>
      </c>
      <c r="F482" s="164" t="s">
        <v>405</v>
      </c>
      <c r="G482" s="164">
        <v>28.6</v>
      </c>
      <c r="H482" s="164">
        <v>2.2000000000000002</v>
      </c>
      <c r="I482" s="164" t="s">
        <v>405</v>
      </c>
      <c r="J482" s="140" t="s">
        <v>405</v>
      </c>
      <c r="K482" s="165" t="s">
        <v>405</v>
      </c>
      <c r="L482" s="140" t="s">
        <v>406</v>
      </c>
      <c r="M482" s="140" t="s">
        <v>66</v>
      </c>
      <c r="N482" s="140" t="str">
        <f t="shared" si="7"/>
        <v>Sémola con leche con salsa caramelo · INTA-0475</v>
      </c>
      <c r="O482" s="13"/>
      <c r="P482" s="13"/>
      <c r="Q482" s="13"/>
    </row>
    <row r="483" spans="1:17" ht="15" customHeight="1">
      <c r="A483" s="136" t="s">
        <v>1400</v>
      </c>
      <c r="B483" s="136" t="s">
        <v>1401</v>
      </c>
      <c r="C483" s="136" t="s">
        <v>454</v>
      </c>
      <c r="D483" s="136" t="s">
        <v>404</v>
      </c>
      <c r="E483" s="162">
        <v>66</v>
      </c>
      <c r="F483" s="162">
        <v>1.2</v>
      </c>
      <c r="G483" s="162">
        <v>14</v>
      </c>
      <c r="H483" s="162">
        <v>0.6</v>
      </c>
      <c r="I483" s="162">
        <v>0.8</v>
      </c>
      <c r="J483" s="136" t="s">
        <v>405</v>
      </c>
      <c r="K483" s="163" t="s">
        <v>405</v>
      </c>
      <c r="L483" s="136" t="s">
        <v>406</v>
      </c>
      <c r="M483" s="136" t="s">
        <v>66</v>
      </c>
      <c r="N483" s="136" t="str">
        <f t="shared" si="7"/>
        <v>Bebida de soya sabor manzana · INTA-0476</v>
      </c>
      <c r="O483" s="13"/>
      <c r="P483" s="13"/>
      <c r="Q483" s="13"/>
    </row>
    <row r="484" spans="1:17" ht="15" customHeight="1">
      <c r="A484" s="140" t="s">
        <v>1402</v>
      </c>
      <c r="B484" s="140" t="s">
        <v>1403</v>
      </c>
      <c r="C484" s="140" t="s">
        <v>454</v>
      </c>
      <c r="D484" s="140" t="s">
        <v>404</v>
      </c>
      <c r="E484" s="164">
        <v>22</v>
      </c>
      <c r="F484" s="164">
        <v>0.4</v>
      </c>
      <c r="G484" s="164">
        <v>6.6</v>
      </c>
      <c r="H484" s="164">
        <v>0.2</v>
      </c>
      <c r="I484" s="165">
        <v>0.3</v>
      </c>
      <c r="J484" s="140" t="s">
        <v>405</v>
      </c>
      <c r="K484" s="165" t="s">
        <v>405</v>
      </c>
      <c r="L484" s="140" t="s">
        <v>406</v>
      </c>
      <c r="M484" s="140" t="s">
        <v>66</v>
      </c>
      <c r="N484" s="140" t="str">
        <f t="shared" si="7"/>
        <v>Jugo de limón · INTA-0477</v>
      </c>
      <c r="O484" s="13"/>
      <c r="P484" s="13"/>
      <c r="Q484" s="13"/>
    </row>
    <row r="485" spans="1:17" ht="15" customHeight="1">
      <c r="A485" s="140" t="s">
        <v>1404</v>
      </c>
      <c r="B485" s="140" t="s">
        <v>1405</v>
      </c>
      <c r="C485" s="140" t="s">
        <v>454</v>
      </c>
      <c r="D485" s="140" t="s">
        <v>404</v>
      </c>
      <c r="E485" s="164">
        <v>43</v>
      </c>
      <c r="F485" s="164">
        <v>0.5</v>
      </c>
      <c r="G485" s="164">
        <v>9.9</v>
      </c>
      <c r="H485" s="164">
        <v>0.2</v>
      </c>
      <c r="I485" s="164">
        <v>0.2</v>
      </c>
      <c r="J485" s="140" t="s">
        <v>405</v>
      </c>
      <c r="K485" s="165" t="s">
        <v>405</v>
      </c>
      <c r="L485" s="140" t="s">
        <v>406</v>
      </c>
      <c r="M485" s="140" t="s">
        <v>66</v>
      </c>
      <c r="N485" s="140" t="str">
        <f t="shared" si="7"/>
        <v>Jugo de mandarina · INTA-0478</v>
      </c>
      <c r="O485" s="13"/>
      <c r="P485" s="13"/>
      <c r="Q485" s="13"/>
    </row>
    <row r="486" spans="1:17" ht="15" customHeight="1">
      <c r="A486" s="136" t="s">
        <v>1406</v>
      </c>
      <c r="B486" s="136" t="s">
        <v>1407</v>
      </c>
      <c r="C486" s="136" t="s">
        <v>454</v>
      </c>
      <c r="D486" s="136" t="s">
        <v>404</v>
      </c>
      <c r="E486" s="162">
        <v>45</v>
      </c>
      <c r="F486" s="162">
        <v>0</v>
      </c>
      <c r="G486" s="162">
        <v>11.2</v>
      </c>
      <c r="H486" s="162">
        <v>0</v>
      </c>
      <c r="I486" s="163" t="s">
        <v>405</v>
      </c>
      <c r="J486" s="136" t="s">
        <v>405</v>
      </c>
      <c r="K486" s="163" t="s">
        <v>405</v>
      </c>
      <c r="L486" s="136" t="s">
        <v>406</v>
      </c>
      <c r="M486" s="136" t="s">
        <v>66</v>
      </c>
      <c r="N486" s="136" t="str">
        <f t="shared" si="7"/>
        <v>Jugo de maqui · INTA-0479</v>
      </c>
      <c r="O486" s="13"/>
      <c r="P486" s="13"/>
      <c r="Q486" s="13"/>
    </row>
    <row r="487" spans="1:17" ht="15" customHeight="1">
      <c r="A487" s="140" t="s">
        <v>1408</v>
      </c>
      <c r="B487" s="140" t="s">
        <v>1409</v>
      </c>
      <c r="C487" s="140" t="s">
        <v>454</v>
      </c>
      <c r="D487" s="140" t="s">
        <v>404</v>
      </c>
      <c r="E487" s="164">
        <v>45</v>
      </c>
      <c r="F487" s="164">
        <v>0.7</v>
      </c>
      <c r="G487" s="164">
        <v>10.199999999999999</v>
      </c>
      <c r="H487" s="164">
        <v>0.2</v>
      </c>
      <c r="I487" s="164">
        <v>0.2</v>
      </c>
      <c r="J487" s="140" t="s">
        <v>405</v>
      </c>
      <c r="K487" s="165" t="s">
        <v>405</v>
      </c>
      <c r="L487" s="140" t="s">
        <v>406</v>
      </c>
      <c r="M487" s="140" t="s">
        <v>66</v>
      </c>
      <c r="N487" s="140" t="str">
        <f t="shared" si="7"/>
        <v>Jugo de naranja · INTA-0480</v>
      </c>
      <c r="O487" s="13"/>
      <c r="P487" s="13"/>
      <c r="Q487" s="13"/>
    </row>
    <row r="488" spans="1:17" ht="15" customHeight="1">
      <c r="A488" s="136" t="s">
        <v>1410</v>
      </c>
      <c r="B488" s="136" t="s">
        <v>1411</v>
      </c>
      <c r="C488" s="136" t="s">
        <v>454</v>
      </c>
      <c r="D488" s="136" t="s">
        <v>404</v>
      </c>
      <c r="E488" s="163">
        <v>39</v>
      </c>
      <c r="F488" s="163">
        <v>0.5</v>
      </c>
      <c r="G488" s="163">
        <v>9.1</v>
      </c>
      <c r="H488" s="163">
        <v>0.1</v>
      </c>
      <c r="I488" s="163">
        <v>0.1</v>
      </c>
      <c r="J488" s="136" t="s">
        <v>405</v>
      </c>
      <c r="K488" s="163" t="s">
        <v>405</v>
      </c>
      <c r="L488" s="136" t="s">
        <v>406</v>
      </c>
      <c r="M488" s="136" t="s">
        <v>66</v>
      </c>
      <c r="N488" s="136" t="str">
        <f t="shared" si="7"/>
        <v>Jugo de pomelo · INTA-0481</v>
      </c>
      <c r="O488" s="13"/>
      <c r="P488" s="13"/>
      <c r="Q488" s="13"/>
    </row>
    <row r="489" spans="1:17" ht="15" customHeight="1">
      <c r="A489" s="140" t="s">
        <v>1412</v>
      </c>
      <c r="B489" s="140" t="s">
        <v>1413</v>
      </c>
      <c r="C489" s="140" t="s">
        <v>454</v>
      </c>
      <c r="D489" s="140" t="s">
        <v>404</v>
      </c>
      <c r="E489" s="165">
        <v>0</v>
      </c>
      <c r="F489" s="164">
        <v>0.2</v>
      </c>
      <c r="G489" s="164">
        <v>10.3</v>
      </c>
      <c r="H489" s="164">
        <v>0</v>
      </c>
      <c r="I489" s="164" t="s">
        <v>405</v>
      </c>
      <c r="J489" s="140" t="s">
        <v>405</v>
      </c>
      <c r="K489" s="165" t="s">
        <v>405</v>
      </c>
      <c r="L489" s="140" t="s">
        <v>406</v>
      </c>
      <c r="M489" s="140" t="s">
        <v>66</v>
      </c>
      <c r="N489" s="140" t="str">
        <f t="shared" si="7"/>
        <v>Néctar damasco · INTA-0482</v>
      </c>
      <c r="O489" s="13"/>
      <c r="P489" s="13"/>
      <c r="Q489" s="13"/>
    </row>
    <row r="490" spans="1:17" ht="15" customHeight="1">
      <c r="A490" s="136" t="s">
        <v>1414</v>
      </c>
      <c r="B490" s="136" t="s">
        <v>1415</v>
      </c>
      <c r="C490" s="136" t="s">
        <v>454</v>
      </c>
      <c r="D490" s="136" t="s">
        <v>404</v>
      </c>
      <c r="E490" s="163">
        <v>54</v>
      </c>
      <c r="F490" s="162">
        <v>0.1</v>
      </c>
      <c r="G490" s="162">
        <v>1.9</v>
      </c>
      <c r="H490" s="162">
        <v>0</v>
      </c>
      <c r="I490" s="162" t="s">
        <v>405</v>
      </c>
      <c r="J490" s="136" t="s">
        <v>405</v>
      </c>
      <c r="K490" s="163" t="s">
        <v>405</v>
      </c>
      <c r="L490" s="136" t="s">
        <v>406</v>
      </c>
      <c r="M490" s="136" t="s">
        <v>66</v>
      </c>
      <c r="N490" s="136" t="str">
        <f t="shared" si="7"/>
        <v>Néctar damasco light · INTA-0483</v>
      </c>
      <c r="O490" s="13"/>
      <c r="P490" s="13"/>
      <c r="Q490" s="13"/>
    </row>
    <row r="491" spans="1:17" ht="15" customHeight="1">
      <c r="A491" s="140" t="s">
        <v>1416</v>
      </c>
      <c r="B491" s="140" t="s">
        <v>1417</v>
      </c>
      <c r="C491" s="140" t="s">
        <v>454</v>
      </c>
      <c r="D491" s="140" t="s">
        <v>404</v>
      </c>
      <c r="E491" s="165">
        <v>24</v>
      </c>
      <c r="F491" s="164">
        <v>0.3</v>
      </c>
      <c r="G491" s="165">
        <v>10.4</v>
      </c>
      <c r="H491" s="165">
        <v>0</v>
      </c>
      <c r="I491" s="165" t="s">
        <v>405</v>
      </c>
      <c r="J491" s="140" t="s">
        <v>405</v>
      </c>
      <c r="K491" s="165" t="s">
        <v>405</v>
      </c>
      <c r="L491" s="140" t="s">
        <v>406</v>
      </c>
      <c r="M491" s="140" t="s">
        <v>66</v>
      </c>
      <c r="N491" s="140" t="str">
        <f t="shared" si="7"/>
        <v>Néctar durazno · INTA-0484</v>
      </c>
      <c r="O491" s="13"/>
      <c r="P491" s="13"/>
      <c r="Q491" s="13"/>
    </row>
    <row r="492" spans="1:17" ht="15" customHeight="1">
      <c r="A492" s="136" t="s">
        <v>1418</v>
      </c>
      <c r="B492" s="136" t="s">
        <v>1419</v>
      </c>
      <c r="C492" s="136" t="s">
        <v>454</v>
      </c>
      <c r="D492" s="136" t="s">
        <v>404</v>
      </c>
      <c r="E492" s="163">
        <v>57</v>
      </c>
      <c r="F492" s="162">
        <v>0.1</v>
      </c>
      <c r="G492" s="162">
        <v>3.3</v>
      </c>
      <c r="H492" s="162">
        <v>0</v>
      </c>
      <c r="I492" s="163" t="s">
        <v>405</v>
      </c>
      <c r="J492" s="136" t="s">
        <v>405</v>
      </c>
      <c r="K492" s="163" t="s">
        <v>405</v>
      </c>
      <c r="L492" s="136" t="s">
        <v>406</v>
      </c>
      <c r="M492" s="136" t="s">
        <v>66</v>
      </c>
      <c r="N492" s="136" t="str">
        <f t="shared" si="7"/>
        <v>Néctar durazno light · INTA-0485</v>
      </c>
      <c r="O492" s="13"/>
      <c r="P492" s="13"/>
      <c r="Q492" s="13"/>
    </row>
    <row r="493" spans="1:17" ht="15" customHeight="1">
      <c r="A493" s="140" t="s">
        <v>1420</v>
      </c>
      <c r="B493" s="140" t="s">
        <v>1421</v>
      </c>
      <c r="C493" s="140" t="s">
        <v>454</v>
      </c>
      <c r="D493" s="140" t="s">
        <v>404</v>
      </c>
      <c r="E493" s="165">
        <v>43</v>
      </c>
      <c r="F493" s="164">
        <v>0.1</v>
      </c>
      <c r="G493" s="165">
        <v>11.2</v>
      </c>
      <c r="H493" s="165">
        <v>0</v>
      </c>
      <c r="I493" s="165" t="s">
        <v>405</v>
      </c>
      <c r="J493" s="140" t="s">
        <v>405</v>
      </c>
      <c r="K493" s="165" t="s">
        <v>405</v>
      </c>
      <c r="L493" s="140" t="s">
        <v>406</v>
      </c>
      <c r="M493" s="140" t="s">
        <v>66</v>
      </c>
      <c r="N493" s="140" t="str">
        <f t="shared" si="7"/>
        <v>Néctar manzana · INTA-0486</v>
      </c>
      <c r="O493" s="13"/>
      <c r="P493" s="13"/>
      <c r="Q493" s="13"/>
    </row>
    <row r="494" spans="1:17" ht="15" customHeight="1">
      <c r="A494" s="136" t="s">
        <v>1422</v>
      </c>
      <c r="B494" s="136" t="s">
        <v>1423</v>
      </c>
      <c r="C494" s="136" t="s">
        <v>454</v>
      </c>
      <c r="D494" s="136" t="s">
        <v>404</v>
      </c>
      <c r="E494" s="163">
        <v>45</v>
      </c>
      <c r="F494" s="162">
        <v>0.2</v>
      </c>
      <c r="G494" s="162">
        <v>11.5</v>
      </c>
      <c r="H494" s="162">
        <v>0</v>
      </c>
      <c r="I494" s="162" t="s">
        <v>405</v>
      </c>
      <c r="J494" s="136" t="s">
        <v>405</v>
      </c>
      <c r="K494" s="163" t="s">
        <v>405</v>
      </c>
      <c r="L494" s="136" t="s">
        <v>406</v>
      </c>
      <c r="M494" s="136" t="s">
        <v>66</v>
      </c>
      <c r="N494" s="136" t="str">
        <f t="shared" si="7"/>
        <v>Néctar naranja · INTA-0487</v>
      </c>
      <c r="O494" s="13"/>
      <c r="P494" s="13"/>
      <c r="Q494" s="13"/>
    </row>
    <row r="495" spans="1:17" ht="15" customHeight="1">
      <c r="A495" s="136" t="s">
        <v>1424</v>
      </c>
      <c r="B495" s="136" t="s">
        <v>1425</v>
      </c>
      <c r="C495" s="136" t="s">
        <v>454</v>
      </c>
      <c r="D495" s="136" t="s">
        <v>404</v>
      </c>
      <c r="E495" s="163">
        <v>9</v>
      </c>
      <c r="F495" s="162" t="s">
        <v>405</v>
      </c>
      <c r="G495" s="162">
        <v>2.2000000000000002</v>
      </c>
      <c r="H495" s="162">
        <v>0</v>
      </c>
      <c r="I495" s="162" t="s">
        <v>405</v>
      </c>
      <c r="J495" s="136" t="s">
        <v>405</v>
      </c>
      <c r="K495" s="163" t="s">
        <v>405</v>
      </c>
      <c r="L495" s="136" t="s">
        <v>406</v>
      </c>
      <c r="M495" s="136" t="s">
        <v>66</v>
      </c>
      <c r="N495" s="136" t="str">
        <f t="shared" si="7"/>
        <v>Néctar naranja light · INTA-0488</v>
      </c>
      <c r="O495" s="13"/>
      <c r="P495" s="13"/>
      <c r="Q495" s="13"/>
    </row>
    <row r="496" spans="1:17" ht="15" customHeight="1">
      <c r="A496" s="140" t="s">
        <v>1426</v>
      </c>
      <c r="B496" s="140" t="s">
        <v>1427</v>
      </c>
      <c r="C496" s="140" t="s">
        <v>454</v>
      </c>
      <c r="D496" s="140" t="s">
        <v>404</v>
      </c>
      <c r="E496" s="165">
        <v>53</v>
      </c>
      <c r="F496" s="164">
        <v>0.4</v>
      </c>
      <c r="G496" s="164">
        <v>13</v>
      </c>
      <c r="H496" s="164">
        <v>0</v>
      </c>
      <c r="I496" s="164" t="s">
        <v>405</v>
      </c>
      <c r="J496" s="140" t="s">
        <v>405</v>
      </c>
      <c r="K496" s="165" t="s">
        <v>405</v>
      </c>
      <c r="L496" s="140" t="s">
        <v>406</v>
      </c>
      <c r="M496" s="140" t="s">
        <v>66</v>
      </c>
      <c r="N496" s="140" t="str">
        <f t="shared" si="7"/>
        <v>Néctar uva light · INTA-0489</v>
      </c>
      <c r="O496" s="13"/>
      <c r="P496" s="13"/>
      <c r="Q496" s="13"/>
    </row>
    <row r="497" spans="1:17" ht="15" customHeight="1">
      <c r="A497" s="140" t="s">
        <v>1428</v>
      </c>
      <c r="B497" s="140" t="s">
        <v>1429</v>
      </c>
      <c r="C497" s="140" t="s">
        <v>485</v>
      </c>
      <c r="D497" s="140" t="s">
        <v>404</v>
      </c>
      <c r="E497" s="165">
        <v>366</v>
      </c>
      <c r="F497" s="164">
        <v>0</v>
      </c>
      <c r="G497" s="164">
        <v>81</v>
      </c>
      <c r="H497" s="164">
        <v>0</v>
      </c>
      <c r="I497" s="164" t="s">
        <v>405</v>
      </c>
      <c r="J497" s="140" t="s">
        <v>405</v>
      </c>
      <c r="K497" s="165" t="s">
        <v>405</v>
      </c>
      <c r="L497" s="140" t="s">
        <v>406</v>
      </c>
      <c r="M497" s="140" t="s">
        <v>66</v>
      </c>
      <c r="N497" s="140" t="str">
        <f t="shared" si="7"/>
        <v>Refresco polvo bajo en calorías · INTA-0490</v>
      </c>
      <c r="O497" s="13"/>
      <c r="P497" s="13"/>
      <c r="Q497" s="13"/>
    </row>
    <row r="498" spans="1:17" ht="15" customHeight="1">
      <c r="A498" s="136" t="s">
        <v>1430</v>
      </c>
      <c r="B498" s="136" t="s">
        <v>1431</v>
      </c>
      <c r="C498" s="136" t="s">
        <v>485</v>
      </c>
      <c r="D498" s="136" t="s">
        <v>404</v>
      </c>
      <c r="E498" s="163">
        <v>12</v>
      </c>
      <c r="F498" s="162">
        <v>0.3</v>
      </c>
      <c r="G498" s="162">
        <v>3.5</v>
      </c>
      <c r="H498" s="162">
        <v>0</v>
      </c>
      <c r="I498" s="162">
        <v>3.2</v>
      </c>
      <c r="J498" s="136" t="s">
        <v>405</v>
      </c>
      <c r="K498" s="163" t="s">
        <v>405</v>
      </c>
      <c r="L498" s="136" t="s">
        <v>406</v>
      </c>
      <c r="M498" s="136" t="s">
        <v>66</v>
      </c>
      <c r="N498" s="136" t="str">
        <f t="shared" si="7"/>
        <v>Refresco en polvo light durazno · INTA-0491</v>
      </c>
      <c r="O498" s="13"/>
      <c r="P498" s="13"/>
      <c r="Q498" s="13"/>
    </row>
    <row r="499" spans="1:17" ht="15" customHeight="1">
      <c r="A499" s="140" t="s">
        <v>1432</v>
      </c>
      <c r="B499" s="140" t="s">
        <v>1433</v>
      </c>
      <c r="C499" s="140" t="s">
        <v>485</v>
      </c>
      <c r="D499" s="140" t="s">
        <v>404</v>
      </c>
      <c r="E499" s="165">
        <v>125</v>
      </c>
      <c r="F499" s="164">
        <v>0</v>
      </c>
      <c r="G499" s="164">
        <v>34.799999999999997</v>
      </c>
      <c r="H499" s="164">
        <v>0</v>
      </c>
      <c r="I499" s="165">
        <v>35.299999999999997</v>
      </c>
      <c r="J499" s="140" t="s">
        <v>405</v>
      </c>
      <c r="K499" s="165" t="s">
        <v>405</v>
      </c>
      <c r="L499" s="140" t="s">
        <v>406</v>
      </c>
      <c r="M499" s="140" t="s">
        <v>66</v>
      </c>
      <c r="N499" s="140" t="str">
        <f t="shared" si="7"/>
        <v>Refresco polvo light naranja · INTA-0492</v>
      </c>
      <c r="O499" s="13"/>
      <c r="P499" s="13"/>
      <c r="Q499" s="13"/>
    </row>
    <row r="500" spans="1:17" ht="15" customHeight="1">
      <c r="A500" s="136" t="s">
        <v>1434</v>
      </c>
      <c r="B500" s="136" t="s">
        <v>1435</v>
      </c>
      <c r="C500" s="136" t="s">
        <v>485</v>
      </c>
      <c r="D500" s="136" t="s">
        <v>404</v>
      </c>
      <c r="E500" s="162">
        <v>12</v>
      </c>
      <c r="F500" s="162">
        <v>0</v>
      </c>
      <c r="G500" s="162">
        <v>2.9</v>
      </c>
      <c r="H500" s="162">
        <v>0</v>
      </c>
      <c r="I500" s="162">
        <v>5.7</v>
      </c>
      <c r="J500" s="136" t="s">
        <v>405</v>
      </c>
      <c r="K500" s="163" t="s">
        <v>405</v>
      </c>
      <c r="L500" s="136" t="s">
        <v>406</v>
      </c>
      <c r="M500" s="136" t="s">
        <v>66</v>
      </c>
      <c r="N500" s="136" t="str">
        <f t="shared" si="7"/>
        <v>Refresco polvo light piña · INTA-0493</v>
      </c>
      <c r="O500" s="13"/>
      <c r="P500" s="13"/>
      <c r="Q500" s="13"/>
    </row>
    <row r="501" spans="1:17" ht="15" customHeight="1">
      <c r="A501" s="140" t="s">
        <v>1436</v>
      </c>
      <c r="B501" s="140" t="s">
        <v>1437</v>
      </c>
      <c r="C501" s="140" t="s">
        <v>419</v>
      </c>
      <c r="D501" s="140" t="s">
        <v>404</v>
      </c>
      <c r="E501" s="164">
        <v>0</v>
      </c>
      <c r="F501" s="164">
        <v>0</v>
      </c>
      <c r="G501" s="164">
        <v>0</v>
      </c>
      <c r="H501" s="164">
        <v>0</v>
      </c>
      <c r="I501" s="164">
        <v>0</v>
      </c>
      <c r="J501" s="140" t="s">
        <v>405</v>
      </c>
      <c r="K501" s="165" t="s">
        <v>405</v>
      </c>
      <c r="L501" s="140" t="s">
        <v>406</v>
      </c>
      <c r="M501" s="140" t="s">
        <v>66</v>
      </c>
      <c r="N501" s="140" t="str">
        <f t="shared" si="7"/>
        <v>Agua · INTA-0494</v>
      </c>
      <c r="O501" s="13"/>
      <c r="P501" s="13"/>
      <c r="Q501" s="13"/>
    </row>
    <row r="502" spans="1:17" ht="15" customHeight="1">
      <c r="A502" s="136" t="s">
        <v>1438</v>
      </c>
      <c r="B502" s="136" t="s">
        <v>1439</v>
      </c>
      <c r="C502" s="136" t="s">
        <v>419</v>
      </c>
      <c r="D502" s="136" t="s">
        <v>404</v>
      </c>
      <c r="E502" s="162">
        <v>0</v>
      </c>
      <c r="F502" s="162">
        <v>0</v>
      </c>
      <c r="G502" s="163">
        <v>0</v>
      </c>
      <c r="H502" s="162">
        <v>0</v>
      </c>
      <c r="I502" s="162">
        <v>0</v>
      </c>
      <c r="J502" s="136" t="s">
        <v>405</v>
      </c>
      <c r="K502" s="163" t="s">
        <v>405</v>
      </c>
      <c r="L502" s="136" t="s">
        <v>406</v>
      </c>
      <c r="M502" s="136" t="s">
        <v>66</v>
      </c>
      <c r="N502" s="136" t="str">
        <f t="shared" si="7"/>
        <v>Bebida cola light · INTA-0495</v>
      </c>
      <c r="O502" s="13"/>
      <c r="P502" s="13"/>
      <c r="Q502" s="13"/>
    </row>
    <row r="503" spans="1:17" ht="15" customHeight="1">
      <c r="A503" s="140" t="s">
        <v>1440</v>
      </c>
      <c r="B503" s="140" t="s">
        <v>1441</v>
      </c>
      <c r="C503" s="140" t="s">
        <v>419</v>
      </c>
      <c r="D503" s="140" t="s">
        <v>404</v>
      </c>
      <c r="E503" s="164">
        <v>42</v>
      </c>
      <c r="F503" s="164">
        <v>0.5</v>
      </c>
      <c r="G503" s="164">
        <v>10.4</v>
      </c>
      <c r="H503" s="164">
        <v>0</v>
      </c>
      <c r="I503" s="164" t="s">
        <v>405</v>
      </c>
      <c r="J503" s="140" t="s">
        <v>405</v>
      </c>
      <c r="K503" s="165" t="s">
        <v>405</v>
      </c>
      <c r="L503" s="140" t="s">
        <v>406</v>
      </c>
      <c r="M503" s="140" t="s">
        <v>66</v>
      </c>
      <c r="N503" s="140" t="str">
        <f t="shared" si="7"/>
        <v>Bebida cola tradicional · INTA-0496</v>
      </c>
      <c r="O503" s="13"/>
      <c r="P503" s="13"/>
      <c r="Q503" s="13"/>
    </row>
    <row r="504" spans="1:17" ht="15" customHeight="1">
      <c r="A504" s="136" t="s">
        <v>1442</v>
      </c>
      <c r="B504" s="136" t="s">
        <v>1443</v>
      </c>
      <c r="C504" s="136" t="s">
        <v>419</v>
      </c>
      <c r="D504" s="136" t="s">
        <v>404</v>
      </c>
      <c r="E504" s="162">
        <v>0</v>
      </c>
      <c r="F504" s="162">
        <v>0</v>
      </c>
      <c r="G504" s="162">
        <v>10.199999999999999</v>
      </c>
      <c r="H504" s="162">
        <v>0</v>
      </c>
      <c r="I504" s="162">
        <v>0</v>
      </c>
      <c r="J504" s="136" t="s">
        <v>405</v>
      </c>
      <c r="K504" s="163" t="s">
        <v>405</v>
      </c>
      <c r="L504" s="136" t="s">
        <v>406</v>
      </c>
      <c r="M504" s="136" t="s">
        <v>66</v>
      </c>
      <c r="N504" s="136" t="str">
        <f t="shared" si="7"/>
        <v>Bebida energética · INTA-0497</v>
      </c>
      <c r="O504" s="13"/>
      <c r="P504" s="13"/>
      <c r="Q504" s="13"/>
    </row>
    <row r="505" spans="1:17" ht="15" customHeight="1">
      <c r="A505" s="140" t="s">
        <v>1444</v>
      </c>
      <c r="B505" s="140" t="s">
        <v>1445</v>
      </c>
      <c r="C505" s="140" t="s">
        <v>419</v>
      </c>
      <c r="D505" s="140" t="s">
        <v>404</v>
      </c>
      <c r="E505" s="164">
        <v>46</v>
      </c>
      <c r="F505" s="164">
        <v>0</v>
      </c>
      <c r="G505" s="164">
        <v>10.4</v>
      </c>
      <c r="H505" s="164">
        <v>0</v>
      </c>
      <c r="I505" s="164">
        <v>0</v>
      </c>
      <c r="J505" s="140" t="s">
        <v>405</v>
      </c>
      <c r="K505" s="165" t="s">
        <v>405</v>
      </c>
      <c r="L505" s="140" t="s">
        <v>406</v>
      </c>
      <c r="M505" s="140" t="s">
        <v>66</v>
      </c>
      <c r="N505" s="140" t="str">
        <f t="shared" si="7"/>
        <v>Bebida gaseosa sabor limón · INTA-0498</v>
      </c>
      <c r="O505" s="13"/>
      <c r="P505" s="13"/>
      <c r="Q505" s="13"/>
    </row>
    <row r="506" spans="1:17" ht="15" customHeight="1">
      <c r="A506" s="136" t="s">
        <v>1446</v>
      </c>
      <c r="B506" s="136" t="s">
        <v>1447</v>
      </c>
      <c r="C506" s="136" t="s">
        <v>419</v>
      </c>
      <c r="D506" s="136" t="s">
        <v>404</v>
      </c>
      <c r="E506" s="162">
        <v>48</v>
      </c>
      <c r="F506" s="162">
        <v>0</v>
      </c>
      <c r="G506" s="162">
        <v>12.3</v>
      </c>
      <c r="H506" s="162">
        <v>0</v>
      </c>
      <c r="I506" s="162">
        <v>0</v>
      </c>
      <c r="J506" s="136" t="s">
        <v>405</v>
      </c>
      <c r="K506" s="163" t="s">
        <v>405</v>
      </c>
      <c r="L506" s="136" t="s">
        <v>406</v>
      </c>
      <c r="M506" s="136" t="s">
        <v>66</v>
      </c>
      <c r="N506" s="136" t="str">
        <f t="shared" si="7"/>
        <v>Bebida gaseosa sabor naranja · INTA-0499</v>
      </c>
      <c r="O506" s="13"/>
      <c r="P506" s="13"/>
      <c r="Q506" s="13"/>
    </row>
    <row r="507" spans="1:17" ht="15" customHeight="1">
      <c r="A507" s="140" t="s">
        <v>1448</v>
      </c>
      <c r="B507" s="140" t="s">
        <v>1449</v>
      </c>
      <c r="C507" s="140" t="s">
        <v>419</v>
      </c>
      <c r="D507" s="140" t="s">
        <v>404</v>
      </c>
      <c r="E507" s="164">
        <v>40</v>
      </c>
      <c r="F507" s="164">
        <v>0.1</v>
      </c>
      <c r="G507" s="164">
        <v>10.1</v>
      </c>
      <c r="H507" s="164">
        <v>0</v>
      </c>
      <c r="I507" s="164">
        <v>0</v>
      </c>
      <c r="J507" s="140" t="s">
        <v>405</v>
      </c>
      <c r="K507" s="165" t="s">
        <v>405</v>
      </c>
      <c r="L507" s="140" t="s">
        <v>406</v>
      </c>
      <c r="M507" s="140" t="s">
        <v>66</v>
      </c>
      <c r="N507" s="140" t="str">
        <f t="shared" si="7"/>
        <v>Bebida gaseosa sabor piña · INTA-0500</v>
      </c>
      <c r="O507" s="13"/>
      <c r="P507" s="13"/>
      <c r="Q507" s="13"/>
    </row>
    <row r="508" spans="1:17" ht="15" customHeight="1">
      <c r="A508" s="140" t="s">
        <v>1450</v>
      </c>
      <c r="B508" s="140" t="s">
        <v>1451</v>
      </c>
      <c r="C508" s="140" t="s">
        <v>419</v>
      </c>
      <c r="D508" s="140" t="s">
        <v>404</v>
      </c>
      <c r="E508" s="164">
        <v>1</v>
      </c>
      <c r="F508" s="164">
        <v>0.1</v>
      </c>
      <c r="G508" s="164">
        <v>0.2</v>
      </c>
      <c r="H508" s="164">
        <v>0</v>
      </c>
      <c r="I508" s="164" t="s">
        <v>405</v>
      </c>
      <c r="J508" s="140" t="s">
        <v>405</v>
      </c>
      <c r="K508" s="165" t="s">
        <v>405</v>
      </c>
      <c r="L508" s="140" t="s">
        <v>406</v>
      </c>
      <c r="M508" s="140" t="s">
        <v>66</v>
      </c>
      <c r="N508" s="140" t="str">
        <f t="shared" si="7"/>
        <v>Bebida gaseosa sabor piña libre de · INTA-0501</v>
      </c>
      <c r="O508" s="13"/>
      <c r="P508" s="13"/>
      <c r="Q508" s="13"/>
    </row>
    <row r="509" spans="1:17" ht="15" customHeight="1">
      <c r="A509" s="136" t="s">
        <v>1452</v>
      </c>
      <c r="B509" s="136" t="s">
        <v>1453</v>
      </c>
      <c r="C509" s="136" t="s">
        <v>419</v>
      </c>
      <c r="D509" s="136" t="s">
        <v>404</v>
      </c>
      <c r="E509" s="162">
        <v>32</v>
      </c>
      <c r="F509" s="162">
        <v>0</v>
      </c>
      <c r="G509" s="162">
        <v>7.8</v>
      </c>
      <c r="H509" s="162">
        <v>0.1</v>
      </c>
      <c r="I509" s="162">
        <v>0</v>
      </c>
      <c r="J509" s="136" t="s">
        <v>405</v>
      </c>
      <c r="K509" s="163" t="s">
        <v>405</v>
      </c>
      <c r="L509" s="136" t="s">
        <v>406</v>
      </c>
      <c r="M509" s="136" t="s">
        <v>66</v>
      </c>
      <c r="N509" s="136" t="str">
        <f t="shared" si="7"/>
        <v>Bebida isotónica sabor lima limón · INTA-0502</v>
      </c>
      <c r="O509" s="13"/>
      <c r="P509" s="13"/>
      <c r="Q509" s="13"/>
    </row>
    <row r="510" spans="1:17" ht="15" customHeight="1">
      <c r="A510" s="136" t="s">
        <v>1454</v>
      </c>
      <c r="B510" s="136" t="s">
        <v>1455</v>
      </c>
      <c r="C510" s="136" t="s">
        <v>419</v>
      </c>
      <c r="D510" s="136" t="s">
        <v>404</v>
      </c>
      <c r="E510" s="162">
        <v>24</v>
      </c>
      <c r="F510" s="162">
        <v>0</v>
      </c>
      <c r="G510" s="162">
        <v>8</v>
      </c>
      <c r="H510" s="162">
        <v>0</v>
      </c>
      <c r="I510" s="162" t="s">
        <v>405</v>
      </c>
      <c r="J510" s="136" t="s">
        <v>405</v>
      </c>
      <c r="K510" s="163" t="s">
        <v>405</v>
      </c>
      <c r="L510" s="136" t="s">
        <v>406</v>
      </c>
      <c r="M510" s="136" t="s">
        <v>66</v>
      </c>
      <c r="N510" s="136" t="str">
        <f t="shared" si="7"/>
        <v>Bebida isotónica · INTA-0503</v>
      </c>
      <c r="O510" s="13"/>
      <c r="P510" s="13"/>
      <c r="Q510" s="13"/>
    </row>
    <row r="511" spans="1:17" ht="15" customHeight="1">
      <c r="A511" s="140" t="s">
        <v>1456</v>
      </c>
      <c r="B511" s="140" t="s">
        <v>1457</v>
      </c>
      <c r="C511" s="140" t="s">
        <v>411</v>
      </c>
      <c r="D511" s="140" t="s">
        <v>404</v>
      </c>
      <c r="E511" s="164">
        <v>43</v>
      </c>
      <c r="F511" s="164">
        <v>0.5</v>
      </c>
      <c r="G511" s="164">
        <v>3.6</v>
      </c>
      <c r="H511" s="164">
        <v>0</v>
      </c>
      <c r="I511" s="164">
        <v>0</v>
      </c>
      <c r="J511" s="140" t="s">
        <v>405</v>
      </c>
      <c r="K511" s="165" t="s">
        <v>405</v>
      </c>
      <c r="L511" s="140" t="s">
        <v>406</v>
      </c>
      <c r="M511" s="140" t="s">
        <v>66</v>
      </c>
      <c r="N511" s="140" t="str">
        <f t="shared" si="7"/>
        <v>Cerveza · INTA-0504</v>
      </c>
      <c r="O511" s="13"/>
      <c r="P511" s="13"/>
      <c r="Q511" s="13"/>
    </row>
    <row r="512" spans="1:17" ht="15" customHeight="1">
      <c r="A512" s="136" t="s">
        <v>1458</v>
      </c>
      <c r="B512" s="136" t="s">
        <v>1459</v>
      </c>
      <c r="C512" s="136" t="s">
        <v>411</v>
      </c>
      <c r="D512" s="136" t="s">
        <v>404</v>
      </c>
      <c r="E512" s="162" t="s">
        <v>405</v>
      </c>
      <c r="F512" s="162" t="s">
        <v>405</v>
      </c>
      <c r="G512" s="162" t="s">
        <v>405</v>
      </c>
      <c r="H512" s="162" t="s">
        <v>405</v>
      </c>
      <c r="I512" s="162" t="s">
        <v>405</v>
      </c>
      <c r="J512" s="136" t="s">
        <v>405</v>
      </c>
      <c r="K512" s="163" t="s">
        <v>405</v>
      </c>
      <c r="L512" s="136" t="s">
        <v>406</v>
      </c>
      <c r="M512" s="136" t="s">
        <v>66</v>
      </c>
      <c r="N512" s="136" t="str">
        <f t="shared" si="7"/>
        <v>Champagna · INTA-0505</v>
      </c>
      <c r="O512" s="13"/>
      <c r="P512" s="13"/>
      <c r="Q512" s="13"/>
    </row>
    <row r="513" spans="1:17" ht="15" customHeight="1">
      <c r="A513" s="140" t="s">
        <v>1460</v>
      </c>
      <c r="B513" s="140" t="s">
        <v>1461</v>
      </c>
      <c r="C513" s="140" t="s">
        <v>411</v>
      </c>
      <c r="D513" s="140" t="s">
        <v>404</v>
      </c>
      <c r="E513" s="164" t="s">
        <v>405</v>
      </c>
      <c r="F513" s="164">
        <v>0.1</v>
      </c>
      <c r="G513" s="164">
        <v>52.5</v>
      </c>
      <c r="H513" s="164">
        <v>0.3</v>
      </c>
      <c r="I513" s="164">
        <v>0</v>
      </c>
      <c r="J513" s="140" t="s">
        <v>405</v>
      </c>
      <c r="K513" s="165" t="s">
        <v>405</v>
      </c>
      <c r="L513" s="140" t="s">
        <v>406</v>
      </c>
      <c r="M513" s="140" t="s">
        <v>66</v>
      </c>
      <c r="N513" s="140" t="str">
        <f t="shared" si="7"/>
        <v>Licor de café · INTA-0506</v>
      </c>
      <c r="O513" s="13"/>
      <c r="P513" s="13"/>
      <c r="Q513" s="13"/>
    </row>
    <row r="514" spans="1:17" ht="15" customHeight="1">
      <c r="A514" s="136" t="s">
        <v>1462</v>
      </c>
      <c r="B514" s="136" t="s">
        <v>1463</v>
      </c>
      <c r="C514" s="136" t="s">
        <v>411</v>
      </c>
      <c r="D514" s="136" t="s">
        <v>404</v>
      </c>
      <c r="E514" s="162" t="s">
        <v>405</v>
      </c>
      <c r="F514" s="162">
        <v>0</v>
      </c>
      <c r="G514" s="162">
        <v>71.400000000000006</v>
      </c>
      <c r="H514" s="162">
        <v>0.3</v>
      </c>
      <c r="I514" s="162">
        <v>0</v>
      </c>
      <c r="J514" s="136" t="s">
        <v>405</v>
      </c>
      <c r="K514" s="163" t="s">
        <v>405</v>
      </c>
      <c r="L514" s="136" t="s">
        <v>406</v>
      </c>
      <c r="M514" s="136" t="s">
        <v>66</v>
      </c>
      <c r="N514" s="136" t="str">
        <f t="shared" si="7"/>
        <v>Licor de menta · INTA-0507</v>
      </c>
      <c r="O514" s="13"/>
      <c r="P514" s="13"/>
      <c r="Q514" s="13"/>
    </row>
    <row r="515" spans="1:17" ht="15" customHeight="1">
      <c r="A515" s="140" t="s">
        <v>1464</v>
      </c>
      <c r="B515" s="140" t="s">
        <v>1465</v>
      </c>
      <c r="C515" s="140" t="s">
        <v>411</v>
      </c>
      <c r="D515" s="140" t="s">
        <v>404</v>
      </c>
      <c r="E515" s="164" t="s">
        <v>405</v>
      </c>
      <c r="F515" s="164">
        <v>0</v>
      </c>
      <c r="G515" s="164" t="s">
        <v>405</v>
      </c>
      <c r="H515" s="164" t="s">
        <v>405</v>
      </c>
      <c r="I515" s="164" t="s">
        <v>405</v>
      </c>
      <c r="J515" s="140" t="s">
        <v>405</v>
      </c>
      <c r="K515" s="165" t="s">
        <v>405</v>
      </c>
      <c r="L515" s="140" t="s">
        <v>406</v>
      </c>
      <c r="M515" s="140" t="s">
        <v>66</v>
      </c>
      <c r="N515" s="140" t="str">
        <f t="shared" si="7"/>
        <v>Martini · INTA-0508</v>
      </c>
      <c r="O515" s="13"/>
      <c r="P515" s="13"/>
      <c r="Q515" s="13"/>
    </row>
    <row r="516" spans="1:17" ht="15" customHeight="1">
      <c r="A516" s="136" t="s">
        <v>1466</v>
      </c>
      <c r="B516" s="136" t="s">
        <v>1467</v>
      </c>
      <c r="C516" s="136" t="s">
        <v>411</v>
      </c>
      <c r="D516" s="136" t="s">
        <v>404</v>
      </c>
      <c r="E516" s="162" t="s">
        <v>405</v>
      </c>
      <c r="F516" s="162">
        <v>0</v>
      </c>
      <c r="G516" s="162">
        <v>2.1</v>
      </c>
      <c r="H516" s="162">
        <v>0</v>
      </c>
      <c r="I516" s="162" t="s">
        <v>405</v>
      </c>
      <c r="J516" s="136" t="s">
        <v>405</v>
      </c>
      <c r="K516" s="163" t="s">
        <v>405</v>
      </c>
      <c r="L516" s="136" t="s">
        <v>406</v>
      </c>
      <c r="M516" s="136" t="s">
        <v>66</v>
      </c>
      <c r="N516" s="136" t="str">
        <f t="shared" si="7"/>
        <v>Pisco · INTA-0509</v>
      </c>
      <c r="O516" s="13"/>
      <c r="P516" s="13"/>
      <c r="Q516" s="13"/>
    </row>
    <row r="517" spans="1:17" ht="15" customHeight="1">
      <c r="A517" s="140" t="s">
        <v>1468</v>
      </c>
      <c r="B517" s="140" t="s">
        <v>1469</v>
      </c>
      <c r="C517" s="140" t="s">
        <v>411</v>
      </c>
      <c r="D517" s="140" t="s">
        <v>404</v>
      </c>
      <c r="E517" s="164" t="s">
        <v>405</v>
      </c>
      <c r="F517" s="164">
        <v>0</v>
      </c>
      <c r="G517" s="164" t="s">
        <v>405</v>
      </c>
      <c r="H517" s="164" t="s">
        <v>405</v>
      </c>
      <c r="I517" s="164" t="s">
        <v>405</v>
      </c>
      <c r="J517" s="140" t="s">
        <v>405</v>
      </c>
      <c r="K517" s="165" t="s">
        <v>405</v>
      </c>
      <c r="L517" s="140" t="s">
        <v>406</v>
      </c>
      <c r="M517" s="140" t="s">
        <v>66</v>
      </c>
      <c r="N517" s="140" t="str">
        <f t="shared" si="7"/>
        <v>Pisco sour · INTA-0510</v>
      </c>
      <c r="O517" s="13"/>
      <c r="P517" s="13"/>
      <c r="Q517" s="13"/>
    </row>
    <row r="518" spans="1:17" ht="15" customHeight="1">
      <c r="A518" s="136" t="s">
        <v>1470</v>
      </c>
      <c r="B518" s="136" t="s">
        <v>1471</v>
      </c>
      <c r="C518" s="136" t="s">
        <v>411</v>
      </c>
      <c r="D518" s="136" t="s">
        <v>404</v>
      </c>
      <c r="E518" s="162" t="s">
        <v>405</v>
      </c>
      <c r="F518" s="162">
        <v>0</v>
      </c>
      <c r="G518" s="162">
        <v>0</v>
      </c>
      <c r="H518" s="162">
        <v>0</v>
      </c>
      <c r="I518" s="162">
        <v>0</v>
      </c>
      <c r="J518" s="136" t="s">
        <v>405</v>
      </c>
      <c r="K518" s="163" t="s">
        <v>405</v>
      </c>
      <c r="L518" s="136" t="s">
        <v>406</v>
      </c>
      <c r="M518" s="136" t="s">
        <v>66</v>
      </c>
      <c r="N518" s="136" t="str">
        <f t="shared" si="7"/>
        <v>Ron · INTA-0511</v>
      </c>
      <c r="O518" s="13"/>
      <c r="P518" s="13"/>
      <c r="Q518" s="13"/>
    </row>
    <row r="519" spans="1:17" ht="15" customHeight="1">
      <c r="A519" s="136" t="s">
        <v>1472</v>
      </c>
      <c r="B519" s="136" t="s">
        <v>1473</v>
      </c>
      <c r="C519" s="136" t="s">
        <v>411</v>
      </c>
      <c r="D519" s="136" t="s">
        <v>404</v>
      </c>
      <c r="E519" s="162" t="s">
        <v>405</v>
      </c>
      <c r="F519" s="162">
        <v>0</v>
      </c>
      <c r="G519" s="162">
        <v>0</v>
      </c>
      <c r="H519" s="162">
        <v>0</v>
      </c>
      <c r="I519" s="162">
        <v>0</v>
      </c>
      <c r="J519" s="136" t="s">
        <v>405</v>
      </c>
      <c r="K519" s="163" t="s">
        <v>405</v>
      </c>
      <c r="L519" s="136" t="s">
        <v>406</v>
      </c>
      <c r="M519" s="136" t="s">
        <v>66</v>
      </c>
      <c r="N519" s="136" t="str">
        <f t="shared" si="7"/>
        <v>Vodka · INTA-0512</v>
      </c>
      <c r="O519" s="13"/>
      <c r="P519" s="13"/>
      <c r="Q519" s="13"/>
    </row>
    <row r="520" spans="1:17" ht="15" customHeight="1">
      <c r="A520" s="140" t="s">
        <v>1474</v>
      </c>
      <c r="B520" s="140" t="s">
        <v>1475</v>
      </c>
      <c r="C520" s="140" t="s">
        <v>411</v>
      </c>
      <c r="D520" s="140" t="s">
        <v>404</v>
      </c>
      <c r="E520" s="164" t="s">
        <v>405</v>
      </c>
      <c r="F520" s="164">
        <v>0</v>
      </c>
      <c r="G520" s="164">
        <v>0</v>
      </c>
      <c r="H520" s="164">
        <v>0</v>
      </c>
      <c r="I520" s="164">
        <v>0</v>
      </c>
      <c r="J520" s="140" t="s">
        <v>405</v>
      </c>
      <c r="K520" s="165" t="s">
        <v>405</v>
      </c>
      <c r="L520" s="140" t="s">
        <v>406</v>
      </c>
      <c r="M520" s="140" t="s">
        <v>66</v>
      </c>
      <c r="N520" s="140" t="str">
        <f t="shared" ref="N520:N583" si="8">B520&amp;" · "&amp;A520</f>
        <v>Whisky · INTA-0513</v>
      </c>
      <c r="O520" s="13"/>
      <c r="P520" s="13"/>
      <c r="Q520" s="13"/>
    </row>
    <row r="521" spans="1:17" ht="15" customHeight="1">
      <c r="A521" s="140" t="s">
        <v>1476</v>
      </c>
      <c r="B521" s="140" t="s">
        <v>1477</v>
      </c>
      <c r="C521" s="140" t="s">
        <v>411</v>
      </c>
      <c r="D521" s="140" t="s">
        <v>404</v>
      </c>
      <c r="E521" s="164" t="s">
        <v>405</v>
      </c>
      <c r="F521" s="164">
        <v>0.1</v>
      </c>
      <c r="G521" s="164">
        <v>3.3</v>
      </c>
      <c r="H521" s="164">
        <v>0</v>
      </c>
      <c r="I521" s="164">
        <v>0</v>
      </c>
      <c r="J521" s="140" t="s">
        <v>405</v>
      </c>
      <c r="K521" s="165" t="s">
        <v>405</v>
      </c>
      <c r="L521" s="140" t="s">
        <v>406</v>
      </c>
      <c r="M521" s="140" t="s">
        <v>66</v>
      </c>
      <c r="N521" s="140" t="str">
        <f t="shared" si="8"/>
        <v>Vino blanco · INTA-0514</v>
      </c>
      <c r="O521" s="13"/>
      <c r="P521" s="13"/>
      <c r="Q521" s="13"/>
    </row>
    <row r="522" spans="1:17" ht="15" customHeight="1">
      <c r="A522" s="136" t="s">
        <v>1478</v>
      </c>
      <c r="B522" s="136" t="s">
        <v>1479</v>
      </c>
      <c r="C522" s="136" t="s">
        <v>411</v>
      </c>
      <c r="D522" s="136" t="s">
        <v>404</v>
      </c>
      <c r="E522" s="162" t="s">
        <v>405</v>
      </c>
      <c r="F522" s="162">
        <v>0.1</v>
      </c>
      <c r="G522" s="162">
        <v>3.6</v>
      </c>
      <c r="H522" s="162">
        <v>0</v>
      </c>
      <c r="I522" s="162">
        <v>0</v>
      </c>
      <c r="J522" s="136" t="s">
        <v>405</v>
      </c>
      <c r="K522" s="163" t="s">
        <v>405</v>
      </c>
      <c r="L522" s="136" t="s">
        <v>406</v>
      </c>
      <c r="M522" s="136" t="s">
        <v>66</v>
      </c>
      <c r="N522" s="136" t="str">
        <f t="shared" si="8"/>
        <v>Vino tinto · INTA-0515</v>
      </c>
      <c r="O522" s="13"/>
      <c r="P522" s="13"/>
      <c r="Q522" s="13"/>
    </row>
    <row r="523" spans="1:17" ht="15" customHeight="1">
      <c r="A523" s="140" t="s">
        <v>1480</v>
      </c>
      <c r="B523" s="140" t="s">
        <v>1481</v>
      </c>
      <c r="C523" s="140" t="s">
        <v>411</v>
      </c>
      <c r="D523" s="140" t="s">
        <v>404</v>
      </c>
      <c r="E523" s="164" t="s">
        <v>405</v>
      </c>
      <c r="F523" s="164">
        <v>0.1</v>
      </c>
      <c r="G523" s="164">
        <v>1.8</v>
      </c>
      <c r="H523" s="164">
        <v>0</v>
      </c>
      <c r="I523" s="164" t="s">
        <v>405</v>
      </c>
      <c r="J523" s="140" t="s">
        <v>405</v>
      </c>
      <c r="K523" s="165" t="s">
        <v>405</v>
      </c>
      <c r="L523" s="140" t="s">
        <v>406</v>
      </c>
      <c r="M523" s="140" t="s">
        <v>66</v>
      </c>
      <c r="N523" s="140" t="str">
        <f t="shared" si="8"/>
        <v>Vino tinto 2 · INTA-0516</v>
      </c>
      <c r="O523" s="13"/>
      <c r="P523" s="13"/>
      <c r="Q523" s="13"/>
    </row>
    <row r="524" spans="1:17" ht="15" customHeight="1">
      <c r="A524" s="136" t="s">
        <v>1482</v>
      </c>
      <c r="B524" s="136" t="s">
        <v>1483</v>
      </c>
      <c r="C524" s="136" t="s">
        <v>481</v>
      </c>
      <c r="D524" s="136" t="s">
        <v>404</v>
      </c>
      <c r="E524" s="162">
        <v>500</v>
      </c>
      <c r="F524" s="162">
        <v>5.7</v>
      </c>
      <c r="G524" s="162">
        <v>57.8</v>
      </c>
      <c r="H524" s="163">
        <v>30.5</v>
      </c>
      <c r="I524" s="162">
        <v>3.6</v>
      </c>
      <c r="J524" s="136" t="s">
        <v>405</v>
      </c>
      <c r="K524" s="163" t="s">
        <v>405</v>
      </c>
      <c r="L524" s="136" t="s">
        <v>406</v>
      </c>
      <c r="M524" s="136" t="s">
        <v>66</v>
      </c>
      <c r="N524" s="136" t="str">
        <f t="shared" si="8"/>
        <v>Hojuelas papas fritas · INTA-0517</v>
      </c>
      <c r="O524" s="13"/>
      <c r="P524" s="13"/>
      <c r="Q524" s="13"/>
    </row>
    <row r="525" spans="1:17" ht="15" customHeight="1">
      <c r="A525" s="140" t="s">
        <v>1484</v>
      </c>
      <c r="B525" s="140" t="s">
        <v>1485</v>
      </c>
      <c r="C525" s="140" t="s">
        <v>481</v>
      </c>
      <c r="D525" s="140" t="s">
        <v>404</v>
      </c>
      <c r="E525" s="164">
        <v>485</v>
      </c>
      <c r="F525" s="164">
        <v>6.4</v>
      </c>
      <c r="G525" s="165">
        <v>57.8</v>
      </c>
      <c r="H525" s="165">
        <v>20.5</v>
      </c>
      <c r="I525" s="164">
        <v>4.5</v>
      </c>
      <c r="J525" s="140" t="s">
        <v>405</v>
      </c>
      <c r="K525" s="165" t="s">
        <v>405</v>
      </c>
      <c r="L525" s="140" t="s">
        <v>406</v>
      </c>
      <c r="M525" s="140" t="s">
        <v>66</v>
      </c>
      <c r="N525" s="140" t="str">
        <f t="shared" si="8"/>
        <v>Hojuelas papas fritas sabor crema y cebolla · INTA-0518</v>
      </c>
      <c r="O525" s="13"/>
      <c r="P525" s="13"/>
      <c r="Q525" s="13"/>
    </row>
    <row r="526" spans="1:17" ht="15" customHeight="1">
      <c r="A526" s="136" t="s">
        <v>1486</v>
      </c>
      <c r="B526" s="136" t="s">
        <v>1487</v>
      </c>
      <c r="C526" s="136" t="s">
        <v>481</v>
      </c>
      <c r="D526" s="136" t="s">
        <v>404</v>
      </c>
      <c r="E526" s="162">
        <v>510</v>
      </c>
      <c r="F526" s="162">
        <v>6.2</v>
      </c>
      <c r="G526" s="162" t="s">
        <v>405</v>
      </c>
      <c r="H526" s="162">
        <v>25.2</v>
      </c>
      <c r="I526" s="162">
        <v>1.2</v>
      </c>
      <c r="J526" s="136" t="s">
        <v>405</v>
      </c>
      <c r="K526" s="163" t="s">
        <v>405</v>
      </c>
      <c r="L526" s="136" t="s">
        <v>406</v>
      </c>
      <c r="M526" s="136" t="s">
        <v>66</v>
      </c>
      <c r="N526" s="136" t="str">
        <f t="shared" si="8"/>
        <v>Suflé sabor queso · INTA-0519</v>
      </c>
      <c r="O526" s="13"/>
      <c r="P526" s="13"/>
      <c r="Q526" s="13"/>
    </row>
    <row r="527" spans="1:17" ht="15" customHeight="1">
      <c r="A527" s="140" t="s">
        <v>1488</v>
      </c>
      <c r="B527" s="140" t="s">
        <v>1489</v>
      </c>
      <c r="C527" s="140" t="s">
        <v>489</v>
      </c>
      <c r="D527" s="140" t="s">
        <v>404</v>
      </c>
      <c r="E527" s="164">
        <v>418</v>
      </c>
      <c r="F527" s="164">
        <v>19.8</v>
      </c>
      <c r="G527" s="164">
        <v>10.8</v>
      </c>
      <c r="H527" s="164">
        <v>32.6</v>
      </c>
      <c r="I527" s="165">
        <v>1.8</v>
      </c>
      <c r="J527" s="140" t="s">
        <v>405</v>
      </c>
      <c r="K527" s="165" t="s">
        <v>405</v>
      </c>
      <c r="L527" s="140" t="s">
        <v>406</v>
      </c>
      <c r="M527" s="140" t="s">
        <v>66</v>
      </c>
      <c r="N527" s="140" t="str">
        <f t="shared" si="8"/>
        <v>Pesto · INTA-0520</v>
      </c>
      <c r="O527" s="13"/>
      <c r="P527" s="13"/>
      <c r="Q527" s="13"/>
    </row>
    <row r="528" spans="1:17" ht="15" customHeight="1">
      <c r="A528" s="136" t="s">
        <v>1490</v>
      </c>
      <c r="B528" s="136" t="s">
        <v>1491</v>
      </c>
      <c r="C528" s="136" t="s">
        <v>489</v>
      </c>
      <c r="D528" s="136" t="s">
        <v>404</v>
      </c>
      <c r="E528" s="162">
        <v>12</v>
      </c>
      <c r="F528" s="162">
        <v>0.8</v>
      </c>
      <c r="G528" s="163">
        <v>3.9</v>
      </c>
      <c r="H528" s="162">
        <v>0.6</v>
      </c>
      <c r="I528" s="162">
        <v>0.9</v>
      </c>
      <c r="J528" s="136" t="s">
        <v>405</v>
      </c>
      <c r="K528" s="163" t="s">
        <v>405</v>
      </c>
      <c r="L528" s="136" t="s">
        <v>406</v>
      </c>
      <c r="M528" s="136" t="s">
        <v>66</v>
      </c>
      <c r="N528" s="136" t="str">
        <f t="shared" si="8"/>
        <v>Salsa ají · INTA-0521</v>
      </c>
      <c r="O528" s="13"/>
      <c r="P528" s="13"/>
      <c r="Q528" s="13"/>
    </row>
    <row r="529" spans="1:17" ht="15" customHeight="1">
      <c r="A529" s="140" t="s">
        <v>1492</v>
      </c>
      <c r="B529" s="140" t="s">
        <v>1493</v>
      </c>
      <c r="C529" s="140" t="s">
        <v>489</v>
      </c>
      <c r="D529" s="140" t="s">
        <v>404</v>
      </c>
      <c r="E529" s="164">
        <v>105</v>
      </c>
      <c r="F529" s="164">
        <v>3.8</v>
      </c>
      <c r="G529" s="164">
        <v>7.3</v>
      </c>
      <c r="H529" s="164">
        <v>6.7</v>
      </c>
      <c r="I529" s="164">
        <v>2.1</v>
      </c>
      <c r="J529" s="140" t="s">
        <v>405</v>
      </c>
      <c r="K529" s="165" t="s">
        <v>405</v>
      </c>
      <c r="L529" s="140" t="s">
        <v>406</v>
      </c>
      <c r="M529" s="140" t="s">
        <v>66</v>
      </c>
      <c r="N529" s="140" t="str">
        <f t="shared" si="8"/>
        <v>Salsa blanca casera · INTA-0522</v>
      </c>
      <c r="O529" s="13"/>
      <c r="P529" s="13"/>
      <c r="Q529" s="13"/>
    </row>
    <row r="530" spans="1:17" ht="15" customHeight="1">
      <c r="A530" s="136" t="s">
        <v>1494</v>
      </c>
      <c r="B530" s="136" t="s">
        <v>1495</v>
      </c>
      <c r="C530" s="136" t="s">
        <v>489</v>
      </c>
      <c r="D530" s="136" t="s">
        <v>404</v>
      </c>
      <c r="E530" s="162">
        <v>24</v>
      </c>
      <c r="F530" s="162">
        <v>1.4</v>
      </c>
      <c r="G530" s="162">
        <v>3.8</v>
      </c>
      <c r="H530" s="162">
        <v>0.3</v>
      </c>
      <c r="I530" s="162">
        <v>1.5</v>
      </c>
      <c r="J530" s="136" t="s">
        <v>405</v>
      </c>
      <c r="K530" s="163" t="s">
        <v>405</v>
      </c>
      <c r="L530" s="136" t="s">
        <v>406</v>
      </c>
      <c r="M530" s="136" t="s">
        <v>66</v>
      </c>
      <c r="N530" s="136" t="str">
        <f t="shared" si="8"/>
        <v>Salsa de tomates · INTA-0523</v>
      </c>
      <c r="O530" s="13"/>
      <c r="P530" s="13"/>
      <c r="Q530" s="13"/>
    </row>
    <row r="531" spans="1:17" ht="15" customHeight="1">
      <c r="A531" s="140" t="s">
        <v>1496</v>
      </c>
      <c r="B531" s="140" t="s">
        <v>1497</v>
      </c>
      <c r="C531" s="140" t="s">
        <v>489</v>
      </c>
      <c r="D531" s="140" t="s">
        <v>404</v>
      </c>
      <c r="E531" s="164">
        <v>21</v>
      </c>
      <c r="F531" s="164">
        <v>1.6</v>
      </c>
      <c r="G531" s="164">
        <v>8.1999999999999993</v>
      </c>
      <c r="H531" s="164">
        <v>0.2</v>
      </c>
      <c r="I531" s="164">
        <v>1.8</v>
      </c>
      <c r="J531" s="140" t="s">
        <v>405</v>
      </c>
      <c r="K531" s="165" t="s">
        <v>405</v>
      </c>
      <c r="L531" s="140" t="s">
        <v>406</v>
      </c>
      <c r="M531" s="140" t="s">
        <v>66</v>
      </c>
      <c r="N531" s="140" t="str">
        <f t="shared" si="8"/>
        <v>Salsa de tomates con cebolla · INTA-0524</v>
      </c>
      <c r="O531" s="13"/>
      <c r="P531" s="13"/>
      <c r="Q531" s="13"/>
    </row>
    <row r="532" spans="1:17" ht="15" customHeight="1">
      <c r="A532" s="136" t="s">
        <v>1498</v>
      </c>
      <c r="B532" s="136" t="s">
        <v>1499</v>
      </c>
      <c r="C532" s="136" t="s">
        <v>489</v>
      </c>
      <c r="D532" s="136" t="s">
        <v>404</v>
      </c>
      <c r="E532" s="162">
        <v>211</v>
      </c>
      <c r="F532" s="162">
        <v>1</v>
      </c>
      <c r="G532" s="162">
        <v>12.8</v>
      </c>
      <c r="H532" s="162">
        <v>16.7</v>
      </c>
      <c r="I532" s="162">
        <v>0.5</v>
      </c>
      <c r="J532" s="136" t="s">
        <v>405</v>
      </c>
      <c r="K532" s="163" t="s">
        <v>405</v>
      </c>
      <c r="L532" s="136" t="s">
        <v>406</v>
      </c>
      <c r="M532" s="136" t="s">
        <v>66</v>
      </c>
      <c r="N532" s="136" t="str">
        <f t="shared" si="8"/>
        <v>Salsa tártara · INTA-0525</v>
      </c>
      <c r="O532" s="13"/>
      <c r="P532" s="13"/>
      <c r="Q532" s="13"/>
    </row>
    <row r="533" spans="1:17" ht="15" customHeight="1">
      <c r="A533" s="140" t="s">
        <v>1500</v>
      </c>
      <c r="B533" s="140" t="s">
        <v>1501</v>
      </c>
      <c r="C533" s="140" t="s">
        <v>489</v>
      </c>
      <c r="D533" s="140" t="s">
        <v>404</v>
      </c>
      <c r="E533" s="164">
        <v>89</v>
      </c>
      <c r="F533" s="164">
        <v>5.9</v>
      </c>
      <c r="G533" s="164">
        <v>15.8</v>
      </c>
      <c r="H533" s="164">
        <v>0</v>
      </c>
      <c r="I533" s="164">
        <v>0.1</v>
      </c>
      <c r="J533" s="140" t="s">
        <v>405</v>
      </c>
      <c r="K533" s="165" t="s">
        <v>405</v>
      </c>
      <c r="L533" s="140" t="s">
        <v>406</v>
      </c>
      <c r="M533" s="140" t="s">
        <v>66</v>
      </c>
      <c r="N533" s="140" t="str">
        <f t="shared" si="8"/>
        <v>Salsa teriyaki · INTA-0526</v>
      </c>
      <c r="O533" s="13"/>
      <c r="P533" s="13"/>
      <c r="Q533" s="13"/>
    </row>
    <row r="534" spans="1:17" ht="15" customHeight="1">
      <c r="A534" s="136" t="s">
        <v>1502</v>
      </c>
      <c r="B534" s="136" t="s">
        <v>1503</v>
      </c>
      <c r="C534" s="136" t="s">
        <v>489</v>
      </c>
      <c r="D534" s="136" t="s">
        <v>404</v>
      </c>
      <c r="E534" s="162">
        <v>36</v>
      </c>
      <c r="F534" s="162">
        <v>1.1000000000000001</v>
      </c>
      <c r="G534" s="162">
        <v>5.5</v>
      </c>
      <c r="H534" s="162">
        <v>0.9</v>
      </c>
      <c r="I534" s="162">
        <v>1.9</v>
      </c>
      <c r="J534" s="136" t="s">
        <v>405</v>
      </c>
      <c r="K534" s="163" t="s">
        <v>405</v>
      </c>
      <c r="L534" s="136" t="s">
        <v>406</v>
      </c>
      <c r="M534" s="136" t="s">
        <v>66</v>
      </c>
      <c r="N534" s="136" t="str">
        <f t="shared" si="8"/>
        <v>Salsa verde · INTA-0527</v>
      </c>
      <c r="O534" s="13"/>
      <c r="P534" s="13"/>
      <c r="Q534" s="13"/>
    </row>
    <row r="535" spans="1:17" ht="15" customHeight="1">
      <c r="A535" s="140" t="s">
        <v>1504</v>
      </c>
      <c r="B535" s="140" t="s">
        <v>1505</v>
      </c>
      <c r="C535" s="140" t="s">
        <v>443</v>
      </c>
      <c r="D535" s="140" t="s">
        <v>404</v>
      </c>
      <c r="E535" s="164">
        <v>331</v>
      </c>
      <c r="F535" s="164">
        <v>16.600000000000001</v>
      </c>
      <c r="G535" s="164">
        <v>63.7</v>
      </c>
      <c r="H535" s="164">
        <v>0.7</v>
      </c>
      <c r="I535" s="164">
        <v>9</v>
      </c>
      <c r="J535" s="140" t="s">
        <v>405</v>
      </c>
      <c r="K535" s="165" t="s">
        <v>405</v>
      </c>
      <c r="L535" s="140" t="s">
        <v>406</v>
      </c>
      <c r="M535" s="140" t="s">
        <v>66</v>
      </c>
      <c r="N535" s="140" t="str">
        <f t="shared" si="8"/>
        <v>Ajo en polvo · INTA-0528</v>
      </c>
      <c r="O535" s="13"/>
      <c r="P535" s="13"/>
      <c r="Q535" s="13"/>
    </row>
    <row r="536" spans="1:17" ht="15" customHeight="1">
      <c r="A536" s="140" t="s">
        <v>1506</v>
      </c>
      <c r="B536" s="140" t="s">
        <v>1507</v>
      </c>
      <c r="C536" s="140" t="s">
        <v>443</v>
      </c>
      <c r="D536" s="140" t="s">
        <v>404</v>
      </c>
      <c r="E536" s="164">
        <v>23</v>
      </c>
      <c r="F536" s="164">
        <v>3.2</v>
      </c>
      <c r="G536" s="164">
        <v>1.1000000000000001</v>
      </c>
      <c r="H536" s="164">
        <v>0.6</v>
      </c>
      <c r="I536" s="164">
        <v>1.6</v>
      </c>
      <c r="J536" s="140" t="s">
        <v>405</v>
      </c>
      <c r="K536" s="165" t="s">
        <v>405</v>
      </c>
      <c r="L536" s="140" t="s">
        <v>406</v>
      </c>
      <c r="M536" s="140" t="s">
        <v>66</v>
      </c>
      <c r="N536" s="140" t="str">
        <f t="shared" si="8"/>
        <v>Albahaca fresca · INTA-0529</v>
      </c>
      <c r="O536" s="13"/>
      <c r="P536" s="13"/>
      <c r="Q536" s="13"/>
    </row>
    <row r="537" spans="1:17" ht="15" customHeight="1">
      <c r="A537" s="136" t="s">
        <v>1508</v>
      </c>
      <c r="B537" s="136" t="s">
        <v>1509</v>
      </c>
      <c r="C537" s="136" t="s">
        <v>443</v>
      </c>
      <c r="D537" s="136" t="s">
        <v>404</v>
      </c>
      <c r="E537" s="162">
        <v>233</v>
      </c>
      <c r="F537" s="162">
        <v>23</v>
      </c>
      <c r="G537" s="162">
        <v>10.1</v>
      </c>
      <c r="H537" s="162">
        <v>4.0999999999999996</v>
      </c>
      <c r="I537" s="162">
        <v>37.700000000000003</v>
      </c>
      <c r="J537" s="136" t="s">
        <v>405</v>
      </c>
      <c r="K537" s="163" t="s">
        <v>405</v>
      </c>
      <c r="L537" s="136" t="s">
        <v>406</v>
      </c>
      <c r="M537" s="136" t="s">
        <v>66</v>
      </c>
      <c r="N537" s="136" t="str">
        <f t="shared" si="8"/>
        <v>Albahaca seca · INTA-0530</v>
      </c>
      <c r="O537" s="13"/>
      <c r="P537" s="13"/>
      <c r="Q537" s="13"/>
    </row>
    <row r="538" spans="1:17" ht="15" customHeight="1">
      <c r="A538" s="136" t="s">
        <v>1510</v>
      </c>
      <c r="B538" s="136" t="s">
        <v>1511</v>
      </c>
      <c r="C538" s="136" t="s">
        <v>443</v>
      </c>
      <c r="D538" s="136" t="s">
        <v>404</v>
      </c>
      <c r="E538" s="162">
        <v>310</v>
      </c>
      <c r="F538" s="162">
        <v>11.4</v>
      </c>
      <c r="G538" s="162">
        <v>61.5</v>
      </c>
      <c r="H538" s="162">
        <v>5.9</v>
      </c>
      <c r="I538" s="162">
        <v>3.9</v>
      </c>
      <c r="J538" s="136" t="s">
        <v>405</v>
      </c>
      <c r="K538" s="163" t="s">
        <v>405</v>
      </c>
      <c r="L538" s="136" t="s">
        <v>406</v>
      </c>
      <c r="M538" s="136" t="s">
        <v>66</v>
      </c>
      <c r="N538" s="136" t="str">
        <f t="shared" si="8"/>
        <v>Azafrán · INTA-0531</v>
      </c>
      <c r="O538" s="13"/>
      <c r="P538" s="13"/>
      <c r="Q538" s="13"/>
    </row>
    <row r="539" spans="1:17" ht="15" customHeight="1">
      <c r="A539" s="140" t="s">
        <v>1512</v>
      </c>
      <c r="B539" s="140" t="s">
        <v>1513</v>
      </c>
      <c r="C539" s="140" t="s">
        <v>443</v>
      </c>
      <c r="D539" s="140" t="s">
        <v>404</v>
      </c>
      <c r="E539" s="164">
        <v>247</v>
      </c>
      <c r="F539" s="164">
        <v>4</v>
      </c>
      <c r="G539" s="164">
        <v>27.5</v>
      </c>
      <c r="H539" s="164">
        <v>1.2</v>
      </c>
      <c r="I539" s="164">
        <v>53.1</v>
      </c>
      <c r="J539" s="140" t="s">
        <v>405</v>
      </c>
      <c r="K539" s="165" t="s">
        <v>405</v>
      </c>
      <c r="L539" s="140" t="s">
        <v>406</v>
      </c>
      <c r="M539" s="140" t="s">
        <v>66</v>
      </c>
      <c r="N539" s="140" t="str">
        <f t="shared" si="8"/>
        <v>Canela · INTA-0532</v>
      </c>
      <c r="O539" s="13"/>
      <c r="P539" s="13"/>
      <c r="Q539" s="13"/>
    </row>
    <row r="540" spans="1:17" ht="15" customHeight="1">
      <c r="A540" s="136" t="s">
        <v>1514</v>
      </c>
      <c r="B540" s="136" t="s">
        <v>1515</v>
      </c>
      <c r="C540" s="136" t="s">
        <v>443</v>
      </c>
      <c r="D540" s="136" t="s">
        <v>404</v>
      </c>
      <c r="E540" s="162">
        <v>311</v>
      </c>
      <c r="F540" s="162">
        <v>10.8</v>
      </c>
      <c r="G540" s="162">
        <v>40.5</v>
      </c>
      <c r="H540" s="162">
        <v>6.7</v>
      </c>
      <c r="I540" s="162">
        <v>28</v>
      </c>
      <c r="J540" s="136" t="s">
        <v>405</v>
      </c>
      <c r="K540" s="163" t="s">
        <v>405</v>
      </c>
      <c r="L540" s="136" t="s">
        <v>406</v>
      </c>
      <c r="M540" s="136" t="s">
        <v>66</v>
      </c>
      <c r="N540" s="136" t="str">
        <f t="shared" si="8"/>
        <v>Cardamomo · INTA-0533</v>
      </c>
      <c r="O540" s="13"/>
      <c r="P540" s="13"/>
      <c r="Q540" s="13"/>
    </row>
    <row r="541" spans="1:17" ht="15" customHeight="1">
      <c r="A541" s="140" t="s">
        <v>1516</v>
      </c>
      <c r="B541" s="140" t="s">
        <v>1517</v>
      </c>
      <c r="C541" s="140" t="s">
        <v>443</v>
      </c>
      <c r="D541" s="140" t="s">
        <v>404</v>
      </c>
      <c r="E541" s="164">
        <v>341</v>
      </c>
      <c r="F541" s="164">
        <v>10.4</v>
      </c>
      <c r="G541" s="164">
        <v>63.9</v>
      </c>
      <c r="H541" s="164">
        <v>1</v>
      </c>
      <c r="I541" s="164">
        <v>15.2</v>
      </c>
      <c r="J541" s="140" t="s">
        <v>405</v>
      </c>
      <c r="K541" s="165" t="s">
        <v>405</v>
      </c>
      <c r="L541" s="140" t="s">
        <v>406</v>
      </c>
      <c r="M541" s="140" t="s">
        <v>66</v>
      </c>
      <c r="N541" s="140" t="str">
        <f t="shared" si="8"/>
        <v>Cebolla en polvo · INTA-0534</v>
      </c>
      <c r="O541" s="13"/>
      <c r="P541" s="13"/>
      <c r="Q541" s="13"/>
    </row>
    <row r="542" spans="1:17" ht="15" customHeight="1">
      <c r="A542" s="136" t="s">
        <v>1518</v>
      </c>
      <c r="B542" s="136" t="s">
        <v>1519</v>
      </c>
      <c r="C542" s="136" t="s">
        <v>443</v>
      </c>
      <c r="D542" s="136" t="s">
        <v>404</v>
      </c>
      <c r="E542" s="162">
        <v>24</v>
      </c>
      <c r="F542" s="162">
        <v>6</v>
      </c>
      <c r="G542" s="162">
        <v>31.6</v>
      </c>
      <c r="H542" s="162">
        <v>8</v>
      </c>
      <c r="I542" s="162">
        <v>33.9</v>
      </c>
      <c r="J542" s="136" t="s">
        <v>405</v>
      </c>
      <c r="K542" s="163" t="s">
        <v>405</v>
      </c>
      <c r="L542" s="136" t="s">
        <v>406</v>
      </c>
      <c r="M542" s="136" t="s">
        <v>66</v>
      </c>
      <c r="N542" s="136" t="str">
        <f t="shared" si="8"/>
        <v>Clavo de olor · INTA-0535</v>
      </c>
      <c r="O542" s="13"/>
      <c r="P542" s="13"/>
      <c r="Q542" s="13"/>
    </row>
    <row r="543" spans="1:17" ht="15" customHeight="1">
      <c r="A543" s="140" t="s">
        <v>1520</v>
      </c>
      <c r="B543" s="140" t="s">
        <v>1521</v>
      </c>
      <c r="C543" s="140" t="s">
        <v>443</v>
      </c>
      <c r="D543" s="140" t="s">
        <v>404</v>
      </c>
      <c r="E543" s="165">
        <v>342</v>
      </c>
      <c r="F543" s="164">
        <v>9.6999999999999993</v>
      </c>
      <c r="G543" s="164">
        <v>44.4</v>
      </c>
      <c r="H543" s="164">
        <v>3.3</v>
      </c>
      <c r="I543" s="165">
        <v>22.7</v>
      </c>
      <c r="J543" s="140" t="s">
        <v>405</v>
      </c>
      <c r="K543" s="165" t="s">
        <v>405</v>
      </c>
      <c r="L543" s="140" t="s">
        <v>406</v>
      </c>
      <c r="M543" s="140" t="s">
        <v>66</v>
      </c>
      <c r="N543" s="140" t="str">
        <f t="shared" si="8"/>
        <v>Cúrcuma en polvo · INTA-0536</v>
      </c>
      <c r="O543" s="13"/>
      <c r="P543" s="13"/>
      <c r="Q543" s="13"/>
    </row>
    <row r="544" spans="1:17" ht="15" customHeight="1">
      <c r="A544" s="136" t="s">
        <v>1522</v>
      </c>
      <c r="B544" s="136" t="s">
        <v>1523</v>
      </c>
      <c r="C544" s="136" t="s">
        <v>443</v>
      </c>
      <c r="D544" s="136" t="s">
        <v>404</v>
      </c>
      <c r="E544" s="163">
        <v>325</v>
      </c>
      <c r="F544" s="162">
        <v>14.3</v>
      </c>
      <c r="G544" s="162">
        <v>2.6</v>
      </c>
      <c r="H544" s="162">
        <v>14</v>
      </c>
      <c r="I544" s="162">
        <v>53.2</v>
      </c>
      <c r="J544" s="136" t="s">
        <v>405</v>
      </c>
      <c r="K544" s="163" t="s">
        <v>405</v>
      </c>
      <c r="L544" s="136" t="s">
        <v>406</v>
      </c>
      <c r="M544" s="136" t="s">
        <v>66</v>
      </c>
      <c r="N544" s="136" t="str">
        <f t="shared" si="8"/>
        <v>Curry · INTA-0537</v>
      </c>
      <c r="O544" s="13"/>
      <c r="P544" s="13"/>
      <c r="Q544" s="13"/>
    </row>
    <row r="545" spans="1:17" ht="15" customHeight="1">
      <c r="A545" s="140" t="s">
        <v>1524</v>
      </c>
      <c r="B545" s="140" t="s">
        <v>1525</v>
      </c>
      <c r="C545" s="140" t="s">
        <v>443</v>
      </c>
      <c r="D545" s="140" t="s">
        <v>404</v>
      </c>
      <c r="E545" s="164">
        <v>43</v>
      </c>
      <c r="F545" s="164">
        <v>3.5</v>
      </c>
      <c r="G545" s="164">
        <v>4.9000000000000004</v>
      </c>
      <c r="H545" s="164">
        <v>1.1000000000000001</v>
      </c>
      <c r="I545" s="164">
        <v>2.1</v>
      </c>
      <c r="J545" s="140" t="s">
        <v>405</v>
      </c>
      <c r="K545" s="165" t="s">
        <v>405</v>
      </c>
      <c r="L545" s="140" t="s">
        <v>406</v>
      </c>
      <c r="M545" s="140" t="s">
        <v>66</v>
      </c>
      <c r="N545" s="140" t="str">
        <f t="shared" si="8"/>
        <v>Eneldo fresco · INTA-0538</v>
      </c>
      <c r="O545" s="13"/>
      <c r="P545" s="13"/>
      <c r="Q545" s="13"/>
    </row>
    <row r="546" spans="1:17" ht="15" customHeight="1">
      <c r="A546" s="136" t="s">
        <v>1526</v>
      </c>
      <c r="B546" s="136" t="s">
        <v>1527</v>
      </c>
      <c r="C546" s="136" t="s">
        <v>443</v>
      </c>
      <c r="D546" s="136" t="s">
        <v>404</v>
      </c>
      <c r="E546" s="162">
        <v>253</v>
      </c>
      <c r="F546" s="162">
        <v>20</v>
      </c>
      <c r="G546" s="162">
        <v>42.2</v>
      </c>
      <c r="H546" s="162">
        <v>4.4000000000000004</v>
      </c>
      <c r="I546" s="162">
        <v>13.6</v>
      </c>
      <c r="J546" s="136" t="s">
        <v>405</v>
      </c>
      <c r="K546" s="163" t="s">
        <v>405</v>
      </c>
      <c r="L546" s="136" t="s">
        <v>406</v>
      </c>
      <c r="M546" s="136" t="s">
        <v>66</v>
      </c>
      <c r="N546" s="136" t="str">
        <f t="shared" si="8"/>
        <v>Eneldo seco · INTA-0539</v>
      </c>
      <c r="O546" s="13"/>
      <c r="P546" s="13"/>
      <c r="Q546" s="13"/>
    </row>
    <row r="547" spans="1:17" ht="15" customHeight="1">
      <c r="A547" s="136" t="s">
        <v>1528</v>
      </c>
      <c r="B547" s="136" t="s">
        <v>1529</v>
      </c>
      <c r="C547" s="136" t="s">
        <v>443</v>
      </c>
      <c r="D547" s="136" t="s">
        <v>404</v>
      </c>
      <c r="E547" s="162">
        <v>295</v>
      </c>
      <c r="F547" s="162">
        <v>22.8</v>
      </c>
      <c r="G547" s="162">
        <v>42.8</v>
      </c>
      <c r="H547" s="162">
        <v>7.2</v>
      </c>
      <c r="I547" s="162">
        <v>7.4</v>
      </c>
      <c r="J547" s="136" t="s">
        <v>405</v>
      </c>
      <c r="K547" s="163" t="s">
        <v>405</v>
      </c>
      <c r="L547" s="136" t="s">
        <v>406</v>
      </c>
      <c r="M547" s="136" t="s">
        <v>66</v>
      </c>
      <c r="N547" s="136" t="str">
        <f t="shared" si="8"/>
        <v>Estragón seco · INTA-0540</v>
      </c>
      <c r="O547" s="13"/>
      <c r="P547" s="13"/>
      <c r="Q547" s="13"/>
    </row>
    <row r="548" spans="1:17" ht="15" customHeight="1">
      <c r="A548" s="140" t="s">
        <v>1530</v>
      </c>
      <c r="B548" s="140" t="s">
        <v>1531</v>
      </c>
      <c r="C548" s="140" t="s">
        <v>443</v>
      </c>
      <c r="D548" s="140" t="s">
        <v>404</v>
      </c>
      <c r="E548" s="164">
        <v>70</v>
      </c>
      <c r="F548" s="164">
        <v>3.8</v>
      </c>
      <c r="G548" s="164">
        <v>9.5</v>
      </c>
      <c r="H548" s="164" t="s">
        <v>405</v>
      </c>
      <c r="I548" s="164">
        <v>8</v>
      </c>
      <c r="J548" s="140" t="s">
        <v>405</v>
      </c>
      <c r="K548" s="165" t="s">
        <v>405</v>
      </c>
      <c r="L548" s="140" t="s">
        <v>406</v>
      </c>
      <c r="M548" s="140" t="s">
        <v>66</v>
      </c>
      <c r="N548" s="140" t="str">
        <f t="shared" si="8"/>
        <v>Hierbabuena · INTA-0541</v>
      </c>
      <c r="O548" s="13"/>
      <c r="P548" s="13"/>
      <c r="Q548" s="13"/>
    </row>
    <row r="549" spans="1:17" ht="15" customHeight="1">
      <c r="A549" s="140" t="s">
        <v>1532</v>
      </c>
      <c r="B549" s="140" t="s">
        <v>1533</v>
      </c>
      <c r="C549" s="140" t="s">
        <v>443</v>
      </c>
      <c r="D549" s="140" t="s">
        <v>404</v>
      </c>
      <c r="E549" s="164">
        <v>335</v>
      </c>
      <c r="F549" s="164">
        <v>9</v>
      </c>
      <c r="G549" s="164" t="s">
        <v>405</v>
      </c>
      <c r="H549" s="164" t="s">
        <v>405</v>
      </c>
      <c r="I549" s="164">
        <v>14.1</v>
      </c>
      <c r="J549" s="140" t="s">
        <v>405</v>
      </c>
      <c r="K549" s="165" t="s">
        <v>405</v>
      </c>
      <c r="L549" s="140" t="s">
        <v>406</v>
      </c>
      <c r="M549" s="140" t="s">
        <v>66</v>
      </c>
      <c r="N549" s="140" t="str">
        <f t="shared" si="8"/>
        <v>Jengibre · INTA-0542</v>
      </c>
      <c r="O549" s="13"/>
      <c r="P549" s="13"/>
      <c r="Q549" s="13"/>
    </row>
    <row r="550" spans="1:17" ht="15" customHeight="1">
      <c r="A550" s="136" t="s">
        <v>1534</v>
      </c>
      <c r="B550" s="136" t="s">
        <v>1535</v>
      </c>
      <c r="C550" s="136" t="s">
        <v>443</v>
      </c>
      <c r="D550" s="136" t="s">
        <v>404</v>
      </c>
      <c r="E550" s="162">
        <v>313</v>
      </c>
      <c r="F550" s="162">
        <v>7.6</v>
      </c>
      <c r="G550" s="162">
        <v>48.7</v>
      </c>
      <c r="H550" s="162">
        <v>8.4</v>
      </c>
      <c r="I550" s="162">
        <v>26.3</v>
      </c>
      <c r="J550" s="136" t="s">
        <v>405</v>
      </c>
      <c r="K550" s="163" t="s">
        <v>405</v>
      </c>
      <c r="L550" s="136" t="s">
        <v>406</v>
      </c>
      <c r="M550" s="136" t="s">
        <v>66</v>
      </c>
      <c r="N550" s="136" t="str">
        <f t="shared" si="8"/>
        <v>Laurel deshidratado · INTA-0543</v>
      </c>
      <c r="O550" s="13"/>
      <c r="P550" s="13"/>
      <c r="Q550" s="13"/>
    </row>
    <row r="551" spans="1:17" ht="15" customHeight="1">
      <c r="A551" s="136" t="s">
        <v>1536</v>
      </c>
      <c r="B551" s="136" t="s">
        <v>1537</v>
      </c>
      <c r="C551" s="136" t="s">
        <v>443</v>
      </c>
      <c r="D551" s="136" t="s">
        <v>404</v>
      </c>
      <c r="E551" s="162">
        <v>363</v>
      </c>
      <c r="F551" s="162">
        <v>9.6</v>
      </c>
      <c r="G551" s="162">
        <v>74.900000000000006</v>
      </c>
      <c r="H551" s="162">
        <v>2.8</v>
      </c>
      <c r="I551" s="163" t="s">
        <v>405</v>
      </c>
      <c r="J551" s="136" t="s">
        <v>405</v>
      </c>
      <c r="K551" s="163" t="s">
        <v>405</v>
      </c>
      <c r="L551" s="136" t="s">
        <v>406</v>
      </c>
      <c r="M551" s="136" t="s">
        <v>66</v>
      </c>
      <c r="N551" s="136" t="str">
        <f t="shared" si="8"/>
        <v>Locoto fresco · INTA-0544</v>
      </c>
      <c r="O551" s="13"/>
      <c r="P551" s="13"/>
      <c r="Q551" s="13"/>
    </row>
    <row r="552" spans="1:17" ht="15" customHeight="1">
      <c r="A552" s="140" t="s">
        <v>1538</v>
      </c>
      <c r="B552" s="140" t="s">
        <v>1539</v>
      </c>
      <c r="C552" s="140" t="s">
        <v>443</v>
      </c>
      <c r="D552" s="140" t="s">
        <v>404</v>
      </c>
      <c r="E552" s="164">
        <v>23</v>
      </c>
      <c r="F552" s="164">
        <v>1.5</v>
      </c>
      <c r="G552" s="164" t="s">
        <v>405</v>
      </c>
      <c r="H552" s="164">
        <v>0.2</v>
      </c>
      <c r="I552" s="165">
        <v>4.4000000000000004</v>
      </c>
      <c r="J552" s="140" t="s">
        <v>405</v>
      </c>
      <c r="K552" s="165" t="s">
        <v>405</v>
      </c>
      <c r="L552" s="140" t="s">
        <v>406</v>
      </c>
      <c r="M552" s="140" t="s">
        <v>66</v>
      </c>
      <c r="N552" s="140" t="str">
        <f t="shared" si="8"/>
        <v>Locoto verde · INTA-0545</v>
      </c>
      <c r="O552" s="13"/>
      <c r="P552" s="13"/>
      <c r="Q552" s="13"/>
    </row>
    <row r="553" spans="1:17" ht="15" customHeight="1">
      <c r="A553" s="140" t="s">
        <v>1540</v>
      </c>
      <c r="B553" s="140" t="s">
        <v>1541</v>
      </c>
      <c r="C553" s="140" t="s">
        <v>443</v>
      </c>
      <c r="D553" s="140" t="s">
        <v>404</v>
      </c>
      <c r="E553" s="164">
        <v>44</v>
      </c>
      <c r="F553" s="164">
        <v>3.3</v>
      </c>
      <c r="G553" s="164">
        <v>3.7</v>
      </c>
      <c r="H553" s="164">
        <v>0.7</v>
      </c>
      <c r="I553" s="165">
        <v>6.8</v>
      </c>
      <c r="J553" s="140" t="s">
        <v>405</v>
      </c>
      <c r="K553" s="165" t="s">
        <v>405</v>
      </c>
      <c r="L553" s="140" t="s">
        <v>406</v>
      </c>
      <c r="M553" s="140" t="s">
        <v>66</v>
      </c>
      <c r="N553" s="140" t="str">
        <f t="shared" si="8"/>
        <v>Menta fresca · INTA-0546</v>
      </c>
      <c r="O553" s="13"/>
      <c r="P553" s="13"/>
      <c r="Q553" s="13"/>
    </row>
    <row r="554" spans="1:17" ht="15" customHeight="1">
      <c r="A554" s="136" t="s">
        <v>1542</v>
      </c>
      <c r="B554" s="136" t="s">
        <v>1543</v>
      </c>
      <c r="C554" s="136" t="s">
        <v>443</v>
      </c>
      <c r="D554" s="136" t="s">
        <v>404</v>
      </c>
      <c r="E554" s="162">
        <v>285</v>
      </c>
      <c r="F554" s="162">
        <v>19.899999999999999</v>
      </c>
      <c r="G554" s="162">
        <v>22.2</v>
      </c>
      <c r="H554" s="162">
        <v>6</v>
      </c>
      <c r="I554" s="163">
        <v>29.8</v>
      </c>
      <c r="J554" s="136" t="s">
        <v>405</v>
      </c>
      <c r="K554" s="163" t="s">
        <v>405</v>
      </c>
      <c r="L554" s="136" t="s">
        <v>406</v>
      </c>
      <c r="M554" s="136" t="s">
        <v>66</v>
      </c>
      <c r="N554" s="136" t="str">
        <f t="shared" si="8"/>
        <v>Menta seca · INTA-0547</v>
      </c>
      <c r="O554" s="13"/>
      <c r="P554" s="13"/>
      <c r="Q554" s="13"/>
    </row>
    <row r="555" spans="1:17" ht="15" customHeight="1">
      <c r="A555" s="140" t="s">
        <v>1544</v>
      </c>
      <c r="B555" s="140" t="s">
        <v>1545</v>
      </c>
      <c r="C555" s="140" t="s">
        <v>443</v>
      </c>
      <c r="D555" s="140" t="s">
        <v>404</v>
      </c>
      <c r="E555" s="164">
        <v>156</v>
      </c>
      <c r="F555" s="164">
        <v>10.199999999999999</v>
      </c>
      <c r="G555" s="164">
        <v>20.5</v>
      </c>
      <c r="H555" s="164">
        <v>3.6</v>
      </c>
      <c r="I555" s="165">
        <v>32.299999999999997</v>
      </c>
      <c r="J555" s="140" t="s">
        <v>405</v>
      </c>
      <c r="K555" s="165" t="s">
        <v>405</v>
      </c>
      <c r="L555" s="140" t="s">
        <v>406</v>
      </c>
      <c r="M555" s="140" t="s">
        <v>66</v>
      </c>
      <c r="N555" s="140" t="str">
        <f t="shared" si="8"/>
        <v>Merkén · INTA-0548</v>
      </c>
      <c r="O555" s="13"/>
      <c r="P555" s="13"/>
      <c r="Q555" s="13"/>
    </row>
    <row r="556" spans="1:17" ht="15" customHeight="1">
      <c r="A556" s="136" t="s">
        <v>1546</v>
      </c>
      <c r="B556" s="136" t="s">
        <v>1547</v>
      </c>
      <c r="C556" s="136" t="s">
        <v>443</v>
      </c>
      <c r="D556" s="136" t="s">
        <v>404</v>
      </c>
      <c r="E556" s="162">
        <v>525</v>
      </c>
      <c r="F556" s="162">
        <v>5.8</v>
      </c>
      <c r="G556" s="162">
        <v>28.5</v>
      </c>
      <c r="H556" s="162">
        <v>36.299999999999997</v>
      </c>
      <c r="I556" s="163">
        <v>20.8</v>
      </c>
      <c r="J556" s="136" t="s">
        <v>405</v>
      </c>
      <c r="K556" s="163" t="s">
        <v>405</v>
      </c>
      <c r="L556" s="136" t="s">
        <v>406</v>
      </c>
      <c r="M556" s="136" t="s">
        <v>66</v>
      </c>
      <c r="N556" s="136" t="str">
        <f t="shared" si="8"/>
        <v>Nuez moscada · INTA-0549</v>
      </c>
      <c r="O556" s="13"/>
      <c r="P556" s="13"/>
      <c r="Q556" s="13"/>
    </row>
    <row r="557" spans="1:17" ht="15" customHeight="1">
      <c r="A557" s="140" t="s">
        <v>1548</v>
      </c>
      <c r="B557" s="140" t="s">
        <v>1549</v>
      </c>
      <c r="C557" s="140" t="s">
        <v>443</v>
      </c>
      <c r="D557" s="140" t="s">
        <v>404</v>
      </c>
      <c r="E557" s="164">
        <v>265</v>
      </c>
      <c r="F557" s="164">
        <v>9</v>
      </c>
      <c r="G557" s="164">
        <v>26.4</v>
      </c>
      <c r="H557" s="164">
        <v>4.3</v>
      </c>
      <c r="I557" s="165">
        <v>42.5</v>
      </c>
      <c r="J557" s="140" t="s">
        <v>405</v>
      </c>
      <c r="K557" s="165" t="s">
        <v>405</v>
      </c>
      <c r="L557" s="140" t="s">
        <v>406</v>
      </c>
      <c r="M557" s="140" t="s">
        <v>66</v>
      </c>
      <c r="N557" s="140" t="str">
        <f t="shared" si="8"/>
        <v>Orégano seco · INTA-0550</v>
      </c>
      <c r="O557" s="13"/>
      <c r="P557" s="13"/>
      <c r="Q557" s="13"/>
    </row>
    <row r="558" spans="1:17" ht="15" customHeight="1">
      <c r="A558" s="136" t="s">
        <v>1550</v>
      </c>
      <c r="B558" s="136" t="s">
        <v>1551</v>
      </c>
      <c r="C558" s="136" t="s">
        <v>443</v>
      </c>
      <c r="D558" s="136" t="s">
        <v>404</v>
      </c>
      <c r="E558" s="162">
        <v>282</v>
      </c>
      <c r="F558" s="162">
        <v>14.1</v>
      </c>
      <c r="G558" s="162">
        <v>19.100000000000001</v>
      </c>
      <c r="H558" s="162">
        <v>12.9</v>
      </c>
      <c r="I558" s="163">
        <v>34.9</v>
      </c>
      <c r="J558" s="136" t="s">
        <v>405</v>
      </c>
      <c r="K558" s="163" t="s">
        <v>405</v>
      </c>
      <c r="L558" s="136" t="s">
        <v>406</v>
      </c>
      <c r="M558" s="136" t="s">
        <v>66</v>
      </c>
      <c r="N558" s="136" t="str">
        <f t="shared" si="8"/>
        <v>Paprika · INTA-0551</v>
      </c>
      <c r="O558" s="13"/>
      <c r="P558" s="13"/>
      <c r="Q558" s="13"/>
    </row>
    <row r="559" spans="1:17" ht="15" customHeight="1">
      <c r="A559" s="140" t="s">
        <v>1552</v>
      </c>
      <c r="B559" s="140" t="s">
        <v>1553</v>
      </c>
      <c r="C559" s="140" t="s">
        <v>443</v>
      </c>
      <c r="D559" s="140" t="s">
        <v>404</v>
      </c>
      <c r="E559" s="164">
        <v>249</v>
      </c>
      <c r="F559" s="164">
        <v>8.3000000000000007</v>
      </c>
      <c r="G559" s="164">
        <v>52.3</v>
      </c>
      <c r="H559" s="164">
        <v>0.7</v>
      </c>
      <c r="I559" s="165">
        <v>20.399999999999999</v>
      </c>
      <c r="J559" s="140" t="s">
        <v>405</v>
      </c>
      <c r="K559" s="165" t="s">
        <v>405</v>
      </c>
      <c r="L559" s="140" t="s">
        <v>406</v>
      </c>
      <c r="M559" s="140" t="s">
        <v>66</v>
      </c>
      <c r="N559" s="140" t="str">
        <f t="shared" si="8"/>
        <v>Pimentón deshidratado · INTA-0552</v>
      </c>
      <c r="O559" s="13"/>
      <c r="P559" s="13"/>
      <c r="Q559" s="13"/>
    </row>
    <row r="560" spans="1:17" ht="15" customHeight="1">
      <c r="A560" s="136" t="s">
        <v>1554</v>
      </c>
      <c r="B560" s="136" t="s">
        <v>1555</v>
      </c>
      <c r="C560" s="136" t="s">
        <v>443</v>
      </c>
      <c r="D560" s="136" t="s">
        <v>404</v>
      </c>
      <c r="E560" s="162">
        <v>36</v>
      </c>
      <c r="F560" s="162">
        <v>2.9</v>
      </c>
      <c r="G560" s="162">
        <v>3</v>
      </c>
      <c r="H560" s="162">
        <v>0.7</v>
      </c>
      <c r="I560" s="163">
        <v>3.3</v>
      </c>
      <c r="J560" s="136" t="s">
        <v>405</v>
      </c>
      <c r="K560" s="163" t="s">
        <v>405</v>
      </c>
      <c r="L560" s="136" t="s">
        <v>406</v>
      </c>
      <c r="M560" s="136" t="s">
        <v>66</v>
      </c>
      <c r="N560" s="136" t="str">
        <f t="shared" si="8"/>
        <v>Perejil fresco · INTA-0553</v>
      </c>
      <c r="O560" s="13"/>
      <c r="P560" s="13"/>
      <c r="Q560" s="13"/>
    </row>
    <row r="561" spans="1:17" ht="15" customHeight="1">
      <c r="A561" s="140" t="s">
        <v>1556</v>
      </c>
      <c r="B561" s="140" t="s">
        <v>1557</v>
      </c>
      <c r="C561" s="140" t="s">
        <v>443</v>
      </c>
      <c r="D561" s="140" t="s">
        <v>404</v>
      </c>
      <c r="E561" s="164">
        <v>292</v>
      </c>
      <c r="F561" s="164">
        <v>26.6</v>
      </c>
      <c r="G561" s="164">
        <v>23.9</v>
      </c>
      <c r="H561" s="164">
        <v>5.5</v>
      </c>
      <c r="I561" s="164">
        <v>26.7</v>
      </c>
      <c r="J561" s="140" t="s">
        <v>405</v>
      </c>
      <c r="K561" s="165" t="s">
        <v>405</v>
      </c>
      <c r="L561" s="140" t="s">
        <v>406</v>
      </c>
      <c r="M561" s="140" t="s">
        <v>66</v>
      </c>
      <c r="N561" s="140" t="str">
        <f t="shared" si="8"/>
        <v>Perejil seco · INTA-0554</v>
      </c>
      <c r="O561" s="13"/>
      <c r="P561" s="13"/>
      <c r="Q561" s="13"/>
    </row>
    <row r="562" spans="1:17" ht="15" customHeight="1">
      <c r="A562" s="136" t="s">
        <v>1558</v>
      </c>
      <c r="B562" s="136" t="s">
        <v>1559</v>
      </c>
      <c r="C562" s="136" t="s">
        <v>443</v>
      </c>
      <c r="D562" s="136" t="s">
        <v>404</v>
      </c>
      <c r="E562" s="162">
        <v>296</v>
      </c>
      <c r="F562" s="162">
        <v>10.4</v>
      </c>
      <c r="G562" s="162">
        <v>48.3</v>
      </c>
      <c r="H562" s="162">
        <v>2.1</v>
      </c>
      <c r="I562" s="162">
        <v>26.2</v>
      </c>
      <c r="J562" s="136" t="s">
        <v>405</v>
      </c>
      <c r="K562" s="163" t="s">
        <v>405</v>
      </c>
      <c r="L562" s="136" t="s">
        <v>406</v>
      </c>
      <c r="M562" s="136" t="s">
        <v>66</v>
      </c>
      <c r="N562" s="136" t="str">
        <f t="shared" si="8"/>
        <v>Pimienta blanca · INTA-0555</v>
      </c>
      <c r="O562" s="13"/>
      <c r="P562" s="13"/>
      <c r="Q562" s="13"/>
    </row>
    <row r="563" spans="1:17" ht="15" customHeight="1">
      <c r="A563" s="140" t="s">
        <v>1560</v>
      </c>
      <c r="B563" s="140" t="s">
        <v>1561</v>
      </c>
      <c r="C563" s="140" t="s">
        <v>443</v>
      </c>
      <c r="D563" s="140" t="s">
        <v>404</v>
      </c>
      <c r="E563" s="164">
        <v>251</v>
      </c>
      <c r="F563" s="165">
        <v>10.4</v>
      </c>
      <c r="G563" s="164">
        <v>4.0999999999999996</v>
      </c>
      <c r="H563" s="164">
        <v>3.3</v>
      </c>
      <c r="I563" s="164">
        <v>25.3</v>
      </c>
      <c r="J563" s="140" t="s">
        <v>405</v>
      </c>
      <c r="K563" s="165" t="s">
        <v>405</v>
      </c>
      <c r="L563" s="140" t="s">
        <v>406</v>
      </c>
      <c r="M563" s="140" t="s">
        <v>66</v>
      </c>
      <c r="N563" s="140" t="str">
        <f t="shared" si="8"/>
        <v>Pimienta negra · INTA-0556</v>
      </c>
      <c r="O563" s="13"/>
      <c r="P563" s="13"/>
      <c r="Q563" s="13"/>
    </row>
    <row r="564" spans="1:17" ht="15" customHeight="1">
      <c r="A564" s="136" t="s">
        <v>1562</v>
      </c>
      <c r="B564" s="136" t="s">
        <v>1563</v>
      </c>
      <c r="C564" s="136" t="s">
        <v>443</v>
      </c>
      <c r="D564" s="136" t="s">
        <v>404</v>
      </c>
      <c r="E564" s="162">
        <v>318</v>
      </c>
      <c r="F564" s="162">
        <v>12</v>
      </c>
      <c r="G564" s="162">
        <v>29.4</v>
      </c>
      <c r="H564" s="162">
        <v>1.3</v>
      </c>
      <c r="I564" s="163">
        <v>34.9</v>
      </c>
      <c r="J564" s="136" t="s">
        <v>405</v>
      </c>
      <c r="K564" s="163" t="s">
        <v>405</v>
      </c>
      <c r="L564" s="136" t="s">
        <v>406</v>
      </c>
      <c r="M564" s="136" t="s">
        <v>66</v>
      </c>
      <c r="N564" s="136" t="str">
        <f t="shared" si="8"/>
        <v>Pimienta roja · INTA-0557</v>
      </c>
      <c r="O564" s="13"/>
      <c r="P564" s="13"/>
      <c r="Q564" s="13"/>
    </row>
    <row r="565" spans="1:17" ht="15" customHeight="1">
      <c r="A565" s="140" t="s">
        <v>1564</v>
      </c>
      <c r="B565" s="140" t="s">
        <v>1565</v>
      </c>
      <c r="C565" s="140" t="s">
        <v>443</v>
      </c>
      <c r="D565" s="140" t="s">
        <v>404</v>
      </c>
      <c r="E565" s="164">
        <v>131</v>
      </c>
      <c r="F565" s="164">
        <v>3.3</v>
      </c>
      <c r="G565" s="164">
        <v>6.6</v>
      </c>
      <c r="H565" s="164">
        <v>5.9</v>
      </c>
      <c r="I565" s="164">
        <v>14.1</v>
      </c>
      <c r="J565" s="140" t="s">
        <v>405</v>
      </c>
      <c r="K565" s="165" t="s">
        <v>405</v>
      </c>
      <c r="L565" s="140" t="s">
        <v>406</v>
      </c>
      <c r="M565" s="140" t="s">
        <v>66</v>
      </c>
      <c r="N565" s="140" t="str">
        <f t="shared" si="8"/>
        <v>Romero fresco · INTA-0558</v>
      </c>
      <c r="O565" s="13"/>
      <c r="P565" s="13"/>
      <c r="Q565" s="13"/>
    </row>
    <row r="566" spans="1:17" ht="15" customHeight="1">
      <c r="A566" s="136" t="s">
        <v>1566</v>
      </c>
      <c r="B566" s="136" t="s">
        <v>1567</v>
      </c>
      <c r="C566" s="136" t="s">
        <v>443</v>
      </c>
      <c r="D566" s="136" t="s">
        <v>404</v>
      </c>
      <c r="E566" s="162">
        <v>316</v>
      </c>
      <c r="F566" s="162">
        <v>4.9000000000000004</v>
      </c>
      <c r="G566" s="162">
        <v>21.5</v>
      </c>
      <c r="H566" s="162">
        <v>15.2</v>
      </c>
      <c r="I566" s="163">
        <v>42.6</v>
      </c>
      <c r="J566" s="136" t="s">
        <v>405</v>
      </c>
      <c r="K566" s="163" t="s">
        <v>405</v>
      </c>
      <c r="L566" s="136" t="s">
        <v>406</v>
      </c>
      <c r="M566" s="136" t="s">
        <v>66</v>
      </c>
      <c r="N566" s="136" t="str">
        <f t="shared" si="8"/>
        <v>Romero seco · INTA-0559</v>
      </c>
      <c r="O566" s="13"/>
      <c r="P566" s="13"/>
      <c r="Q566" s="13"/>
    </row>
    <row r="567" spans="1:17" ht="15" customHeight="1">
      <c r="A567" s="140" t="s">
        <v>1568</v>
      </c>
      <c r="B567" s="140" t="s">
        <v>1569</v>
      </c>
      <c r="C567" s="140" t="s">
        <v>443</v>
      </c>
      <c r="D567" s="140" t="s">
        <v>404</v>
      </c>
      <c r="E567" s="164" t="s">
        <v>405</v>
      </c>
      <c r="F567" s="164">
        <v>0</v>
      </c>
      <c r="G567" s="164">
        <v>0</v>
      </c>
      <c r="H567" s="164">
        <v>0</v>
      </c>
      <c r="I567" s="165" t="s">
        <v>405</v>
      </c>
      <c r="J567" s="140" t="s">
        <v>405</v>
      </c>
      <c r="K567" s="165" t="s">
        <v>405</v>
      </c>
      <c r="L567" s="140" t="s">
        <v>406</v>
      </c>
      <c r="M567" s="140" t="s">
        <v>66</v>
      </c>
      <c r="N567" s="140" t="str">
        <f t="shared" si="8"/>
        <v>Sal de mar · INTA-0560</v>
      </c>
      <c r="O567" s="13"/>
      <c r="P567" s="13"/>
      <c r="Q567" s="13"/>
    </row>
    <row r="568" spans="1:17" ht="15" customHeight="1">
      <c r="A568" s="136" t="s">
        <v>1570</v>
      </c>
      <c r="B568" s="136" t="s">
        <v>1571</v>
      </c>
      <c r="C568" s="136" t="s">
        <v>443</v>
      </c>
      <c r="D568" s="136" t="s">
        <v>404</v>
      </c>
      <c r="E568" s="162" t="s">
        <v>405</v>
      </c>
      <c r="F568" s="163">
        <v>0</v>
      </c>
      <c r="G568" s="162">
        <v>0</v>
      </c>
      <c r="H568" s="163">
        <v>0</v>
      </c>
      <c r="I568" s="163">
        <v>0</v>
      </c>
      <c r="J568" s="136" t="s">
        <v>405</v>
      </c>
      <c r="K568" s="163" t="s">
        <v>405</v>
      </c>
      <c r="L568" s="136" t="s">
        <v>406</v>
      </c>
      <c r="M568" s="136" t="s">
        <v>66</v>
      </c>
      <c r="N568" s="136" t="str">
        <f t="shared" si="8"/>
        <v>Sal de mesa · INTA-0561</v>
      </c>
      <c r="O568" s="13"/>
      <c r="P568" s="13"/>
      <c r="Q568" s="13"/>
    </row>
    <row r="569" spans="1:17" ht="15" customHeight="1">
      <c r="A569" s="140" t="s">
        <v>1572</v>
      </c>
      <c r="B569" s="140" t="s">
        <v>1573</v>
      </c>
      <c r="C569" s="140" t="s">
        <v>443</v>
      </c>
      <c r="D569" s="140" t="s">
        <v>404</v>
      </c>
      <c r="E569" s="164">
        <v>525</v>
      </c>
      <c r="F569" s="164">
        <v>18</v>
      </c>
      <c r="G569" s="164">
        <v>8.6</v>
      </c>
      <c r="H569" s="164">
        <v>41.6</v>
      </c>
      <c r="I569" s="165">
        <v>19.5</v>
      </c>
      <c r="J569" s="140" t="s">
        <v>405</v>
      </c>
      <c r="K569" s="165" t="s">
        <v>405</v>
      </c>
      <c r="L569" s="140" t="s">
        <v>406</v>
      </c>
      <c r="M569" s="140" t="s">
        <v>66</v>
      </c>
      <c r="N569" s="140" t="str">
        <f t="shared" si="8"/>
        <v>Semilla de amapola · INTA-0562</v>
      </c>
      <c r="O569" s="13"/>
      <c r="P569" s="13"/>
      <c r="Q569" s="13"/>
    </row>
    <row r="570" spans="1:17" ht="15" customHeight="1">
      <c r="A570" s="136" t="s">
        <v>1574</v>
      </c>
      <c r="B570" s="136" t="s">
        <v>1575</v>
      </c>
      <c r="C570" s="136" t="s">
        <v>443</v>
      </c>
      <c r="D570" s="136" t="s">
        <v>404</v>
      </c>
      <c r="E570" s="162">
        <v>375</v>
      </c>
      <c r="F570" s="162">
        <v>17.8</v>
      </c>
      <c r="G570" s="162">
        <v>33.700000000000003</v>
      </c>
      <c r="H570" s="162">
        <v>22.3</v>
      </c>
      <c r="I570" s="163">
        <v>10.5</v>
      </c>
      <c r="J570" s="136" t="s">
        <v>405</v>
      </c>
      <c r="K570" s="163" t="s">
        <v>405</v>
      </c>
      <c r="L570" s="136" t="s">
        <v>406</v>
      </c>
      <c r="M570" s="136" t="s">
        <v>66</v>
      </c>
      <c r="N570" s="136" t="str">
        <f t="shared" si="8"/>
        <v>Semilla de comino · INTA-0563</v>
      </c>
      <c r="O570" s="13"/>
      <c r="P570" s="13"/>
      <c r="Q570" s="13"/>
    </row>
    <row r="571" spans="1:17" ht="15" customHeight="1">
      <c r="A571" s="140" t="s">
        <v>1576</v>
      </c>
      <c r="B571" s="140" t="s">
        <v>1577</v>
      </c>
      <c r="C571" s="140" t="s">
        <v>443</v>
      </c>
      <c r="D571" s="140" t="s">
        <v>404</v>
      </c>
      <c r="E571" s="164">
        <v>345</v>
      </c>
      <c r="F571" s="164">
        <v>15.8</v>
      </c>
      <c r="G571" s="164">
        <v>12.5</v>
      </c>
      <c r="H571" s="164">
        <v>14.9</v>
      </c>
      <c r="I571" s="165">
        <v>39.799999999999997</v>
      </c>
      <c r="J571" s="140" t="s">
        <v>405</v>
      </c>
      <c r="K571" s="165" t="s">
        <v>405</v>
      </c>
      <c r="L571" s="140" t="s">
        <v>406</v>
      </c>
      <c r="M571" s="140" t="s">
        <v>66</v>
      </c>
      <c r="N571" s="140" t="str">
        <f t="shared" si="8"/>
        <v>Semillas de hinojo · INTA-0564</v>
      </c>
      <c r="O571" s="13"/>
      <c r="P571" s="13"/>
      <c r="Q571" s="13"/>
    </row>
    <row r="572" spans="1:17" ht="15" customHeight="1">
      <c r="A572" s="136" t="s">
        <v>1578</v>
      </c>
      <c r="B572" s="136" t="s">
        <v>1579</v>
      </c>
      <c r="C572" s="136" t="s">
        <v>443</v>
      </c>
      <c r="D572" s="136" t="s">
        <v>404</v>
      </c>
      <c r="E572" s="162">
        <v>508</v>
      </c>
      <c r="F572" s="162">
        <v>26.1</v>
      </c>
      <c r="G572" s="162">
        <v>15.9</v>
      </c>
      <c r="H572" s="162">
        <v>36.200000000000003</v>
      </c>
      <c r="I572" s="162">
        <v>12.2</v>
      </c>
      <c r="J572" s="136" t="s">
        <v>405</v>
      </c>
      <c r="K572" s="163" t="s">
        <v>405</v>
      </c>
      <c r="L572" s="136" t="s">
        <v>406</v>
      </c>
      <c r="M572" s="136" t="s">
        <v>66</v>
      </c>
      <c r="N572" s="136" t="str">
        <f t="shared" si="8"/>
        <v>Semilla de mostaza · INTA-0565</v>
      </c>
      <c r="O572" s="13"/>
      <c r="P572" s="13"/>
      <c r="Q572" s="13"/>
    </row>
    <row r="573" spans="1:17" ht="15" customHeight="1">
      <c r="A573" s="136" t="s">
        <v>1580</v>
      </c>
      <c r="B573" s="136" t="s">
        <v>1581</v>
      </c>
      <c r="C573" s="136" t="s">
        <v>443</v>
      </c>
      <c r="D573" s="136" t="s">
        <v>404</v>
      </c>
      <c r="E573" s="162">
        <v>101</v>
      </c>
      <c r="F573" s="162">
        <v>5.6</v>
      </c>
      <c r="G573" s="162">
        <v>10.5</v>
      </c>
      <c r="H573" s="162">
        <v>1.7</v>
      </c>
      <c r="I573" s="162">
        <v>14</v>
      </c>
      <c r="J573" s="136" t="s">
        <v>405</v>
      </c>
      <c r="K573" s="163" t="s">
        <v>405</v>
      </c>
      <c r="L573" s="136" t="s">
        <v>406</v>
      </c>
      <c r="M573" s="136" t="s">
        <v>66</v>
      </c>
      <c r="N573" s="136" t="str">
        <f t="shared" si="8"/>
        <v>Tomillo fresco · INTA-0566</v>
      </c>
      <c r="O573" s="13"/>
      <c r="P573" s="13"/>
      <c r="Q573" s="13"/>
    </row>
    <row r="574" spans="1:17" ht="15" customHeight="1">
      <c r="A574" s="140" t="s">
        <v>1582</v>
      </c>
      <c r="B574" s="140" t="s">
        <v>1583</v>
      </c>
      <c r="C574" s="140" t="s">
        <v>443</v>
      </c>
      <c r="D574" s="140" t="s">
        <v>404</v>
      </c>
      <c r="E574" s="164">
        <v>276</v>
      </c>
      <c r="F574" s="164">
        <v>9.1</v>
      </c>
      <c r="G574" s="164">
        <v>26.9</v>
      </c>
      <c r="H574" s="164">
        <v>7.4</v>
      </c>
      <c r="I574" s="164">
        <v>37</v>
      </c>
      <c r="J574" s="140" t="s">
        <v>405</v>
      </c>
      <c r="K574" s="165" t="s">
        <v>405</v>
      </c>
      <c r="L574" s="140" t="s">
        <v>406</v>
      </c>
      <c r="M574" s="140" t="s">
        <v>66</v>
      </c>
      <c r="N574" s="140" t="str">
        <f t="shared" si="8"/>
        <v>Tomillo seco · INTA-0567</v>
      </c>
      <c r="O574" s="13"/>
      <c r="P574" s="13"/>
      <c r="Q574" s="13"/>
    </row>
    <row r="575" spans="1:17" ht="15" customHeight="1">
      <c r="A575" s="136" t="s">
        <v>1584</v>
      </c>
      <c r="B575" s="136" t="s">
        <v>1585</v>
      </c>
      <c r="C575" s="136" t="s">
        <v>439</v>
      </c>
      <c r="D575" s="136" t="s">
        <v>404</v>
      </c>
      <c r="E575" s="162">
        <v>153</v>
      </c>
      <c r="F575" s="162">
        <v>0.1</v>
      </c>
      <c r="G575" s="162">
        <v>37.9</v>
      </c>
      <c r="H575" s="162">
        <v>0</v>
      </c>
      <c r="I575" s="162" t="s">
        <v>405</v>
      </c>
      <c r="J575" s="136" t="s">
        <v>405</v>
      </c>
      <c r="K575" s="163" t="s">
        <v>405</v>
      </c>
      <c r="L575" s="136" t="s">
        <v>406</v>
      </c>
      <c r="M575" s="136" t="s">
        <v>66</v>
      </c>
      <c r="N575" s="136" t="str">
        <f t="shared" si="8"/>
        <v>Endulzante agave líquido · INTA-0568</v>
      </c>
      <c r="O575" s="13"/>
      <c r="P575" s="13"/>
      <c r="Q575" s="13"/>
    </row>
    <row r="576" spans="1:17" ht="15" customHeight="1">
      <c r="A576" s="140" t="s">
        <v>1586</v>
      </c>
      <c r="B576" s="140" t="s">
        <v>1587</v>
      </c>
      <c r="C576" s="140" t="s">
        <v>439</v>
      </c>
      <c r="D576" s="140" t="s">
        <v>404</v>
      </c>
      <c r="E576" s="164">
        <v>371</v>
      </c>
      <c r="F576" s="164">
        <v>0.4</v>
      </c>
      <c r="G576" s="164">
        <v>92.4</v>
      </c>
      <c r="H576" s="164">
        <v>0</v>
      </c>
      <c r="I576" s="164" t="s">
        <v>405</v>
      </c>
      <c r="J576" s="140" t="s">
        <v>405</v>
      </c>
      <c r="K576" s="165" t="s">
        <v>405</v>
      </c>
      <c r="L576" s="140" t="s">
        <v>406</v>
      </c>
      <c r="M576" s="140" t="s">
        <v>66</v>
      </c>
      <c r="N576" s="140" t="str">
        <f t="shared" si="8"/>
        <v>Endulzante agave en tableta · INTA-0569</v>
      </c>
      <c r="O576" s="13"/>
      <c r="P576" s="13"/>
      <c r="Q576" s="13"/>
    </row>
    <row r="577" spans="1:17" ht="15" customHeight="1">
      <c r="A577" s="136" t="s">
        <v>1588</v>
      </c>
      <c r="B577" s="136" t="s">
        <v>1589</v>
      </c>
      <c r="C577" s="136" t="s">
        <v>439</v>
      </c>
      <c r="D577" s="136" t="s">
        <v>404</v>
      </c>
      <c r="E577" s="162">
        <v>49</v>
      </c>
      <c r="F577" s="162">
        <v>0.1</v>
      </c>
      <c r="G577" s="162">
        <v>12</v>
      </c>
      <c r="H577" s="162">
        <v>0</v>
      </c>
      <c r="I577" s="163" t="s">
        <v>405</v>
      </c>
      <c r="J577" s="136" t="s">
        <v>405</v>
      </c>
      <c r="K577" s="163" t="s">
        <v>405</v>
      </c>
      <c r="L577" s="136" t="s">
        <v>406</v>
      </c>
      <c r="M577" s="136" t="s">
        <v>66</v>
      </c>
      <c r="N577" s="136" t="str">
        <f t="shared" si="8"/>
        <v>Endulzante más stevia líquido · INTA-0570</v>
      </c>
      <c r="O577" s="13"/>
      <c r="P577" s="13"/>
      <c r="Q577" s="13"/>
    </row>
    <row r="578" spans="1:17" ht="15" customHeight="1">
      <c r="A578" s="140" t="s">
        <v>1590</v>
      </c>
      <c r="B578" s="140" t="s">
        <v>1591</v>
      </c>
      <c r="C578" s="140" t="s">
        <v>439</v>
      </c>
      <c r="D578" s="140" t="s">
        <v>404</v>
      </c>
      <c r="E578" s="164">
        <v>15</v>
      </c>
      <c r="F578" s="164">
        <v>0</v>
      </c>
      <c r="G578" s="164">
        <v>3.7</v>
      </c>
      <c r="H578" s="164">
        <v>0</v>
      </c>
      <c r="I578" s="165" t="s">
        <v>405</v>
      </c>
      <c r="J578" s="140" t="s">
        <v>405</v>
      </c>
      <c r="K578" s="165" t="s">
        <v>405</v>
      </c>
      <c r="L578" s="140" t="s">
        <v>406</v>
      </c>
      <c r="M578" s="140" t="s">
        <v>66</v>
      </c>
      <c r="N578" s="140" t="str">
        <f t="shared" si="8"/>
        <v>Endulzante sucralosa líquido · INTA-0571</v>
      </c>
      <c r="O578" s="13"/>
      <c r="P578" s="13"/>
      <c r="Q578" s="13"/>
    </row>
    <row r="579" spans="1:17" ht="15" customHeight="1">
      <c r="A579" s="136" t="s">
        <v>1592</v>
      </c>
      <c r="B579" s="136" t="s">
        <v>1593</v>
      </c>
      <c r="C579" s="136" t="s">
        <v>473</v>
      </c>
      <c r="D579" s="136" t="s">
        <v>404</v>
      </c>
      <c r="E579" s="162">
        <v>109</v>
      </c>
      <c r="F579" s="162">
        <v>19.899999999999999</v>
      </c>
      <c r="G579" s="162">
        <v>1.2</v>
      </c>
      <c r="H579" s="162">
        <v>2.7</v>
      </c>
      <c r="I579" s="163" t="s">
        <v>405</v>
      </c>
      <c r="J579" s="136" t="s">
        <v>405</v>
      </c>
      <c r="K579" s="163" t="s">
        <v>405</v>
      </c>
      <c r="L579" s="136" t="s">
        <v>406</v>
      </c>
      <c r="M579" s="136" t="s">
        <v>66</v>
      </c>
      <c r="N579" s="136" t="str">
        <f t="shared" si="8"/>
        <v>Carne asada · INTA-0572</v>
      </c>
      <c r="O579" s="13"/>
      <c r="P579" s="13"/>
      <c r="Q579" s="13"/>
    </row>
    <row r="580" spans="1:17" ht="15" customHeight="1">
      <c r="A580" s="140" t="s">
        <v>1594</v>
      </c>
      <c r="B580" s="140" t="s">
        <v>1595</v>
      </c>
      <c r="C580" s="140" t="s">
        <v>473</v>
      </c>
      <c r="D580" s="140" t="s">
        <v>404</v>
      </c>
      <c r="E580" s="164">
        <v>30</v>
      </c>
      <c r="F580" s="164">
        <v>1.5</v>
      </c>
      <c r="G580" s="164">
        <v>4.5</v>
      </c>
      <c r="H580" s="164">
        <v>0.7</v>
      </c>
      <c r="I580" s="164" t="s">
        <v>405</v>
      </c>
      <c r="J580" s="140" t="s">
        <v>405</v>
      </c>
      <c r="K580" s="165" t="s">
        <v>405</v>
      </c>
      <c r="L580" s="140" t="s">
        <v>406</v>
      </c>
      <c r="M580" s="140" t="s">
        <v>66</v>
      </c>
      <c r="N580" s="140" t="str">
        <f t="shared" si="8"/>
        <v>Cebolla en escabeche · INTA-0573</v>
      </c>
      <c r="O580" s="13"/>
      <c r="P580" s="13"/>
      <c r="Q580" s="13"/>
    </row>
    <row r="581" spans="1:17" ht="15" customHeight="1">
      <c r="A581" s="140" t="s">
        <v>1596</v>
      </c>
      <c r="B581" s="140" t="s">
        <v>1597</v>
      </c>
      <c r="C581" s="140" t="s">
        <v>473</v>
      </c>
      <c r="D581" s="140" t="s">
        <v>404</v>
      </c>
      <c r="E581" s="164">
        <v>151</v>
      </c>
      <c r="F581" s="164">
        <v>23.8</v>
      </c>
      <c r="G581" s="164">
        <v>0.6</v>
      </c>
      <c r="H581" s="164">
        <v>5.9</v>
      </c>
      <c r="I581" s="165" t="s">
        <v>405</v>
      </c>
      <c r="J581" s="140" t="s">
        <v>405</v>
      </c>
      <c r="K581" s="165" t="s">
        <v>405</v>
      </c>
      <c r="L581" s="140" t="s">
        <v>406</v>
      </c>
      <c r="M581" s="140" t="s">
        <v>66</v>
      </c>
      <c r="N581" s="140" t="str">
        <f t="shared" si="8"/>
        <v>Cerdo a la mostaza · INTA-0574</v>
      </c>
      <c r="O581" s="13"/>
      <c r="P581" s="13"/>
      <c r="Q581" s="13"/>
    </row>
    <row r="582" spans="1:17" ht="15" customHeight="1">
      <c r="A582" s="136" t="s">
        <v>1598</v>
      </c>
      <c r="B582" s="136" t="s">
        <v>1599</v>
      </c>
      <c r="C582" s="136" t="s">
        <v>473</v>
      </c>
      <c r="D582" s="136" t="s">
        <v>404</v>
      </c>
      <c r="E582" s="162">
        <v>22</v>
      </c>
      <c r="F582" s="162">
        <v>0.3</v>
      </c>
      <c r="G582" s="162">
        <v>3.5</v>
      </c>
      <c r="H582" s="162">
        <v>0.8</v>
      </c>
      <c r="I582" s="163" t="s">
        <v>405</v>
      </c>
      <c r="J582" s="136" t="s">
        <v>405</v>
      </c>
      <c r="K582" s="163" t="s">
        <v>405</v>
      </c>
      <c r="L582" s="136" t="s">
        <v>406</v>
      </c>
      <c r="M582" s="136" t="s">
        <v>66</v>
      </c>
      <c r="N582" s="136" t="str">
        <f t="shared" si="8"/>
        <v>Crema de cebolla · INTA-0575</v>
      </c>
      <c r="O582" s="13"/>
      <c r="P582" s="13"/>
      <c r="Q582" s="13"/>
    </row>
    <row r="583" spans="1:17" ht="15" customHeight="1">
      <c r="A583" s="140" t="s">
        <v>1600</v>
      </c>
      <c r="B583" s="140" t="s">
        <v>1601</v>
      </c>
      <c r="C583" s="140" t="s">
        <v>473</v>
      </c>
      <c r="D583" s="140" t="s">
        <v>404</v>
      </c>
      <c r="E583" s="164">
        <v>90</v>
      </c>
      <c r="F583" s="164">
        <v>3.3</v>
      </c>
      <c r="G583" s="164">
        <v>10.3</v>
      </c>
      <c r="H583" s="164">
        <v>2</v>
      </c>
      <c r="I583" s="165" t="s">
        <v>405</v>
      </c>
      <c r="J583" s="140" t="s">
        <v>405</v>
      </c>
      <c r="K583" s="165" t="s">
        <v>405</v>
      </c>
      <c r="L583" s="140" t="s">
        <v>406</v>
      </c>
      <c r="M583" s="140" t="s">
        <v>66</v>
      </c>
      <c r="N583" s="140" t="str">
        <f t="shared" si="8"/>
        <v>Lentejas con arroz · INTA-0576</v>
      </c>
      <c r="O583" s="13"/>
      <c r="P583" s="13"/>
      <c r="Q583" s="13"/>
    </row>
    <row r="584" spans="1:17" ht="15" customHeight="1">
      <c r="A584" s="136" t="s">
        <v>1602</v>
      </c>
      <c r="B584" s="136" t="s">
        <v>1603</v>
      </c>
      <c r="C584" s="136" t="s">
        <v>473</v>
      </c>
      <c r="D584" s="136" t="s">
        <v>404</v>
      </c>
      <c r="E584" s="162">
        <v>96</v>
      </c>
      <c r="F584" s="162">
        <v>1.1000000000000001</v>
      </c>
      <c r="G584" s="162">
        <v>20.2</v>
      </c>
      <c r="H584" s="162">
        <v>1.2</v>
      </c>
      <c r="I584" s="163" t="s">
        <v>405</v>
      </c>
      <c r="J584" s="136" t="s">
        <v>405</v>
      </c>
      <c r="K584" s="163" t="s">
        <v>405</v>
      </c>
      <c r="L584" s="136" t="s">
        <v>406</v>
      </c>
      <c r="M584" s="136" t="s">
        <v>66</v>
      </c>
      <c r="N584" s="136" t="str">
        <f t="shared" ref="N584:N649" si="9">B584&amp;" · "&amp;A584</f>
        <v>Manzana asada · INTA-0577</v>
      </c>
      <c r="O584" s="13"/>
      <c r="P584" s="13"/>
      <c r="Q584" s="13"/>
    </row>
    <row r="585" spans="1:17" ht="15" customHeight="1">
      <c r="A585" s="140" t="s">
        <v>1604</v>
      </c>
      <c r="B585" s="140" t="s">
        <v>1605</v>
      </c>
      <c r="C585" s="140" t="s">
        <v>473</v>
      </c>
      <c r="D585" s="140" t="s">
        <v>404</v>
      </c>
      <c r="E585" s="164">
        <v>50</v>
      </c>
      <c r="F585" s="164">
        <v>0.2</v>
      </c>
      <c r="G585" s="164">
        <v>12</v>
      </c>
      <c r="H585" s="164">
        <v>0.1</v>
      </c>
      <c r="I585" s="165">
        <v>1.1000000000000001</v>
      </c>
      <c r="J585" s="140" t="s">
        <v>405</v>
      </c>
      <c r="K585" s="165" t="s">
        <v>405</v>
      </c>
      <c r="L585" s="140" t="s">
        <v>406</v>
      </c>
      <c r="M585" s="140" t="s">
        <v>66</v>
      </c>
      <c r="N585" s="140" t="str">
        <f t="shared" si="9"/>
        <v>Puré manzana · INTA-0578</v>
      </c>
      <c r="O585" s="13"/>
      <c r="P585" s="13"/>
      <c r="Q585" s="13"/>
    </row>
    <row r="586" spans="1:17" ht="15" customHeight="1">
      <c r="A586" s="136" t="s">
        <v>1606</v>
      </c>
      <c r="B586" s="136" t="s">
        <v>1607</v>
      </c>
      <c r="C586" s="136" t="s">
        <v>473</v>
      </c>
      <c r="D586" s="136" t="s">
        <v>404</v>
      </c>
      <c r="E586" s="162">
        <v>58</v>
      </c>
      <c r="F586" s="162">
        <v>0.4</v>
      </c>
      <c r="G586" s="162">
        <v>13.8</v>
      </c>
      <c r="H586" s="162">
        <v>0.1</v>
      </c>
      <c r="I586" s="163">
        <v>1.4</v>
      </c>
      <c r="J586" s="136" t="s">
        <v>405</v>
      </c>
      <c r="K586" s="163" t="s">
        <v>405</v>
      </c>
      <c r="L586" s="136" t="s">
        <v>406</v>
      </c>
      <c r="M586" s="136" t="s">
        <v>66</v>
      </c>
      <c r="N586" s="136" t="str">
        <f t="shared" si="9"/>
        <v>Puré manzana plátano · INTA-0579</v>
      </c>
      <c r="O586" s="13"/>
      <c r="P586" s="13"/>
      <c r="Q586" s="13"/>
    </row>
    <row r="587" spans="1:17" ht="15" customHeight="1">
      <c r="A587" s="140" t="s">
        <v>1608</v>
      </c>
      <c r="B587" s="140" t="s">
        <v>1609</v>
      </c>
      <c r="C587" s="140" t="s">
        <v>473</v>
      </c>
      <c r="D587" s="140" t="s">
        <v>404</v>
      </c>
      <c r="E587" s="164">
        <v>64</v>
      </c>
      <c r="F587" s="164" t="s">
        <v>405</v>
      </c>
      <c r="G587" s="164">
        <v>15.8</v>
      </c>
      <c r="H587" s="164">
        <v>0.1</v>
      </c>
      <c r="I587" s="164">
        <v>3.3</v>
      </c>
      <c r="J587" s="140" t="s">
        <v>405</v>
      </c>
      <c r="K587" s="165" t="s">
        <v>405</v>
      </c>
      <c r="L587" s="140" t="s">
        <v>406</v>
      </c>
      <c r="M587" s="140" t="s">
        <v>66</v>
      </c>
      <c r="N587" s="140" t="str">
        <f t="shared" si="9"/>
        <v>Puré pera con canela · INTA-0580</v>
      </c>
      <c r="O587" s="13"/>
      <c r="P587" s="13"/>
      <c r="Q587" s="13"/>
    </row>
    <row r="588" spans="1:17" ht="15" customHeight="1">
      <c r="A588" s="136" t="s">
        <v>1610</v>
      </c>
      <c r="B588" s="136" t="s">
        <v>1611</v>
      </c>
      <c r="C588" s="136" t="s">
        <v>473</v>
      </c>
      <c r="D588" s="136" t="s">
        <v>404</v>
      </c>
      <c r="E588" s="162">
        <v>61</v>
      </c>
      <c r="F588" s="162">
        <v>0.3</v>
      </c>
      <c r="G588" s="162">
        <v>14.8</v>
      </c>
      <c r="H588" s="162">
        <v>0.1</v>
      </c>
      <c r="I588" s="162" t="s">
        <v>405</v>
      </c>
      <c r="J588" s="136" t="s">
        <v>405</v>
      </c>
      <c r="K588" s="163" t="s">
        <v>405</v>
      </c>
      <c r="L588" s="136" t="s">
        <v>406</v>
      </c>
      <c r="M588" s="136" t="s">
        <v>66</v>
      </c>
      <c r="N588" s="136" t="str">
        <f t="shared" si="9"/>
        <v>Puré pera plátano · INTA-0581</v>
      </c>
      <c r="O588" s="13"/>
      <c r="P588" s="13"/>
      <c r="Q588" s="13"/>
    </row>
    <row r="589" spans="1:17" ht="15" customHeight="1">
      <c r="A589" s="140" t="s">
        <v>1612</v>
      </c>
      <c r="B589" s="140" t="s">
        <v>1613</v>
      </c>
      <c r="C589" s="140" t="s">
        <v>473</v>
      </c>
      <c r="D589" s="140" t="s">
        <v>404</v>
      </c>
      <c r="E589" s="164">
        <v>24</v>
      </c>
      <c r="F589" s="164">
        <v>12.2</v>
      </c>
      <c r="G589" s="164">
        <v>3.2</v>
      </c>
      <c r="H589" s="164">
        <v>2.8</v>
      </c>
      <c r="I589" s="165">
        <v>1</v>
      </c>
      <c r="J589" s="140" t="s">
        <v>405</v>
      </c>
      <c r="K589" s="165" t="s">
        <v>405</v>
      </c>
      <c r="L589" s="140" t="s">
        <v>406</v>
      </c>
      <c r="M589" s="140" t="s">
        <v>66</v>
      </c>
      <c r="N589" s="140" t="str">
        <f t="shared" si="9"/>
        <v>Mariscal · INTA-0582</v>
      </c>
      <c r="O589" s="13"/>
      <c r="P589" s="13"/>
      <c r="Q589" s="13"/>
    </row>
    <row r="590" spans="1:17" ht="15" customHeight="1">
      <c r="A590" s="136" t="s">
        <v>1614</v>
      </c>
      <c r="B590" s="136" t="s">
        <v>1615</v>
      </c>
      <c r="C590" s="136" t="s">
        <v>473</v>
      </c>
      <c r="D590" s="136" t="s">
        <v>404</v>
      </c>
      <c r="E590" s="162">
        <v>87</v>
      </c>
      <c r="F590" s="162">
        <v>21.8</v>
      </c>
      <c r="G590" s="162">
        <v>2.5</v>
      </c>
      <c r="H590" s="162">
        <v>2.7</v>
      </c>
      <c r="I590" s="162" t="s">
        <v>405</v>
      </c>
      <c r="J590" s="136" t="s">
        <v>405</v>
      </c>
      <c r="K590" s="163" t="s">
        <v>405</v>
      </c>
      <c r="L590" s="136" t="s">
        <v>406</v>
      </c>
      <c r="M590" s="136" t="s">
        <v>66</v>
      </c>
      <c r="N590" s="136" t="str">
        <f t="shared" si="9"/>
        <v>Pollo a la mostaza · INTA-0583</v>
      </c>
      <c r="O590" s="13"/>
      <c r="P590" s="13"/>
      <c r="Q590" s="13"/>
    </row>
    <row r="591" spans="1:17" ht="15" customHeight="1">
      <c r="A591" s="136" t="s">
        <v>1616</v>
      </c>
      <c r="B591" s="136" t="s">
        <v>1617</v>
      </c>
      <c r="C591" s="136" t="s">
        <v>473</v>
      </c>
      <c r="D591" s="136" t="s">
        <v>404</v>
      </c>
      <c r="E591" s="162">
        <v>121</v>
      </c>
      <c r="F591" s="162">
        <v>0.6</v>
      </c>
      <c r="G591" s="162">
        <v>2.7</v>
      </c>
      <c r="H591" s="162">
        <v>0.3</v>
      </c>
      <c r="I591" s="162" t="s">
        <v>405</v>
      </c>
      <c r="J591" s="136" t="s">
        <v>405</v>
      </c>
      <c r="K591" s="163" t="s">
        <v>405</v>
      </c>
      <c r="L591" s="136" t="s">
        <v>406</v>
      </c>
      <c r="M591" s="136" t="s">
        <v>66</v>
      </c>
      <c r="N591" s="136" t="str">
        <f t="shared" si="9"/>
        <v>Sopa de sémola · INTA-0584</v>
      </c>
      <c r="O591" s="13"/>
      <c r="P591" s="13"/>
      <c r="Q591" s="13"/>
    </row>
    <row r="592" spans="1:17" ht="15" customHeight="1">
      <c r="A592" s="140" t="s">
        <v>1618</v>
      </c>
      <c r="B592" s="140" t="s">
        <v>1619</v>
      </c>
      <c r="C592" s="140" t="s">
        <v>473</v>
      </c>
      <c r="D592" s="140" t="s">
        <v>404</v>
      </c>
      <c r="E592" s="164">
        <v>16</v>
      </c>
      <c r="F592" s="164" t="s">
        <v>405</v>
      </c>
      <c r="G592" s="164">
        <v>4</v>
      </c>
      <c r="H592" s="164" t="s">
        <v>405</v>
      </c>
      <c r="I592" s="164" t="s">
        <v>405</v>
      </c>
      <c r="J592" s="140" t="s">
        <v>405</v>
      </c>
      <c r="K592" s="165" t="s">
        <v>405</v>
      </c>
      <c r="L592" s="140" t="s">
        <v>406</v>
      </c>
      <c r="M592" s="140" t="s">
        <v>66</v>
      </c>
      <c r="N592" s="140" t="str">
        <f t="shared" si="9"/>
        <v>Sopa de verduras · INTA-0585</v>
      </c>
      <c r="O592" s="13"/>
      <c r="P592" s="13"/>
      <c r="Q592" s="13"/>
    </row>
    <row r="593" spans="1:17" ht="15" customHeight="1">
      <c r="A593" s="136" t="s">
        <v>1620</v>
      </c>
      <c r="B593" s="136" t="s">
        <v>1621</v>
      </c>
      <c r="C593" s="136" t="s">
        <v>473</v>
      </c>
      <c r="D593" s="136" t="s">
        <v>404</v>
      </c>
      <c r="E593" s="162">
        <v>55</v>
      </c>
      <c r="F593" s="162">
        <v>2.2999999999999998</v>
      </c>
      <c r="G593" s="162">
        <v>10.3</v>
      </c>
      <c r="H593" s="162">
        <v>0.5</v>
      </c>
      <c r="I593" s="162" t="s">
        <v>405</v>
      </c>
      <c r="J593" s="136" t="s">
        <v>405</v>
      </c>
      <c r="K593" s="163" t="s">
        <v>405</v>
      </c>
      <c r="L593" s="136" t="s">
        <v>406</v>
      </c>
      <c r="M593" s="136" t="s">
        <v>66</v>
      </c>
      <c r="N593" s="136" t="str">
        <f t="shared" si="9"/>
        <v>Tomate con papas · INTA-0586</v>
      </c>
      <c r="O593" s="13"/>
      <c r="P593" s="13"/>
      <c r="Q593" s="13"/>
    </row>
    <row r="594" spans="1:17" ht="15" customHeight="1">
      <c r="A594" s="140" t="s">
        <v>1622</v>
      </c>
      <c r="B594" s="140" t="s">
        <v>1623</v>
      </c>
      <c r="C594" s="140" t="s">
        <v>473</v>
      </c>
      <c r="D594" s="140" t="s">
        <v>404</v>
      </c>
      <c r="E594" s="164">
        <v>226</v>
      </c>
      <c r="F594" s="164">
        <v>5.3</v>
      </c>
      <c r="G594" s="164">
        <v>35</v>
      </c>
      <c r="H594" s="164">
        <v>7.2</v>
      </c>
      <c r="I594" s="164" t="s">
        <v>405</v>
      </c>
      <c r="J594" s="140" t="s">
        <v>405</v>
      </c>
      <c r="K594" s="165" t="s">
        <v>405</v>
      </c>
      <c r="L594" s="140" t="s">
        <v>406</v>
      </c>
      <c r="M594" s="140" t="s">
        <v>66</v>
      </c>
      <c r="N594" s="140" t="str">
        <f t="shared" si="9"/>
        <v>Torta de durazno con crema · INTA-0587</v>
      </c>
      <c r="O594" s="13"/>
      <c r="P594" s="13"/>
      <c r="Q594" s="13"/>
    </row>
    <row r="595" spans="1:17" ht="15" customHeight="1">
      <c r="A595" s="136" t="s">
        <v>1624</v>
      </c>
      <c r="B595" s="136" t="s">
        <v>1625</v>
      </c>
      <c r="C595" s="136" t="s">
        <v>473</v>
      </c>
      <c r="D595" s="136" t="s">
        <v>404</v>
      </c>
      <c r="E595" s="162">
        <v>54</v>
      </c>
      <c r="F595" s="162">
        <v>2</v>
      </c>
      <c r="G595" s="162">
        <v>5.8</v>
      </c>
      <c r="H595" s="162">
        <v>2.5</v>
      </c>
      <c r="I595" s="162" t="s">
        <v>405</v>
      </c>
      <c r="J595" s="136" t="s">
        <v>405</v>
      </c>
      <c r="K595" s="163" t="s">
        <v>405</v>
      </c>
      <c r="L595" s="136" t="s">
        <v>406</v>
      </c>
      <c r="M595" s="136" t="s">
        <v>66</v>
      </c>
      <c r="N595" s="136" t="str">
        <f t="shared" si="9"/>
        <v>Verduras guisadas · INTA-0588</v>
      </c>
      <c r="O595" s="13"/>
      <c r="P595" s="13"/>
      <c r="Q595" s="13"/>
    </row>
    <row r="596" spans="1:17" ht="15" customHeight="1">
      <c r="A596" s="140" t="s">
        <v>1626</v>
      </c>
      <c r="B596" s="140" t="s">
        <v>1627</v>
      </c>
      <c r="C596" s="140" t="s">
        <v>415</v>
      </c>
      <c r="D596" s="140" t="s">
        <v>404</v>
      </c>
      <c r="E596" s="164">
        <v>400</v>
      </c>
      <c r="F596" s="164">
        <v>18</v>
      </c>
      <c r="G596" s="164">
        <v>59.5</v>
      </c>
      <c r="H596" s="164">
        <v>10</v>
      </c>
      <c r="I596" s="164">
        <v>1</v>
      </c>
      <c r="J596" s="140" t="s">
        <v>405</v>
      </c>
      <c r="K596" s="165" t="s">
        <v>405</v>
      </c>
      <c r="L596" s="140" t="s">
        <v>406</v>
      </c>
      <c r="M596" s="140" t="s">
        <v>66</v>
      </c>
      <c r="N596" s="140" t="str">
        <f t="shared" si="9"/>
        <v>Bebida lactea años dorados · INTA-0589</v>
      </c>
      <c r="O596" s="13"/>
      <c r="P596" s="13"/>
      <c r="Q596" s="13"/>
    </row>
    <row r="597" spans="1:17" ht="15" customHeight="1">
      <c r="A597" s="136" t="s">
        <v>1628</v>
      </c>
      <c r="B597" s="136" t="s">
        <v>1629</v>
      </c>
      <c r="C597" s="136" t="s">
        <v>415</v>
      </c>
      <c r="D597" s="136" t="s">
        <v>404</v>
      </c>
      <c r="E597" s="162">
        <v>400</v>
      </c>
      <c r="F597" s="162">
        <v>13</v>
      </c>
      <c r="G597" s="162">
        <v>62.2</v>
      </c>
      <c r="H597" s="162">
        <v>11</v>
      </c>
      <c r="I597" s="162">
        <v>5</v>
      </c>
      <c r="J597" s="136" t="s">
        <v>405</v>
      </c>
      <c r="K597" s="163" t="s">
        <v>405</v>
      </c>
      <c r="L597" s="136" t="s">
        <v>406</v>
      </c>
      <c r="M597" s="136" t="s">
        <v>66</v>
      </c>
      <c r="N597" s="136" t="str">
        <f t="shared" si="9"/>
        <v>Crema años dorados arveja · INTA-0590</v>
      </c>
      <c r="O597" s="13"/>
      <c r="P597" s="13"/>
      <c r="Q597" s="13"/>
    </row>
    <row r="598" spans="1:17" ht="15" customHeight="1">
      <c r="A598" s="140" t="s">
        <v>1630</v>
      </c>
      <c r="B598" s="140" t="s">
        <v>1631</v>
      </c>
      <c r="C598" s="140" t="s">
        <v>415</v>
      </c>
      <c r="D598" s="140" t="s">
        <v>404</v>
      </c>
      <c r="E598" s="164">
        <v>400</v>
      </c>
      <c r="F598" s="164">
        <v>13</v>
      </c>
      <c r="G598" s="164">
        <v>62.2</v>
      </c>
      <c r="H598" s="164">
        <v>11</v>
      </c>
      <c r="I598" s="164">
        <v>5</v>
      </c>
      <c r="J598" s="140" t="s">
        <v>405</v>
      </c>
      <c r="K598" s="165" t="s">
        <v>405</v>
      </c>
      <c r="L598" s="140" t="s">
        <v>406</v>
      </c>
      <c r="M598" s="140" t="s">
        <v>66</v>
      </c>
      <c r="N598" s="140" t="str">
        <f t="shared" si="9"/>
        <v>Crema años dorados espárrago · INTA-0591</v>
      </c>
      <c r="O598" s="13"/>
      <c r="P598" s="13"/>
      <c r="Q598" s="13"/>
    </row>
    <row r="599" spans="1:17" ht="15" customHeight="1">
      <c r="A599" s="136" t="s">
        <v>1632</v>
      </c>
      <c r="B599" s="136" t="s">
        <v>1633</v>
      </c>
      <c r="C599" s="136" t="s">
        <v>415</v>
      </c>
      <c r="D599" s="136" t="s">
        <v>404</v>
      </c>
      <c r="E599" s="162">
        <v>400</v>
      </c>
      <c r="F599" s="162">
        <v>13</v>
      </c>
      <c r="G599" s="162">
        <v>62.2</v>
      </c>
      <c r="H599" s="162">
        <v>11</v>
      </c>
      <c r="I599" s="162">
        <v>6</v>
      </c>
      <c r="J599" s="136" t="s">
        <v>405</v>
      </c>
      <c r="K599" s="163" t="s">
        <v>405</v>
      </c>
      <c r="L599" s="136" t="s">
        <v>406</v>
      </c>
      <c r="M599" s="136" t="s">
        <v>66</v>
      </c>
      <c r="N599" s="136" t="str">
        <f t="shared" si="9"/>
        <v>Crema años dorados lentejas · INTA-0592</v>
      </c>
      <c r="O599" s="13"/>
      <c r="P599" s="13"/>
      <c r="Q599" s="13"/>
    </row>
    <row r="600" spans="1:17" ht="15" customHeight="1">
      <c r="A600" s="140" t="s">
        <v>1634</v>
      </c>
      <c r="B600" s="140" t="s">
        <v>1635</v>
      </c>
      <c r="C600" s="140" t="s">
        <v>415</v>
      </c>
      <c r="D600" s="140" t="s">
        <v>404</v>
      </c>
      <c r="E600" s="164">
        <v>400</v>
      </c>
      <c r="F600" s="164">
        <v>13</v>
      </c>
      <c r="G600" s="164">
        <v>62.2</v>
      </c>
      <c r="H600" s="164">
        <v>11</v>
      </c>
      <c r="I600" s="164">
        <v>6</v>
      </c>
      <c r="J600" s="140" t="s">
        <v>405</v>
      </c>
      <c r="K600" s="165" t="s">
        <v>405</v>
      </c>
      <c r="L600" s="140" t="s">
        <v>406</v>
      </c>
      <c r="M600" s="140" t="s">
        <v>66</v>
      </c>
      <c r="N600" s="140" t="str">
        <f t="shared" si="9"/>
        <v>Crema años dorados verduras · INTA-0593</v>
      </c>
      <c r="O600" s="13"/>
      <c r="P600" s="13"/>
      <c r="Q600" s="13"/>
    </row>
    <row r="601" spans="1:17" ht="15" customHeight="1">
      <c r="A601" s="136" t="s">
        <v>1636</v>
      </c>
      <c r="B601" s="136" t="s">
        <v>1637</v>
      </c>
      <c r="C601" s="136" t="s">
        <v>415</v>
      </c>
      <c r="D601" s="136" t="s">
        <v>404</v>
      </c>
      <c r="E601" s="162">
        <v>510</v>
      </c>
      <c r="F601" s="162">
        <v>7.5</v>
      </c>
      <c r="G601" s="162">
        <v>57</v>
      </c>
      <c r="H601" s="162">
        <v>24.6</v>
      </c>
      <c r="I601" s="162" t="s">
        <v>405</v>
      </c>
      <c r="J601" s="136" t="s">
        <v>405</v>
      </c>
      <c r="K601" s="163" t="s">
        <v>405</v>
      </c>
      <c r="L601" s="136" t="s">
        <v>406</v>
      </c>
      <c r="M601" s="136" t="s">
        <v>66</v>
      </c>
      <c r="N601" s="136" t="str">
        <f t="shared" si="9"/>
        <v>Cyclinex 1 amino acid mix · INTA-0594</v>
      </c>
      <c r="O601" s="13"/>
      <c r="P601" s="13"/>
      <c r="Q601" s="13"/>
    </row>
    <row r="602" spans="1:17" ht="15" customHeight="1">
      <c r="A602" s="140" t="s">
        <v>1638</v>
      </c>
      <c r="B602" s="140" t="s">
        <v>1639</v>
      </c>
      <c r="C602" s="140" t="s">
        <v>415</v>
      </c>
      <c r="D602" s="140" t="s">
        <v>404</v>
      </c>
      <c r="E602" s="164">
        <v>440</v>
      </c>
      <c r="F602" s="164">
        <v>15</v>
      </c>
      <c r="G602" s="164">
        <v>45</v>
      </c>
      <c r="H602" s="164">
        <v>17</v>
      </c>
      <c r="I602" s="164" t="s">
        <v>405</v>
      </c>
      <c r="J602" s="140" t="s">
        <v>405</v>
      </c>
      <c r="K602" s="165" t="s">
        <v>405</v>
      </c>
      <c r="L602" s="140" t="s">
        <v>406</v>
      </c>
      <c r="M602" s="140" t="s">
        <v>66</v>
      </c>
      <c r="N602" s="140" t="str">
        <f t="shared" si="9"/>
        <v>Cyclinex 2 · INTA-0595</v>
      </c>
      <c r="O602" s="13"/>
      <c r="P602" s="13"/>
      <c r="Q602" s="13"/>
    </row>
    <row r="603" spans="1:17" ht="15" customHeight="1">
      <c r="A603" s="136" t="s">
        <v>1640</v>
      </c>
      <c r="B603" s="136" t="s">
        <v>1641</v>
      </c>
      <c r="C603" s="136" t="s">
        <v>415</v>
      </c>
      <c r="D603" s="136" t="s">
        <v>404</v>
      </c>
      <c r="E603" s="162">
        <v>360</v>
      </c>
      <c r="F603" s="162">
        <v>25</v>
      </c>
      <c r="G603" s="162">
        <v>65</v>
      </c>
      <c r="H603" s="162">
        <v>0</v>
      </c>
      <c r="I603" s="162" t="s">
        <v>405</v>
      </c>
      <c r="J603" s="136" t="s">
        <v>405</v>
      </c>
      <c r="K603" s="163" t="s">
        <v>405</v>
      </c>
      <c r="L603" s="136" t="s">
        <v>406</v>
      </c>
      <c r="M603" s="136" t="s">
        <v>66</v>
      </c>
      <c r="N603" s="136" t="str">
        <f t="shared" si="9"/>
        <v>Dialamine · INTA-0596</v>
      </c>
      <c r="O603" s="13"/>
      <c r="P603" s="13"/>
      <c r="Q603" s="13"/>
    </row>
    <row r="604" spans="1:17" ht="15" customHeight="1">
      <c r="A604" s="140" t="s">
        <v>1642</v>
      </c>
      <c r="B604" s="140" t="s">
        <v>1643</v>
      </c>
      <c r="C604" s="140" t="s">
        <v>415</v>
      </c>
      <c r="D604" s="140" t="s">
        <v>404</v>
      </c>
      <c r="E604" s="164">
        <v>316</v>
      </c>
      <c r="F604" s="164">
        <v>79</v>
      </c>
      <c r="G604" s="164">
        <v>0</v>
      </c>
      <c r="H604" s="164">
        <v>0</v>
      </c>
      <c r="I604" s="164">
        <v>0</v>
      </c>
      <c r="J604" s="140" t="s">
        <v>405</v>
      </c>
      <c r="K604" s="165" t="s">
        <v>405</v>
      </c>
      <c r="L604" s="140" t="s">
        <v>406</v>
      </c>
      <c r="M604" s="140" t="s">
        <v>66</v>
      </c>
      <c r="N604" s="140" t="str">
        <f t="shared" si="9"/>
        <v>Essential amino acid mix · INTA-0597</v>
      </c>
      <c r="O604" s="13"/>
      <c r="P604" s="13"/>
      <c r="Q604" s="13"/>
    </row>
    <row r="605" spans="1:17" ht="15" customHeight="1">
      <c r="A605" s="136" t="s">
        <v>1644</v>
      </c>
      <c r="B605" s="136" t="s">
        <v>1645</v>
      </c>
      <c r="C605" s="136" t="s">
        <v>415</v>
      </c>
      <c r="D605" s="136" t="s">
        <v>404</v>
      </c>
      <c r="E605" s="162">
        <v>466</v>
      </c>
      <c r="F605" s="162">
        <v>13.1</v>
      </c>
      <c r="G605" s="162">
        <v>49.8</v>
      </c>
      <c r="H605" s="162">
        <v>23</v>
      </c>
      <c r="I605" s="163" t="s">
        <v>405</v>
      </c>
      <c r="J605" s="136" t="s">
        <v>405</v>
      </c>
      <c r="K605" s="163" t="s">
        <v>405</v>
      </c>
      <c r="L605" s="136" t="s">
        <v>406</v>
      </c>
      <c r="M605" s="136" t="s">
        <v>66</v>
      </c>
      <c r="N605" s="136" t="str">
        <f t="shared" si="9"/>
        <v>GA1 Anamix infant · INTA-0598</v>
      </c>
      <c r="O605" s="13"/>
      <c r="P605" s="13"/>
      <c r="Q605" s="13"/>
    </row>
    <row r="606" spans="1:17" ht="15" customHeight="1">
      <c r="A606" s="140" t="s">
        <v>1646</v>
      </c>
      <c r="B606" s="140" t="s">
        <v>1647</v>
      </c>
      <c r="C606" s="140" t="s">
        <v>415</v>
      </c>
      <c r="D606" s="140" t="s">
        <v>404</v>
      </c>
      <c r="E606" s="164">
        <v>480</v>
      </c>
      <c r="F606" s="164">
        <v>15</v>
      </c>
      <c r="G606" s="164">
        <v>53</v>
      </c>
      <c r="H606" s="164">
        <v>21.7</v>
      </c>
      <c r="I606" s="165" t="s">
        <v>405</v>
      </c>
      <c r="J606" s="140" t="s">
        <v>405</v>
      </c>
      <c r="K606" s="165" t="s">
        <v>405</v>
      </c>
      <c r="L606" s="140" t="s">
        <v>406</v>
      </c>
      <c r="M606" s="140" t="s">
        <v>66</v>
      </c>
      <c r="N606" s="140" t="str">
        <f t="shared" si="9"/>
        <v>Glutarex 1 · INTA-0599</v>
      </c>
      <c r="O606" s="13"/>
      <c r="P606" s="13"/>
      <c r="Q606" s="13"/>
    </row>
    <row r="607" spans="1:17" ht="15" customHeight="1">
      <c r="A607" s="136" t="s">
        <v>1648</v>
      </c>
      <c r="B607" s="136" t="s">
        <v>1649</v>
      </c>
      <c r="C607" s="136" t="s">
        <v>415</v>
      </c>
      <c r="D607" s="136" t="s">
        <v>404</v>
      </c>
      <c r="E607" s="162">
        <v>410</v>
      </c>
      <c r="F607" s="162">
        <v>30</v>
      </c>
      <c r="G607" s="162">
        <v>35</v>
      </c>
      <c r="H607" s="162">
        <v>13</v>
      </c>
      <c r="I607" s="162" t="s">
        <v>405</v>
      </c>
      <c r="J607" s="136" t="s">
        <v>405</v>
      </c>
      <c r="K607" s="163" t="s">
        <v>405</v>
      </c>
      <c r="L607" s="136" t="s">
        <v>406</v>
      </c>
      <c r="M607" s="136" t="s">
        <v>66</v>
      </c>
      <c r="N607" s="136" t="str">
        <f t="shared" si="9"/>
        <v>Glutarex 2 · INTA-0600</v>
      </c>
      <c r="O607" s="13"/>
      <c r="P607" s="13"/>
      <c r="Q607" s="13"/>
    </row>
    <row r="608" spans="1:17" ht="15" customHeight="1">
      <c r="A608" s="136" t="s">
        <v>1650</v>
      </c>
      <c r="B608" s="136" t="s">
        <v>1651</v>
      </c>
      <c r="C608" s="136" t="s">
        <v>415</v>
      </c>
      <c r="D608" s="136" t="s">
        <v>404</v>
      </c>
      <c r="E608" s="162">
        <v>457</v>
      </c>
      <c r="F608" s="162">
        <v>13.1</v>
      </c>
      <c r="G608" s="162">
        <v>49.5</v>
      </c>
      <c r="H608" s="162">
        <v>23</v>
      </c>
      <c r="I608" s="162" t="s">
        <v>405</v>
      </c>
      <c r="J608" s="136" t="s">
        <v>405</v>
      </c>
      <c r="K608" s="163" t="s">
        <v>405</v>
      </c>
      <c r="L608" s="136" t="s">
        <v>406</v>
      </c>
      <c r="M608" s="136" t="s">
        <v>66</v>
      </c>
      <c r="N608" s="136" t="str">
        <f t="shared" si="9"/>
        <v>IVA Anamix infant · INTA-0601</v>
      </c>
      <c r="O608" s="13"/>
      <c r="P608" s="13"/>
      <c r="Q608" s="13"/>
    </row>
    <row r="609" spans="1:17" ht="15" customHeight="1">
      <c r="A609" s="140" t="s">
        <v>1652</v>
      </c>
      <c r="B609" s="140" t="s">
        <v>1653</v>
      </c>
      <c r="C609" s="140" t="s">
        <v>415</v>
      </c>
      <c r="D609" s="140" t="s">
        <v>404</v>
      </c>
      <c r="E609" s="164">
        <v>480</v>
      </c>
      <c r="F609" s="164">
        <v>15</v>
      </c>
      <c r="G609" s="164">
        <v>53</v>
      </c>
      <c r="H609" s="164">
        <v>21.7</v>
      </c>
      <c r="I609" s="164" t="s">
        <v>405</v>
      </c>
      <c r="J609" s="140" t="s">
        <v>405</v>
      </c>
      <c r="K609" s="165" t="s">
        <v>405</v>
      </c>
      <c r="L609" s="140" t="s">
        <v>406</v>
      </c>
      <c r="M609" s="140" t="s">
        <v>66</v>
      </c>
      <c r="N609" s="140" t="str">
        <f t="shared" si="9"/>
        <v>Ketonex 1 · INTA-0602</v>
      </c>
      <c r="O609" s="13"/>
      <c r="P609" s="13"/>
      <c r="Q609" s="13"/>
    </row>
    <row r="610" spans="1:17" ht="15" customHeight="1">
      <c r="A610" s="136" t="s">
        <v>1654</v>
      </c>
      <c r="B610" s="136" t="s">
        <v>1655</v>
      </c>
      <c r="C610" s="136" t="s">
        <v>415</v>
      </c>
      <c r="D610" s="136" t="s">
        <v>404</v>
      </c>
      <c r="E610" s="162">
        <v>410</v>
      </c>
      <c r="F610" s="162">
        <v>30</v>
      </c>
      <c r="G610" s="162">
        <v>35</v>
      </c>
      <c r="H610" s="162">
        <v>14</v>
      </c>
      <c r="I610" s="163" t="s">
        <v>405</v>
      </c>
      <c r="J610" s="136" t="s">
        <v>405</v>
      </c>
      <c r="K610" s="163" t="s">
        <v>405</v>
      </c>
      <c r="L610" s="136" t="s">
        <v>406</v>
      </c>
      <c r="M610" s="136" t="s">
        <v>66</v>
      </c>
      <c r="N610" s="136" t="str">
        <f t="shared" si="9"/>
        <v>Ketonex 2 · INTA-0603</v>
      </c>
      <c r="O610" s="13"/>
      <c r="P610" s="13"/>
      <c r="Q610" s="13"/>
    </row>
    <row r="611" spans="1:17" ht="15" customHeight="1">
      <c r="A611" s="140" t="s">
        <v>1656</v>
      </c>
      <c r="B611" s="140" t="s">
        <v>1657</v>
      </c>
      <c r="C611" s="140" t="s">
        <v>415</v>
      </c>
      <c r="D611" s="140" t="s">
        <v>404</v>
      </c>
      <c r="E611" s="164">
        <v>490</v>
      </c>
      <c r="F611" s="164">
        <v>16</v>
      </c>
      <c r="G611" s="164">
        <v>57</v>
      </c>
      <c r="H611" s="164">
        <v>22</v>
      </c>
      <c r="I611" s="164">
        <v>4.5</v>
      </c>
      <c r="J611" s="140" t="s">
        <v>405</v>
      </c>
      <c r="K611" s="165" t="s">
        <v>405</v>
      </c>
      <c r="L611" s="140" t="s">
        <v>406</v>
      </c>
      <c r="M611" s="140" t="s">
        <v>66</v>
      </c>
      <c r="N611" s="140" t="str">
        <f t="shared" si="9"/>
        <v>Leche continuación · INTA-0604</v>
      </c>
      <c r="O611" s="13"/>
      <c r="P611" s="13"/>
      <c r="Q611" s="13"/>
    </row>
    <row r="612" spans="1:17" ht="15" customHeight="1">
      <c r="A612" s="140" t="s">
        <v>1658</v>
      </c>
      <c r="B612" s="140" t="s">
        <v>1659</v>
      </c>
      <c r="C612" s="140" t="s">
        <v>415</v>
      </c>
      <c r="D612" s="140" t="s">
        <v>404</v>
      </c>
      <c r="E612" s="164">
        <v>524</v>
      </c>
      <c r="F612" s="164">
        <v>14</v>
      </c>
      <c r="G612" s="164">
        <v>54</v>
      </c>
      <c r="H612" s="164">
        <v>28</v>
      </c>
      <c r="I612" s="164">
        <v>0</v>
      </c>
      <c r="J612" s="140" t="s">
        <v>405</v>
      </c>
      <c r="K612" s="165" t="s">
        <v>405</v>
      </c>
      <c r="L612" s="140" t="s">
        <v>406</v>
      </c>
      <c r="M612" s="140" t="s">
        <v>66</v>
      </c>
      <c r="N612" s="140" t="str">
        <f t="shared" si="9"/>
        <v>Fórmula láctea prematuro · INTA-0605</v>
      </c>
      <c r="O612" s="13"/>
      <c r="P612" s="13"/>
      <c r="Q612" s="13"/>
    </row>
    <row r="613" spans="1:17" ht="15" customHeight="1">
      <c r="A613" s="136" t="s">
        <v>1660</v>
      </c>
      <c r="B613" s="136" t="s">
        <v>1661</v>
      </c>
      <c r="C613" s="136" t="s">
        <v>415</v>
      </c>
      <c r="D613" s="136" t="s">
        <v>404</v>
      </c>
      <c r="E613" s="162">
        <v>498</v>
      </c>
      <c r="F613" s="162">
        <v>14.4</v>
      </c>
      <c r="G613" s="162">
        <v>53.2</v>
      </c>
      <c r="H613" s="162">
        <v>25.9</v>
      </c>
      <c r="I613" s="163" t="s">
        <v>405</v>
      </c>
      <c r="J613" s="136" t="s">
        <v>405</v>
      </c>
      <c r="K613" s="163" t="s">
        <v>405</v>
      </c>
      <c r="L613" s="136" t="s">
        <v>406</v>
      </c>
      <c r="M613" s="136" t="s">
        <v>66</v>
      </c>
      <c r="N613" s="136" t="str">
        <f t="shared" si="9"/>
        <v>Fórmula láctea prematuro 2 · INTA-0606</v>
      </c>
      <c r="O613" s="13"/>
      <c r="P613" s="13"/>
      <c r="Q613" s="13"/>
    </row>
    <row r="614" spans="1:17" ht="15" customHeight="1">
      <c r="A614" s="140" t="s">
        <v>1662</v>
      </c>
      <c r="B614" s="140" t="s">
        <v>1663</v>
      </c>
      <c r="C614" s="140" t="s">
        <v>415</v>
      </c>
      <c r="D614" s="140" t="s">
        <v>404</v>
      </c>
      <c r="E614" s="164">
        <v>454</v>
      </c>
      <c r="F614" s="164">
        <v>19.399999999999999</v>
      </c>
      <c r="G614" s="164">
        <v>51.2</v>
      </c>
      <c r="H614" s="164">
        <v>19.100000000000001</v>
      </c>
      <c r="I614" s="165">
        <v>1.7</v>
      </c>
      <c r="J614" s="140" t="s">
        <v>405</v>
      </c>
      <c r="K614" s="165" t="s">
        <v>405</v>
      </c>
      <c r="L614" s="140" t="s">
        <v>406</v>
      </c>
      <c r="M614" s="140" t="s">
        <v>66</v>
      </c>
      <c r="N614" s="140" t="str">
        <f t="shared" si="9"/>
        <v>Fórmula láctea Purita Cereal · INTA-0607</v>
      </c>
      <c r="O614" s="13"/>
      <c r="P614" s="13"/>
      <c r="Q614" s="13"/>
    </row>
    <row r="615" spans="1:17" ht="15" customHeight="1">
      <c r="A615" s="140" t="s">
        <v>1664</v>
      </c>
      <c r="B615" s="140" t="s">
        <v>1665</v>
      </c>
      <c r="C615" s="140" t="s">
        <v>415</v>
      </c>
      <c r="D615" s="140" t="s">
        <v>404</v>
      </c>
      <c r="E615" s="164">
        <v>498</v>
      </c>
      <c r="F615" s="164">
        <v>25.8</v>
      </c>
      <c r="G615" s="164">
        <v>38.5</v>
      </c>
      <c r="H615" s="164">
        <v>26.7</v>
      </c>
      <c r="I615" s="165">
        <v>0</v>
      </c>
      <c r="J615" s="140" t="s">
        <v>405</v>
      </c>
      <c r="K615" s="165" t="s">
        <v>405</v>
      </c>
      <c r="L615" s="140" t="s">
        <v>406</v>
      </c>
      <c r="M615" s="140" t="s">
        <v>66</v>
      </c>
      <c r="N615" s="140" t="str">
        <f t="shared" si="9"/>
        <v>Leche Purita Fortificada · INTA-0608</v>
      </c>
      <c r="O615" s="13"/>
      <c r="P615" s="13"/>
      <c r="Q615" s="13"/>
    </row>
    <row r="616" spans="1:17" ht="15" customHeight="1">
      <c r="A616" s="136" t="s">
        <v>1666</v>
      </c>
      <c r="B616" s="136" t="s">
        <v>1667</v>
      </c>
      <c r="C616" s="136" t="s">
        <v>415</v>
      </c>
      <c r="D616" s="136" t="s">
        <v>404</v>
      </c>
      <c r="E616" s="162">
        <v>391</v>
      </c>
      <c r="F616" s="162">
        <v>21.3</v>
      </c>
      <c r="G616" s="162">
        <v>55.4</v>
      </c>
      <c r="H616" s="162">
        <v>9.3000000000000007</v>
      </c>
      <c r="I616" s="163">
        <v>1.2</v>
      </c>
      <c r="J616" s="136" t="s">
        <v>405</v>
      </c>
      <c r="K616" s="163" t="s">
        <v>405</v>
      </c>
      <c r="L616" s="136" t="s">
        <v>406</v>
      </c>
      <c r="M616" s="136" t="s">
        <v>66</v>
      </c>
      <c r="N616" s="136" t="str">
        <f t="shared" si="9"/>
        <v>Bebida láctea Purita Mamá · INTA-0609</v>
      </c>
      <c r="O616" s="13"/>
      <c r="P616" s="13"/>
      <c r="Q616" s="13"/>
    </row>
    <row r="617" spans="1:17" ht="15" customHeight="1">
      <c r="A617" s="140" t="s">
        <v>1668</v>
      </c>
      <c r="B617" s="140" t="s">
        <v>1669</v>
      </c>
      <c r="C617" s="140" t="s">
        <v>415</v>
      </c>
      <c r="D617" s="140" t="s">
        <v>404</v>
      </c>
      <c r="E617" s="164">
        <v>411</v>
      </c>
      <c r="F617" s="164">
        <v>12</v>
      </c>
      <c r="G617" s="164">
        <v>57</v>
      </c>
      <c r="H617" s="164">
        <v>15</v>
      </c>
      <c r="I617" s="165">
        <v>4</v>
      </c>
      <c r="J617" s="140" t="s">
        <v>405</v>
      </c>
      <c r="K617" s="165" t="s">
        <v>405</v>
      </c>
      <c r="L617" s="140" t="s">
        <v>406</v>
      </c>
      <c r="M617" s="140" t="s">
        <v>66</v>
      </c>
      <c r="N617" s="140" t="str">
        <f t="shared" si="9"/>
        <v>Sopa crema de ave Mi sopita · INTA-0610</v>
      </c>
      <c r="O617" s="13"/>
      <c r="P617" s="13"/>
      <c r="Q617" s="13"/>
    </row>
    <row r="618" spans="1:17" ht="15" customHeight="1">
      <c r="A618" s="136" t="s">
        <v>1670</v>
      </c>
      <c r="B618" s="136" t="s">
        <v>1671</v>
      </c>
      <c r="C618" s="136" t="s">
        <v>415</v>
      </c>
      <c r="D618" s="136" t="s">
        <v>404</v>
      </c>
      <c r="E618" s="162">
        <v>411</v>
      </c>
      <c r="F618" s="162">
        <v>12</v>
      </c>
      <c r="G618" s="162">
        <v>57</v>
      </c>
      <c r="H618" s="162">
        <v>15</v>
      </c>
      <c r="I618" s="162">
        <v>4</v>
      </c>
      <c r="J618" s="136" t="s">
        <v>405</v>
      </c>
      <c r="K618" s="163" t="s">
        <v>405</v>
      </c>
      <c r="L618" s="136" t="s">
        <v>406</v>
      </c>
      <c r="M618" s="136" t="s">
        <v>66</v>
      </c>
      <c r="N618" s="136" t="str">
        <f t="shared" si="9"/>
        <v>Sopa crema de legumbres Mi sopita · INTA-0611</v>
      </c>
      <c r="O618" s="13"/>
      <c r="P618" s="13"/>
      <c r="Q618" s="13"/>
    </row>
    <row r="619" spans="1:17" ht="15" customHeight="1">
      <c r="A619" s="140" t="s">
        <v>1672</v>
      </c>
      <c r="B619" s="140" t="s">
        <v>1673</v>
      </c>
      <c r="C619" s="140" t="s">
        <v>415</v>
      </c>
      <c r="D619" s="140" t="s">
        <v>404</v>
      </c>
      <c r="E619" s="164">
        <v>415</v>
      </c>
      <c r="F619" s="164">
        <v>12.5</v>
      </c>
      <c r="G619" s="164">
        <v>57.5</v>
      </c>
      <c r="H619" s="164">
        <v>15</v>
      </c>
      <c r="I619" s="164">
        <v>4.2</v>
      </c>
      <c r="J619" s="140" t="s">
        <v>405</v>
      </c>
      <c r="K619" s="165" t="s">
        <v>405</v>
      </c>
      <c r="L619" s="140" t="s">
        <v>406</v>
      </c>
      <c r="M619" s="140" t="s">
        <v>66</v>
      </c>
      <c r="N619" s="140" t="str">
        <f t="shared" si="9"/>
        <v>Sopa crema de verduras Mi sopita · INTA-0612</v>
      </c>
      <c r="O619" s="13"/>
      <c r="P619" s="13"/>
      <c r="Q619" s="13"/>
    </row>
    <row r="620" spans="1:17" ht="15" customHeight="1">
      <c r="A620" s="136" t="s">
        <v>1674</v>
      </c>
      <c r="B620" s="136" t="s">
        <v>1675</v>
      </c>
      <c r="C620" s="136" t="s">
        <v>415</v>
      </c>
      <c r="D620" s="136" t="s">
        <v>404</v>
      </c>
      <c r="E620" s="162">
        <v>466</v>
      </c>
      <c r="F620" s="162">
        <v>13.1</v>
      </c>
      <c r="G620" s="162">
        <v>49.8</v>
      </c>
      <c r="H620" s="162">
        <v>23</v>
      </c>
      <c r="I620" s="162">
        <v>3.7</v>
      </c>
      <c r="J620" s="136" t="s">
        <v>405</v>
      </c>
      <c r="K620" s="163" t="s">
        <v>405</v>
      </c>
      <c r="L620" s="136" t="s">
        <v>406</v>
      </c>
      <c r="M620" s="136" t="s">
        <v>66</v>
      </c>
      <c r="N620" s="136" t="str">
        <f t="shared" si="9"/>
        <v>MMA-PA Anamix Infant · INTA-0613</v>
      </c>
      <c r="O620" s="13"/>
      <c r="P620" s="13"/>
      <c r="Q620" s="13"/>
    </row>
    <row r="621" spans="1:17" ht="15" customHeight="1">
      <c r="A621" s="140" t="s">
        <v>1676</v>
      </c>
      <c r="B621" s="140" t="s">
        <v>1677</v>
      </c>
      <c r="C621" s="140" t="s">
        <v>415</v>
      </c>
      <c r="D621" s="140" t="s">
        <v>404</v>
      </c>
      <c r="E621" s="164">
        <v>420</v>
      </c>
      <c r="F621" s="164">
        <v>12.5</v>
      </c>
      <c r="G621" s="164">
        <v>68</v>
      </c>
      <c r="H621" s="164">
        <v>11</v>
      </c>
      <c r="I621" s="164">
        <v>0</v>
      </c>
      <c r="J621" s="140" t="s">
        <v>405</v>
      </c>
      <c r="K621" s="165" t="s">
        <v>405</v>
      </c>
      <c r="L621" s="140" t="s">
        <v>406</v>
      </c>
      <c r="M621" s="140" t="s">
        <v>66</v>
      </c>
      <c r="N621" s="140" t="str">
        <f t="shared" si="9"/>
        <v>Monogen · INTA-0614</v>
      </c>
      <c r="O621" s="13"/>
      <c r="P621" s="13"/>
      <c r="Q621" s="13"/>
    </row>
    <row r="622" spans="1:17" ht="15" customHeight="1">
      <c r="A622" s="136" t="s">
        <v>1678</v>
      </c>
      <c r="B622" s="136" t="s">
        <v>1679</v>
      </c>
      <c r="C622" s="136" t="s">
        <v>415</v>
      </c>
      <c r="D622" s="136" t="s">
        <v>404</v>
      </c>
      <c r="E622" s="162">
        <v>457</v>
      </c>
      <c r="F622" s="162">
        <v>13.1</v>
      </c>
      <c r="G622" s="162">
        <v>49.5</v>
      </c>
      <c r="H622" s="162">
        <v>23</v>
      </c>
      <c r="I622" s="162">
        <v>5.3</v>
      </c>
      <c r="J622" s="136" t="s">
        <v>405</v>
      </c>
      <c r="K622" s="163" t="s">
        <v>405</v>
      </c>
      <c r="L622" s="136" t="s">
        <v>406</v>
      </c>
      <c r="M622" s="136" t="s">
        <v>66</v>
      </c>
      <c r="N622" s="136" t="str">
        <f t="shared" si="9"/>
        <v>MSUD Anamix Infant · INTA-0615</v>
      </c>
      <c r="O622" s="13"/>
      <c r="P622" s="13"/>
      <c r="Q622" s="13"/>
    </row>
    <row r="623" spans="1:17" ht="15" customHeight="1">
      <c r="A623" s="140" t="s">
        <v>1680</v>
      </c>
      <c r="B623" s="140" t="s">
        <v>1681</v>
      </c>
      <c r="C623" s="140" t="s">
        <v>415</v>
      </c>
      <c r="D623" s="140" t="s">
        <v>404</v>
      </c>
      <c r="E623" s="164">
        <v>309</v>
      </c>
      <c r="F623" s="164">
        <v>25</v>
      </c>
      <c r="G623" s="164">
        <v>51</v>
      </c>
      <c r="H623" s="164">
        <v>0.5</v>
      </c>
      <c r="I623" s="165">
        <v>0</v>
      </c>
      <c r="J623" s="140" t="s">
        <v>405</v>
      </c>
      <c r="K623" s="165" t="s">
        <v>405</v>
      </c>
      <c r="L623" s="140" t="s">
        <v>406</v>
      </c>
      <c r="M623" s="140" t="s">
        <v>66</v>
      </c>
      <c r="N623" s="140" t="str">
        <f t="shared" si="9"/>
        <v>MSUD Maxamaid · INTA-0616</v>
      </c>
      <c r="O623" s="13"/>
      <c r="P623" s="13"/>
      <c r="Q623" s="13"/>
    </row>
    <row r="624" spans="1:17" ht="15" customHeight="1">
      <c r="A624" s="136" t="s">
        <v>1682</v>
      </c>
      <c r="B624" s="136" t="s">
        <v>1683</v>
      </c>
      <c r="C624" s="136" t="s">
        <v>415</v>
      </c>
      <c r="D624" s="136" t="s">
        <v>404</v>
      </c>
      <c r="E624" s="162">
        <v>297</v>
      </c>
      <c r="F624" s="162">
        <v>39</v>
      </c>
      <c r="G624" s="162">
        <v>34</v>
      </c>
      <c r="H624" s="162">
        <v>0.5</v>
      </c>
      <c r="I624" s="162">
        <v>0</v>
      </c>
      <c r="J624" s="136" t="s">
        <v>405</v>
      </c>
      <c r="K624" s="163" t="s">
        <v>405</v>
      </c>
      <c r="L624" s="136" t="s">
        <v>406</v>
      </c>
      <c r="M624" s="136" t="s">
        <v>66</v>
      </c>
      <c r="N624" s="136" t="str">
        <f t="shared" si="9"/>
        <v>MSUD Maxamum · INTA-0617</v>
      </c>
      <c r="O624" s="13"/>
      <c r="P624" s="13"/>
      <c r="Q624" s="13"/>
    </row>
    <row r="625" spans="1:17" ht="15" customHeight="1">
      <c r="A625" s="140" t="s">
        <v>1684</v>
      </c>
      <c r="B625" s="140" t="s">
        <v>1685</v>
      </c>
      <c r="C625" s="140" t="s">
        <v>415</v>
      </c>
      <c r="D625" s="140" t="s">
        <v>404</v>
      </c>
      <c r="E625" s="164">
        <v>289</v>
      </c>
      <c r="F625" s="164">
        <v>80</v>
      </c>
      <c r="G625" s="164">
        <v>22</v>
      </c>
      <c r="H625" s="164">
        <v>0</v>
      </c>
      <c r="I625" s="165">
        <v>0</v>
      </c>
      <c r="J625" s="140" t="s">
        <v>405</v>
      </c>
      <c r="K625" s="165" t="s">
        <v>405</v>
      </c>
      <c r="L625" s="140" t="s">
        <v>406</v>
      </c>
      <c r="M625" s="140" t="s">
        <v>66</v>
      </c>
      <c r="N625" s="140" t="str">
        <f t="shared" si="9"/>
        <v>MSUD Med A Plus · INTA-0618</v>
      </c>
      <c r="O625" s="13"/>
      <c r="P625" s="13"/>
      <c r="Q625" s="13"/>
    </row>
    <row r="626" spans="1:17" ht="15" customHeight="1">
      <c r="A626" s="140" t="s">
        <v>1686</v>
      </c>
      <c r="B626" s="140" t="s">
        <v>1687</v>
      </c>
      <c r="C626" s="140" t="s">
        <v>415</v>
      </c>
      <c r="D626" s="140" t="s">
        <v>404</v>
      </c>
      <c r="E626" s="164">
        <v>291</v>
      </c>
      <c r="F626" s="164">
        <v>62.1</v>
      </c>
      <c r="G626" s="164">
        <v>10.7</v>
      </c>
      <c r="H626" s="164">
        <v>0</v>
      </c>
      <c r="I626" s="165">
        <v>0</v>
      </c>
      <c r="J626" s="140" t="s">
        <v>405</v>
      </c>
      <c r="K626" s="165" t="s">
        <v>405</v>
      </c>
      <c r="L626" s="140" t="s">
        <v>406</v>
      </c>
      <c r="M626" s="140" t="s">
        <v>66</v>
      </c>
      <c r="N626" s="140" t="str">
        <f t="shared" si="9"/>
        <v>MSUD Med B Plus · INTA-0619</v>
      </c>
      <c r="O626" s="13"/>
      <c r="P626" s="13"/>
      <c r="Q626" s="13"/>
    </row>
    <row r="627" spans="1:17" ht="15" customHeight="1">
      <c r="A627" s="140" t="s">
        <v>1688</v>
      </c>
      <c r="B627" s="140" t="s">
        <v>1689</v>
      </c>
      <c r="C627" s="140" t="s">
        <v>415</v>
      </c>
      <c r="D627" s="140" t="s">
        <v>404</v>
      </c>
      <c r="E627" s="164">
        <v>290</v>
      </c>
      <c r="F627" s="164">
        <v>63.2</v>
      </c>
      <c r="G627" s="164">
        <v>9.1999999999999993</v>
      </c>
      <c r="H627" s="164">
        <v>0</v>
      </c>
      <c r="I627" s="165">
        <v>0</v>
      </c>
      <c r="J627" s="140" t="s">
        <v>405</v>
      </c>
      <c r="K627" s="165" t="s">
        <v>405</v>
      </c>
      <c r="L627" s="140" t="s">
        <v>406</v>
      </c>
      <c r="M627" s="140" t="s">
        <v>66</v>
      </c>
      <c r="N627" s="140" t="str">
        <f t="shared" si="9"/>
        <v>MSUD OAcMedB Plus · INTA-0620</v>
      </c>
      <c r="O627" s="13"/>
      <c r="P627" s="13"/>
      <c r="Q627" s="13"/>
    </row>
    <row r="628" spans="1:17" ht="15" customHeight="1">
      <c r="A628" s="140" t="s">
        <v>1690</v>
      </c>
      <c r="B628" s="140" t="s">
        <v>1691</v>
      </c>
      <c r="C628" s="140" t="s">
        <v>415</v>
      </c>
      <c r="D628" s="140" t="s">
        <v>404</v>
      </c>
      <c r="E628" s="164">
        <v>310</v>
      </c>
      <c r="F628" s="164">
        <v>77.5</v>
      </c>
      <c r="G628" s="164">
        <v>0</v>
      </c>
      <c r="H628" s="164">
        <v>0</v>
      </c>
      <c r="I628" s="165">
        <v>0</v>
      </c>
      <c r="J628" s="140" t="s">
        <v>405</v>
      </c>
      <c r="K628" s="165" t="s">
        <v>405</v>
      </c>
      <c r="L628" s="140" t="s">
        <v>406</v>
      </c>
      <c r="M628" s="140" t="s">
        <v>66</v>
      </c>
      <c r="N628" s="140" t="str">
        <f t="shared" si="9"/>
        <v>P-AM2 · INTA-0621</v>
      </c>
      <c r="O628" s="13"/>
      <c r="P628" s="13"/>
      <c r="Q628" s="13"/>
    </row>
    <row r="629" spans="1:17" ht="15" customHeight="1">
      <c r="A629" s="140" t="s">
        <v>1692</v>
      </c>
      <c r="B629" s="140" t="s">
        <v>1693</v>
      </c>
      <c r="C629" s="140" t="s">
        <v>415</v>
      </c>
      <c r="D629" s="140" t="s">
        <v>404</v>
      </c>
      <c r="E629" s="164">
        <v>480</v>
      </c>
      <c r="F629" s="164">
        <v>16.600000000000001</v>
      </c>
      <c r="G629" s="164">
        <v>53</v>
      </c>
      <c r="H629" s="164">
        <v>23.6</v>
      </c>
      <c r="I629" s="165" t="s">
        <v>405</v>
      </c>
      <c r="J629" s="140" t="s">
        <v>405</v>
      </c>
      <c r="K629" s="165" t="s">
        <v>405</v>
      </c>
      <c r="L629" s="140" t="s">
        <v>406</v>
      </c>
      <c r="M629" s="140" t="s">
        <v>66</v>
      </c>
      <c r="N629" s="140" t="str">
        <f t="shared" si="9"/>
        <v>Phenex 1 · INTA-0622</v>
      </c>
      <c r="O629" s="13"/>
      <c r="P629" s="13"/>
      <c r="Q629" s="13"/>
    </row>
    <row r="630" spans="1:17" ht="15" customHeight="1">
      <c r="A630" s="140" t="s">
        <v>1694</v>
      </c>
      <c r="B630" s="140" t="s">
        <v>1695</v>
      </c>
      <c r="C630" s="140" t="s">
        <v>415</v>
      </c>
      <c r="D630" s="140" t="s">
        <v>404</v>
      </c>
      <c r="E630" s="164">
        <v>410</v>
      </c>
      <c r="F630" s="164">
        <v>30</v>
      </c>
      <c r="G630" s="164">
        <v>35</v>
      </c>
      <c r="H630" s="164">
        <v>14</v>
      </c>
      <c r="I630" s="165" t="s">
        <v>405</v>
      </c>
      <c r="J630" s="140" t="s">
        <v>405</v>
      </c>
      <c r="K630" s="165" t="s">
        <v>405</v>
      </c>
      <c r="L630" s="140" t="s">
        <v>406</v>
      </c>
      <c r="M630" s="140" t="s">
        <v>66</v>
      </c>
      <c r="N630" s="140" t="str">
        <f t="shared" si="9"/>
        <v>Phenex 2 · INTA-0623</v>
      </c>
      <c r="O630" s="13"/>
      <c r="P630" s="13"/>
      <c r="Q630" s="13"/>
    </row>
    <row r="631" spans="1:17" ht="15" customHeight="1">
      <c r="A631" s="140" t="s">
        <v>1696</v>
      </c>
      <c r="B631" s="140" t="s">
        <v>1697</v>
      </c>
      <c r="C631" s="140" t="s">
        <v>415</v>
      </c>
      <c r="D631" s="140" t="s">
        <v>404</v>
      </c>
      <c r="E631" s="164">
        <v>280</v>
      </c>
      <c r="F631" s="164">
        <v>60</v>
      </c>
      <c r="G631" s="164">
        <v>10</v>
      </c>
      <c r="H631" s="164">
        <v>0</v>
      </c>
      <c r="I631" s="165">
        <v>0</v>
      </c>
      <c r="J631" s="140" t="s">
        <v>405</v>
      </c>
      <c r="K631" s="165" t="s">
        <v>405</v>
      </c>
      <c r="L631" s="140" t="s">
        <v>406</v>
      </c>
      <c r="M631" s="140" t="s">
        <v>66</v>
      </c>
      <c r="N631" s="140" t="str">
        <f t="shared" si="9"/>
        <v>PKU2 Nutri Concentrated · INTA-0624</v>
      </c>
      <c r="O631" s="13"/>
      <c r="P631" s="13"/>
      <c r="Q631" s="13"/>
    </row>
    <row r="632" spans="1:17" ht="15" customHeight="1">
      <c r="A632" s="140" t="s">
        <v>1698</v>
      </c>
      <c r="B632" s="140" t="s">
        <v>1699</v>
      </c>
      <c r="C632" s="140" t="s">
        <v>415</v>
      </c>
      <c r="D632" s="140" t="s">
        <v>404</v>
      </c>
      <c r="E632" s="164">
        <v>402</v>
      </c>
      <c r="F632" s="164">
        <v>27</v>
      </c>
      <c r="G632" s="164">
        <v>42</v>
      </c>
      <c r="H632" s="164">
        <v>14</v>
      </c>
      <c r="I632" s="165">
        <v>0</v>
      </c>
      <c r="J632" s="140" t="s">
        <v>405</v>
      </c>
      <c r="K632" s="165" t="s">
        <v>405</v>
      </c>
      <c r="L632" s="140" t="s">
        <v>406</v>
      </c>
      <c r="M632" s="140" t="s">
        <v>66</v>
      </c>
      <c r="N632" s="140" t="str">
        <f t="shared" si="9"/>
        <v>PKU 2 Nutri Energy · INTA-0625</v>
      </c>
      <c r="O632" s="13"/>
      <c r="P632" s="13"/>
      <c r="Q632" s="13"/>
    </row>
    <row r="633" spans="1:17" ht="15" customHeight="1">
      <c r="A633" s="140" t="s">
        <v>1700</v>
      </c>
      <c r="B633" s="140" t="s">
        <v>1701</v>
      </c>
      <c r="C633" s="140" t="s">
        <v>415</v>
      </c>
      <c r="D633" s="140" t="s">
        <v>404</v>
      </c>
      <c r="E633" s="164">
        <v>457</v>
      </c>
      <c r="F633" s="164">
        <v>13.1</v>
      </c>
      <c r="G633" s="164">
        <v>49.5</v>
      </c>
      <c r="H633" s="164">
        <v>23</v>
      </c>
      <c r="I633" s="165">
        <v>5.3</v>
      </c>
      <c r="J633" s="140" t="s">
        <v>405</v>
      </c>
      <c r="K633" s="165" t="s">
        <v>405</v>
      </c>
      <c r="L633" s="140" t="s">
        <v>406</v>
      </c>
      <c r="M633" s="140" t="s">
        <v>66</v>
      </c>
      <c r="N633" s="140" t="str">
        <f t="shared" si="9"/>
        <v>PKU Anamix Infant · INTA-0626</v>
      </c>
      <c r="O633" s="13"/>
      <c r="P633" s="13"/>
      <c r="Q633" s="13"/>
    </row>
    <row r="634" spans="1:17" ht="15" customHeight="1">
      <c r="A634" s="140" t="s">
        <v>1702</v>
      </c>
      <c r="B634" s="140" t="s">
        <v>1703</v>
      </c>
      <c r="C634" s="140" t="s">
        <v>415</v>
      </c>
      <c r="D634" s="140" t="s">
        <v>404</v>
      </c>
      <c r="E634" s="164">
        <v>424</v>
      </c>
      <c r="F634" s="164">
        <v>31.1</v>
      </c>
      <c r="G634" s="164">
        <v>40.6</v>
      </c>
      <c r="H634" s="164">
        <v>15</v>
      </c>
      <c r="I634" s="165" t="s">
        <v>405</v>
      </c>
      <c r="J634" s="140" t="s">
        <v>405</v>
      </c>
      <c r="K634" s="165" t="s">
        <v>405</v>
      </c>
      <c r="L634" s="140" t="s">
        <v>406</v>
      </c>
      <c r="M634" s="140" t="s">
        <v>66</v>
      </c>
      <c r="N634" s="140" t="str">
        <f t="shared" si="9"/>
        <v>PKU Fórmula · INTA-0627</v>
      </c>
      <c r="O634" s="13"/>
      <c r="P634" s="13"/>
      <c r="Q634" s="13"/>
    </row>
    <row r="635" spans="1:17" ht="15" customHeight="1">
      <c r="A635" s="140" t="s">
        <v>1704</v>
      </c>
      <c r="B635" s="140" t="s">
        <v>1705</v>
      </c>
      <c r="C635" s="140" t="s">
        <v>415</v>
      </c>
      <c r="D635" s="140" t="s">
        <v>404</v>
      </c>
      <c r="E635" s="164">
        <v>302</v>
      </c>
      <c r="F635" s="164">
        <v>75</v>
      </c>
      <c r="G635" s="164">
        <v>0.4</v>
      </c>
      <c r="H635" s="164">
        <v>0</v>
      </c>
      <c r="I635" s="165">
        <v>0</v>
      </c>
      <c r="J635" s="140" t="s">
        <v>405</v>
      </c>
      <c r="K635" s="165" t="s">
        <v>405</v>
      </c>
      <c r="L635" s="140" t="s">
        <v>406</v>
      </c>
      <c r="M635" s="140" t="s">
        <v>66</v>
      </c>
      <c r="N635" s="140" t="str">
        <f t="shared" si="9"/>
        <v>PKU Med B Plus · INTA-0628</v>
      </c>
      <c r="O635" s="13"/>
      <c r="P635" s="13"/>
      <c r="Q635" s="13"/>
    </row>
    <row r="636" spans="1:17" ht="15" customHeight="1">
      <c r="A636" s="140" t="s">
        <v>1706</v>
      </c>
      <c r="B636" s="140" t="s">
        <v>1707</v>
      </c>
      <c r="C636" s="140" t="s">
        <v>415</v>
      </c>
      <c r="D636" s="140" t="s">
        <v>404</v>
      </c>
      <c r="E636" s="164">
        <v>470</v>
      </c>
      <c r="F636" s="164">
        <v>16.5</v>
      </c>
      <c r="G636" s="164">
        <v>54</v>
      </c>
      <c r="H636" s="164">
        <v>22</v>
      </c>
      <c r="I636" s="165">
        <v>0</v>
      </c>
      <c r="J636" s="140" t="s">
        <v>405</v>
      </c>
      <c r="K636" s="165" t="s">
        <v>405</v>
      </c>
      <c r="L636" s="140" t="s">
        <v>406</v>
      </c>
      <c r="M636" s="140" t="s">
        <v>66</v>
      </c>
      <c r="N636" s="140" t="str">
        <f t="shared" si="9"/>
        <v>Portagen · INTA-0629</v>
      </c>
      <c r="O636" s="13"/>
      <c r="P636" s="13"/>
      <c r="Q636" s="13"/>
    </row>
    <row r="637" spans="1:17" ht="15" customHeight="1">
      <c r="A637" s="140" t="s">
        <v>1708</v>
      </c>
      <c r="B637" s="140" t="s">
        <v>1709</v>
      </c>
      <c r="C637" s="140" t="s">
        <v>415</v>
      </c>
      <c r="D637" s="140" t="s">
        <v>404</v>
      </c>
      <c r="E637" s="164">
        <v>495</v>
      </c>
      <c r="F637" s="164">
        <v>7.3</v>
      </c>
      <c r="G637" s="164">
        <v>61</v>
      </c>
      <c r="H637" s="164">
        <v>23.5</v>
      </c>
      <c r="I637" s="165" t="s">
        <v>405</v>
      </c>
      <c r="J637" s="140" t="s">
        <v>405</v>
      </c>
      <c r="K637" s="165" t="s">
        <v>405</v>
      </c>
      <c r="L637" s="140" t="s">
        <v>406</v>
      </c>
      <c r="M637" s="140" t="s">
        <v>66</v>
      </c>
      <c r="N637" s="140" t="str">
        <f t="shared" si="9"/>
        <v>Propimex 1 · INTA-0630</v>
      </c>
      <c r="O637" s="13"/>
      <c r="P637" s="13"/>
      <c r="Q637" s="13"/>
    </row>
    <row r="638" spans="1:17" ht="15" customHeight="1">
      <c r="A638" s="140" t="s">
        <v>1710</v>
      </c>
      <c r="B638" s="140" t="s">
        <v>1711</v>
      </c>
      <c r="C638" s="140" t="s">
        <v>415</v>
      </c>
      <c r="D638" s="140" t="s">
        <v>404</v>
      </c>
      <c r="E638" s="164">
        <v>434</v>
      </c>
      <c r="F638" s="164">
        <v>33.5</v>
      </c>
      <c r="G638" s="164">
        <v>54</v>
      </c>
      <c r="H638" s="164">
        <v>14.3</v>
      </c>
      <c r="I638" s="165" t="s">
        <v>405</v>
      </c>
      <c r="J638" s="140" t="s">
        <v>405</v>
      </c>
      <c r="K638" s="165" t="s">
        <v>405</v>
      </c>
      <c r="L638" s="140" t="s">
        <v>406</v>
      </c>
      <c r="M638" s="140" t="s">
        <v>66</v>
      </c>
      <c r="N638" s="140" t="str">
        <f t="shared" si="9"/>
        <v>Propimex 2 · INTA-0631</v>
      </c>
      <c r="O638" s="13"/>
      <c r="P638" s="13"/>
      <c r="Q638" s="13"/>
    </row>
    <row r="639" spans="1:17" ht="15" customHeight="1">
      <c r="A639" s="140" t="s">
        <v>1712</v>
      </c>
      <c r="B639" s="140" t="s">
        <v>1713</v>
      </c>
      <c r="C639" s="140" t="s">
        <v>415</v>
      </c>
      <c r="D639" s="140" t="s">
        <v>404</v>
      </c>
      <c r="E639" s="164">
        <v>297</v>
      </c>
      <c r="F639" s="164">
        <v>70</v>
      </c>
      <c r="G639" s="164">
        <v>0</v>
      </c>
      <c r="H639" s="164">
        <v>0</v>
      </c>
      <c r="I639" s="165" t="s">
        <v>405</v>
      </c>
      <c r="J639" s="140" t="s">
        <v>405</v>
      </c>
      <c r="K639" s="165" t="s">
        <v>405</v>
      </c>
      <c r="L639" s="140" t="s">
        <v>406</v>
      </c>
      <c r="M639" s="140" t="s">
        <v>66</v>
      </c>
      <c r="N639" s="140" t="str">
        <f t="shared" si="9"/>
        <v>Tyr 2 · INTA-0632</v>
      </c>
      <c r="O639" s="13"/>
      <c r="P639" s="13"/>
      <c r="Q639" s="13"/>
    </row>
    <row r="640" spans="1:17" ht="15" customHeight="1">
      <c r="A640" s="140" t="s">
        <v>1714</v>
      </c>
      <c r="B640" s="140" t="s">
        <v>1715</v>
      </c>
      <c r="C640" s="140" t="s">
        <v>415</v>
      </c>
      <c r="D640" s="140" t="s">
        <v>404</v>
      </c>
      <c r="E640" s="164">
        <v>498</v>
      </c>
      <c r="F640" s="164">
        <v>16.3</v>
      </c>
      <c r="G640" s="164">
        <v>52</v>
      </c>
      <c r="H640" s="164">
        <v>24.3</v>
      </c>
      <c r="I640" s="165" t="s">
        <v>405</v>
      </c>
      <c r="J640" s="140" t="s">
        <v>405</v>
      </c>
      <c r="K640" s="165" t="s">
        <v>405</v>
      </c>
      <c r="L640" s="140" t="s">
        <v>406</v>
      </c>
      <c r="M640" s="140" t="s">
        <v>66</v>
      </c>
      <c r="N640" s="140" t="str">
        <f t="shared" si="9"/>
        <v>Tyrex 1 · INTA-0633</v>
      </c>
      <c r="O640" s="13"/>
      <c r="P640" s="13"/>
      <c r="Q640" s="13"/>
    </row>
    <row r="641" spans="1:17" ht="15" customHeight="1">
      <c r="A641" s="140" t="s">
        <v>1716</v>
      </c>
      <c r="B641" s="140" t="s">
        <v>1717</v>
      </c>
      <c r="C641" s="140" t="s">
        <v>415</v>
      </c>
      <c r="D641" s="140" t="s">
        <v>404</v>
      </c>
      <c r="E641" s="164">
        <v>440</v>
      </c>
      <c r="F641" s="164">
        <v>38.1</v>
      </c>
      <c r="G641" s="164">
        <v>30</v>
      </c>
      <c r="H641" s="164">
        <v>15.8</v>
      </c>
      <c r="I641" s="165" t="s">
        <v>405</v>
      </c>
      <c r="J641" s="140" t="s">
        <v>405</v>
      </c>
      <c r="K641" s="165" t="s">
        <v>405</v>
      </c>
      <c r="L641" s="140" t="s">
        <v>406</v>
      </c>
      <c r="M641" s="140" t="s">
        <v>66</v>
      </c>
      <c r="N641" s="140" t="str">
        <f t="shared" si="9"/>
        <v>Tyrex 2 Advanta · INTA-0634</v>
      </c>
      <c r="O641" s="13"/>
      <c r="P641" s="13"/>
      <c r="Q641" s="13"/>
    </row>
    <row r="642" spans="1:17" ht="15" customHeight="1">
      <c r="A642" s="140" t="s">
        <v>1718</v>
      </c>
      <c r="B642" s="140" t="s">
        <v>1719</v>
      </c>
      <c r="C642" s="140" t="s">
        <v>415</v>
      </c>
      <c r="D642" s="140" t="s">
        <v>404</v>
      </c>
      <c r="E642" s="164">
        <v>309</v>
      </c>
      <c r="F642" s="164">
        <v>25</v>
      </c>
      <c r="G642" s="164">
        <v>51</v>
      </c>
      <c r="H642" s="164">
        <v>0.5</v>
      </c>
      <c r="I642" s="165">
        <v>0</v>
      </c>
      <c r="J642" s="140" t="s">
        <v>405</v>
      </c>
      <c r="K642" s="165" t="s">
        <v>405</v>
      </c>
      <c r="L642" s="140" t="s">
        <v>406</v>
      </c>
      <c r="M642" s="140" t="s">
        <v>66</v>
      </c>
      <c r="N642" s="140" t="str">
        <f t="shared" si="9"/>
        <v>XLEU Maxamaid · INTA-0635</v>
      </c>
      <c r="O642" s="13"/>
      <c r="P642" s="13"/>
      <c r="Q642" s="13"/>
    </row>
    <row r="643" spans="1:17" ht="15" customHeight="1">
      <c r="A643" s="140" t="s">
        <v>1720</v>
      </c>
      <c r="B643" s="140" t="s">
        <v>1721</v>
      </c>
      <c r="C643" s="140" t="s">
        <v>415</v>
      </c>
      <c r="D643" s="140" t="s">
        <v>404</v>
      </c>
      <c r="E643" s="164">
        <v>297</v>
      </c>
      <c r="F643" s="164">
        <v>39</v>
      </c>
      <c r="G643" s="164">
        <v>34</v>
      </c>
      <c r="H643" s="164">
        <v>0.5</v>
      </c>
      <c r="I643" s="165">
        <v>0</v>
      </c>
      <c r="J643" s="140" t="s">
        <v>405</v>
      </c>
      <c r="K643" s="165" t="s">
        <v>405</v>
      </c>
      <c r="L643" s="140" t="s">
        <v>406</v>
      </c>
      <c r="M643" s="140" t="s">
        <v>66</v>
      </c>
      <c r="N643" s="140" t="str">
        <f t="shared" si="9"/>
        <v>XLEU Maxamum · INTA-0636</v>
      </c>
      <c r="O643" s="13"/>
      <c r="P643" s="13"/>
      <c r="Q643" s="13"/>
    </row>
    <row r="644" spans="1:17" ht="15" customHeight="1">
      <c r="A644" s="140" t="s">
        <v>1722</v>
      </c>
      <c r="B644" s="140" t="s">
        <v>1723</v>
      </c>
      <c r="C644" s="140" t="s">
        <v>415</v>
      </c>
      <c r="D644" s="140" t="s">
        <v>404</v>
      </c>
      <c r="E644" s="164">
        <v>309</v>
      </c>
      <c r="F644" s="164">
        <v>25</v>
      </c>
      <c r="G644" s="164">
        <v>51</v>
      </c>
      <c r="H644" s="164">
        <v>0.5</v>
      </c>
      <c r="I644" s="165">
        <v>0</v>
      </c>
      <c r="J644" s="140" t="s">
        <v>405</v>
      </c>
      <c r="K644" s="165" t="s">
        <v>405</v>
      </c>
      <c r="L644" s="140" t="s">
        <v>406</v>
      </c>
      <c r="M644" s="140" t="s">
        <v>66</v>
      </c>
      <c r="N644" s="140" t="str">
        <f t="shared" si="9"/>
        <v>XLYSLOW TRY Maxamaid · INTA-0637</v>
      </c>
      <c r="O644" s="13"/>
      <c r="P644" s="13"/>
      <c r="Q644" s="13"/>
    </row>
    <row r="645" spans="1:17" ht="15" customHeight="1">
      <c r="A645" s="140" t="s">
        <v>1724</v>
      </c>
      <c r="B645" s="140" t="s">
        <v>1725</v>
      </c>
      <c r="C645" s="140" t="s">
        <v>415</v>
      </c>
      <c r="D645" s="140" t="s">
        <v>404</v>
      </c>
      <c r="E645" s="164">
        <v>297</v>
      </c>
      <c r="F645" s="164">
        <v>39</v>
      </c>
      <c r="G645" s="164">
        <v>34</v>
      </c>
      <c r="H645" s="164">
        <v>0.5</v>
      </c>
      <c r="I645" s="165">
        <v>0</v>
      </c>
      <c r="J645" s="140" t="s">
        <v>405</v>
      </c>
      <c r="K645" s="165" t="s">
        <v>405</v>
      </c>
      <c r="L645" s="140" t="s">
        <v>406</v>
      </c>
      <c r="M645" s="140" t="s">
        <v>66</v>
      </c>
      <c r="N645" s="140" t="str">
        <f t="shared" si="9"/>
        <v>XLYSLOW TRY Maxamum · INTA-0638</v>
      </c>
      <c r="O645" s="13"/>
      <c r="P645" s="13"/>
      <c r="Q645" s="13"/>
    </row>
    <row r="646" spans="1:17" ht="15" customHeight="1">
      <c r="A646" s="140" t="s">
        <v>1726</v>
      </c>
      <c r="B646" s="140" t="s">
        <v>1727</v>
      </c>
      <c r="C646" s="140" t="s">
        <v>415</v>
      </c>
      <c r="D646" s="140" t="s">
        <v>404</v>
      </c>
      <c r="E646" s="164">
        <v>297</v>
      </c>
      <c r="F646" s="164">
        <v>39</v>
      </c>
      <c r="G646" s="164">
        <v>34</v>
      </c>
      <c r="H646" s="164">
        <v>0.5</v>
      </c>
      <c r="I646" s="165">
        <v>0</v>
      </c>
      <c r="J646" s="140" t="s">
        <v>405</v>
      </c>
      <c r="K646" s="165" t="s">
        <v>405</v>
      </c>
      <c r="L646" s="140" t="s">
        <v>406</v>
      </c>
      <c r="M646" s="140" t="s">
        <v>66</v>
      </c>
      <c r="N646" s="140" t="str">
        <f t="shared" si="9"/>
        <v>XMTV Maxamaid · INTA-0639</v>
      </c>
      <c r="O646" s="13"/>
      <c r="P646" s="13"/>
      <c r="Q646" s="13"/>
    </row>
    <row r="647" spans="1:17" ht="15" customHeight="1">
      <c r="A647" s="140" t="s">
        <v>1728</v>
      </c>
      <c r="B647" s="140" t="s">
        <v>1729</v>
      </c>
      <c r="C647" s="140" t="s">
        <v>415</v>
      </c>
      <c r="D647" s="140" t="s">
        <v>404</v>
      </c>
      <c r="E647" s="164">
        <v>309</v>
      </c>
      <c r="F647" s="164">
        <v>25</v>
      </c>
      <c r="G647" s="164">
        <v>51</v>
      </c>
      <c r="H647" s="164">
        <v>0</v>
      </c>
      <c r="I647" s="165" t="s">
        <v>405</v>
      </c>
      <c r="J647" s="140" t="s">
        <v>405</v>
      </c>
      <c r="K647" s="165" t="s">
        <v>405</v>
      </c>
      <c r="L647" s="140" t="s">
        <v>406</v>
      </c>
      <c r="M647" s="140" t="s">
        <v>66</v>
      </c>
      <c r="N647" s="140" t="str">
        <f t="shared" si="9"/>
        <v>XP Maxamaid · INTA-0640</v>
      </c>
      <c r="O647" s="13"/>
      <c r="P647" s="13"/>
      <c r="Q647" s="13"/>
    </row>
    <row r="648" spans="1:17" ht="15" customHeight="1">
      <c r="A648" s="140" t="s">
        <v>1730</v>
      </c>
      <c r="B648" s="140" t="s">
        <v>1731</v>
      </c>
      <c r="C648" s="140" t="s">
        <v>415</v>
      </c>
      <c r="D648" s="140" t="s">
        <v>404</v>
      </c>
      <c r="E648" s="164">
        <v>297</v>
      </c>
      <c r="F648" s="164">
        <v>39</v>
      </c>
      <c r="G648" s="164">
        <v>34</v>
      </c>
      <c r="H648" s="164">
        <v>0.5</v>
      </c>
      <c r="I648" s="165">
        <v>0</v>
      </c>
      <c r="J648" s="140" t="s">
        <v>405</v>
      </c>
      <c r="K648" s="165" t="s">
        <v>405</v>
      </c>
      <c r="L648" s="140" t="s">
        <v>406</v>
      </c>
      <c r="M648" s="140" t="s">
        <v>66</v>
      </c>
      <c r="N648" s="140" t="str">
        <f t="shared" si="9"/>
        <v>XP Maxamum · INTA-0641</v>
      </c>
      <c r="O648" s="13"/>
      <c r="P648" s="13"/>
      <c r="Q648" s="13"/>
    </row>
    <row r="649" spans="1:17" ht="15" customHeight="1">
      <c r="A649" s="140" t="s">
        <v>1732</v>
      </c>
      <c r="B649" s="140" t="s">
        <v>1733</v>
      </c>
      <c r="C649" s="140" t="s">
        <v>415</v>
      </c>
      <c r="D649" s="140" t="s">
        <v>404</v>
      </c>
      <c r="E649" s="164">
        <v>297</v>
      </c>
      <c r="F649" s="164">
        <v>39</v>
      </c>
      <c r="G649" s="164">
        <v>34</v>
      </c>
      <c r="H649" s="164">
        <v>0.5</v>
      </c>
      <c r="I649" s="165" t="s">
        <v>405</v>
      </c>
      <c r="J649" s="140" t="s">
        <v>405</v>
      </c>
      <c r="K649" s="165" t="s">
        <v>405</v>
      </c>
      <c r="L649" s="140" t="s">
        <v>406</v>
      </c>
      <c r="M649" s="140" t="s">
        <v>66</v>
      </c>
      <c r="N649" s="140" t="str">
        <f t="shared" si="9"/>
        <v>XPHEN TYR Maxamum · INTA-0642</v>
      </c>
      <c r="O649" s="13"/>
      <c r="P649" s="13"/>
      <c r="Q649" s="13"/>
    </row>
  </sheetData>
  <sheetProtection algorithmName="SHA-512" hashValue="/O+K0vrk4slUUHWjWWkB9KmyCxZuJ71hEJyxKPekMGKbpk33Nf86Uhc/euRE7PgA8/nVi2qcRlYVXL3ld+tH0g==" saltValue="0j6RO0tU6NkfNvAMPzwZgw==" spinCount="100000" sheet="1" objects="1" scenarios="1" selectLockedCells="1" autoFilter="0"/>
  <mergeCells count="3">
    <mergeCell ref="A1:N1"/>
    <mergeCell ref="A2:N2"/>
    <mergeCell ref="K3:N3"/>
  </mergeCells>
  <hyperlinks>
    <hyperlink ref="A3" location="'INICIO'!A1" display="INICIO" xr:uid="{00000000-0004-0000-0A00-000000000000}"/>
    <hyperlink ref="B3" location="'DATOS'!A1" display="DATOS" xr:uid="{00000000-0004-0000-0A00-000001000000}"/>
    <hyperlink ref="C3" location="'DIETOSINTESIS'!A1" display="DIETOSINTESIS" xr:uid="{00000000-0004-0000-0A00-000002000000}"/>
    <hyperlink ref="D3" location="'DISTRIBUCION'!A1" display="DISTRIBUCION" xr:uid="{00000000-0004-0000-0A00-000003000000}"/>
    <hyperlink ref="E3" location="'MENU_SEMANAL'!A1" display="MENU_SEMANAL" xr:uid="{00000000-0004-0000-0A00-000004000000}"/>
    <hyperlink ref="F3" location="'SEMANA'!A1" display="SEMANA" xr:uid="{00000000-0004-0000-0A00-000005000000}"/>
    <hyperlink ref="G3" location="'RESULTADOS'!A1" display="RESULTADOS" xr:uid="{00000000-0004-0000-0A00-000006000000}"/>
    <hyperlink ref="H3" location="'FUENTES'!A1" display="FUENTES" xr:uid="{00000000-0004-0000-0A00-000007000000}"/>
    <hyperlink ref="I3" location="'PRUEBAS'!A1" display="PRUEBAS" xr:uid="{00000000-0004-0000-0A00-000008000000}"/>
    <hyperlink ref="J3" location="'CONFIG'!A1" display="CONFIG" xr:uid="{00000000-0004-0000-0A00-000009000000}"/>
    <hyperlink ref="K3" location="'CHANGELOG'!A1" display="CHANGELOG" xr:uid="{00000000-0004-0000-0A00-00000A000000}"/>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U218"/>
  <sheetViews>
    <sheetView showGridLines="0" tabSelected="1" zoomScaleNormal="100" workbookViewId="0">
      <pane ySplit="8" topLeftCell="A9" activePane="bottomLeft" state="frozen"/>
      <selection pane="bottomLeft" activeCell="E47" sqref="E47"/>
    </sheetView>
  </sheetViews>
  <sheetFormatPr baseColWidth="10" defaultColWidth="9.140625" defaultRowHeight="15"/>
  <cols>
    <col min="1" max="1" width="11" customWidth="1"/>
    <col min="2" max="2" width="14" customWidth="1"/>
    <col min="3" max="3" width="20" customWidth="1"/>
    <col min="4" max="4" width="30" customWidth="1"/>
    <col min="5" max="5" width="17.85546875" customWidth="1"/>
    <col min="6" max="6" width="9" customWidth="1"/>
    <col min="7" max="7" width="12" customWidth="1"/>
    <col min="8" max="8" width="11" customWidth="1"/>
    <col min="9" max="9" width="10" customWidth="1"/>
    <col min="10" max="10" width="11" customWidth="1"/>
    <col min="11" max="12" width="10" customWidth="1"/>
    <col min="13" max="13" width="13.7109375" customWidth="1"/>
    <col min="14" max="14" width="13.140625" customWidth="1"/>
    <col min="15" max="15" width="14.5703125" customWidth="1"/>
    <col min="16" max="17" width="12" customWidth="1"/>
    <col min="18" max="18" width="30" customWidth="1"/>
    <col min="19" max="19" width="6" hidden="1" customWidth="1"/>
    <col min="20" max="20" width="7" hidden="1" customWidth="1"/>
    <col min="21" max="21" width="8" hidden="1" customWidth="1"/>
  </cols>
  <sheetData>
    <row r="1" spans="1:21" ht="25.5" customHeight="1">
      <c r="A1" s="23" t="s">
        <v>1734</v>
      </c>
      <c r="B1" s="23"/>
      <c r="C1" s="23"/>
      <c r="D1" s="23"/>
      <c r="E1" s="23"/>
      <c r="F1" s="23"/>
      <c r="G1" s="23"/>
      <c r="H1" s="23"/>
      <c r="I1" s="23"/>
      <c r="J1" s="23"/>
      <c r="K1" s="23"/>
      <c r="L1" s="23"/>
      <c r="M1" s="23"/>
      <c r="N1" s="23"/>
      <c r="O1" s="23"/>
      <c r="P1" s="23"/>
      <c r="Q1" s="23"/>
      <c r="R1" s="23"/>
      <c r="S1" s="13"/>
      <c r="T1" s="13"/>
      <c r="U1" s="13"/>
    </row>
    <row r="2" spans="1:21" ht="26.25" customHeight="1">
      <c r="A2" s="38" t="s">
        <v>1735</v>
      </c>
      <c r="B2" s="38"/>
      <c r="C2" s="38"/>
      <c r="D2" s="38"/>
      <c r="E2" s="38"/>
      <c r="F2" s="38"/>
      <c r="G2" s="38"/>
      <c r="H2" s="38"/>
      <c r="I2" s="38"/>
      <c r="J2" s="38"/>
      <c r="K2" s="38"/>
      <c r="L2" s="38"/>
      <c r="M2" s="38"/>
      <c r="N2" s="38"/>
      <c r="O2" s="38"/>
      <c r="P2" s="38"/>
      <c r="Q2" s="38"/>
      <c r="R2" s="38"/>
      <c r="S2" s="13"/>
      <c r="T2" s="13"/>
      <c r="U2" s="13"/>
    </row>
    <row r="3" spans="1:21" ht="15.75" customHeight="1">
      <c r="A3" s="124" t="s">
        <v>2</v>
      </c>
      <c r="B3" s="124" t="s">
        <v>3</v>
      </c>
      <c r="C3" s="124" t="s">
        <v>4</v>
      </c>
      <c r="D3" s="124" t="s">
        <v>5</v>
      </c>
      <c r="E3" s="153" t="s">
        <v>6</v>
      </c>
      <c r="F3" s="159" t="s">
        <v>7</v>
      </c>
      <c r="G3" s="159"/>
      <c r="H3" s="159" t="s">
        <v>8</v>
      </c>
      <c r="I3" s="159"/>
      <c r="J3" s="159" t="s">
        <v>9</v>
      </c>
      <c r="K3" s="159"/>
      <c r="L3" s="159" t="s">
        <v>10</v>
      </c>
      <c r="M3" s="159"/>
      <c r="N3" s="159" t="s">
        <v>11</v>
      </c>
      <c r="O3" s="159"/>
      <c r="P3" s="159" t="s">
        <v>12</v>
      </c>
      <c r="Q3" s="159"/>
      <c r="R3" s="159"/>
      <c r="S3" s="13"/>
      <c r="T3" s="13"/>
      <c r="U3" s="13"/>
    </row>
    <row r="4" spans="1:21" ht="15" customHeight="1">
      <c r="A4" s="38" t="s">
        <v>1736</v>
      </c>
      <c r="B4" s="38"/>
      <c r="C4" s="38"/>
      <c r="D4" s="38"/>
      <c r="E4" s="38"/>
      <c r="F4" s="38"/>
      <c r="G4" s="38"/>
      <c r="H4" s="38"/>
      <c r="I4" s="38"/>
      <c r="J4" s="38"/>
      <c r="K4" s="38"/>
      <c r="L4" s="38"/>
      <c r="M4" s="38"/>
      <c r="N4" s="38"/>
      <c r="O4" s="38"/>
      <c r="P4" s="38"/>
      <c r="Q4" s="38"/>
      <c r="R4" s="38"/>
      <c r="S4" s="13"/>
      <c r="T4" s="13"/>
      <c r="U4" s="13"/>
    </row>
    <row r="5" spans="1:21" ht="15" customHeight="1">
      <c r="A5" s="166" t="s">
        <v>1737</v>
      </c>
      <c r="B5" s="166"/>
      <c r="C5" s="166"/>
      <c r="D5" s="166"/>
      <c r="E5" s="166"/>
      <c r="F5" s="166"/>
      <c r="G5" s="166"/>
      <c r="H5" s="166"/>
      <c r="I5" s="166"/>
      <c r="J5" s="166"/>
      <c r="K5" s="166"/>
      <c r="L5" s="166"/>
      <c r="M5" s="166"/>
      <c r="N5" s="166"/>
      <c r="O5" s="166"/>
      <c r="P5" s="166"/>
      <c r="Q5" s="166"/>
      <c r="R5" s="166"/>
      <c r="S5" s="13"/>
      <c r="T5" s="13"/>
      <c r="U5" s="13"/>
    </row>
    <row r="6" spans="1:21" ht="27.75" customHeight="1">
      <c r="A6" s="166"/>
      <c r="B6" s="166"/>
      <c r="C6" s="166"/>
      <c r="D6" s="166"/>
      <c r="E6" s="166"/>
      <c r="F6" s="166"/>
      <c r="G6" s="166"/>
      <c r="H6" s="166"/>
      <c r="I6" s="166"/>
      <c r="J6" s="166"/>
      <c r="K6" s="166"/>
      <c r="L6" s="166"/>
      <c r="M6" s="166"/>
      <c r="N6" s="166"/>
      <c r="O6" s="166"/>
      <c r="P6" s="166"/>
      <c r="Q6" s="166"/>
      <c r="R6" s="166"/>
      <c r="S6" s="13"/>
      <c r="T6" s="13"/>
      <c r="U6" s="13"/>
    </row>
    <row r="7" spans="1:21" ht="15" customHeight="1">
      <c r="A7" s="166"/>
      <c r="B7" s="166"/>
      <c r="C7" s="166"/>
      <c r="D7" s="166"/>
      <c r="E7" s="166"/>
      <c r="F7" s="166"/>
      <c r="G7" s="166"/>
      <c r="H7" s="166"/>
      <c r="I7" s="166"/>
      <c r="J7" s="166"/>
      <c r="K7" s="166"/>
      <c r="L7" s="166"/>
      <c r="M7" s="166"/>
      <c r="N7" s="166"/>
      <c r="O7" s="166"/>
      <c r="P7" s="166"/>
      <c r="Q7" s="166"/>
      <c r="R7" s="166"/>
      <c r="S7" s="13"/>
      <c r="T7" s="13"/>
      <c r="U7" s="13"/>
    </row>
    <row r="8" spans="1:21" ht="27.75" customHeight="1">
      <c r="A8" s="135" t="s">
        <v>88</v>
      </c>
      <c r="B8" s="135" t="s">
        <v>169</v>
      </c>
      <c r="C8" s="135" t="s">
        <v>388</v>
      </c>
      <c r="D8" s="135" t="s">
        <v>387</v>
      </c>
      <c r="E8" s="135" t="s">
        <v>1738</v>
      </c>
      <c r="F8" s="135" t="s">
        <v>1739</v>
      </c>
      <c r="G8" s="135" t="s">
        <v>1740</v>
      </c>
      <c r="H8" s="135" t="s">
        <v>1741</v>
      </c>
      <c r="I8" s="135" t="s">
        <v>1742</v>
      </c>
      <c r="J8" s="135" t="s">
        <v>1743</v>
      </c>
      <c r="K8" s="135" t="s">
        <v>1744</v>
      </c>
      <c r="L8" s="135" t="s">
        <v>1745</v>
      </c>
      <c r="M8" s="167" t="s">
        <v>1746</v>
      </c>
      <c r="N8" s="167" t="s">
        <v>1747</v>
      </c>
      <c r="O8" s="167" t="s">
        <v>1748</v>
      </c>
      <c r="P8" s="167" t="s">
        <v>1749</v>
      </c>
      <c r="Q8" s="167" t="s">
        <v>1750</v>
      </c>
      <c r="R8" s="135" t="s">
        <v>1751</v>
      </c>
      <c r="S8" s="168" t="s">
        <v>1752</v>
      </c>
      <c r="T8" s="168" t="s">
        <v>1753</v>
      </c>
      <c r="U8" s="168" t="s">
        <v>1754</v>
      </c>
    </row>
    <row r="9" spans="1:21" ht="26.25" customHeight="1">
      <c r="A9" s="2" t="s">
        <v>89</v>
      </c>
      <c r="B9" s="2" t="s">
        <v>350</v>
      </c>
      <c r="C9" s="2" t="s">
        <v>497</v>
      </c>
      <c r="D9" s="2" t="s">
        <v>1755</v>
      </c>
      <c r="E9" s="2" t="s">
        <v>1756</v>
      </c>
      <c r="F9" s="3"/>
      <c r="G9" s="3">
        <v>269</v>
      </c>
      <c r="H9" s="164">
        <f t="shared" ref="H9:H72" si="0">IF(OR($S9="",$S9="NF"),"",INDEX(b_ener,$S9))</f>
        <v>151</v>
      </c>
      <c r="I9" s="164">
        <f t="shared" ref="I9:I72" si="1">IF(OR($S9="",$S9="NF"),"",INDEX(b_prot,$S9))</f>
        <v>11.7</v>
      </c>
      <c r="J9" s="164">
        <f t="shared" ref="J9:J72" si="2">IF(OR($S9="",$S9="NF"),"",INDEX(b_hc,$S9))</f>
        <v>1.5</v>
      </c>
      <c r="K9" s="164">
        <f t="shared" ref="K9:K72" si="3">IF(OR($S9="",$S9="NF"),"",INDEX(b_lip,$S9))</f>
        <v>10.5</v>
      </c>
      <c r="L9" s="164">
        <f t="shared" ref="L9:L72" si="4">IF(OR($S9="",$S9="NF"),"",INDEX(b_fib,$S9))</f>
        <v>0</v>
      </c>
      <c r="M9" s="169">
        <f t="shared" ref="M9:M72" si="5">IF(OR(NOT(ISNUMBER($U9)),NOT(ISNUMBER($H9))),"",ROUND($U9*$H9/100,1))</f>
        <v>406.2</v>
      </c>
      <c r="N9" s="169">
        <f t="shared" ref="N9:N72" si="6">IF(OR(NOT(ISNUMBER($U9)),NOT(ISNUMBER($I9))),"",ROUND($U9*$I9/100,2))</f>
        <v>31.47</v>
      </c>
      <c r="O9" s="169">
        <f t="shared" ref="O9:O72" si="7">IF(OR(NOT(ISNUMBER($U9)),NOT(ISNUMBER($J9))),"",ROUND($U9*$J9/100,2))</f>
        <v>4.04</v>
      </c>
      <c r="P9" s="169">
        <f t="shared" ref="P9:P72" si="8">IF(OR(NOT(ISNUMBER($U9)),NOT(ISNUMBER($K9))),"",ROUND($U9*$K9/100,2))</f>
        <v>28.25</v>
      </c>
      <c r="Q9" s="169">
        <f t="shared" ref="Q9:Q72" si="9">IF(OR(NOT(ISNUMBER($U9)),NOT(ISNUMBER($L9))),"",ROUND($U9*$L9/100,2))</f>
        <v>0</v>
      </c>
      <c r="R9" s="170" t="str">
        <f t="shared" ref="R9:R72" si="10">IF($D9="","",IF($S9="NF","Alimento no encontrado",IF(AND($E9="Porciones",NOT(ISNUMBER($U9))),"Porción no documentada: use gramos",IF(NOT(ISNUMBER($U9)),"Ingrese los gramos",IF(OR($H9="ND",$I9="ND",$J9="ND",$K9="ND",$L9="ND"),"Dato incompleto (ND): el total puede subestimar","OK")))))</f>
        <v>OK</v>
      </c>
      <c r="S9" s="171">
        <f t="shared" ref="S9:S72" si="11">IF(OR($D9="",$D9=0),"",IFERROR(MATCH($D9,b_key,0),"NF"))</f>
        <v>137</v>
      </c>
      <c r="T9" s="171" t="str">
        <f t="shared" ref="T9:T72" si="12">IF($C9="","fg_all",IFERROR(VLOOKUP($C9,grp_map,2,0),"fg_all"))</f>
        <v>fg_10</v>
      </c>
      <c r="U9" s="171">
        <f t="shared" ref="U9:U72" si="13">IF(OR($D9="",$S9="NF",$S9=""),"",IF($E9="Porciones",IF(AND(ISNUMBER($F9),ISNUMBER(INDEX(b_porcg,$S9))),$F9*INDEX(b_porcg,$S9),"ND"),$G9))</f>
        <v>269</v>
      </c>
    </row>
    <row r="10" spans="1:21" ht="26.25" customHeight="1">
      <c r="A10" s="2" t="s">
        <v>89</v>
      </c>
      <c r="B10" s="2" t="s">
        <v>351</v>
      </c>
      <c r="C10" s="2" t="s">
        <v>443</v>
      </c>
      <c r="D10" s="2" t="s">
        <v>1773</v>
      </c>
      <c r="E10" s="2" t="s">
        <v>1756</v>
      </c>
      <c r="F10" s="3"/>
      <c r="G10" s="3">
        <v>260</v>
      </c>
      <c r="H10" s="164">
        <f t="shared" si="0"/>
        <v>156</v>
      </c>
      <c r="I10" s="164">
        <f t="shared" si="1"/>
        <v>10.199999999999999</v>
      </c>
      <c r="J10" s="164">
        <f t="shared" si="2"/>
        <v>20.5</v>
      </c>
      <c r="K10" s="164">
        <f t="shared" si="3"/>
        <v>3.6</v>
      </c>
      <c r="L10" s="164">
        <f t="shared" si="4"/>
        <v>32.299999999999997</v>
      </c>
      <c r="M10" s="169">
        <f t="shared" si="5"/>
        <v>405.6</v>
      </c>
      <c r="N10" s="169">
        <f t="shared" si="6"/>
        <v>26.52</v>
      </c>
      <c r="O10" s="169">
        <f t="shared" si="7"/>
        <v>53.3</v>
      </c>
      <c r="P10" s="169">
        <f t="shared" si="8"/>
        <v>9.36</v>
      </c>
      <c r="Q10" s="169">
        <f t="shared" si="9"/>
        <v>83.98</v>
      </c>
      <c r="R10" s="170" t="str">
        <f t="shared" si="10"/>
        <v>OK</v>
      </c>
      <c r="S10" s="171">
        <f t="shared" si="11"/>
        <v>548</v>
      </c>
      <c r="T10" s="171" t="str">
        <f t="shared" si="12"/>
        <v>fg_21</v>
      </c>
      <c r="U10" s="171">
        <f t="shared" si="13"/>
        <v>260</v>
      </c>
    </row>
    <row r="11" spans="1:21" ht="26.25" customHeight="1">
      <c r="A11" s="2" t="s">
        <v>89</v>
      </c>
      <c r="B11" s="2" t="s">
        <v>352</v>
      </c>
      <c r="C11" s="2" t="s">
        <v>423</v>
      </c>
      <c r="D11" s="2" t="s">
        <v>1757</v>
      </c>
      <c r="E11" s="2" t="s">
        <v>1756</v>
      </c>
      <c r="F11" s="3"/>
      <c r="G11" s="3">
        <v>250</v>
      </c>
      <c r="H11" s="164">
        <f t="shared" si="0"/>
        <v>162</v>
      </c>
      <c r="I11" s="164">
        <f t="shared" si="1"/>
        <v>11.2</v>
      </c>
      <c r="J11" s="164">
        <f t="shared" si="2"/>
        <v>1</v>
      </c>
      <c r="K11" s="164">
        <f t="shared" si="3"/>
        <v>12.6</v>
      </c>
      <c r="L11" s="164">
        <f t="shared" si="4"/>
        <v>0</v>
      </c>
      <c r="M11" s="169">
        <f t="shared" si="5"/>
        <v>405</v>
      </c>
      <c r="N11" s="169">
        <f t="shared" si="6"/>
        <v>28</v>
      </c>
      <c r="O11" s="169">
        <f t="shared" si="7"/>
        <v>2.5</v>
      </c>
      <c r="P11" s="169">
        <f t="shared" si="8"/>
        <v>31.5</v>
      </c>
      <c r="Q11" s="169">
        <f t="shared" si="9"/>
        <v>0</v>
      </c>
      <c r="R11" s="170" t="str">
        <f t="shared" si="10"/>
        <v>OK</v>
      </c>
      <c r="S11" s="171">
        <f t="shared" si="11"/>
        <v>111</v>
      </c>
      <c r="T11" s="171" t="str">
        <f t="shared" si="12"/>
        <v>fg_03</v>
      </c>
      <c r="U11" s="171">
        <f t="shared" si="13"/>
        <v>250</v>
      </c>
    </row>
    <row r="12" spans="1:21" ht="26.25" customHeight="1">
      <c r="A12" s="2" t="s">
        <v>89</v>
      </c>
      <c r="B12" s="2" t="s">
        <v>353</v>
      </c>
      <c r="C12" s="2" t="s">
        <v>423</v>
      </c>
      <c r="D12" s="2" t="s">
        <v>1758</v>
      </c>
      <c r="E12" s="2" t="s">
        <v>1756</v>
      </c>
      <c r="F12" s="3"/>
      <c r="G12" s="3">
        <v>233</v>
      </c>
      <c r="H12" s="164">
        <f t="shared" si="0"/>
        <v>174</v>
      </c>
      <c r="I12" s="164">
        <f t="shared" si="1"/>
        <v>27.3</v>
      </c>
      <c r="J12" s="164">
        <f t="shared" si="2"/>
        <v>0.6</v>
      </c>
      <c r="K12" s="164">
        <f t="shared" si="3"/>
        <v>6.4</v>
      </c>
      <c r="L12" s="164">
        <f t="shared" si="4"/>
        <v>0</v>
      </c>
      <c r="M12" s="169">
        <f t="shared" si="5"/>
        <v>405.4</v>
      </c>
      <c r="N12" s="169">
        <f t="shared" si="6"/>
        <v>63.61</v>
      </c>
      <c r="O12" s="169">
        <f t="shared" si="7"/>
        <v>1.4</v>
      </c>
      <c r="P12" s="169">
        <f t="shared" si="8"/>
        <v>14.91</v>
      </c>
      <c r="Q12" s="169">
        <f t="shared" si="9"/>
        <v>0</v>
      </c>
      <c r="R12" s="170" t="str">
        <f t="shared" si="10"/>
        <v>OK</v>
      </c>
      <c r="S12" s="171">
        <f t="shared" si="11"/>
        <v>94</v>
      </c>
      <c r="T12" s="171" t="str">
        <f t="shared" si="12"/>
        <v>fg_03</v>
      </c>
      <c r="U12" s="171">
        <f t="shared" si="13"/>
        <v>233</v>
      </c>
    </row>
    <row r="13" spans="1:21" ht="26.25" customHeight="1">
      <c r="A13" s="2" t="s">
        <v>89</v>
      </c>
      <c r="B13" s="2" t="s">
        <v>354</v>
      </c>
      <c r="C13" s="2" t="s">
        <v>493</v>
      </c>
      <c r="D13" s="2" t="s">
        <v>1778</v>
      </c>
      <c r="E13" s="2" t="s">
        <v>1756</v>
      </c>
      <c r="F13" s="3"/>
      <c r="G13" s="3">
        <v>100</v>
      </c>
      <c r="H13" s="164">
        <f t="shared" si="0"/>
        <v>486</v>
      </c>
      <c r="I13" s="164">
        <f t="shared" si="1"/>
        <v>16.5</v>
      </c>
      <c r="J13" s="164">
        <f t="shared" si="2"/>
        <v>7.7</v>
      </c>
      <c r="K13" s="164">
        <f t="shared" si="3"/>
        <v>30.7</v>
      </c>
      <c r="L13" s="164">
        <f t="shared" si="4"/>
        <v>34.4</v>
      </c>
      <c r="M13" s="169">
        <f t="shared" si="5"/>
        <v>486</v>
      </c>
      <c r="N13" s="169">
        <f t="shared" si="6"/>
        <v>16.5</v>
      </c>
      <c r="O13" s="169">
        <f t="shared" si="7"/>
        <v>7.7</v>
      </c>
      <c r="P13" s="169">
        <f t="shared" si="8"/>
        <v>30.7</v>
      </c>
      <c r="Q13" s="169">
        <f t="shared" si="9"/>
        <v>34.4</v>
      </c>
      <c r="R13" s="170" t="str">
        <f t="shared" si="10"/>
        <v>OK</v>
      </c>
      <c r="S13" s="171">
        <f t="shared" si="11"/>
        <v>223</v>
      </c>
      <c r="T13" s="171" t="str">
        <f t="shared" si="12"/>
        <v>fg_06</v>
      </c>
      <c r="U13" s="171">
        <f t="shared" si="13"/>
        <v>100</v>
      </c>
    </row>
    <row r="14" spans="1:21" ht="26.25" customHeight="1">
      <c r="A14" s="2" t="s">
        <v>90</v>
      </c>
      <c r="B14" s="2" t="s">
        <v>350</v>
      </c>
      <c r="C14" s="2" t="s">
        <v>469</v>
      </c>
      <c r="D14" s="2" t="s">
        <v>1759</v>
      </c>
      <c r="E14" s="2" t="s">
        <v>1756</v>
      </c>
      <c r="F14" s="3"/>
      <c r="G14" s="3">
        <v>210</v>
      </c>
      <c r="H14" s="164">
        <f t="shared" si="0"/>
        <v>189</v>
      </c>
      <c r="I14" s="164">
        <f t="shared" si="1"/>
        <v>19.5</v>
      </c>
      <c r="J14" s="164">
        <f t="shared" si="2"/>
        <v>1.1000000000000001</v>
      </c>
      <c r="K14" s="164">
        <f t="shared" si="3"/>
        <v>11.9</v>
      </c>
      <c r="L14" s="164">
        <f t="shared" si="4"/>
        <v>0</v>
      </c>
      <c r="M14" s="169">
        <f t="shared" si="5"/>
        <v>396.9</v>
      </c>
      <c r="N14" s="169">
        <f t="shared" si="6"/>
        <v>40.950000000000003</v>
      </c>
      <c r="O14" s="169">
        <f t="shared" si="7"/>
        <v>2.31</v>
      </c>
      <c r="P14" s="169">
        <f t="shared" si="8"/>
        <v>24.99</v>
      </c>
      <c r="Q14" s="169">
        <f t="shared" si="9"/>
        <v>0</v>
      </c>
      <c r="R14" s="170" t="str">
        <f t="shared" si="10"/>
        <v>OK</v>
      </c>
      <c r="S14" s="171">
        <f t="shared" si="11"/>
        <v>184</v>
      </c>
      <c r="T14" s="171" t="str">
        <f t="shared" si="12"/>
        <v>fg_04</v>
      </c>
      <c r="U14" s="171">
        <f t="shared" si="13"/>
        <v>210</v>
      </c>
    </row>
    <row r="15" spans="1:21" ht="26.25" customHeight="1">
      <c r="A15" s="2" t="s">
        <v>90</v>
      </c>
      <c r="B15" s="2" t="s">
        <v>351</v>
      </c>
      <c r="C15" s="2" t="s">
        <v>469</v>
      </c>
      <c r="D15" s="2" t="s">
        <v>1760</v>
      </c>
      <c r="E15" s="2" t="s">
        <v>1756</v>
      </c>
      <c r="F15" s="3"/>
      <c r="G15" s="3">
        <v>200</v>
      </c>
      <c r="H15" s="164">
        <f t="shared" si="0"/>
        <v>198</v>
      </c>
      <c r="I15" s="164">
        <f t="shared" si="1"/>
        <v>29.1</v>
      </c>
      <c r="J15" s="164">
        <f t="shared" si="2"/>
        <v>0</v>
      </c>
      <c r="K15" s="164">
        <f t="shared" si="3"/>
        <v>8.1999999999999993</v>
      </c>
      <c r="L15" s="164">
        <f t="shared" si="4"/>
        <v>0</v>
      </c>
      <c r="M15" s="169">
        <f t="shared" si="5"/>
        <v>396</v>
      </c>
      <c r="N15" s="169">
        <f t="shared" si="6"/>
        <v>58.2</v>
      </c>
      <c r="O15" s="169">
        <f t="shared" si="7"/>
        <v>0</v>
      </c>
      <c r="P15" s="169">
        <f t="shared" si="8"/>
        <v>16.399999999999999</v>
      </c>
      <c r="Q15" s="169">
        <f t="shared" si="9"/>
        <v>0</v>
      </c>
      <c r="R15" s="170" t="str">
        <f t="shared" si="10"/>
        <v>OK</v>
      </c>
      <c r="S15" s="171">
        <f t="shared" si="11"/>
        <v>165</v>
      </c>
      <c r="T15" s="171" t="str">
        <f t="shared" si="12"/>
        <v>fg_04</v>
      </c>
      <c r="U15" s="171">
        <f t="shared" si="13"/>
        <v>200</v>
      </c>
    </row>
    <row r="16" spans="1:21" ht="26.25" customHeight="1">
      <c r="A16" s="2" t="s">
        <v>90</v>
      </c>
      <c r="B16" s="2" t="s">
        <v>352</v>
      </c>
      <c r="C16" s="2" t="s">
        <v>423</v>
      </c>
      <c r="D16" s="2" t="s">
        <v>1761</v>
      </c>
      <c r="E16" s="2" t="s">
        <v>1756</v>
      </c>
      <c r="F16" s="3"/>
      <c r="G16" s="3">
        <v>197</v>
      </c>
      <c r="H16" s="164">
        <f t="shared" si="0"/>
        <v>201</v>
      </c>
      <c r="I16" s="164">
        <f t="shared" si="1"/>
        <v>23.5</v>
      </c>
      <c r="J16" s="164">
        <f t="shared" si="2"/>
        <v>0</v>
      </c>
      <c r="K16" s="164">
        <f t="shared" si="3"/>
        <v>11.2</v>
      </c>
      <c r="L16" s="164">
        <f t="shared" si="4"/>
        <v>0</v>
      </c>
      <c r="M16" s="169">
        <f t="shared" si="5"/>
        <v>396</v>
      </c>
      <c r="N16" s="169">
        <f t="shared" si="6"/>
        <v>46.3</v>
      </c>
      <c r="O16" s="169">
        <f t="shared" si="7"/>
        <v>0</v>
      </c>
      <c r="P16" s="169">
        <f t="shared" si="8"/>
        <v>22.06</v>
      </c>
      <c r="Q16" s="169">
        <f t="shared" si="9"/>
        <v>0</v>
      </c>
      <c r="R16" s="170" t="str">
        <f t="shared" si="10"/>
        <v>OK</v>
      </c>
      <c r="S16" s="171">
        <f t="shared" si="11"/>
        <v>63</v>
      </c>
      <c r="T16" s="171" t="str">
        <f t="shared" si="12"/>
        <v>fg_03</v>
      </c>
      <c r="U16" s="171">
        <f t="shared" si="13"/>
        <v>197</v>
      </c>
    </row>
    <row r="17" spans="1:21" ht="26.25" customHeight="1">
      <c r="A17" s="2" t="s">
        <v>90</v>
      </c>
      <c r="B17" s="2" t="s">
        <v>353</v>
      </c>
      <c r="C17" s="2" t="s">
        <v>423</v>
      </c>
      <c r="D17" s="2" t="s">
        <v>1785</v>
      </c>
      <c r="E17" s="2" t="s">
        <v>1756</v>
      </c>
      <c r="F17" s="3"/>
      <c r="G17" s="3">
        <v>187</v>
      </c>
      <c r="H17" s="164">
        <f t="shared" si="0"/>
        <v>191</v>
      </c>
      <c r="I17" s="164">
        <f t="shared" si="1"/>
        <v>29.1</v>
      </c>
      <c r="J17" s="164">
        <f t="shared" si="2"/>
        <v>5.0999999999999996</v>
      </c>
      <c r="K17" s="164">
        <f t="shared" si="3"/>
        <v>5.3</v>
      </c>
      <c r="L17" s="164">
        <f t="shared" si="4"/>
        <v>0</v>
      </c>
      <c r="M17" s="169">
        <f t="shared" si="5"/>
        <v>357.2</v>
      </c>
      <c r="N17" s="169">
        <f t="shared" si="6"/>
        <v>54.42</v>
      </c>
      <c r="O17" s="169">
        <f t="shared" si="7"/>
        <v>9.5399999999999991</v>
      </c>
      <c r="P17" s="169">
        <f t="shared" si="8"/>
        <v>9.91</v>
      </c>
      <c r="Q17" s="169">
        <f t="shared" si="9"/>
        <v>0</v>
      </c>
      <c r="R17" s="170" t="str">
        <f t="shared" si="10"/>
        <v>OK</v>
      </c>
      <c r="S17" s="171">
        <f t="shared" si="11"/>
        <v>108</v>
      </c>
      <c r="T17" s="171" t="str">
        <f t="shared" si="12"/>
        <v>fg_03</v>
      </c>
      <c r="U17" s="171">
        <f t="shared" si="13"/>
        <v>187</v>
      </c>
    </row>
    <row r="18" spans="1:21" ht="26.25" customHeight="1">
      <c r="A18" s="2" t="s">
        <v>90</v>
      </c>
      <c r="B18" s="2" t="s">
        <v>354</v>
      </c>
      <c r="C18" s="2" t="s">
        <v>473</v>
      </c>
      <c r="D18" s="2" t="s">
        <v>1786</v>
      </c>
      <c r="E18" s="2" t="s">
        <v>1756</v>
      </c>
      <c r="F18" s="3"/>
      <c r="G18" s="3">
        <v>174.65</v>
      </c>
      <c r="H18" s="164">
        <f t="shared" si="0"/>
        <v>58</v>
      </c>
      <c r="I18" s="164">
        <f t="shared" si="1"/>
        <v>0.4</v>
      </c>
      <c r="J18" s="164">
        <f t="shared" si="2"/>
        <v>13.8</v>
      </c>
      <c r="K18" s="164">
        <f t="shared" si="3"/>
        <v>0.1</v>
      </c>
      <c r="L18" s="164">
        <f t="shared" si="4"/>
        <v>1.4</v>
      </c>
      <c r="M18" s="169">
        <f t="shared" si="5"/>
        <v>101.3</v>
      </c>
      <c r="N18" s="169">
        <f t="shared" si="6"/>
        <v>0.7</v>
      </c>
      <c r="O18" s="169">
        <f t="shared" si="7"/>
        <v>24.1</v>
      </c>
      <c r="P18" s="169">
        <f t="shared" si="8"/>
        <v>0.17</v>
      </c>
      <c r="Q18" s="169">
        <f t="shared" si="9"/>
        <v>2.4500000000000002</v>
      </c>
      <c r="R18" s="170" t="str">
        <f t="shared" si="10"/>
        <v>OK</v>
      </c>
      <c r="S18" s="171">
        <f t="shared" si="11"/>
        <v>579</v>
      </c>
      <c r="T18" s="171" t="str">
        <f t="shared" si="12"/>
        <v>fg_23</v>
      </c>
      <c r="U18" s="171">
        <f t="shared" si="13"/>
        <v>174.65</v>
      </c>
    </row>
    <row r="19" spans="1:21" ht="26.25" customHeight="1">
      <c r="A19" s="2" t="s">
        <v>91</v>
      </c>
      <c r="B19" s="2" t="s">
        <v>350</v>
      </c>
      <c r="C19" s="2" t="s">
        <v>423</v>
      </c>
      <c r="D19" s="2" t="s">
        <v>1784</v>
      </c>
      <c r="E19" s="2" t="s">
        <v>1756</v>
      </c>
      <c r="F19" s="3"/>
      <c r="G19" s="3">
        <v>179</v>
      </c>
      <c r="H19" s="164">
        <f t="shared" si="0"/>
        <v>517</v>
      </c>
      <c r="I19" s="164">
        <f t="shared" si="1"/>
        <v>29.1</v>
      </c>
      <c r="J19" s="164">
        <f t="shared" si="2"/>
        <v>0.8</v>
      </c>
      <c r="K19" s="164">
        <f t="shared" si="3"/>
        <v>44.2</v>
      </c>
      <c r="L19" s="164">
        <f t="shared" si="4"/>
        <v>0</v>
      </c>
      <c r="M19" s="169">
        <f t="shared" si="5"/>
        <v>925.4</v>
      </c>
      <c r="N19" s="169">
        <f t="shared" si="6"/>
        <v>52.09</v>
      </c>
      <c r="O19" s="169">
        <f t="shared" si="7"/>
        <v>1.43</v>
      </c>
      <c r="P19" s="169">
        <f t="shared" si="8"/>
        <v>79.12</v>
      </c>
      <c r="Q19" s="169">
        <f t="shared" si="9"/>
        <v>0</v>
      </c>
      <c r="R19" s="170" t="str">
        <f t="shared" si="10"/>
        <v>OK</v>
      </c>
      <c r="S19" s="171">
        <f t="shared" si="11"/>
        <v>138</v>
      </c>
      <c r="T19" s="171" t="str">
        <f t="shared" si="12"/>
        <v>fg_03</v>
      </c>
      <c r="U19" s="171">
        <f t="shared" si="13"/>
        <v>179</v>
      </c>
    </row>
    <row r="20" spans="1:21" ht="26.25" customHeight="1">
      <c r="A20" s="2" t="s">
        <v>91</v>
      </c>
      <c r="B20" s="2" t="s">
        <v>351</v>
      </c>
      <c r="C20" s="2" t="s">
        <v>427</v>
      </c>
      <c r="D20" s="2" t="s">
        <v>1762</v>
      </c>
      <c r="E20" s="2" t="s">
        <v>1756</v>
      </c>
      <c r="F20" s="3"/>
      <c r="G20" s="3">
        <v>172</v>
      </c>
      <c r="H20" s="164">
        <f t="shared" si="0"/>
        <v>244</v>
      </c>
      <c r="I20" s="164">
        <f t="shared" si="1"/>
        <v>8.1</v>
      </c>
      <c r="J20" s="164">
        <f t="shared" si="2"/>
        <v>49.9</v>
      </c>
      <c r="K20" s="164">
        <f t="shared" si="3"/>
        <v>1.4</v>
      </c>
      <c r="L20" s="164">
        <f t="shared" si="4"/>
        <v>3.3</v>
      </c>
      <c r="M20" s="169">
        <f t="shared" si="5"/>
        <v>419.7</v>
      </c>
      <c r="N20" s="169">
        <f t="shared" si="6"/>
        <v>13.93</v>
      </c>
      <c r="O20" s="169">
        <f t="shared" si="7"/>
        <v>85.83</v>
      </c>
      <c r="P20" s="169">
        <f t="shared" si="8"/>
        <v>2.41</v>
      </c>
      <c r="Q20" s="169">
        <f t="shared" si="9"/>
        <v>5.68</v>
      </c>
      <c r="R20" s="170" t="str">
        <f t="shared" si="10"/>
        <v>OK</v>
      </c>
      <c r="S20" s="171">
        <f t="shared" si="11"/>
        <v>238</v>
      </c>
      <c r="T20" s="171" t="str">
        <f t="shared" si="12"/>
        <v>fg_07</v>
      </c>
      <c r="U20" s="171">
        <f t="shared" si="13"/>
        <v>172</v>
      </c>
    </row>
    <row r="21" spans="1:21" ht="26.25" customHeight="1">
      <c r="A21" s="2" t="s">
        <v>91</v>
      </c>
      <c r="B21" s="2" t="s">
        <v>352</v>
      </c>
      <c r="C21" s="2" t="s">
        <v>443</v>
      </c>
      <c r="D21" s="2" t="s">
        <v>1776</v>
      </c>
      <c r="E21" s="2" t="s">
        <v>1756</v>
      </c>
      <c r="F21" s="3"/>
      <c r="G21" s="3">
        <v>169</v>
      </c>
      <c r="H21" s="164">
        <f t="shared" si="0"/>
        <v>23</v>
      </c>
      <c r="I21" s="164">
        <f t="shared" si="1"/>
        <v>3.2</v>
      </c>
      <c r="J21" s="164">
        <f t="shared" si="2"/>
        <v>1.1000000000000001</v>
      </c>
      <c r="K21" s="164">
        <f t="shared" si="3"/>
        <v>0.6</v>
      </c>
      <c r="L21" s="164">
        <f t="shared" si="4"/>
        <v>1.6</v>
      </c>
      <c r="M21" s="169">
        <f t="shared" si="5"/>
        <v>38.9</v>
      </c>
      <c r="N21" s="169">
        <f t="shared" si="6"/>
        <v>5.41</v>
      </c>
      <c r="O21" s="169">
        <f t="shared" si="7"/>
        <v>1.86</v>
      </c>
      <c r="P21" s="169">
        <f t="shared" si="8"/>
        <v>1.01</v>
      </c>
      <c r="Q21" s="169">
        <f t="shared" si="9"/>
        <v>2.7</v>
      </c>
      <c r="R21" s="170" t="str">
        <f t="shared" si="10"/>
        <v>OK</v>
      </c>
      <c r="S21" s="171">
        <f t="shared" si="11"/>
        <v>529</v>
      </c>
      <c r="T21" s="171" t="str">
        <f t="shared" si="12"/>
        <v>fg_21</v>
      </c>
      <c r="U21" s="171">
        <f t="shared" si="13"/>
        <v>169</v>
      </c>
    </row>
    <row r="22" spans="1:21" ht="26.25" customHeight="1">
      <c r="A22" s="2" t="s">
        <v>91</v>
      </c>
      <c r="B22" s="2" t="s">
        <v>353</v>
      </c>
      <c r="C22" s="2" t="s">
        <v>339</v>
      </c>
      <c r="D22" s="2" t="s">
        <v>1774</v>
      </c>
      <c r="E22" s="2" t="s">
        <v>1756</v>
      </c>
      <c r="F22" s="3"/>
      <c r="G22" s="3">
        <v>262</v>
      </c>
      <c r="H22" s="164">
        <f t="shared" si="0"/>
        <v>46</v>
      </c>
      <c r="I22" s="164">
        <f t="shared" si="1"/>
        <v>0.5</v>
      </c>
      <c r="J22" s="164">
        <f t="shared" si="2"/>
        <v>3.4</v>
      </c>
      <c r="K22" s="164">
        <f t="shared" si="3"/>
        <v>0.1</v>
      </c>
      <c r="L22" s="164">
        <f t="shared" si="4"/>
        <v>3.6</v>
      </c>
      <c r="M22" s="169">
        <f t="shared" si="5"/>
        <v>120.5</v>
      </c>
      <c r="N22" s="169">
        <f t="shared" si="6"/>
        <v>1.31</v>
      </c>
      <c r="O22" s="169">
        <f t="shared" si="7"/>
        <v>8.91</v>
      </c>
      <c r="P22" s="169">
        <f t="shared" si="8"/>
        <v>0.26</v>
      </c>
      <c r="Q22" s="169">
        <f t="shared" si="9"/>
        <v>9.43</v>
      </c>
      <c r="R22" s="170" t="str">
        <f t="shared" si="10"/>
        <v>OK</v>
      </c>
      <c r="S22" s="171">
        <f t="shared" si="11"/>
        <v>390</v>
      </c>
      <c r="T22" s="171" t="str">
        <f t="shared" si="12"/>
        <v>fg_11</v>
      </c>
      <c r="U22" s="171">
        <f t="shared" si="13"/>
        <v>262</v>
      </c>
    </row>
    <row r="23" spans="1:21" ht="26.25" customHeight="1">
      <c r="A23" s="2" t="s">
        <v>91</v>
      </c>
      <c r="B23" s="2" t="s">
        <v>354</v>
      </c>
      <c r="C23" s="2" t="s">
        <v>423</v>
      </c>
      <c r="D23" s="2" t="s">
        <v>1763</v>
      </c>
      <c r="E23" s="2" t="s">
        <v>1756</v>
      </c>
      <c r="F23" s="3"/>
      <c r="G23" s="3">
        <v>160.77000000000001</v>
      </c>
      <c r="H23" s="164">
        <f t="shared" si="0"/>
        <v>261</v>
      </c>
      <c r="I23" s="164">
        <f t="shared" si="1"/>
        <v>12.6</v>
      </c>
      <c r="J23" s="164">
        <f t="shared" si="2"/>
        <v>1.9</v>
      </c>
      <c r="K23" s="164">
        <f t="shared" si="3"/>
        <v>22.2</v>
      </c>
      <c r="L23" s="164">
        <f t="shared" si="4"/>
        <v>0</v>
      </c>
      <c r="M23" s="169">
        <f t="shared" si="5"/>
        <v>419.6</v>
      </c>
      <c r="N23" s="169">
        <f t="shared" si="6"/>
        <v>20.260000000000002</v>
      </c>
      <c r="O23" s="169">
        <f t="shared" si="7"/>
        <v>3.05</v>
      </c>
      <c r="P23" s="169">
        <f t="shared" si="8"/>
        <v>35.69</v>
      </c>
      <c r="Q23" s="169">
        <f t="shared" si="9"/>
        <v>0</v>
      </c>
      <c r="R23" s="170" t="str">
        <f t="shared" si="10"/>
        <v>OK</v>
      </c>
      <c r="S23" s="171">
        <f t="shared" si="11"/>
        <v>136</v>
      </c>
      <c r="T23" s="171" t="str">
        <f t="shared" si="12"/>
        <v>fg_03</v>
      </c>
      <c r="U23" s="171">
        <f t="shared" si="13"/>
        <v>160.77000000000001</v>
      </c>
    </row>
    <row r="24" spans="1:21" ht="26.25" customHeight="1">
      <c r="A24" s="2" t="s">
        <v>92</v>
      </c>
      <c r="B24" s="2" t="s">
        <v>350</v>
      </c>
      <c r="C24" s="2" t="s">
        <v>435</v>
      </c>
      <c r="D24" s="2" t="s">
        <v>1783</v>
      </c>
      <c r="E24" s="2" t="s">
        <v>1756</v>
      </c>
      <c r="F24" s="3"/>
      <c r="G24" s="3">
        <v>146</v>
      </c>
      <c r="H24" s="164">
        <f t="shared" si="0"/>
        <v>381</v>
      </c>
      <c r="I24" s="164">
        <f t="shared" si="1"/>
        <v>4.2</v>
      </c>
      <c r="J24" s="164">
        <f t="shared" si="2"/>
        <v>51.7</v>
      </c>
      <c r="K24" s="164">
        <f t="shared" si="3"/>
        <v>17.399999999999999</v>
      </c>
      <c r="L24" s="164">
        <f t="shared" si="4"/>
        <v>0.1</v>
      </c>
      <c r="M24" s="169">
        <f t="shared" si="5"/>
        <v>556.29999999999995</v>
      </c>
      <c r="N24" s="169">
        <f t="shared" si="6"/>
        <v>6.13</v>
      </c>
      <c r="O24" s="169">
        <f t="shared" si="7"/>
        <v>75.48</v>
      </c>
      <c r="P24" s="169">
        <f t="shared" si="8"/>
        <v>25.4</v>
      </c>
      <c r="Q24" s="169">
        <f t="shared" si="9"/>
        <v>0.15</v>
      </c>
      <c r="R24" s="170" t="str">
        <f t="shared" si="10"/>
        <v>OK</v>
      </c>
      <c r="S24" s="171">
        <f t="shared" si="11"/>
        <v>443</v>
      </c>
      <c r="T24" s="171" t="str">
        <f t="shared" si="12"/>
        <v>fg_13</v>
      </c>
      <c r="U24" s="171">
        <f t="shared" si="13"/>
        <v>146</v>
      </c>
    </row>
    <row r="25" spans="1:21" ht="26.25" customHeight="1">
      <c r="A25" s="2" t="s">
        <v>92</v>
      </c>
      <c r="B25" s="2" t="s">
        <v>351</v>
      </c>
      <c r="C25" s="2" t="s">
        <v>443</v>
      </c>
      <c r="D25" s="2" t="s">
        <v>1772</v>
      </c>
      <c r="E25" s="2" t="s">
        <v>1756</v>
      </c>
      <c r="F25" s="3"/>
      <c r="G25" s="3">
        <v>141</v>
      </c>
      <c r="H25" s="164">
        <f t="shared" si="0"/>
        <v>233</v>
      </c>
      <c r="I25" s="164">
        <f t="shared" si="1"/>
        <v>23</v>
      </c>
      <c r="J25" s="164">
        <f t="shared" si="2"/>
        <v>10.1</v>
      </c>
      <c r="K25" s="164">
        <f t="shared" si="3"/>
        <v>4.0999999999999996</v>
      </c>
      <c r="L25" s="164">
        <f t="shared" si="4"/>
        <v>37.700000000000003</v>
      </c>
      <c r="M25" s="169">
        <f t="shared" si="5"/>
        <v>328.5</v>
      </c>
      <c r="N25" s="169">
        <f t="shared" si="6"/>
        <v>32.43</v>
      </c>
      <c r="O25" s="169">
        <f t="shared" si="7"/>
        <v>14.24</v>
      </c>
      <c r="P25" s="169">
        <f t="shared" si="8"/>
        <v>5.78</v>
      </c>
      <c r="Q25" s="169">
        <f t="shared" si="9"/>
        <v>53.16</v>
      </c>
      <c r="R25" s="170" t="str">
        <f t="shared" si="10"/>
        <v>OK</v>
      </c>
      <c r="S25" s="171">
        <f t="shared" si="11"/>
        <v>530</v>
      </c>
      <c r="T25" s="171" t="str">
        <f t="shared" si="12"/>
        <v>fg_21</v>
      </c>
      <c r="U25" s="171">
        <f t="shared" si="13"/>
        <v>141</v>
      </c>
    </row>
    <row r="26" spans="1:21" ht="26.25" customHeight="1">
      <c r="A26" s="2" t="s">
        <v>92</v>
      </c>
      <c r="B26" s="2" t="s">
        <v>352</v>
      </c>
      <c r="C26" s="2" t="s">
        <v>443</v>
      </c>
      <c r="D26" s="2" t="s">
        <v>1772</v>
      </c>
      <c r="E26" s="2" t="s">
        <v>1756</v>
      </c>
      <c r="F26" s="3"/>
      <c r="G26" s="3">
        <v>137</v>
      </c>
      <c r="H26" s="164">
        <f t="shared" si="0"/>
        <v>233</v>
      </c>
      <c r="I26" s="164">
        <f t="shared" si="1"/>
        <v>23</v>
      </c>
      <c r="J26" s="164">
        <f t="shared" si="2"/>
        <v>10.1</v>
      </c>
      <c r="K26" s="164">
        <f t="shared" si="3"/>
        <v>4.0999999999999996</v>
      </c>
      <c r="L26" s="164">
        <f t="shared" si="4"/>
        <v>37.700000000000003</v>
      </c>
      <c r="M26" s="169">
        <f t="shared" si="5"/>
        <v>319.2</v>
      </c>
      <c r="N26" s="169">
        <f t="shared" si="6"/>
        <v>31.51</v>
      </c>
      <c r="O26" s="169">
        <f t="shared" si="7"/>
        <v>13.84</v>
      </c>
      <c r="P26" s="169">
        <f t="shared" si="8"/>
        <v>5.62</v>
      </c>
      <c r="Q26" s="169">
        <f t="shared" si="9"/>
        <v>51.65</v>
      </c>
      <c r="R26" s="170" t="str">
        <f t="shared" si="10"/>
        <v>OK</v>
      </c>
      <c r="S26" s="171">
        <f t="shared" si="11"/>
        <v>530</v>
      </c>
      <c r="T26" s="171" t="str">
        <f t="shared" si="12"/>
        <v>fg_21</v>
      </c>
      <c r="U26" s="171">
        <f t="shared" si="13"/>
        <v>137</v>
      </c>
    </row>
    <row r="27" spans="1:21" ht="26.25" customHeight="1">
      <c r="A27" s="2" t="s">
        <v>92</v>
      </c>
      <c r="B27" s="2" t="s">
        <v>353</v>
      </c>
      <c r="C27" s="2" t="s">
        <v>415</v>
      </c>
      <c r="D27" s="2" t="s">
        <v>1775</v>
      </c>
      <c r="E27" s="2" t="s">
        <v>1756</v>
      </c>
      <c r="F27" s="3"/>
      <c r="G27" s="3">
        <v>134</v>
      </c>
      <c r="H27" s="164">
        <f t="shared" si="0"/>
        <v>400</v>
      </c>
      <c r="I27" s="164">
        <f t="shared" si="1"/>
        <v>13</v>
      </c>
      <c r="J27" s="164">
        <f t="shared" si="2"/>
        <v>62.2</v>
      </c>
      <c r="K27" s="164">
        <f t="shared" si="3"/>
        <v>11</v>
      </c>
      <c r="L27" s="164">
        <f t="shared" si="4"/>
        <v>5</v>
      </c>
      <c r="M27" s="169">
        <f t="shared" si="5"/>
        <v>536</v>
      </c>
      <c r="N27" s="169">
        <f t="shared" si="6"/>
        <v>17.420000000000002</v>
      </c>
      <c r="O27" s="169">
        <f t="shared" si="7"/>
        <v>83.35</v>
      </c>
      <c r="P27" s="169">
        <f t="shared" si="8"/>
        <v>14.74</v>
      </c>
      <c r="Q27" s="169">
        <f t="shared" si="9"/>
        <v>6.7</v>
      </c>
      <c r="R27" s="170" t="str">
        <f t="shared" si="10"/>
        <v>OK</v>
      </c>
      <c r="S27" s="171">
        <f t="shared" si="11"/>
        <v>590</v>
      </c>
      <c r="T27" s="171" t="str">
        <f t="shared" si="12"/>
        <v>fg_24</v>
      </c>
      <c r="U27" s="171">
        <f t="shared" si="13"/>
        <v>134</v>
      </c>
    </row>
    <row r="28" spans="1:21" ht="26.25" customHeight="1">
      <c r="A28" s="2" t="s">
        <v>92</v>
      </c>
      <c r="B28" s="2" t="s">
        <v>354</v>
      </c>
      <c r="C28" s="2" t="s">
        <v>415</v>
      </c>
      <c r="D28" s="2" t="s">
        <v>1782</v>
      </c>
      <c r="E28" s="2" t="s">
        <v>1756</v>
      </c>
      <c r="F28" s="3"/>
      <c r="G28" s="3">
        <v>131.01</v>
      </c>
      <c r="H28" s="164">
        <f t="shared" si="0"/>
        <v>400</v>
      </c>
      <c r="I28" s="164">
        <f t="shared" si="1"/>
        <v>13</v>
      </c>
      <c r="J28" s="164">
        <f t="shared" si="2"/>
        <v>62.2</v>
      </c>
      <c r="K28" s="164">
        <f t="shared" si="3"/>
        <v>11</v>
      </c>
      <c r="L28" s="164">
        <f t="shared" si="4"/>
        <v>6</v>
      </c>
      <c r="M28" s="169">
        <f t="shared" si="5"/>
        <v>524</v>
      </c>
      <c r="N28" s="169">
        <f t="shared" si="6"/>
        <v>17.03</v>
      </c>
      <c r="O28" s="169">
        <f t="shared" si="7"/>
        <v>81.489999999999995</v>
      </c>
      <c r="P28" s="169">
        <f t="shared" si="8"/>
        <v>14.41</v>
      </c>
      <c r="Q28" s="169">
        <f t="shared" si="9"/>
        <v>7.86</v>
      </c>
      <c r="R28" s="170" t="str">
        <f t="shared" si="10"/>
        <v>OK</v>
      </c>
      <c r="S28" s="171">
        <f t="shared" si="11"/>
        <v>592</v>
      </c>
      <c r="T28" s="171" t="str">
        <f t="shared" si="12"/>
        <v>fg_24</v>
      </c>
      <c r="U28" s="171">
        <f t="shared" si="13"/>
        <v>131.01</v>
      </c>
    </row>
    <row r="29" spans="1:21" ht="26.25" customHeight="1">
      <c r="A29" s="2" t="s">
        <v>93</v>
      </c>
      <c r="B29" s="2" t="s">
        <v>350</v>
      </c>
      <c r="C29" s="2" t="s">
        <v>423</v>
      </c>
      <c r="D29" s="2" t="s">
        <v>1764</v>
      </c>
      <c r="E29" s="2" t="s">
        <v>1756</v>
      </c>
      <c r="F29" s="3"/>
      <c r="G29" s="3">
        <v>139</v>
      </c>
      <c r="H29" s="164">
        <f t="shared" si="0"/>
        <v>299</v>
      </c>
      <c r="I29" s="164">
        <f t="shared" si="1"/>
        <v>15.9</v>
      </c>
      <c r="J29" s="164">
        <f t="shared" si="2"/>
        <v>3.5</v>
      </c>
      <c r="K29" s="164">
        <f t="shared" si="3"/>
        <v>24.6</v>
      </c>
      <c r="L29" s="164">
        <f t="shared" si="4"/>
        <v>0</v>
      </c>
      <c r="M29" s="169">
        <f t="shared" si="5"/>
        <v>415.6</v>
      </c>
      <c r="N29" s="169">
        <f t="shared" si="6"/>
        <v>22.1</v>
      </c>
      <c r="O29" s="169">
        <f t="shared" si="7"/>
        <v>4.87</v>
      </c>
      <c r="P29" s="169">
        <f t="shared" si="8"/>
        <v>34.19</v>
      </c>
      <c r="Q29" s="169">
        <f t="shared" si="9"/>
        <v>0</v>
      </c>
      <c r="R29" s="170" t="str">
        <f t="shared" si="10"/>
        <v>OK</v>
      </c>
      <c r="S29" s="171">
        <f t="shared" si="11"/>
        <v>139</v>
      </c>
      <c r="T29" s="171" t="str">
        <f t="shared" si="12"/>
        <v>fg_03</v>
      </c>
      <c r="U29" s="171">
        <f t="shared" si="13"/>
        <v>139</v>
      </c>
    </row>
    <row r="30" spans="1:21" ht="26.25" customHeight="1">
      <c r="A30" s="2" t="s">
        <v>93</v>
      </c>
      <c r="B30" s="2" t="s">
        <v>351</v>
      </c>
      <c r="C30" s="2" t="s">
        <v>415</v>
      </c>
      <c r="D30" s="2" t="s">
        <v>1777</v>
      </c>
      <c r="E30" s="2" t="s">
        <v>1756</v>
      </c>
      <c r="F30" s="3"/>
      <c r="G30" s="3">
        <v>135</v>
      </c>
      <c r="H30" s="164">
        <f t="shared" si="0"/>
        <v>400</v>
      </c>
      <c r="I30" s="164">
        <f t="shared" si="1"/>
        <v>13</v>
      </c>
      <c r="J30" s="164">
        <f t="shared" si="2"/>
        <v>62.2</v>
      </c>
      <c r="K30" s="164">
        <f t="shared" si="3"/>
        <v>11</v>
      </c>
      <c r="L30" s="164">
        <f t="shared" si="4"/>
        <v>5</v>
      </c>
      <c r="M30" s="169">
        <f t="shared" si="5"/>
        <v>540</v>
      </c>
      <c r="N30" s="169">
        <f t="shared" si="6"/>
        <v>17.55</v>
      </c>
      <c r="O30" s="169">
        <f t="shared" si="7"/>
        <v>83.97</v>
      </c>
      <c r="P30" s="169">
        <f t="shared" si="8"/>
        <v>14.85</v>
      </c>
      <c r="Q30" s="169">
        <f t="shared" si="9"/>
        <v>6.75</v>
      </c>
      <c r="R30" s="170" t="str">
        <f t="shared" si="10"/>
        <v>OK</v>
      </c>
      <c r="S30" s="171">
        <f t="shared" si="11"/>
        <v>591</v>
      </c>
      <c r="T30" s="171" t="str">
        <f t="shared" si="12"/>
        <v>fg_24</v>
      </c>
      <c r="U30" s="171">
        <f t="shared" si="13"/>
        <v>135</v>
      </c>
    </row>
    <row r="31" spans="1:21" ht="26.25" customHeight="1">
      <c r="A31" s="2" t="s">
        <v>93</v>
      </c>
      <c r="B31" s="2" t="s">
        <v>352</v>
      </c>
      <c r="C31" s="2" t="s">
        <v>423</v>
      </c>
      <c r="D31" s="2" t="s">
        <v>1765</v>
      </c>
      <c r="E31" s="2" t="s">
        <v>1756</v>
      </c>
      <c r="F31" s="3"/>
      <c r="G31" s="3">
        <v>134</v>
      </c>
      <c r="H31" s="164">
        <f t="shared" si="0"/>
        <v>311</v>
      </c>
      <c r="I31" s="164">
        <f t="shared" si="1"/>
        <v>16.399999999999999</v>
      </c>
      <c r="J31" s="164">
        <f t="shared" si="2"/>
        <v>3.1</v>
      </c>
      <c r="K31" s="164">
        <f t="shared" si="3"/>
        <v>25.4</v>
      </c>
      <c r="L31" s="164">
        <f t="shared" si="4"/>
        <v>0</v>
      </c>
      <c r="M31" s="169">
        <f t="shared" si="5"/>
        <v>416.7</v>
      </c>
      <c r="N31" s="169">
        <f t="shared" si="6"/>
        <v>21.98</v>
      </c>
      <c r="O31" s="169">
        <f t="shared" si="7"/>
        <v>4.1500000000000004</v>
      </c>
      <c r="P31" s="169">
        <f t="shared" si="8"/>
        <v>34.04</v>
      </c>
      <c r="Q31" s="169">
        <f t="shared" si="9"/>
        <v>0</v>
      </c>
      <c r="R31" s="170" t="str">
        <f t="shared" si="10"/>
        <v>OK</v>
      </c>
      <c r="S31" s="171">
        <f t="shared" si="11"/>
        <v>121</v>
      </c>
      <c r="T31" s="171" t="str">
        <f t="shared" si="12"/>
        <v>fg_03</v>
      </c>
      <c r="U31" s="171">
        <f t="shared" si="13"/>
        <v>134</v>
      </c>
    </row>
    <row r="32" spans="1:21" ht="26.25" customHeight="1">
      <c r="A32" s="2" t="s">
        <v>93</v>
      </c>
      <c r="B32" s="2" t="s">
        <v>353</v>
      </c>
      <c r="C32" s="2" t="s">
        <v>443</v>
      </c>
      <c r="D32" s="2" t="s">
        <v>1772</v>
      </c>
      <c r="E32" s="2" t="s">
        <v>1756</v>
      </c>
      <c r="F32" s="3"/>
      <c r="G32" s="3">
        <v>100</v>
      </c>
      <c r="H32" s="164">
        <f t="shared" si="0"/>
        <v>233</v>
      </c>
      <c r="I32" s="164">
        <f t="shared" si="1"/>
        <v>23</v>
      </c>
      <c r="J32" s="164">
        <f t="shared" si="2"/>
        <v>10.1</v>
      </c>
      <c r="K32" s="164">
        <f t="shared" si="3"/>
        <v>4.0999999999999996</v>
      </c>
      <c r="L32" s="164">
        <f t="shared" si="4"/>
        <v>37.700000000000003</v>
      </c>
      <c r="M32" s="169">
        <f t="shared" si="5"/>
        <v>233</v>
      </c>
      <c r="N32" s="169">
        <f t="shared" si="6"/>
        <v>23</v>
      </c>
      <c r="O32" s="169">
        <f t="shared" si="7"/>
        <v>10.1</v>
      </c>
      <c r="P32" s="169">
        <f t="shared" si="8"/>
        <v>4.0999999999999996</v>
      </c>
      <c r="Q32" s="169">
        <f t="shared" si="9"/>
        <v>37.700000000000003</v>
      </c>
      <c r="R32" s="170" t="str">
        <f t="shared" si="10"/>
        <v>OK</v>
      </c>
      <c r="S32" s="171">
        <f t="shared" si="11"/>
        <v>530</v>
      </c>
      <c r="T32" s="171" t="str">
        <f t="shared" si="12"/>
        <v>fg_21</v>
      </c>
      <c r="U32" s="171">
        <f t="shared" si="13"/>
        <v>100</v>
      </c>
    </row>
    <row r="33" spans="1:21" ht="26.25" customHeight="1">
      <c r="A33" s="2" t="s">
        <v>93</v>
      </c>
      <c r="B33" s="2" t="s">
        <v>354</v>
      </c>
      <c r="C33" s="2" t="s">
        <v>450</v>
      </c>
      <c r="D33" s="2" t="s">
        <v>1766</v>
      </c>
      <c r="E33" s="2" t="s">
        <v>1756</v>
      </c>
      <c r="F33" s="3"/>
      <c r="G33" s="3">
        <v>128.38999999999999</v>
      </c>
      <c r="H33" s="164">
        <f t="shared" si="0"/>
        <v>322</v>
      </c>
      <c r="I33" s="164">
        <f t="shared" si="1"/>
        <v>15.9</v>
      </c>
      <c r="J33" s="164">
        <f t="shared" si="2"/>
        <v>3.6</v>
      </c>
      <c r="K33" s="164">
        <f t="shared" si="3"/>
        <v>26.5</v>
      </c>
      <c r="L33" s="164">
        <f t="shared" si="4"/>
        <v>0</v>
      </c>
      <c r="M33" s="169">
        <f t="shared" si="5"/>
        <v>413.4</v>
      </c>
      <c r="N33" s="169">
        <f t="shared" si="6"/>
        <v>20.41</v>
      </c>
      <c r="O33" s="169">
        <f t="shared" si="7"/>
        <v>4.62</v>
      </c>
      <c r="P33" s="169">
        <f t="shared" si="8"/>
        <v>34.020000000000003</v>
      </c>
      <c r="Q33" s="169">
        <f t="shared" si="9"/>
        <v>0</v>
      </c>
      <c r="R33" s="170" t="str">
        <f t="shared" si="10"/>
        <v>OK</v>
      </c>
      <c r="S33" s="171">
        <f t="shared" si="11"/>
        <v>57</v>
      </c>
      <c r="T33" s="171" t="str">
        <f t="shared" si="12"/>
        <v>fg_02</v>
      </c>
      <c r="U33" s="171">
        <f t="shared" si="13"/>
        <v>128.38999999999999</v>
      </c>
    </row>
    <row r="34" spans="1:21" ht="26.25" customHeight="1">
      <c r="A34" s="2" t="s">
        <v>94</v>
      </c>
      <c r="B34" s="2" t="s">
        <v>350</v>
      </c>
      <c r="C34" s="2" t="s">
        <v>461</v>
      </c>
      <c r="D34" s="2" t="s">
        <v>1767</v>
      </c>
      <c r="E34" s="2" t="s">
        <v>1756</v>
      </c>
      <c r="F34" s="3"/>
      <c r="G34" s="3">
        <v>121</v>
      </c>
      <c r="H34" s="164">
        <f t="shared" si="0"/>
        <v>333</v>
      </c>
      <c r="I34" s="164">
        <f t="shared" si="1"/>
        <v>23.4</v>
      </c>
      <c r="J34" s="164">
        <f t="shared" si="2"/>
        <v>45.1</v>
      </c>
      <c r="K34" s="164">
        <f t="shared" si="3"/>
        <v>0.9</v>
      </c>
      <c r="L34" s="164">
        <f t="shared" si="4"/>
        <v>15.2</v>
      </c>
      <c r="M34" s="169">
        <f t="shared" si="5"/>
        <v>402.9</v>
      </c>
      <c r="N34" s="169">
        <f t="shared" si="6"/>
        <v>28.31</v>
      </c>
      <c r="O34" s="169">
        <f t="shared" si="7"/>
        <v>54.57</v>
      </c>
      <c r="P34" s="169">
        <f t="shared" si="8"/>
        <v>1.0900000000000001</v>
      </c>
      <c r="Q34" s="169">
        <f t="shared" si="9"/>
        <v>18.39</v>
      </c>
      <c r="R34" s="170" t="str">
        <f t="shared" si="10"/>
        <v>OK</v>
      </c>
      <c r="S34" s="171">
        <f t="shared" si="11"/>
        <v>204</v>
      </c>
      <c r="T34" s="171" t="str">
        <f t="shared" si="12"/>
        <v>fg_05</v>
      </c>
      <c r="U34" s="171">
        <f t="shared" si="13"/>
        <v>121</v>
      </c>
    </row>
    <row r="35" spans="1:21" ht="26.25" customHeight="1">
      <c r="A35" s="2" t="s">
        <v>94</v>
      </c>
      <c r="B35" s="2" t="s">
        <v>351</v>
      </c>
      <c r="C35" s="2" t="s">
        <v>443</v>
      </c>
      <c r="D35" s="2" t="s">
        <v>1776</v>
      </c>
      <c r="E35" s="2" t="s">
        <v>1756</v>
      </c>
      <c r="F35" s="3"/>
      <c r="G35" s="3">
        <v>118</v>
      </c>
      <c r="H35" s="164">
        <f t="shared" si="0"/>
        <v>23</v>
      </c>
      <c r="I35" s="164">
        <f t="shared" si="1"/>
        <v>3.2</v>
      </c>
      <c r="J35" s="164">
        <f t="shared" si="2"/>
        <v>1.1000000000000001</v>
      </c>
      <c r="K35" s="164">
        <f t="shared" si="3"/>
        <v>0.6</v>
      </c>
      <c r="L35" s="164">
        <f t="shared" si="4"/>
        <v>1.6</v>
      </c>
      <c r="M35" s="169">
        <f t="shared" si="5"/>
        <v>27.1</v>
      </c>
      <c r="N35" s="169">
        <f t="shared" si="6"/>
        <v>3.78</v>
      </c>
      <c r="O35" s="169">
        <f t="shared" si="7"/>
        <v>1.3</v>
      </c>
      <c r="P35" s="169">
        <f t="shared" si="8"/>
        <v>0.71</v>
      </c>
      <c r="Q35" s="169">
        <f t="shared" si="9"/>
        <v>1.89</v>
      </c>
      <c r="R35" s="170" t="str">
        <f t="shared" si="10"/>
        <v>OK</v>
      </c>
      <c r="S35" s="171">
        <f t="shared" si="11"/>
        <v>529</v>
      </c>
      <c r="T35" s="171" t="str">
        <f t="shared" si="12"/>
        <v>fg_21</v>
      </c>
      <c r="U35" s="171">
        <f t="shared" si="13"/>
        <v>118</v>
      </c>
    </row>
    <row r="36" spans="1:21" ht="26.25" customHeight="1">
      <c r="A36" s="2" t="s">
        <v>94</v>
      </c>
      <c r="B36" s="2" t="s">
        <v>352</v>
      </c>
      <c r="C36" s="2" t="s">
        <v>407</v>
      </c>
      <c r="D36" s="2" t="s">
        <v>1768</v>
      </c>
      <c r="E36" s="2" t="s">
        <v>1756</v>
      </c>
      <c r="F36" s="3"/>
      <c r="G36" s="3">
        <v>117</v>
      </c>
      <c r="H36" s="164">
        <f t="shared" si="0"/>
        <v>345</v>
      </c>
      <c r="I36" s="164">
        <f t="shared" si="1"/>
        <v>2.1</v>
      </c>
      <c r="J36" s="164">
        <f t="shared" si="2"/>
        <v>2.8</v>
      </c>
      <c r="K36" s="164">
        <f t="shared" si="3"/>
        <v>37</v>
      </c>
      <c r="L36" s="164">
        <f t="shared" si="4"/>
        <v>0</v>
      </c>
      <c r="M36" s="169">
        <f t="shared" si="5"/>
        <v>403.7</v>
      </c>
      <c r="N36" s="169">
        <f t="shared" si="6"/>
        <v>2.46</v>
      </c>
      <c r="O36" s="169">
        <f t="shared" si="7"/>
        <v>3.28</v>
      </c>
      <c r="P36" s="169">
        <f t="shared" si="8"/>
        <v>43.29</v>
      </c>
      <c r="Q36" s="169">
        <f t="shared" si="9"/>
        <v>0</v>
      </c>
      <c r="R36" s="170" t="str">
        <f t="shared" si="10"/>
        <v>OK</v>
      </c>
      <c r="S36" s="171">
        <f t="shared" si="11"/>
        <v>320</v>
      </c>
      <c r="T36" s="171" t="str">
        <f t="shared" si="12"/>
        <v>fg_09</v>
      </c>
      <c r="U36" s="171">
        <f t="shared" si="13"/>
        <v>117</v>
      </c>
    </row>
    <row r="37" spans="1:21" ht="26.25" customHeight="1">
      <c r="A37" s="2" t="s">
        <v>94</v>
      </c>
      <c r="B37" s="2" t="s">
        <v>353</v>
      </c>
      <c r="C37" s="2" t="s">
        <v>403</v>
      </c>
      <c r="D37" s="2" t="s">
        <v>1781</v>
      </c>
      <c r="E37" s="2" t="s">
        <v>1756</v>
      </c>
      <c r="F37" s="3"/>
      <c r="G37" s="3">
        <v>115</v>
      </c>
      <c r="H37" s="164">
        <f t="shared" si="0"/>
        <v>134</v>
      </c>
      <c r="I37" s="164">
        <f t="shared" si="1"/>
        <v>6.8</v>
      </c>
      <c r="J37" s="164">
        <f t="shared" si="2"/>
        <v>10</v>
      </c>
      <c r="K37" s="164">
        <f t="shared" si="3"/>
        <v>7.6</v>
      </c>
      <c r="L37" s="164">
        <f t="shared" si="4"/>
        <v>0</v>
      </c>
      <c r="M37" s="169">
        <f t="shared" si="5"/>
        <v>154.1</v>
      </c>
      <c r="N37" s="169">
        <f t="shared" si="6"/>
        <v>7.82</v>
      </c>
      <c r="O37" s="169">
        <f t="shared" si="7"/>
        <v>11.5</v>
      </c>
      <c r="P37" s="169">
        <f t="shared" si="8"/>
        <v>8.74</v>
      </c>
      <c r="Q37" s="169">
        <f t="shared" si="9"/>
        <v>0</v>
      </c>
      <c r="R37" s="170" t="str">
        <f t="shared" si="10"/>
        <v>OK</v>
      </c>
      <c r="S37" s="171">
        <f t="shared" si="11"/>
        <v>22</v>
      </c>
      <c r="T37" s="171" t="str">
        <f t="shared" si="12"/>
        <v>fg_01</v>
      </c>
      <c r="U37" s="171">
        <f t="shared" si="13"/>
        <v>115</v>
      </c>
    </row>
    <row r="38" spans="1:21" ht="26.25" customHeight="1">
      <c r="A38" s="2" t="s">
        <v>94</v>
      </c>
      <c r="B38" s="2" t="s">
        <v>354</v>
      </c>
      <c r="C38" s="2" t="s">
        <v>461</v>
      </c>
      <c r="D38" s="2" t="s">
        <v>1769</v>
      </c>
      <c r="E38" s="2" t="s">
        <v>1756</v>
      </c>
      <c r="F38" s="3"/>
      <c r="G38" s="3">
        <v>113.52</v>
      </c>
      <c r="H38" s="164">
        <f t="shared" si="0"/>
        <v>352</v>
      </c>
      <c r="I38" s="164">
        <f t="shared" si="1"/>
        <v>24.6</v>
      </c>
      <c r="J38" s="164">
        <f t="shared" si="2"/>
        <v>52.6</v>
      </c>
      <c r="K38" s="164">
        <f t="shared" si="3"/>
        <v>1.1000000000000001</v>
      </c>
      <c r="L38" s="164">
        <f t="shared" si="4"/>
        <v>10.7</v>
      </c>
      <c r="M38" s="169">
        <f t="shared" si="5"/>
        <v>399.6</v>
      </c>
      <c r="N38" s="169">
        <f t="shared" si="6"/>
        <v>27.93</v>
      </c>
      <c r="O38" s="169">
        <f t="shared" si="7"/>
        <v>59.71</v>
      </c>
      <c r="P38" s="169">
        <f t="shared" si="8"/>
        <v>1.25</v>
      </c>
      <c r="Q38" s="169">
        <f t="shared" si="9"/>
        <v>12.15</v>
      </c>
      <c r="R38" s="170" t="str">
        <f t="shared" si="10"/>
        <v>OK</v>
      </c>
      <c r="S38" s="171">
        <f t="shared" si="11"/>
        <v>201</v>
      </c>
      <c r="T38" s="171" t="str">
        <f t="shared" si="12"/>
        <v>fg_05</v>
      </c>
      <c r="U38" s="171">
        <f t="shared" si="13"/>
        <v>113.52</v>
      </c>
    </row>
    <row r="39" spans="1:21" ht="26.25" customHeight="1">
      <c r="A39" s="2" t="s">
        <v>95</v>
      </c>
      <c r="B39" s="2" t="s">
        <v>350</v>
      </c>
      <c r="C39" s="2" t="s">
        <v>427</v>
      </c>
      <c r="D39" s="2" t="s">
        <v>1770</v>
      </c>
      <c r="E39" s="2" t="s">
        <v>1756</v>
      </c>
      <c r="F39" s="3"/>
      <c r="G39" s="3">
        <v>114</v>
      </c>
      <c r="H39" s="164">
        <f t="shared" si="0"/>
        <v>358</v>
      </c>
      <c r="I39" s="164">
        <f t="shared" si="1"/>
        <v>8.1</v>
      </c>
      <c r="J39" s="164">
        <f t="shared" si="2"/>
        <v>79</v>
      </c>
      <c r="K39" s="164">
        <f t="shared" si="3"/>
        <v>1.1000000000000001</v>
      </c>
      <c r="L39" s="164">
        <f t="shared" si="4"/>
        <v>3.7</v>
      </c>
      <c r="M39" s="169">
        <f t="shared" si="5"/>
        <v>408.1</v>
      </c>
      <c r="N39" s="169">
        <f t="shared" si="6"/>
        <v>9.23</v>
      </c>
      <c r="O39" s="169">
        <f t="shared" si="7"/>
        <v>90.06</v>
      </c>
      <c r="P39" s="169">
        <f t="shared" si="8"/>
        <v>1.25</v>
      </c>
      <c r="Q39" s="169">
        <f t="shared" si="9"/>
        <v>4.22</v>
      </c>
      <c r="R39" s="170" t="str">
        <f t="shared" si="10"/>
        <v>OK</v>
      </c>
      <c r="S39" s="171">
        <f t="shared" si="11"/>
        <v>260</v>
      </c>
      <c r="T39" s="171" t="str">
        <f t="shared" si="12"/>
        <v>fg_07</v>
      </c>
      <c r="U39" s="171">
        <f t="shared" si="13"/>
        <v>114</v>
      </c>
    </row>
    <row r="40" spans="1:21" ht="26.25" customHeight="1">
      <c r="A40" s="2" t="s">
        <v>95</v>
      </c>
      <c r="B40" s="2" t="s">
        <v>351</v>
      </c>
      <c r="C40" s="2" t="s">
        <v>427</v>
      </c>
      <c r="D40" s="2" t="s">
        <v>1771</v>
      </c>
      <c r="E40" s="2" t="s">
        <v>1756</v>
      </c>
      <c r="F40" s="3"/>
      <c r="G40" s="3">
        <v>113</v>
      </c>
      <c r="H40" s="164">
        <f t="shared" si="0"/>
        <v>361</v>
      </c>
      <c r="I40" s="164">
        <f t="shared" si="1"/>
        <v>6.9</v>
      </c>
      <c r="J40" s="164">
        <f t="shared" si="2"/>
        <v>69.599999999999994</v>
      </c>
      <c r="K40" s="164">
        <f t="shared" si="3"/>
        <v>3.9</v>
      </c>
      <c r="L40" s="164">
        <f t="shared" si="4"/>
        <v>7.3</v>
      </c>
      <c r="M40" s="169">
        <f t="shared" si="5"/>
        <v>407.9</v>
      </c>
      <c r="N40" s="169">
        <f t="shared" si="6"/>
        <v>7.8</v>
      </c>
      <c r="O40" s="169">
        <f t="shared" si="7"/>
        <v>78.650000000000006</v>
      </c>
      <c r="P40" s="169">
        <f t="shared" si="8"/>
        <v>4.41</v>
      </c>
      <c r="Q40" s="169">
        <f t="shared" si="9"/>
        <v>8.25</v>
      </c>
      <c r="R40" s="170" t="str">
        <f t="shared" si="10"/>
        <v>OK</v>
      </c>
      <c r="S40" s="171">
        <f t="shared" si="11"/>
        <v>297</v>
      </c>
      <c r="T40" s="171" t="str">
        <f t="shared" si="12"/>
        <v>fg_07</v>
      </c>
      <c r="U40" s="171">
        <f t="shared" si="13"/>
        <v>113</v>
      </c>
    </row>
    <row r="41" spans="1:21" ht="26.25" customHeight="1">
      <c r="A41" s="2" t="s">
        <v>95</v>
      </c>
      <c r="B41" s="2" t="s">
        <v>352</v>
      </c>
      <c r="C41" s="2" t="s">
        <v>427</v>
      </c>
      <c r="D41" s="2" t="s">
        <v>1780</v>
      </c>
      <c r="E41" s="2" t="s">
        <v>1756</v>
      </c>
      <c r="F41" s="3"/>
      <c r="G41" s="3">
        <v>113</v>
      </c>
      <c r="H41" s="164">
        <f t="shared" si="0"/>
        <v>376</v>
      </c>
      <c r="I41" s="164">
        <f t="shared" si="1"/>
        <v>12.8</v>
      </c>
      <c r="J41" s="164">
        <f t="shared" si="2"/>
        <v>72.400000000000006</v>
      </c>
      <c r="K41" s="164">
        <f t="shared" si="3"/>
        <v>0.6</v>
      </c>
      <c r="L41" s="164">
        <f t="shared" si="4"/>
        <v>5</v>
      </c>
      <c r="M41" s="169">
        <f t="shared" si="5"/>
        <v>424.9</v>
      </c>
      <c r="N41" s="169">
        <f t="shared" si="6"/>
        <v>14.46</v>
      </c>
      <c r="O41" s="169">
        <f t="shared" si="7"/>
        <v>81.81</v>
      </c>
      <c r="P41" s="169">
        <f t="shared" si="8"/>
        <v>0.68</v>
      </c>
      <c r="Q41" s="169">
        <f t="shared" si="9"/>
        <v>5.65</v>
      </c>
      <c r="R41" s="170" t="str">
        <f t="shared" si="10"/>
        <v>OK</v>
      </c>
      <c r="S41" s="171">
        <f t="shared" si="11"/>
        <v>265</v>
      </c>
      <c r="T41" s="171" t="str">
        <f t="shared" si="12"/>
        <v>fg_07</v>
      </c>
      <c r="U41" s="171">
        <f t="shared" si="13"/>
        <v>113</v>
      </c>
    </row>
    <row r="42" spans="1:21" ht="26.25" customHeight="1">
      <c r="A42" s="2" t="s">
        <v>95</v>
      </c>
      <c r="B42" s="2" t="s">
        <v>353</v>
      </c>
      <c r="C42" s="2" t="s">
        <v>427</v>
      </c>
      <c r="D42" s="2" t="s">
        <v>1779</v>
      </c>
      <c r="E42" s="2" t="s">
        <v>1756</v>
      </c>
      <c r="F42" s="3"/>
      <c r="G42" s="3">
        <v>111</v>
      </c>
      <c r="H42" s="164">
        <f t="shared" si="0"/>
        <v>351</v>
      </c>
      <c r="I42" s="164">
        <f t="shared" si="1"/>
        <v>12.2</v>
      </c>
      <c r="J42" s="164">
        <f t="shared" si="2"/>
        <v>65.599999999999994</v>
      </c>
      <c r="K42" s="164">
        <f t="shared" si="3"/>
        <v>4.4000000000000004</v>
      </c>
      <c r="L42" s="164">
        <f t="shared" si="4"/>
        <v>5.9</v>
      </c>
      <c r="M42" s="169">
        <f t="shared" si="5"/>
        <v>389.6</v>
      </c>
      <c r="N42" s="169">
        <f t="shared" si="6"/>
        <v>13.54</v>
      </c>
      <c r="O42" s="169">
        <f t="shared" si="7"/>
        <v>72.819999999999993</v>
      </c>
      <c r="P42" s="169">
        <f t="shared" si="8"/>
        <v>4.88</v>
      </c>
      <c r="Q42" s="169">
        <f t="shared" si="9"/>
        <v>6.55</v>
      </c>
      <c r="R42" s="170" t="str">
        <f t="shared" si="10"/>
        <v>OK</v>
      </c>
      <c r="S42" s="171">
        <f t="shared" si="11"/>
        <v>255</v>
      </c>
      <c r="T42" s="171" t="str">
        <f t="shared" si="12"/>
        <v>fg_07</v>
      </c>
      <c r="U42" s="171">
        <f t="shared" si="13"/>
        <v>111</v>
      </c>
    </row>
    <row r="43" spans="1:21" ht="26.25" customHeight="1">
      <c r="A43" s="2" t="s">
        <v>95</v>
      </c>
      <c r="B43" s="2" t="s">
        <v>354</v>
      </c>
      <c r="C43" s="2" t="s">
        <v>443</v>
      </c>
      <c r="D43" s="2" t="s">
        <v>1787</v>
      </c>
      <c r="E43" s="2" t="s">
        <v>1756</v>
      </c>
      <c r="F43" s="3"/>
      <c r="G43" s="3">
        <v>109.92</v>
      </c>
      <c r="H43" s="164">
        <f t="shared" si="0"/>
        <v>331</v>
      </c>
      <c r="I43" s="164">
        <f t="shared" si="1"/>
        <v>16.600000000000001</v>
      </c>
      <c r="J43" s="164">
        <f t="shared" si="2"/>
        <v>63.7</v>
      </c>
      <c r="K43" s="164">
        <f t="shared" si="3"/>
        <v>0.7</v>
      </c>
      <c r="L43" s="164">
        <f t="shared" si="4"/>
        <v>9</v>
      </c>
      <c r="M43" s="169">
        <f t="shared" si="5"/>
        <v>363.8</v>
      </c>
      <c r="N43" s="169">
        <f t="shared" si="6"/>
        <v>18.25</v>
      </c>
      <c r="O43" s="169">
        <f t="shared" si="7"/>
        <v>70.02</v>
      </c>
      <c r="P43" s="169">
        <f t="shared" si="8"/>
        <v>0.77</v>
      </c>
      <c r="Q43" s="169">
        <f t="shared" si="9"/>
        <v>9.89</v>
      </c>
      <c r="R43" s="170" t="str">
        <f t="shared" si="10"/>
        <v>OK</v>
      </c>
      <c r="S43" s="171">
        <f t="shared" si="11"/>
        <v>528</v>
      </c>
      <c r="T43" s="171" t="str">
        <f t="shared" si="12"/>
        <v>fg_21</v>
      </c>
      <c r="U43" s="171">
        <f t="shared" si="13"/>
        <v>109.92</v>
      </c>
    </row>
    <row r="44" spans="1:21" ht="26.25" customHeight="1">
      <c r="A44" s="2"/>
      <c r="B44" s="2"/>
      <c r="C44" s="2"/>
      <c r="D44" s="2"/>
      <c r="E44" s="2"/>
      <c r="F44" s="3"/>
      <c r="G44" s="3"/>
      <c r="H44" s="164" t="str">
        <f t="shared" si="0"/>
        <v/>
      </c>
      <c r="I44" s="164" t="str">
        <f t="shared" si="1"/>
        <v/>
      </c>
      <c r="J44" s="164" t="str">
        <f t="shared" si="2"/>
        <v/>
      </c>
      <c r="K44" s="164" t="str">
        <f t="shared" si="3"/>
        <v/>
      </c>
      <c r="L44" s="164" t="str">
        <f t="shared" si="4"/>
        <v/>
      </c>
      <c r="M44" s="169" t="str">
        <f t="shared" si="5"/>
        <v/>
      </c>
      <c r="N44" s="169" t="str">
        <f t="shared" si="6"/>
        <v/>
      </c>
      <c r="O44" s="169" t="str">
        <f t="shared" si="7"/>
        <v/>
      </c>
      <c r="P44" s="169" t="str">
        <f t="shared" si="8"/>
        <v/>
      </c>
      <c r="Q44" s="169" t="str">
        <f t="shared" si="9"/>
        <v/>
      </c>
      <c r="R44" s="170" t="str">
        <f t="shared" si="10"/>
        <v/>
      </c>
      <c r="S44" s="171" t="str">
        <f t="shared" si="11"/>
        <v/>
      </c>
      <c r="T44" s="171" t="str">
        <f t="shared" si="12"/>
        <v>fg_all</v>
      </c>
      <c r="U44" s="171" t="str">
        <f t="shared" si="13"/>
        <v/>
      </c>
    </row>
    <row r="45" spans="1:21" ht="26.25" customHeight="1">
      <c r="A45" s="2"/>
      <c r="B45" s="2"/>
      <c r="C45" s="2"/>
      <c r="D45" s="2"/>
      <c r="E45" s="2"/>
      <c r="F45" s="3"/>
      <c r="G45" s="3"/>
      <c r="H45" s="164" t="str">
        <f t="shared" si="0"/>
        <v/>
      </c>
      <c r="I45" s="164" t="str">
        <f t="shared" si="1"/>
        <v/>
      </c>
      <c r="J45" s="164" t="str">
        <f t="shared" si="2"/>
        <v/>
      </c>
      <c r="K45" s="164" t="str">
        <f t="shared" si="3"/>
        <v/>
      </c>
      <c r="L45" s="164" t="str">
        <f t="shared" si="4"/>
        <v/>
      </c>
      <c r="M45" s="169" t="str">
        <f t="shared" si="5"/>
        <v/>
      </c>
      <c r="N45" s="169" t="str">
        <f t="shared" si="6"/>
        <v/>
      </c>
      <c r="O45" s="169" t="str">
        <f t="shared" si="7"/>
        <v/>
      </c>
      <c r="P45" s="169" t="str">
        <f t="shared" si="8"/>
        <v/>
      </c>
      <c r="Q45" s="169" t="str">
        <f t="shared" si="9"/>
        <v/>
      </c>
      <c r="R45" s="170" t="str">
        <f t="shared" si="10"/>
        <v/>
      </c>
      <c r="S45" s="171" t="str">
        <f t="shared" si="11"/>
        <v/>
      </c>
      <c r="T45" s="171" t="str">
        <f t="shared" si="12"/>
        <v>fg_all</v>
      </c>
      <c r="U45" s="171" t="str">
        <f t="shared" si="13"/>
        <v/>
      </c>
    </row>
    <row r="46" spans="1:21" ht="26.25" customHeight="1">
      <c r="A46" s="2"/>
      <c r="B46" s="2"/>
      <c r="C46" s="2"/>
      <c r="D46" s="2"/>
      <c r="E46" s="2"/>
      <c r="F46" s="3"/>
      <c r="G46" s="3"/>
      <c r="H46" s="164" t="str">
        <f t="shared" si="0"/>
        <v/>
      </c>
      <c r="I46" s="164" t="str">
        <f t="shared" si="1"/>
        <v/>
      </c>
      <c r="J46" s="164" t="str">
        <f t="shared" si="2"/>
        <v/>
      </c>
      <c r="K46" s="164" t="str">
        <f t="shared" si="3"/>
        <v/>
      </c>
      <c r="L46" s="164" t="str">
        <f t="shared" si="4"/>
        <v/>
      </c>
      <c r="M46" s="169" t="str">
        <f t="shared" si="5"/>
        <v/>
      </c>
      <c r="N46" s="169" t="str">
        <f t="shared" si="6"/>
        <v/>
      </c>
      <c r="O46" s="169" t="str">
        <f t="shared" si="7"/>
        <v/>
      </c>
      <c r="P46" s="169" t="str">
        <f t="shared" si="8"/>
        <v/>
      </c>
      <c r="Q46" s="169" t="str">
        <f t="shared" si="9"/>
        <v/>
      </c>
      <c r="R46" s="170" t="str">
        <f t="shared" si="10"/>
        <v/>
      </c>
      <c r="S46" s="171" t="str">
        <f t="shared" si="11"/>
        <v/>
      </c>
      <c r="T46" s="171" t="str">
        <f t="shared" si="12"/>
        <v>fg_all</v>
      </c>
      <c r="U46" s="171" t="str">
        <f t="shared" si="13"/>
        <v/>
      </c>
    </row>
    <row r="47" spans="1:21" ht="26.25" customHeight="1">
      <c r="A47" s="2"/>
      <c r="B47" s="2"/>
      <c r="C47" s="2"/>
      <c r="D47" s="2"/>
      <c r="E47" s="2"/>
      <c r="F47" s="3"/>
      <c r="G47" s="3"/>
      <c r="H47" s="164" t="str">
        <f t="shared" si="0"/>
        <v/>
      </c>
      <c r="I47" s="164" t="str">
        <f t="shared" si="1"/>
        <v/>
      </c>
      <c r="J47" s="164" t="str">
        <f t="shared" si="2"/>
        <v/>
      </c>
      <c r="K47" s="164" t="str">
        <f t="shared" si="3"/>
        <v/>
      </c>
      <c r="L47" s="164" t="str">
        <f t="shared" si="4"/>
        <v/>
      </c>
      <c r="M47" s="169" t="str">
        <f t="shared" si="5"/>
        <v/>
      </c>
      <c r="N47" s="169" t="str">
        <f t="shared" si="6"/>
        <v/>
      </c>
      <c r="O47" s="169" t="str">
        <f t="shared" si="7"/>
        <v/>
      </c>
      <c r="P47" s="169" t="str">
        <f t="shared" si="8"/>
        <v/>
      </c>
      <c r="Q47" s="169" t="str">
        <f t="shared" si="9"/>
        <v/>
      </c>
      <c r="R47" s="170" t="str">
        <f t="shared" si="10"/>
        <v/>
      </c>
      <c r="S47" s="171" t="str">
        <f t="shared" si="11"/>
        <v/>
      </c>
      <c r="T47" s="171" t="str">
        <f t="shared" si="12"/>
        <v>fg_all</v>
      </c>
      <c r="U47" s="171" t="str">
        <f t="shared" si="13"/>
        <v/>
      </c>
    </row>
    <row r="48" spans="1:21" ht="26.25" customHeight="1">
      <c r="A48" s="2"/>
      <c r="B48" s="2"/>
      <c r="C48" s="2"/>
      <c r="D48" s="2"/>
      <c r="E48" s="2"/>
      <c r="F48" s="3"/>
      <c r="G48" s="3"/>
      <c r="H48" s="164" t="str">
        <f t="shared" si="0"/>
        <v/>
      </c>
      <c r="I48" s="164" t="str">
        <f t="shared" si="1"/>
        <v/>
      </c>
      <c r="J48" s="164" t="str">
        <f t="shared" si="2"/>
        <v/>
      </c>
      <c r="K48" s="164" t="str">
        <f t="shared" si="3"/>
        <v/>
      </c>
      <c r="L48" s="164" t="str">
        <f t="shared" si="4"/>
        <v/>
      </c>
      <c r="M48" s="169" t="str">
        <f t="shared" si="5"/>
        <v/>
      </c>
      <c r="N48" s="169" t="str">
        <f t="shared" si="6"/>
        <v/>
      </c>
      <c r="O48" s="169" t="str">
        <f t="shared" si="7"/>
        <v/>
      </c>
      <c r="P48" s="169" t="str">
        <f t="shared" si="8"/>
        <v/>
      </c>
      <c r="Q48" s="169" t="str">
        <f t="shared" si="9"/>
        <v/>
      </c>
      <c r="R48" s="170" t="str">
        <f t="shared" si="10"/>
        <v/>
      </c>
      <c r="S48" s="171" t="str">
        <f t="shared" si="11"/>
        <v/>
      </c>
      <c r="T48" s="171" t="str">
        <f t="shared" si="12"/>
        <v>fg_all</v>
      </c>
      <c r="U48" s="171" t="str">
        <f t="shared" si="13"/>
        <v/>
      </c>
    </row>
    <row r="49" spans="1:21" ht="26.25" customHeight="1">
      <c r="A49" s="2"/>
      <c r="B49" s="2"/>
      <c r="C49" s="2"/>
      <c r="D49" s="2"/>
      <c r="E49" s="2"/>
      <c r="F49" s="3"/>
      <c r="G49" s="3"/>
      <c r="H49" s="164" t="str">
        <f t="shared" si="0"/>
        <v/>
      </c>
      <c r="I49" s="164" t="str">
        <f t="shared" si="1"/>
        <v/>
      </c>
      <c r="J49" s="164" t="str">
        <f t="shared" si="2"/>
        <v/>
      </c>
      <c r="K49" s="164" t="str">
        <f t="shared" si="3"/>
        <v/>
      </c>
      <c r="L49" s="164" t="str">
        <f t="shared" si="4"/>
        <v/>
      </c>
      <c r="M49" s="169" t="str">
        <f t="shared" si="5"/>
        <v/>
      </c>
      <c r="N49" s="169" t="str">
        <f t="shared" si="6"/>
        <v/>
      </c>
      <c r="O49" s="169" t="str">
        <f t="shared" si="7"/>
        <v/>
      </c>
      <c r="P49" s="169" t="str">
        <f t="shared" si="8"/>
        <v/>
      </c>
      <c r="Q49" s="169" t="str">
        <f t="shared" si="9"/>
        <v/>
      </c>
      <c r="R49" s="170" t="str">
        <f t="shared" si="10"/>
        <v/>
      </c>
      <c r="S49" s="171" t="str">
        <f t="shared" si="11"/>
        <v/>
      </c>
      <c r="T49" s="171" t="str">
        <f t="shared" si="12"/>
        <v>fg_all</v>
      </c>
      <c r="U49" s="171" t="str">
        <f t="shared" si="13"/>
        <v/>
      </c>
    </row>
    <row r="50" spans="1:21" ht="26.25" customHeight="1">
      <c r="A50" s="2"/>
      <c r="B50" s="2"/>
      <c r="C50" s="2"/>
      <c r="D50" s="2"/>
      <c r="E50" s="2"/>
      <c r="F50" s="3"/>
      <c r="G50" s="3"/>
      <c r="H50" s="164" t="str">
        <f t="shared" si="0"/>
        <v/>
      </c>
      <c r="I50" s="164" t="str">
        <f t="shared" si="1"/>
        <v/>
      </c>
      <c r="J50" s="164" t="str">
        <f t="shared" si="2"/>
        <v/>
      </c>
      <c r="K50" s="164" t="str">
        <f t="shared" si="3"/>
        <v/>
      </c>
      <c r="L50" s="164" t="str">
        <f t="shared" si="4"/>
        <v/>
      </c>
      <c r="M50" s="169" t="str">
        <f t="shared" si="5"/>
        <v/>
      </c>
      <c r="N50" s="169" t="str">
        <f t="shared" si="6"/>
        <v/>
      </c>
      <c r="O50" s="169" t="str">
        <f t="shared" si="7"/>
        <v/>
      </c>
      <c r="P50" s="169" t="str">
        <f t="shared" si="8"/>
        <v/>
      </c>
      <c r="Q50" s="169" t="str">
        <f t="shared" si="9"/>
        <v/>
      </c>
      <c r="R50" s="170" t="str">
        <f t="shared" si="10"/>
        <v/>
      </c>
      <c r="S50" s="171" t="str">
        <f t="shared" si="11"/>
        <v/>
      </c>
      <c r="T50" s="171" t="str">
        <f t="shared" si="12"/>
        <v>fg_all</v>
      </c>
      <c r="U50" s="171" t="str">
        <f t="shared" si="13"/>
        <v/>
      </c>
    </row>
    <row r="51" spans="1:21" ht="26.25" customHeight="1">
      <c r="A51" s="2"/>
      <c r="B51" s="2"/>
      <c r="C51" s="2"/>
      <c r="D51" s="2"/>
      <c r="E51" s="2"/>
      <c r="F51" s="3"/>
      <c r="G51" s="3"/>
      <c r="H51" s="164" t="str">
        <f t="shared" si="0"/>
        <v/>
      </c>
      <c r="I51" s="164" t="str">
        <f t="shared" si="1"/>
        <v/>
      </c>
      <c r="J51" s="164" t="str">
        <f t="shared" si="2"/>
        <v/>
      </c>
      <c r="K51" s="164" t="str">
        <f t="shared" si="3"/>
        <v/>
      </c>
      <c r="L51" s="164" t="str">
        <f t="shared" si="4"/>
        <v/>
      </c>
      <c r="M51" s="169" t="str">
        <f t="shared" si="5"/>
        <v/>
      </c>
      <c r="N51" s="169" t="str">
        <f t="shared" si="6"/>
        <v/>
      </c>
      <c r="O51" s="169" t="str">
        <f t="shared" si="7"/>
        <v/>
      </c>
      <c r="P51" s="169" t="str">
        <f t="shared" si="8"/>
        <v/>
      </c>
      <c r="Q51" s="169" t="str">
        <f t="shared" si="9"/>
        <v/>
      </c>
      <c r="R51" s="170" t="str">
        <f t="shared" si="10"/>
        <v/>
      </c>
      <c r="S51" s="171" t="str">
        <f t="shared" si="11"/>
        <v/>
      </c>
      <c r="T51" s="171" t="str">
        <f t="shared" si="12"/>
        <v>fg_all</v>
      </c>
      <c r="U51" s="171" t="str">
        <f t="shared" si="13"/>
        <v/>
      </c>
    </row>
    <row r="52" spans="1:21" ht="26.25" customHeight="1">
      <c r="A52" s="2"/>
      <c r="B52" s="2"/>
      <c r="C52" s="2"/>
      <c r="D52" s="2"/>
      <c r="E52" s="2"/>
      <c r="F52" s="3"/>
      <c r="G52" s="3"/>
      <c r="H52" s="164" t="str">
        <f t="shared" si="0"/>
        <v/>
      </c>
      <c r="I52" s="164" t="str">
        <f t="shared" si="1"/>
        <v/>
      </c>
      <c r="J52" s="164" t="str">
        <f t="shared" si="2"/>
        <v/>
      </c>
      <c r="K52" s="164" t="str">
        <f t="shared" si="3"/>
        <v/>
      </c>
      <c r="L52" s="164" t="str">
        <f t="shared" si="4"/>
        <v/>
      </c>
      <c r="M52" s="169" t="str">
        <f t="shared" si="5"/>
        <v/>
      </c>
      <c r="N52" s="169" t="str">
        <f t="shared" si="6"/>
        <v/>
      </c>
      <c r="O52" s="169" t="str">
        <f t="shared" si="7"/>
        <v/>
      </c>
      <c r="P52" s="169" t="str">
        <f t="shared" si="8"/>
        <v/>
      </c>
      <c r="Q52" s="169" t="str">
        <f t="shared" si="9"/>
        <v/>
      </c>
      <c r="R52" s="170" t="str">
        <f t="shared" si="10"/>
        <v/>
      </c>
      <c r="S52" s="171" t="str">
        <f t="shared" si="11"/>
        <v/>
      </c>
      <c r="T52" s="171" t="str">
        <f t="shared" si="12"/>
        <v>fg_all</v>
      </c>
      <c r="U52" s="171" t="str">
        <f t="shared" si="13"/>
        <v/>
      </c>
    </row>
    <row r="53" spans="1:21" ht="26.25" customHeight="1">
      <c r="A53" s="2"/>
      <c r="B53" s="2"/>
      <c r="C53" s="2"/>
      <c r="D53" s="2"/>
      <c r="E53" s="2"/>
      <c r="F53" s="3"/>
      <c r="G53" s="3"/>
      <c r="H53" s="164" t="str">
        <f t="shared" si="0"/>
        <v/>
      </c>
      <c r="I53" s="164" t="str">
        <f t="shared" si="1"/>
        <v/>
      </c>
      <c r="J53" s="164" t="str">
        <f t="shared" si="2"/>
        <v/>
      </c>
      <c r="K53" s="164" t="str">
        <f t="shared" si="3"/>
        <v/>
      </c>
      <c r="L53" s="164" t="str">
        <f t="shared" si="4"/>
        <v/>
      </c>
      <c r="M53" s="169" t="str">
        <f t="shared" si="5"/>
        <v/>
      </c>
      <c r="N53" s="169" t="str">
        <f t="shared" si="6"/>
        <v/>
      </c>
      <c r="O53" s="169" t="str">
        <f t="shared" si="7"/>
        <v/>
      </c>
      <c r="P53" s="169" t="str">
        <f t="shared" si="8"/>
        <v/>
      </c>
      <c r="Q53" s="169" t="str">
        <f t="shared" si="9"/>
        <v/>
      </c>
      <c r="R53" s="170" t="str">
        <f t="shared" si="10"/>
        <v/>
      </c>
      <c r="S53" s="171" t="str">
        <f t="shared" si="11"/>
        <v/>
      </c>
      <c r="T53" s="171" t="str">
        <f t="shared" si="12"/>
        <v>fg_all</v>
      </c>
      <c r="U53" s="171" t="str">
        <f t="shared" si="13"/>
        <v/>
      </c>
    </row>
    <row r="54" spans="1:21" ht="26.25" customHeight="1">
      <c r="A54" s="2"/>
      <c r="B54" s="2"/>
      <c r="C54" s="2"/>
      <c r="D54" s="2"/>
      <c r="E54" s="2"/>
      <c r="F54" s="3"/>
      <c r="G54" s="3"/>
      <c r="H54" s="164" t="str">
        <f t="shared" si="0"/>
        <v/>
      </c>
      <c r="I54" s="164" t="str">
        <f t="shared" si="1"/>
        <v/>
      </c>
      <c r="J54" s="164" t="str">
        <f t="shared" si="2"/>
        <v/>
      </c>
      <c r="K54" s="164" t="str">
        <f t="shared" si="3"/>
        <v/>
      </c>
      <c r="L54" s="164" t="str">
        <f t="shared" si="4"/>
        <v/>
      </c>
      <c r="M54" s="169" t="str">
        <f t="shared" si="5"/>
        <v/>
      </c>
      <c r="N54" s="169" t="str">
        <f t="shared" si="6"/>
        <v/>
      </c>
      <c r="O54" s="169" t="str">
        <f t="shared" si="7"/>
        <v/>
      </c>
      <c r="P54" s="169" t="str">
        <f t="shared" si="8"/>
        <v/>
      </c>
      <c r="Q54" s="169" t="str">
        <f t="shared" si="9"/>
        <v/>
      </c>
      <c r="R54" s="170" t="str">
        <f t="shared" si="10"/>
        <v/>
      </c>
      <c r="S54" s="171" t="str">
        <f t="shared" si="11"/>
        <v/>
      </c>
      <c r="T54" s="171" t="str">
        <f t="shared" si="12"/>
        <v>fg_all</v>
      </c>
      <c r="U54" s="171" t="str">
        <f t="shared" si="13"/>
        <v/>
      </c>
    </row>
    <row r="55" spans="1:21" ht="26.25" customHeight="1">
      <c r="A55" s="2"/>
      <c r="B55" s="2"/>
      <c r="C55" s="2"/>
      <c r="D55" s="2"/>
      <c r="E55" s="2"/>
      <c r="F55" s="3"/>
      <c r="G55" s="3"/>
      <c r="H55" s="164" t="str">
        <f t="shared" si="0"/>
        <v/>
      </c>
      <c r="I55" s="164" t="str">
        <f t="shared" si="1"/>
        <v/>
      </c>
      <c r="J55" s="164" t="str">
        <f t="shared" si="2"/>
        <v/>
      </c>
      <c r="K55" s="164" t="str">
        <f t="shared" si="3"/>
        <v/>
      </c>
      <c r="L55" s="164" t="str">
        <f t="shared" si="4"/>
        <v/>
      </c>
      <c r="M55" s="169" t="str">
        <f t="shared" si="5"/>
        <v/>
      </c>
      <c r="N55" s="169" t="str">
        <f t="shared" si="6"/>
        <v/>
      </c>
      <c r="O55" s="169" t="str">
        <f t="shared" si="7"/>
        <v/>
      </c>
      <c r="P55" s="169" t="str">
        <f t="shared" si="8"/>
        <v/>
      </c>
      <c r="Q55" s="169" t="str">
        <f t="shared" si="9"/>
        <v/>
      </c>
      <c r="R55" s="170" t="str">
        <f t="shared" si="10"/>
        <v/>
      </c>
      <c r="S55" s="171" t="str">
        <f t="shared" si="11"/>
        <v/>
      </c>
      <c r="T55" s="171" t="str">
        <f t="shared" si="12"/>
        <v>fg_all</v>
      </c>
      <c r="U55" s="171" t="str">
        <f t="shared" si="13"/>
        <v/>
      </c>
    </row>
    <row r="56" spans="1:21" ht="26.25" customHeight="1">
      <c r="A56" s="2"/>
      <c r="B56" s="2"/>
      <c r="C56" s="2"/>
      <c r="D56" s="2"/>
      <c r="E56" s="2"/>
      <c r="F56" s="3"/>
      <c r="G56" s="3"/>
      <c r="H56" s="164" t="str">
        <f t="shared" si="0"/>
        <v/>
      </c>
      <c r="I56" s="164" t="str">
        <f t="shared" si="1"/>
        <v/>
      </c>
      <c r="J56" s="164" t="str">
        <f t="shared" si="2"/>
        <v/>
      </c>
      <c r="K56" s="164" t="str">
        <f t="shared" si="3"/>
        <v/>
      </c>
      <c r="L56" s="164" t="str">
        <f t="shared" si="4"/>
        <v/>
      </c>
      <c r="M56" s="169" t="str">
        <f t="shared" si="5"/>
        <v/>
      </c>
      <c r="N56" s="169" t="str">
        <f t="shared" si="6"/>
        <v/>
      </c>
      <c r="O56" s="169" t="str">
        <f t="shared" si="7"/>
        <v/>
      </c>
      <c r="P56" s="169" t="str">
        <f t="shared" si="8"/>
        <v/>
      </c>
      <c r="Q56" s="169" t="str">
        <f t="shared" si="9"/>
        <v/>
      </c>
      <c r="R56" s="170" t="str">
        <f t="shared" si="10"/>
        <v/>
      </c>
      <c r="S56" s="171" t="str">
        <f t="shared" si="11"/>
        <v/>
      </c>
      <c r="T56" s="171" t="str">
        <f t="shared" si="12"/>
        <v>fg_all</v>
      </c>
      <c r="U56" s="171" t="str">
        <f t="shared" si="13"/>
        <v/>
      </c>
    </row>
    <row r="57" spans="1:21" ht="26.25" customHeight="1">
      <c r="A57" s="2"/>
      <c r="B57" s="2"/>
      <c r="C57" s="2"/>
      <c r="D57" s="2"/>
      <c r="E57" s="2"/>
      <c r="F57" s="3"/>
      <c r="G57" s="3"/>
      <c r="H57" s="164" t="str">
        <f t="shared" si="0"/>
        <v/>
      </c>
      <c r="I57" s="164" t="str">
        <f t="shared" si="1"/>
        <v/>
      </c>
      <c r="J57" s="164" t="str">
        <f t="shared" si="2"/>
        <v/>
      </c>
      <c r="K57" s="164" t="str">
        <f t="shared" si="3"/>
        <v/>
      </c>
      <c r="L57" s="164" t="str">
        <f t="shared" si="4"/>
        <v/>
      </c>
      <c r="M57" s="169" t="str">
        <f t="shared" si="5"/>
        <v/>
      </c>
      <c r="N57" s="169" t="str">
        <f t="shared" si="6"/>
        <v/>
      </c>
      <c r="O57" s="169" t="str">
        <f t="shared" si="7"/>
        <v/>
      </c>
      <c r="P57" s="169" t="str">
        <f t="shared" si="8"/>
        <v/>
      </c>
      <c r="Q57" s="169" t="str">
        <f t="shared" si="9"/>
        <v/>
      </c>
      <c r="R57" s="170" t="str">
        <f t="shared" si="10"/>
        <v/>
      </c>
      <c r="S57" s="171" t="str">
        <f t="shared" si="11"/>
        <v/>
      </c>
      <c r="T57" s="171" t="str">
        <f t="shared" si="12"/>
        <v>fg_all</v>
      </c>
      <c r="U57" s="171" t="str">
        <f t="shared" si="13"/>
        <v/>
      </c>
    </row>
    <row r="58" spans="1:21" ht="26.25" customHeight="1">
      <c r="A58" s="2"/>
      <c r="B58" s="2"/>
      <c r="C58" s="2"/>
      <c r="D58" s="2"/>
      <c r="E58" s="2"/>
      <c r="F58" s="3"/>
      <c r="G58" s="3"/>
      <c r="H58" s="164" t="str">
        <f t="shared" si="0"/>
        <v/>
      </c>
      <c r="I58" s="164" t="str">
        <f t="shared" si="1"/>
        <v/>
      </c>
      <c r="J58" s="164" t="str">
        <f t="shared" si="2"/>
        <v/>
      </c>
      <c r="K58" s="164" t="str">
        <f t="shared" si="3"/>
        <v/>
      </c>
      <c r="L58" s="164" t="str">
        <f t="shared" si="4"/>
        <v/>
      </c>
      <c r="M58" s="169" t="str">
        <f t="shared" si="5"/>
        <v/>
      </c>
      <c r="N58" s="169" t="str">
        <f t="shared" si="6"/>
        <v/>
      </c>
      <c r="O58" s="169" t="str">
        <f t="shared" si="7"/>
        <v/>
      </c>
      <c r="P58" s="169" t="str">
        <f t="shared" si="8"/>
        <v/>
      </c>
      <c r="Q58" s="169" t="str">
        <f t="shared" si="9"/>
        <v/>
      </c>
      <c r="R58" s="170" t="str">
        <f t="shared" si="10"/>
        <v/>
      </c>
      <c r="S58" s="171" t="str">
        <f t="shared" si="11"/>
        <v/>
      </c>
      <c r="T58" s="171" t="str">
        <f t="shared" si="12"/>
        <v>fg_all</v>
      </c>
      <c r="U58" s="171" t="str">
        <f t="shared" si="13"/>
        <v/>
      </c>
    </row>
    <row r="59" spans="1:21" ht="26.25" customHeight="1">
      <c r="A59" s="2"/>
      <c r="B59" s="2"/>
      <c r="C59" s="2"/>
      <c r="D59" s="2"/>
      <c r="E59" s="2"/>
      <c r="F59" s="3"/>
      <c r="G59" s="3"/>
      <c r="H59" s="164" t="str">
        <f t="shared" si="0"/>
        <v/>
      </c>
      <c r="I59" s="164" t="str">
        <f t="shared" si="1"/>
        <v/>
      </c>
      <c r="J59" s="164" t="str">
        <f t="shared" si="2"/>
        <v/>
      </c>
      <c r="K59" s="164" t="str">
        <f t="shared" si="3"/>
        <v/>
      </c>
      <c r="L59" s="164" t="str">
        <f t="shared" si="4"/>
        <v/>
      </c>
      <c r="M59" s="169" t="str">
        <f t="shared" si="5"/>
        <v/>
      </c>
      <c r="N59" s="169" t="str">
        <f t="shared" si="6"/>
        <v/>
      </c>
      <c r="O59" s="169" t="str">
        <f t="shared" si="7"/>
        <v/>
      </c>
      <c r="P59" s="169" t="str">
        <f t="shared" si="8"/>
        <v/>
      </c>
      <c r="Q59" s="169" t="str">
        <f t="shared" si="9"/>
        <v/>
      </c>
      <c r="R59" s="170" t="str">
        <f t="shared" si="10"/>
        <v/>
      </c>
      <c r="S59" s="171" t="str">
        <f t="shared" si="11"/>
        <v/>
      </c>
      <c r="T59" s="171" t="str">
        <f t="shared" si="12"/>
        <v>fg_all</v>
      </c>
      <c r="U59" s="171" t="str">
        <f t="shared" si="13"/>
        <v/>
      </c>
    </row>
    <row r="60" spans="1:21" ht="26.25" customHeight="1">
      <c r="A60" s="2"/>
      <c r="B60" s="2"/>
      <c r="C60" s="2"/>
      <c r="D60" s="2"/>
      <c r="E60" s="2"/>
      <c r="F60" s="3"/>
      <c r="G60" s="3"/>
      <c r="H60" s="164" t="str">
        <f t="shared" si="0"/>
        <v/>
      </c>
      <c r="I60" s="164" t="str">
        <f t="shared" si="1"/>
        <v/>
      </c>
      <c r="J60" s="164" t="str">
        <f t="shared" si="2"/>
        <v/>
      </c>
      <c r="K60" s="164" t="str">
        <f t="shared" si="3"/>
        <v/>
      </c>
      <c r="L60" s="164" t="str">
        <f t="shared" si="4"/>
        <v/>
      </c>
      <c r="M60" s="169" t="str">
        <f t="shared" si="5"/>
        <v/>
      </c>
      <c r="N60" s="169" t="str">
        <f t="shared" si="6"/>
        <v/>
      </c>
      <c r="O60" s="169" t="str">
        <f t="shared" si="7"/>
        <v/>
      </c>
      <c r="P60" s="169" t="str">
        <f t="shared" si="8"/>
        <v/>
      </c>
      <c r="Q60" s="169" t="str">
        <f t="shared" si="9"/>
        <v/>
      </c>
      <c r="R60" s="170" t="str">
        <f t="shared" si="10"/>
        <v/>
      </c>
      <c r="S60" s="171" t="str">
        <f t="shared" si="11"/>
        <v/>
      </c>
      <c r="T60" s="171" t="str">
        <f t="shared" si="12"/>
        <v>fg_all</v>
      </c>
      <c r="U60" s="171" t="str">
        <f t="shared" si="13"/>
        <v/>
      </c>
    </row>
    <row r="61" spans="1:21" ht="26.25" customHeight="1">
      <c r="A61" s="2"/>
      <c r="B61" s="2"/>
      <c r="C61" s="2"/>
      <c r="D61" s="2"/>
      <c r="E61" s="2"/>
      <c r="F61" s="3"/>
      <c r="G61" s="3"/>
      <c r="H61" s="164" t="str">
        <f t="shared" si="0"/>
        <v/>
      </c>
      <c r="I61" s="164" t="str">
        <f t="shared" si="1"/>
        <v/>
      </c>
      <c r="J61" s="164" t="str">
        <f t="shared" si="2"/>
        <v/>
      </c>
      <c r="K61" s="164" t="str">
        <f t="shared" si="3"/>
        <v/>
      </c>
      <c r="L61" s="164" t="str">
        <f t="shared" si="4"/>
        <v/>
      </c>
      <c r="M61" s="169" t="str">
        <f t="shared" si="5"/>
        <v/>
      </c>
      <c r="N61" s="169" t="str">
        <f t="shared" si="6"/>
        <v/>
      </c>
      <c r="O61" s="169" t="str">
        <f t="shared" si="7"/>
        <v/>
      </c>
      <c r="P61" s="169" t="str">
        <f t="shared" si="8"/>
        <v/>
      </c>
      <c r="Q61" s="169" t="str">
        <f t="shared" si="9"/>
        <v/>
      </c>
      <c r="R61" s="170" t="str">
        <f t="shared" si="10"/>
        <v/>
      </c>
      <c r="S61" s="171" t="str">
        <f t="shared" si="11"/>
        <v/>
      </c>
      <c r="T61" s="171" t="str">
        <f t="shared" si="12"/>
        <v>fg_all</v>
      </c>
      <c r="U61" s="171" t="str">
        <f t="shared" si="13"/>
        <v/>
      </c>
    </row>
    <row r="62" spans="1:21" ht="26.25" customHeight="1">
      <c r="A62" s="2"/>
      <c r="B62" s="2"/>
      <c r="C62" s="2"/>
      <c r="D62" s="2"/>
      <c r="E62" s="2"/>
      <c r="F62" s="3"/>
      <c r="G62" s="3"/>
      <c r="H62" s="164" t="str">
        <f t="shared" si="0"/>
        <v/>
      </c>
      <c r="I62" s="164" t="str">
        <f t="shared" si="1"/>
        <v/>
      </c>
      <c r="J62" s="164" t="str">
        <f t="shared" si="2"/>
        <v/>
      </c>
      <c r="K62" s="164" t="str">
        <f t="shared" si="3"/>
        <v/>
      </c>
      <c r="L62" s="164" t="str">
        <f t="shared" si="4"/>
        <v/>
      </c>
      <c r="M62" s="169" t="str">
        <f t="shared" si="5"/>
        <v/>
      </c>
      <c r="N62" s="169" t="str">
        <f t="shared" si="6"/>
        <v/>
      </c>
      <c r="O62" s="169" t="str">
        <f t="shared" si="7"/>
        <v/>
      </c>
      <c r="P62" s="169" t="str">
        <f t="shared" si="8"/>
        <v/>
      </c>
      <c r="Q62" s="169" t="str">
        <f t="shared" si="9"/>
        <v/>
      </c>
      <c r="R62" s="170" t="str">
        <f t="shared" si="10"/>
        <v/>
      </c>
      <c r="S62" s="171" t="str">
        <f t="shared" si="11"/>
        <v/>
      </c>
      <c r="T62" s="171" t="str">
        <f t="shared" si="12"/>
        <v>fg_all</v>
      </c>
      <c r="U62" s="171" t="str">
        <f t="shared" si="13"/>
        <v/>
      </c>
    </row>
    <row r="63" spans="1:21" ht="26.25" customHeight="1">
      <c r="A63" s="2"/>
      <c r="B63" s="2"/>
      <c r="C63" s="2"/>
      <c r="D63" s="2"/>
      <c r="E63" s="2"/>
      <c r="F63" s="3"/>
      <c r="G63" s="3"/>
      <c r="H63" s="164" t="str">
        <f t="shared" si="0"/>
        <v/>
      </c>
      <c r="I63" s="164" t="str">
        <f t="shared" si="1"/>
        <v/>
      </c>
      <c r="J63" s="164" t="str">
        <f t="shared" si="2"/>
        <v/>
      </c>
      <c r="K63" s="164" t="str">
        <f t="shared" si="3"/>
        <v/>
      </c>
      <c r="L63" s="164" t="str">
        <f t="shared" si="4"/>
        <v/>
      </c>
      <c r="M63" s="169" t="str">
        <f t="shared" si="5"/>
        <v/>
      </c>
      <c r="N63" s="169" t="str">
        <f t="shared" si="6"/>
        <v/>
      </c>
      <c r="O63" s="169" t="str">
        <f t="shared" si="7"/>
        <v/>
      </c>
      <c r="P63" s="169" t="str">
        <f t="shared" si="8"/>
        <v/>
      </c>
      <c r="Q63" s="169" t="str">
        <f t="shared" si="9"/>
        <v/>
      </c>
      <c r="R63" s="170" t="str">
        <f t="shared" si="10"/>
        <v/>
      </c>
      <c r="S63" s="171" t="str">
        <f t="shared" si="11"/>
        <v/>
      </c>
      <c r="T63" s="171" t="str">
        <f t="shared" si="12"/>
        <v>fg_all</v>
      </c>
      <c r="U63" s="171" t="str">
        <f t="shared" si="13"/>
        <v/>
      </c>
    </row>
    <row r="64" spans="1:21" ht="26.25" customHeight="1">
      <c r="A64" s="2"/>
      <c r="B64" s="2"/>
      <c r="C64" s="2"/>
      <c r="D64" s="2"/>
      <c r="E64" s="2"/>
      <c r="F64" s="3"/>
      <c r="G64" s="3"/>
      <c r="H64" s="164" t="str">
        <f t="shared" si="0"/>
        <v/>
      </c>
      <c r="I64" s="164" t="str">
        <f t="shared" si="1"/>
        <v/>
      </c>
      <c r="J64" s="164" t="str">
        <f t="shared" si="2"/>
        <v/>
      </c>
      <c r="K64" s="164" t="str">
        <f t="shared" si="3"/>
        <v/>
      </c>
      <c r="L64" s="164" t="str">
        <f t="shared" si="4"/>
        <v/>
      </c>
      <c r="M64" s="169" t="str">
        <f t="shared" si="5"/>
        <v/>
      </c>
      <c r="N64" s="169" t="str">
        <f t="shared" si="6"/>
        <v/>
      </c>
      <c r="O64" s="169" t="str">
        <f t="shared" si="7"/>
        <v/>
      </c>
      <c r="P64" s="169" t="str">
        <f t="shared" si="8"/>
        <v/>
      </c>
      <c r="Q64" s="169" t="str">
        <f t="shared" si="9"/>
        <v/>
      </c>
      <c r="R64" s="170" t="str">
        <f t="shared" si="10"/>
        <v/>
      </c>
      <c r="S64" s="171" t="str">
        <f t="shared" si="11"/>
        <v/>
      </c>
      <c r="T64" s="171" t="str">
        <f t="shared" si="12"/>
        <v>fg_all</v>
      </c>
      <c r="U64" s="171" t="str">
        <f t="shared" si="13"/>
        <v/>
      </c>
    </row>
    <row r="65" spans="1:21" ht="26.25" customHeight="1">
      <c r="A65" s="2"/>
      <c r="B65" s="2"/>
      <c r="C65" s="2"/>
      <c r="D65" s="2"/>
      <c r="E65" s="2"/>
      <c r="F65" s="3"/>
      <c r="G65" s="3"/>
      <c r="H65" s="164" t="str">
        <f t="shared" si="0"/>
        <v/>
      </c>
      <c r="I65" s="164" t="str">
        <f t="shared" si="1"/>
        <v/>
      </c>
      <c r="J65" s="164" t="str">
        <f t="shared" si="2"/>
        <v/>
      </c>
      <c r="K65" s="164" t="str">
        <f t="shared" si="3"/>
        <v/>
      </c>
      <c r="L65" s="164" t="str">
        <f t="shared" si="4"/>
        <v/>
      </c>
      <c r="M65" s="169" t="str">
        <f t="shared" si="5"/>
        <v/>
      </c>
      <c r="N65" s="169" t="str">
        <f t="shared" si="6"/>
        <v/>
      </c>
      <c r="O65" s="169" t="str">
        <f t="shared" si="7"/>
        <v/>
      </c>
      <c r="P65" s="169" t="str">
        <f t="shared" si="8"/>
        <v/>
      </c>
      <c r="Q65" s="169" t="str">
        <f t="shared" si="9"/>
        <v/>
      </c>
      <c r="R65" s="170" t="str">
        <f t="shared" si="10"/>
        <v/>
      </c>
      <c r="S65" s="171" t="str">
        <f t="shared" si="11"/>
        <v/>
      </c>
      <c r="T65" s="171" t="str">
        <f t="shared" si="12"/>
        <v>fg_all</v>
      </c>
      <c r="U65" s="171" t="str">
        <f t="shared" si="13"/>
        <v/>
      </c>
    </row>
    <row r="66" spans="1:21" ht="26.25" customHeight="1">
      <c r="A66" s="2"/>
      <c r="B66" s="2"/>
      <c r="C66" s="2"/>
      <c r="D66" s="2"/>
      <c r="E66" s="2"/>
      <c r="F66" s="3"/>
      <c r="G66" s="3"/>
      <c r="H66" s="164" t="str">
        <f t="shared" si="0"/>
        <v/>
      </c>
      <c r="I66" s="164" t="str">
        <f t="shared" si="1"/>
        <v/>
      </c>
      <c r="J66" s="164" t="str">
        <f t="shared" si="2"/>
        <v/>
      </c>
      <c r="K66" s="164" t="str">
        <f t="shared" si="3"/>
        <v/>
      </c>
      <c r="L66" s="164" t="str">
        <f t="shared" si="4"/>
        <v/>
      </c>
      <c r="M66" s="169" t="str">
        <f t="shared" si="5"/>
        <v/>
      </c>
      <c r="N66" s="169" t="str">
        <f t="shared" si="6"/>
        <v/>
      </c>
      <c r="O66" s="169" t="str">
        <f t="shared" si="7"/>
        <v/>
      </c>
      <c r="P66" s="169" t="str">
        <f t="shared" si="8"/>
        <v/>
      </c>
      <c r="Q66" s="169" t="str">
        <f t="shared" si="9"/>
        <v/>
      </c>
      <c r="R66" s="170" t="str">
        <f t="shared" si="10"/>
        <v/>
      </c>
      <c r="S66" s="171" t="str">
        <f t="shared" si="11"/>
        <v/>
      </c>
      <c r="T66" s="171" t="str">
        <f t="shared" si="12"/>
        <v>fg_all</v>
      </c>
      <c r="U66" s="171" t="str">
        <f t="shared" si="13"/>
        <v/>
      </c>
    </row>
    <row r="67" spans="1:21" ht="26.25" customHeight="1">
      <c r="A67" s="2"/>
      <c r="B67" s="2"/>
      <c r="C67" s="2"/>
      <c r="D67" s="2"/>
      <c r="E67" s="2"/>
      <c r="F67" s="3"/>
      <c r="G67" s="3"/>
      <c r="H67" s="164" t="str">
        <f t="shared" si="0"/>
        <v/>
      </c>
      <c r="I67" s="164" t="str">
        <f t="shared" si="1"/>
        <v/>
      </c>
      <c r="J67" s="164" t="str">
        <f t="shared" si="2"/>
        <v/>
      </c>
      <c r="K67" s="164" t="str">
        <f t="shared" si="3"/>
        <v/>
      </c>
      <c r="L67" s="164" t="str">
        <f t="shared" si="4"/>
        <v/>
      </c>
      <c r="M67" s="169" t="str">
        <f t="shared" si="5"/>
        <v/>
      </c>
      <c r="N67" s="169" t="str">
        <f t="shared" si="6"/>
        <v/>
      </c>
      <c r="O67" s="169" t="str">
        <f t="shared" si="7"/>
        <v/>
      </c>
      <c r="P67" s="169" t="str">
        <f t="shared" si="8"/>
        <v/>
      </c>
      <c r="Q67" s="169" t="str">
        <f t="shared" si="9"/>
        <v/>
      </c>
      <c r="R67" s="170" t="str">
        <f t="shared" si="10"/>
        <v/>
      </c>
      <c r="S67" s="171" t="str">
        <f t="shared" si="11"/>
        <v/>
      </c>
      <c r="T67" s="171" t="str">
        <f t="shared" si="12"/>
        <v>fg_all</v>
      </c>
      <c r="U67" s="171" t="str">
        <f t="shared" si="13"/>
        <v/>
      </c>
    </row>
    <row r="68" spans="1:21" ht="26.25" customHeight="1">
      <c r="A68" s="2"/>
      <c r="B68" s="2"/>
      <c r="C68" s="2"/>
      <c r="D68" s="2"/>
      <c r="E68" s="2"/>
      <c r="F68" s="3"/>
      <c r="G68" s="3"/>
      <c r="H68" s="164" t="str">
        <f t="shared" si="0"/>
        <v/>
      </c>
      <c r="I68" s="164" t="str">
        <f t="shared" si="1"/>
        <v/>
      </c>
      <c r="J68" s="164" t="str">
        <f t="shared" si="2"/>
        <v/>
      </c>
      <c r="K68" s="164" t="str">
        <f t="shared" si="3"/>
        <v/>
      </c>
      <c r="L68" s="164" t="str">
        <f t="shared" si="4"/>
        <v/>
      </c>
      <c r="M68" s="169" t="str">
        <f t="shared" si="5"/>
        <v/>
      </c>
      <c r="N68" s="169" t="str">
        <f t="shared" si="6"/>
        <v/>
      </c>
      <c r="O68" s="169" t="str">
        <f t="shared" si="7"/>
        <v/>
      </c>
      <c r="P68" s="169" t="str">
        <f t="shared" si="8"/>
        <v/>
      </c>
      <c r="Q68" s="169" t="str">
        <f t="shared" si="9"/>
        <v/>
      </c>
      <c r="R68" s="170" t="str">
        <f t="shared" si="10"/>
        <v/>
      </c>
      <c r="S68" s="171" t="str">
        <f t="shared" si="11"/>
        <v/>
      </c>
      <c r="T68" s="171" t="str">
        <f t="shared" si="12"/>
        <v>fg_all</v>
      </c>
      <c r="U68" s="171" t="str">
        <f t="shared" si="13"/>
        <v/>
      </c>
    </row>
    <row r="69" spans="1:21" ht="26.25" customHeight="1">
      <c r="A69" s="2"/>
      <c r="B69" s="2"/>
      <c r="C69" s="2"/>
      <c r="D69" s="2"/>
      <c r="E69" s="2"/>
      <c r="F69" s="3"/>
      <c r="G69" s="3"/>
      <c r="H69" s="164" t="str">
        <f t="shared" si="0"/>
        <v/>
      </c>
      <c r="I69" s="164" t="str">
        <f t="shared" si="1"/>
        <v/>
      </c>
      <c r="J69" s="164" t="str">
        <f t="shared" si="2"/>
        <v/>
      </c>
      <c r="K69" s="164" t="str">
        <f t="shared" si="3"/>
        <v/>
      </c>
      <c r="L69" s="164" t="str">
        <f t="shared" si="4"/>
        <v/>
      </c>
      <c r="M69" s="169" t="str">
        <f t="shared" si="5"/>
        <v/>
      </c>
      <c r="N69" s="169" t="str">
        <f t="shared" si="6"/>
        <v/>
      </c>
      <c r="O69" s="169" t="str">
        <f t="shared" si="7"/>
        <v/>
      </c>
      <c r="P69" s="169" t="str">
        <f t="shared" si="8"/>
        <v/>
      </c>
      <c r="Q69" s="169" t="str">
        <f t="shared" si="9"/>
        <v/>
      </c>
      <c r="R69" s="170" t="str">
        <f t="shared" si="10"/>
        <v/>
      </c>
      <c r="S69" s="171" t="str">
        <f t="shared" si="11"/>
        <v/>
      </c>
      <c r="T69" s="171" t="str">
        <f t="shared" si="12"/>
        <v>fg_all</v>
      </c>
      <c r="U69" s="171" t="str">
        <f t="shared" si="13"/>
        <v/>
      </c>
    </row>
    <row r="70" spans="1:21" ht="26.25" customHeight="1">
      <c r="A70" s="2"/>
      <c r="B70" s="2"/>
      <c r="C70" s="2"/>
      <c r="D70" s="2"/>
      <c r="E70" s="2"/>
      <c r="F70" s="3"/>
      <c r="G70" s="3"/>
      <c r="H70" s="164" t="str">
        <f t="shared" si="0"/>
        <v/>
      </c>
      <c r="I70" s="164" t="str">
        <f t="shared" si="1"/>
        <v/>
      </c>
      <c r="J70" s="164" t="str">
        <f t="shared" si="2"/>
        <v/>
      </c>
      <c r="K70" s="164" t="str">
        <f t="shared" si="3"/>
        <v/>
      </c>
      <c r="L70" s="164" t="str">
        <f t="shared" si="4"/>
        <v/>
      </c>
      <c r="M70" s="169" t="str">
        <f t="shared" si="5"/>
        <v/>
      </c>
      <c r="N70" s="169" t="str">
        <f t="shared" si="6"/>
        <v/>
      </c>
      <c r="O70" s="169" t="str">
        <f t="shared" si="7"/>
        <v/>
      </c>
      <c r="P70" s="169" t="str">
        <f t="shared" si="8"/>
        <v/>
      </c>
      <c r="Q70" s="169" t="str">
        <f t="shared" si="9"/>
        <v/>
      </c>
      <c r="R70" s="170" t="str">
        <f t="shared" si="10"/>
        <v/>
      </c>
      <c r="S70" s="171" t="str">
        <f t="shared" si="11"/>
        <v/>
      </c>
      <c r="T70" s="171" t="str">
        <f t="shared" si="12"/>
        <v>fg_all</v>
      </c>
      <c r="U70" s="171" t="str">
        <f t="shared" si="13"/>
        <v/>
      </c>
    </row>
    <row r="71" spans="1:21" ht="26.25" customHeight="1">
      <c r="A71" s="2"/>
      <c r="B71" s="2"/>
      <c r="C71" s="2"/>
      <c r="D71" s="2"/>
      <c r="E71" s="2"/>
      <c r="F71" s="3"/>
      <c r="G71" s="3"/>
      <c r="H71" s="164" t="str">
        <f t="shared" si="0"/>
        <v/>
      </c>
      <c r="I71" s="164" t="str">
        <f t="shared" si="1"/>
        <v/>
      </c>
      <c r="J71" s="164" t="str">
        <f t="shared" si="2"/>
        <v/>
      </c>
      <c r="K71" s="164" t="str">
        <f t="shared" si="3"/>
        <v/>
      </c>
      <c r="L71" s="164" t="str">
        <f t="shared" si="4"/>
        <v/>
      </c>
      <c r="M71" s="169" t="str">
        <f t="shared" si="5"/>
        <v/>
      </c>
      <c r="N71" s="169" t="str">
        <f t="shared" si="6"/>
        <v/>
      </c>
      <c r="O71" s="169" t="str">
        <f t="shared" si="7"/>
        <v/>
      </c>
      <c r="P71" s="169" t="str">
        <f t="shared" si="8"/>
        <v/>
      </c>
      <c r="Q71" s="169" t="str">
        <f t="shared" si="9"/>
        <v/>
      </c>
      <c r="R71" s="170" t="str">
        <f t="shared" si="10"/>
        <v/>
      </c>
      <c r="S71" s="171" t="str">
        <f t="shared" si="11"/>
        <v/>
      </c>
      <c r="T71" s="171" t="str">
        <f t="shared" si="12"/>
        <v>fg_all</v>
      </c>
      <c r="U71" s="171" t="str">
        <f t="shared" si="13"/>
        <v/>
      </c>
    </row>
    <row r="72" spans="1:21" ht="26.25" customHeight="1">
      <c r="A72" s="2"/>
      <c r="B72" s="2"/>
      <c r="C72" s="2"/>
      <c r="D72" s="2"/>
      <c r="E72" s="2"/>
      <c r="F72" s="3"/>
      <c r="G72" s="3"/>
      <c r="H72" s="164" t="str">
        <f t="shared" si="0"/>
        <v/>
      </c>
      <c r="I72" s="164" t="str">
        <f t="shared" si="1"/>
        <v/>
      </c>
      <c r="J72" s="164" t="str">
        <f t="shared" si="2"/>
        <v/>
      </c>
      <c r="K72" s="164" t="str">
        <f t="shared" si="3"/>
        <v/>
      </c>
      <c r="L72" s="164" t="str">
        <f t="shared" si="4"/>
        <v/>
      </c>
      <c r="M72" s="169" t="str">
        <f t="shared" si="5"/>
        <v/>
      </c>
      <c r="N72" s="169" t="str">
        <f t="shared" si="6"/>
        <v/>
      </c>
      <c r="O72" s="169" t="str">
        <f t="shared" si="7"/>
        <v/>
      </c>
      <c r="P72" s="169" t="str">
        <f t="shared" si="8"/>
        <v/>
      </c>
      <c r="Q72" s="169" t="str">
        <f t="shared" si="9"/>
        <v/>
      </c>
      <c r="R72" s="170" t="str">
        <f t="shared" si="10"/>
        <v/>
      </c>
      <c r="S72" s="171" t="str">
        <f t="shared" si="11"/>
        <v/>
      </c>
      <c r="T72" s="171" t="str">
        <f t="shared" si="12"/>
        <v>fg_all</v>
      </c>
      <c r="U72" s="171" t="str">
        <f t="shared" si="13"/>
        <v/>
      </c>
    </row>
    <row r="73" spans="1:21" ht="26.25" customHeight="1">
      <c r="A73" s="2"/>
      <c r="B73" s="2"/>
      <c r="C73" s="2"/>
      <c r="D73" s="2"/>
      <c r="E73" s="2"/>
      <c r="F73" s="3"/>
      <c r="G73" s="3"/>
      <c r="H73" s="164" t="str">
        <f t="shared" ref="H73:H136" si="14">IF(OR($S73="",$S73="NF"),"",INDEX(b_ener,$S73))</f>
        <v/>
      </c>
      <c r="I73" s="164" t="str">
        <f t="shared" ref="I73:I136" si="15">IF(OR($S73="",$S73="NF"),"",INDEX(b_prot,$S73))</f>
        <v/>
      </c>
      <c r="J73" s="164" t="str">
        <f t="shared" ref="J73:J136" si="16">IF(OR($S73="",$S73="NF"),"",INDEX(b_hc,$S73))</f>
        <v/>
      </c>
      <c r="K73" s="164" t="str">
        <f t="shared" ref="K73:K136" si="17">IF(OR($S73="",$S73="NF"),"",INDEX(b_lip,$S73))</f>
        <v/>
      </c>
      <c r="L73" s="164" t="str">
        <f t="shared" ref="L73:L136" si="18">IF(OR($S73="",$S73="NF"),"",INDEX(b_fib,$S73))</f>
        <v/>
      </c>
      <c r="M73" s="169" t="str">
        <f t="shared" ref="M73:M136" si="19">IF(OR(NOT(ISNUMBER($U73)),NOT(ISNUMBER($H73))),"",ROUND($U73*$H73/100,1))</f>
        <v/>
      </c>
      <c r="N73" s="169" t="str">
        <f t="shared" ref="N73:N136" si="20">IF(OR(NOT(ISNUMBER($U73)),NOT(ISNUMBER($I73))),"",ROUND($U73*$I73/100,2))</f>
        <v/>
      </c>
      <c r="O73" s="169" t="str">
        <f t="shared" ref="O73:O136" si="21">IF(OR(NOT(ISNUMBER($U73)),NOT(ISNUMBER($J73))),"",ROUND($U73*$J73/100,2))</f>
        <v/>
      </c>
      <c r="P73" s="169" t="str">
        <f t="shared" ref="P73:P136" si="22">IF(OR(NOT(ISNUMBER($U73)),NOT(ISNUMBER($K73))),"",ROUND($U73*$K73/100,2))</f>
        <v/>
      </c>
      <c r="Q73" s="169" t="str">
        <f t="shared" ref="Q73:Q136" si="23">IF(OR(NOT(ISNUMBER($U73)),NOT(ISNUMBER($L73))),"",ROUND($U73*$L73/100,2))</f>
        <v/>
      </c>
      <c r="R73" s="170" t="str">
        <f t="shared" ref="R73:R136" si="24">IF($D73="","",IF($S73="NF","Alimento no encontrado",IF(AND($E73="Porciones",NOT(ISNUMBER($U73))),"Porción no documentada: use gramos",IF(NOT(ISNUMBER($U73)),"Ingrese los gramos",IF(OR($H73="ND",$I73="ND",$J73="ND",$K73="ND",$L73="ND"),"Dato incompleto (ND): el total puede subestimar","OK")))))</f>
        <v/>
      </c>
      <c r="S73" s="171" t="str">
        <f t="shared" ref="S73:S136" si="25">IF(OR($D73="",$D73=0),"",IFERROR(MATCH($D73,b_key,0),"NF"))</f>
        <v/>
      </c>
      <c r="T73" s="171" t="str">
        <f t="shared" ref="T73:T136" si="26">IF($C73="","fg_all",IFERROR(VLOOKUP($C73,grp_map,2,0),"fg_all"))</f>
        <v>fg_all</v>
      </c>
      <c r="U73" s="171" t="str">
        <f t="shared" ref="U73:U136" si="27">IF(OR($D73="",$S73="NF",$S73=""),"",IF($E73="Porciones",IF(AND(ISNUMBER($F73),ISNUMBER(INDEX(b_porcg,$S73))),$F73*INDEX(b_porcg,$S73),"ND"),$G73))</f>
        <v/>
      </c>
    </row>
    <row r="74" spans="1:21" ht="26.25" customHeight="1">
      <c r="A74" s="2"/>
      <c r="B74" s="2"/>
      <c r="C74" s="2"/>
      <c r="D74" s="2"/>
      <c r="E74" s="2"/>
      <c r="F74" s="3"/>
      <c r="G74" s="3"/>
      <c r="H74" s="164" t="str">
        <f t="shared" si="14"/>
        <v/>
      </c>
      <c r="I74" s="164" t="str">
        <f t="shared" si="15"/>
        <v/>
      </c>
      <c r="J74" s="164" t="str">
        <f t="shared" si="16"/>
        <v/>
      </c>
      <c r="K74" s="164" t="str">
        <f t="shared" si="17"/>
        <v/>
      </c>
      <c r="L74" s="164" t="str">
        <f t="shared" si="18"/>
        <v/>
      </c>
      <c r="M74" s="169" t="str">
        <f t="shared" si="19"/>
        <v/>
      </c>
      <c r="N74" s="169" t="str">
        <f t="shared" si="20"/>
        <v/>
      </c>
      <c r="O74" s="169" t="str">
        <f t="shared" si="21"/>
        <v/>
      </c>
      <c r="P74" s="169" t="str">
        <f t="shared" si="22"/>
        <v/>
      </c>
      <c r="Q74" s="169" t="str">
        <f t="shared" si="23"/>
        <v/>
      </c>
      <c r="R74" s="170" t="str">
        <f t="shared" si="24"/>
        <v/>
      </c>
      <c r="S74" s="171" t="str">
        <f t="shared" si="25"/>
        <v/>
      </c>
      <c r="T74" s="171" t="str">
        <f t="shared" si="26"/>
        <v>fg_all</v>
      </c>
      <c r="U74" s="171" t="str">
        <f t="shared" si="27"/>
        <v/>
      </c>
    </row>
    <row r="75" spans="1:21" ht="26.25" customHeight="1">
      <c r="A75" s="2"/>
      <c r="B75" s="2"/>
      <c r="C75" s="2"/>
      <c r="D75" s="2"/>
      <c r="E75" s="2"/>
      <c r="F75" s="3"/>
      <c r="G75" s="3"/>
      <c r="H75" s="164" t="str">
        <f t="shared" si="14"/>
        <v/>
      </c>
      <c r="I75" s="164" t="str">
        <f t="shared" si="15"/>
        <v/>
      </c>
      <c r="J75" s="164" t="str">
        <f t="shared" si="16"/>
        <v/>
      </c>
      <c r="K75" s="164" t="str">
        <f t="shared" si="17"/>
        <v/>
      </c>
      <c r="L75" s="164" t="str">
        <f t="shared" si="18"/>
        <v/>
      </c>
      <c r="M75" s="169" t="str">
        <f t="shared" si="19"/>
        <v/>
      </c>
      <c r="N75" s="169" t="str">
        <f t="shared" si="20"/>
        <v/>
      </c>
      <c r="O75" s="169" t="str">
        <f t="shared" si="21"/>
        <v/>
      </c>
      <c r="P75" s="169" t="str">
        <f t="shared" si="22"/>
        <v/>
      </c>
      <c r="Q75" s="169" t="str">
        <f t="shared" si="23"/>
        <v/>
      </c>
      <c r="R75" s="170" t="str">
        <f t="shared" si="24"/>
        <v/>
      </c>
      <c r="S75" s="171" t="str">
        <f t="shared" si="25"/>
        <v/>
      </c>
      <c r="T75" s="171" t="str">
        <f t="shared" si="26"/>
        <v>fg_all</v>
      </c>
      <c r="U75" s="171" t="str">
        <f t="shared" si="27"/>
        <v/>
      </c>
    </row>
    <row r="76" spans="1:21" ht="26.25" customHeight="1">
      <c r="A76" s="2"/>
      <c r="B76" s="2"/>
      <c r="C76" s="2"/>
      <c r="D76" s="2"/>
      <c r="E76" s="2"/>
      <c r="F76" s="3"/>
      <c r="G76" s="3"/>
      <c r="H76" s="164" t="str">
        <f t="shared" si="14"/>
        <v/>
      </c>
      <c r="I76" s="164" t="str">
        <f t="shared" si="15"/>
        <v/>
      </c>
      <c r="J76" s="164" t="str">
        <f t="shared" si="16"/>
        <v/>
      </c>
      <c r="K76" s="164" t="str">
        <f t="shared" si="17"/>
        <v/>
      </c>
      <c r="L76" s="164" t="str">
        <f t="shared" si="18"/>
        <v/>
      </c>
      <c r="M76" s="169" t="str">
        <f t="shared" si="19"/>
        <v/>
      </c>
      <c r="N76" s="169" t="str">
        <f t="shared" si="20"/>
        <v/>
      </c>
      <c r="O76" s="169" t="str">
        <f t="shared" si="21"/>
        <v/>
      </c>
      <c r="P76" s="169" t="str">
        <f t="shared" si="22"/>
        <v/>
      </c>
      <c r="Q76" s="169" t="str">
        <f t="shared" si="23"/>
        <v/>
      </c>
      <c r="R76" s="170" t="str">
        <f t="shared" si="24"/>
        <v/>
      </c>
      <c r="S76" s="171" t="str">
        <f t="shared" si="25"/>
        <v/>
      </c>
      <c r="T76" s="171" t="str">
        <f t="shared" si="26"/>
        <v>fg_all</v>
      </c>
      <c r="U76" s="171" t="str">
        <f t="shared" si="27"/>
        <v/>
      </c>
    </row>
    <row r="77" spans="1:21" ht="26.25" customHeight="1">
      <c r="A77" s="2"/>
      <c r="B77" s="2"/>
      <c r="C77" s="2"/>
      <c r="D77" s="2"/>
      <c r="E77" s="2"/>
      <c r="F77" s="3"/>
      <c r="G77" s="3"/>
      <c r="H77" s="164" t="str">
        <f t="shared" si="14"/>
        <v/>
      </c>
      <c r="I77" s="164" t="str">
        <f t="shared" si="15"/>
        <v/>
      </c>
      <c r="J77" s="164" t="str">
        <f t="shared" si="16"/>
        <v/>
      </c>
      <c r="K77" s="164" t="str">
        <f t="shared" si="17"/>
        <v/>
      </c>
      <c r="L77" s="164" t="str">
        <f t="shared" si="18"/>
        <v/>
      </c>
      <c r="M77" s="169" t="str">
        <f t="shared" si="19"/>
        <v/>
      </c>
      <c r="N77" s="169" t="str">
        <f t="shared" si="20"/>
        <v/>
      </c>
      <c r="O77" s="169" t="str">
        <f t="shared" si="21"/>
        <v/>
      </c>
      <c r="P77" s="169" t="str">
        <f t="shared" si="22"/>
        <v/>
      </c>
      <c r="Q77" s="169" t="str">
        <f t="shared" si="23"/>
        <v/>
      </c>
      <c r="R77" s="170" t="str">
        <f t="shared" si="24"/>
        <v/>
      </c>
      <c r="S77" s="171" t="str">
        <f t="shared" si="25"/>
        <v/>
      </c>
      <c r="T77" s="171" t="str">
        <f t="shared" si="26"/>
        <v>fg_all</v>
      </c>
      <c r="U77" s="171" t="str">
        <f t="shared" si="27"/>
        <v/>
      </c>
    </row>
    <row r="78" spans="1:21" ht="26.25" customHeight="1">
      <c r="A78" s="2"/>
      <c r="B78" s="2"/>
      <c r="C78" s="2"/>
      <c r="D78" s="2"/>
      <c r="E78" s="2"/>
      <c r="F78" s="3"/>
      <c r="G78" s="3"/>
      <c r="H78" s="164" t="str">
        <f t="shared" si="14"/>
        <v/>
      </c>
      <c r="I78" s="164" t="str">
        <f t="shared" si="15"/>
        <v/>
      </c>
      <c r="J78" s="164" t="str">
        <f t="shared" si="16"/>
        <v/>
      </c>
      <c r="K78" s="164" t="str">
        <f t="shared" si="17"/>
        <v/>
      </c>
      <c r="L78" s="164" t="str">
        <f t="shared" si="18"/>
        <v/>
      </c>
      <c r="M78" s="169" t="str">
        <f t="shared" si="19"/>
        <v/>
      </c>
      <c r="N78" s="169" t="str">
        <f t="shared" si="20"/>
        <v/>
      </c>
      <c r="O78" s="169" t="str">
        <f t="shared" si="21"/>
        <v/>
      </c>
      <c r="P78" s="169" t="str">
        <f t="shared" si="22"/>
        <v/>
      </c>
      <c r="Q78" s="169" t="str">
        <f t="shared" si="23"/>
        <v/>
      </c>
      <c r="R78" s="170" t="str">
        <f t="shared" si="24"/>
        <v/>
      </c>
      <c r="S78" s="171" t="str">
        <f t="shared" si="25"/>
        <v/>
      </c>
      <c r="T78" s="171" t="str">
        <f t="shared" si="26"/>
        <v>fg_all</v>
      </c>
      <c r="U78" s="171" t="str">
        <f t="shared" si="27"/>
        <v/>
      </c>
    </row>
    <row r="79" spans="1:21" ht="26.25" customHeight="1">
      <c r="A79" s="2"/>
      <c r="B79" s="2"/>
      <c r="C79" s="2"/>
      <c r="D79" s="2"/>
      <c r="E79" s="2"/>
      <c r="F79" s="3"/>
      <c r="G79" s="3"/>
      <c r="H79" s="164" t="str">
        <f t="shared" si="14"/>
        <v/>
      </c>
      <c r="I79" s="164" t="str">
        <f t="shared" si="15"/>
        <v/>
      </c>
      <c r="J79" s="164" t="str">
        <f t="shared" si="16"/>
        <v/>
      </c>
      <c r="K79" s="164" t="str">
        <f t="shared" si="17"/>
        <v/>
      </c>
      <c r="L79" s="164" t="str">
        <f t="shared" si="18"/>
        <v/>
      </c>
      <c r="M79" s="169" t="str">
        <f t="shared" si="19"/>
        <v/>
      </c>
      <c r="N79" s="169" t="str">
        <f t="shared" si="20"/>
        <v/>
      </c>
      <c r="O79" s="169" t="str">
        <f t="shared" si="21"/>
        <v/>
      </c>
      <c r="P79" s="169" t="str">
        <f t="shared" si="22"/>
        <v/>
      </c>
      <c r="Q79" s="169" t="str">
        <f t="shared" si="23"/>
        <v/>
      </c>
      <c r="R79" s="170" t="str">
        <f t="shared" si="24"/>
        <v/>
      </c>
      <c r="S79" s="171" t="str">
        <f t="shared" si="25"/>
        <v/>
      </c>
      <c r="T79" s="171" t="str">
        <f t="shared" si="26"/>
        <v>fg_all</v>
      </c>
      <c r="U79" s="171" t="str">
        <f t="shared" si="27"/>
        <v/>
      </c>
    </row>
    <row r="80" spans="1:21" ht="26.25" customHeight="1">
      <c r="A80" s="2"/>
      <c r="B80" s="2"/>
      <c r="C80" s="2"/>
      <c r="D80" s="2"/>
      <c r="E80" s="2"/>
      <c r="F80" s="3"/>
      <c r="G80" s="3"/>
      <c r="H80" s="164" t="str">
        <f t="shared" si="14"/>
        <v/>
      </c>
      <c r="I80" s="164" t="str">
        <f t="shared" si="15"/>
        <v/>
      </c>
      <c r="J80" s="164" t="str">
        <f t="shared" si="16"/>
        <v/>
      </c>
      <c r="K80" s="164" t="str">
        <f t="shared" si="17"/>
        <v/>
      </c>
      <c r="L80" s="164" t="str">
        <f t="shared" si="18"/>
        <v/>
      </c>
      <c r="M80" s="169" t="str">
        <f t="shared" si="19"/>
        <v/>
      </c>
      <c r="N80" s="169" t="str">
        <f t="shared" si="20"/>
        <v/>
      </c>
      <c r="O80" s="169" t="str">
        <f t="shared" si="21"/>
        <v/>
      </c>
      <c r="P80" s="169" t="str">
        <f t="shared" si="22"/>
        <v/>
      </c>
      <c r="Q80" s="169" t="str">
        <f t="shared" si="23"/>
        <v/>
      </c>
      <c r="R80" s="170" t="str">
        <f t="shared" si="24"/>
        <v/>
      </c>
      <c r="S80" s="171" t="str">
        <f t="shared" si="25"/>
        <v/>
      </c>
      <c r="T80" s="171" t="str">
        <f t="shared" si="26"/>
        <v>fg_all</v>
      </c>
      <c r="U80" s="171" t="str">
        <f t="shared" si="27"/>
        <v/>
      </c>
    </row>
    <row r="81" spans="1:21" ht="26.25" customHeight="1">
      <c r="A81" s="2"/>
      <c r="B81" s="2"/>
      <c r="C81" s="2"/>
      <c r="D81" s="2"/>
      <c r="E81" s="2"/>
      <c r="F81" s="3"/>
      <c r="G81" s="3"/>
      <c r="H81" s="164" t="str">
        <f t="shared" si="14"/>
        <v/>
      </c>
      <c r="I81" s="164" t="str">
        <f t="shared" si="15"/>
        <v/>
      </c>
      <c r="J81" s="164" t="str">
        <f t="shared" si="16"/>
        <v/>
      </c>
      <c r="K81" s="164" t="str">
        <f t="shared" si="17"/>
        <v/>
      </c>
      <c r="L81" s="164" t="str">
        <f t="shared" si="18"/>
        <v/>
      </c>
      <c r="M81" s="169" t="str">
        <f t="shared" si="19"/>
        <v/>
      </c>
      <c r="N81" s="169" t="str">
        <f t="shared" si="20"/>
        <v/>
      </c>
      <c r="O81" s="169" t="str">
        <f t="shared" si="21"/>
        <v/>
      </c>
      <c r="P81" s="169" t="str">
        <f t="shared" si="22"/>
        <v/>
      </c>
      <c r="Q81" s="169" t="str">
        <f t="shared" si="23"/>
        <v/>
      </c>
      <c r="R81" s="170" t="str">
        <f t="shared" si="24"/>
        <v/>
      </c>
      <c r="S81" s="171" t="str">
        <f t="shared" si="25"/>
        <v/>
      </c>
      <c r="T81" s="171" t="str">
        <f t="shared" si="26"/>
        <v>fg_all</v>
      </c>
      <c r="U81" s="171" t="str">
        <f t="shared" si="27"/>
        <v/>
      </c>
    </row>
    <row r="82" spans="1:21" ht="26.25" customHeight="1">
      <c r="A82" s="2"/>
      <c r="B82" s="2"/>
      <c r="C82" s="2"/>
      <c r="D82" s="2"/>
      <c r="E82" s="2"/>
      <c r="F82" s="3"/>
      <c r="G82" s="3"/>
      <c r="H82" s="164" t="str">
        <f t="shared" si="14"/>
        <v/>
      </c>
      <c r="I82" s="164" t="str">
        <f t="shared" si="15"/>
        <v/>
      </c>
      <c r="J82" s="164" t="str">
        <f t="shared" si="16"/>
        <v/>
      </c>
      <c r="K82" s="164" t="str">
        <f t="shared" si="17"/>
        <v/>
      </c>
      <c r="L82" s="164" t="str">
        <f t="shared" si="18"/>
        <v/>
      </c>
      <c r="M82" s="169" t="str">
        <f t="shared" si="19"/>
        <v/>
      </c>
      <c r="N82" s="169" t="str">
        <f t="shared" si="20"/>
        <v/>
      </c>
      <c r="O82" s="169" t="str">
        <f t="shared" si="21"/>
        <v/>
      </c>
      <c r="P82" s="169" t="str">
        <f t="shared" si="22"/>
        <v/>
      </c>
      <c r="Q82" s="169" t="str">
        <f t="shared" si="23"/>
        <v/>
      </c>
      <c r="R82" s="170" t="str">
        <f t="shared" si="24"/>
        <v/>
      </c>
      <c r="S82" s="171" t="str">
        <f t="shared" si="25"/>
        <v/>
      </c>
      <c r="T82" s="171" t="str">
        <f t="shared" si="26"/>
        <v>fg_all</v>
      </c>
      <c r="U82" s="171" t="str">
        <f t="shared" si="27"/>
        <v/>
      </c>
    </row>
    <row r="83" spans="1:21" ht="26.25" customHeight="1">
      <c r="A83" s="2"/>
      <c r="B83" s="2"/>
      <c r="C83" s="2"/>
      <c r="D83" s="2"/>
      <c r="E83" s="2"/>
      <c r="F83" s="3"/>
      <c r="G83" s="3"/>
      <c r="H83" s="164" t="str">
        <f t="shared" si="14"/>
        <v/>
      </c>
      <c r="I83" s="164" t="str">
        <f t="shared" si="15"/>
        <v/>
      </c>
      <c r="J83" s="164" t="str">
        <f t="shared" si="16"/>
        <v/>
      </c>
      <c r="K83" s="164" t="str">
        <f t="shared" si="17"/>
        <v/>
      </c>
      <c r="L83" s="164" t="str">
        <f t="shared" si="18"/>
        <v/>
      </c>
      <c r="M83" s="169" t="str">
        <f t="shared" si="19"/>
        <v/>
      </c>
      <c r="N83" s="169" t="str">
        <f t="shared" si="20"/>
        <v/>
      </c>
      <c r="O83" s="169" t="str">
        <f t="shared" si="21"/>
        <v/>
      </c>
      <c r="P83" s="169" t="str">
        <f t="shared" si="22"/>
        <v/>
      </c>
      <c r="Q83" s="169" t="str">
        <f t="shared" si="23"/>
        <v/>
      </c>
      <c r="R83" s="170" t="str">
        <f t="shared" si="24"/>
        <v/>
      </c>
      <c r="S83" s="171" t="str">
        <f t="shared" si="25"/>
        <v/>
      </c>
      <c r="T83" s="171" t="str">
        <f t="shared" si="26"/>
        <v>fg_all</v>
      </c>
      <c r="U83" s="171" t="str">
        <f t="shared" si="27"/>
        <v/>
      </c>
    </row>
    <row r="84" spans="1:21" ht="26.25" customHeight="1">
      <c r="A84" s="2"/>
      <c r="B84" s="2"/>
      <c r="C84" s="2"/>
      <c r="D84" s="2"/>
      <c r="E84" s="2"/>
      <c r="F84" s="3"/>
      <c r="G84" s="3"/>
      <c r="H84" s="164" t="str">
        <f t="shared" si="14"/>
        <v/>
      </c>
      <c r="I84" s="164" t="str">
        <f t="shared" si="15"/>
        <v/>
      </c>
      <c r="J84" s="164" t="str">
        <f t="shared" si="16"/>
        <v/>
      </c>
      <c r="K84" s="164" t="str">
        <f t="shared" si="17"/>
        <v/>
      </c>
      <c r="L84" s="164" t="str">
        <f t="shared" si="18"/>
        <v/>
      </c>
      <c r="M84" s="169" t="str">
        <f t="shared" si="19"/>
        <v/>
      </c>
      <c r="N84" s="169" t="str">
        <f t="shared" si="20"/>
        <v/>
      </c>
      <c r="O84" s="169" t="str">
        <f t="shared" si="21"/>
        <v/>
      </c>
      <c r="P84" s="169" t="str">
        <f t="shared" si="22"/>
        <v/>
      </c>
      <c r="Q84" s="169" t="str">
        <f t="shared" si="23"/>
        <v/>
      </c>
      <c r="R84" s="170" t="str">
        <f t="shared" si="24"/>
        <v/>
      </c>
      <c r="S84" s="171" t="str">
        <f t="shared" si="25"/>
        <v/>
      </c>
      <c r="T84" s="171" t="str">
        <f t="shared" si="26"/>
        <v>fg_all</v>
      </c>
      <c r="U84" s="171" t="str">
        <f t="shared" si="27"/>
        <v/>
      </c>
    </row>
    <row r="85" spans="1:21" ht="26.25" customHeight="1">
      <c r="A85" s="2"/>
      <c r="B85" s="2"/>
      <c r="C85" s="2"/>
      <c r="D85" s="2"/>
      <c r="E85" s="2"/>
      <c r="F85" s="3"/>
      <c r="G85" s="3"/>
      <c r="H85" s="164" t="str">
        <f t="shared" si="14"/>
        <v/>
      </c>
      <c r="I85" s="164" t="str">
        <f t="shared" si="15"/>
        <v/>
      </c>
      <c r="J85" s="164" t="str">
        <f t="shared" si="16"/>
        <v/>
      </c>
      <c r="K85" s="164" t="str">
        <f t="shared" si="17"/>
        <v/>
      </c>
      <c r="L85" s="164" t="str">
        <f t="shared" si="18"/>
        <v/>
      </c>
      <c r="M85" s="169" t="str">
        <f t="shared" si="19"/>
        <v/>
      </c>
      <c r="N85" s="169" t="str">
        <f t="shared" si="20"/>
        <v/>
      </c>
      <c r="O85" s="169" t="str">
        <f t="shared" si="21"/>
        <v/>
      </c>
      <c r="P85" s="169" t="str">
        <f t="shared" si="22"/>
        <v/>
      </c>
      <c r="Q85" s="169" t="str">
        <f t="shared" si="23"/>
        <v/>
      </c>
      <c r="R85" s="170" t="str">
        <f t="shared" si="24"/>
        <v/>
      </c>
      <c r="S85" s="171" t="str">
        <f t="shared" si="25"/>
        <v/>
      </c>
      <c r="T85" s="171" t="str">
        <f t="shared" si="26"/>
        <v>fg_all</v>
      </c>
      <c r="U85" s="171" t="str">
        <f t="shared" si="27"/>
        <v/>
      </c>
    </row>
    <row r="86" spans="1:21" ht="26.25" customHeight="1">
      <c r="A86" s="2"/>
      <c r="B86" s="2"/>
      <c r="C86" s="2"/>
      <c r="D86" s="2"/>
      <c r="E86" s="2"/>
      <c r="F86" s="3"/>
      <c r="G86" s="3"/>
      <c r="H86" s="164" t="str">
        <f t="shared" si="14"/>
        <v/>
      </c>
      <c r="I86" s="164" t="str">
        <f t="shared" si="15"/>
        <v/>
      </c>
      <c r="J86" s="164" t="str">
        <f t="shared" si="16"/>
        <v/>
      </c>
      <c r="K86" s="164" t="str">
        <f t="shared" si="17"/>
        <v/>
      </c>
      <c r="L86" s="164" t="str">
        <f t="shared" si="18"/>
        <v/>
      </c>
      <c r="M86" s="169" t="str">
        <f t="shared" si="19"/>
        <v/>
      </c>
      <c r="N86" s="169" t="str">
        <f t="shared" si="20"/>
        <v/>
      </c>
      <c r="O86" s="169" t="str">
        <f t="shared" si="21"/>
        <v/>
      </c>
      <c r="P86" s="169" t="str">
        <f t="shared" si="22"/>
        <v/>
      </c>
      <c r="Q86" s="169" t="str">
        <f t="shared" si="23"/>
        <v/>
      </c>
      <c r="R86" s="170" t="str">
        <f t="shared" si="24"/>
        <v/>
      </c>
      <c r="S86" s="171" t="str">
        <f t="shared" si="25"/>
        <v/>
      </c>
      <c r="T86" s="171" t="str">
        <f t="shared" si="26"/>
        <v>fg_all</v>
      </c>
      <c r="U86" s="171" t="str">
        <f t="shared" si="27"/>
        <v/>
      </c>
    </row>
    <row r="87" spans="1:21" ht="26.25" customHeight="1">
      <c r="A87" s="2"/>
      <c r="B87" s="2"/>
      <c r="C87" s="2"/>
      <c r="D87" s="2"/>
      <c r="E87" s="2"/>
      <c r="F87" s="3"/>
      <c r="G87" s="3"/>
      <c r="H87" s="164" t="str">
        <f t="shared" si="14"/>
        <v/>
      </c>
      <c r="I87" s="164" t="str">
        <f t="shared" si="15"/>
        <v/>
      </c>
      <c r="J87" s="164" t="str">
        <f t="shared" si="16"/>
        <v/>
      </c>
      <c r="K87" s="164" t="str">
        <f t="shared" si="17"/>
        <v/>
      </c>
      <c r="L87" s="164" t="str">
        <f t="shared" si="18"/>
        <v/>
      </c>
      <c r="M87" s="169" t="str">
        <f t="shared" si="19"/>
        <v/>
      </c>
      <c r="N87" s="169" t="str">
        <f t="shared" si="20"/>
        <v/>
      </c>
      <c r="O87" s="169" t="str">
        <f t="shared" si="21"/>
        <v/>
      </c>
      <c r="P87" s="169" t="str">
        <f t="shared" si="22"/>
        <v/>
      </c>
      <c r="Q87" s="169" t="str">
        <f t="shared" si="23"/>
        <v/>
      </c>
      <c r="R87" s="170" t="str">
        <f t="shared" si="24"/>
        <v/>
      </c>
      <c r="S87" s="171" t="str">
        <f t="shared" si="25"/>
        <v/>
      </c>
      <c r="T87" s="171" t="str">
        <f t="shared" si="26"/>
        <v>fg_all</v>
      </c>
      <c r="U87" s="171" t="str">
        <f t="shared" si="27"/>
        <v/>
      </c>
    </row>
    <row r="88" spans="1:21" ht="26.25" customHeight="1">
      <c r="A88" s="2"/>
      <c r="B88" s="2"/>
      <c r="C88" s="2"/>
      <c r="D88" s="2"/>
      <c r="E88" s="2"/>
      <c r="F88" s="3"/>
      <c r="G88" s="3"/>
      <c r="H88" s="164" t="str">
        <f t="shared" si="14"/>
        <v/>
      </c>
      <c r="I88" s="164" t="str">
        <f t="shared" si="15"/>
        <v/>
      </c>
      <c r="J88" s="164" t="str">
        <f t="shared" si="16"/>
        <v/>
      </c>
      <c r="K88" s="164" t="str">
        <f t="shared" si="17"/>
        <v/>
      </c>
      <c r="L88" s="164" t="str">
        <f t="shared" si="18"/>
        <v/>
      </c>
      <c r="M88" s="169" t="str">
        <f t="shared" si="19"/>
        <v/>
      </c>
      <c r="N88" s="169" t="str">
        <f t="shared" si="20"/>
        <v/>
      </c>
      <c r="O88" s="169" t="str">
        <f t="shared" si="21"/>
        <v/>
      </c>
      <c r="P88" s="169" t="str">
        <f t="shared" si="22"/>
        <v/>
      </c>
      <c r="Q88" s="169" t="str">
        <f t="shared" si="23"/>
        <v/>
      </c>
      <c r="R88" s="170" t="str">
        <f t="shared" si="24"/>
        <v/>
      </c>
      <c r="S88" s="171" t="str">
        <f t="shared" si="25"/>
        <v/>
      </c>
      <c r="T88" s="171" t="str">
        <f t="shared" si="26"/>
        <v>fg_all</v>
      </c>
      <c r="U88" s="171" t="str">
        <f t="shared" si="27"/>
        <v/>
      </c>
    </row>
    <row r="89" spans="1:21" ht="26.25" customHeight="1">
      <c r="A89" s="2"/>
      <c r="B89" s="2"/>
      <c r="C89" s="2"/>
      <c r="D89" s="2"/>
      <c r="E89" s="2"/>
      <c r="F89" s="3"/>
      <c r="G89" s="3"/>
      <c r="H89" s="164" t="str">
        <f t="shared" si="14"/>
        <v/>
      </c>
      <c r="I89" s="164" t="str">
        <f t="shared" si="15"/>
        <v/>
      </c>
      <c r="J89" s="164" t="str">
        <f t="shared" si="16"/>
        <v/>
      </c>
      <c r="K89" s="164" t="str">
        <f t="shared" si="17"/>
        <v/>
      </c>
      <c r="L89" s="164" t="str">
        <f t="shared" si="18"/>
        <v/>
      </c>
      <c r="M89" s="169" t="str">
        <f t="shared" si="19"/>
        <v/>
      </c>
      <c r="N89" s="169" t="str">
        <f t="shared" si="20"/>
        <v/>
      </c>
      <c r="O89" s="169" t="str">
        <f t="shared" si="21"/>
        <v/>
      </c>
      <c r="P89" s="169" t="str">
        <f t="shared" si="22"/>
        <v/>
      </c>
      <c r="Q89" s="169" t="str">
        <f t="shared" si="23"/>
        <v/>
      </c>
      <c r="R89" s="170" t="str">
        <f t="shared" si="24"/>
        <v/>
      </c>
      <c r="S89" s="171" t="str">
        <f t="shared" si="25"/>
        <v/>
      </c>
      <c r="T89" s="171" t="str">
        <f t="shared" si="26"/>
        <v>fg_all</v>
      </c>
      <c r="U89" s="171" t="str">
        <f t="shared" si="27"/>
        <v/>
      </c>
    </row>
    <row r="90" spans="1:21" ht="26.25" customHeight="1">
      <c r="A90" s="2"/>
      <c r="B90" s="2"/>
      <c r="C90" s="2"/>
      <c r="D90" s="2"/>
      <c r="E90" s="2"/>
      <c r="F90" s="3"/>
      <c r="G90" s="3"/>
      <c r="H90" s="164" t="str">
        <f t="shared" si="14"/>
        <v/>
      </c>
      <c r="I90" s="164" t="str">
        <f t="shared" si="15"/>
        <v/>
      </c>
      <c r="J90" s="164" t="str">
        <f t="shared" si="16"/>
        <v/>
      </c>
      <c r="K90" s="164" t="str">
        <f t="shared" si="17"/>
        <v/>
      </c>
      <c r="L90" s="164" t="str">
        <f t="shared" si="18"/>
        <v/>
      </c>
      <c r="M90" s="169" t="str">
        <f t="shared" si="19"/>
        <v/>
      </c>
      <c r="N90" s="169" t="str">
        <f t="shared" si="20"/>
        <v/>
      </c>
      <c r="O90" s="169" t="str">
        <f t="shared" si="21"/>
        <v/>
      </c>
      <c r="P90" s="169" t="str">
        <f t="shared" si="22"/>
        <v/>
      </c>
      <c r="Q90" s="169" t="str">
        <f t="shared" si="23"/>
        <v/>
      </c>
      <c r="R90" s="170" t="str">
        <f t="shared" si="24"/>
        <v/>
      </c>
      <c r="S90" s="171" t="str">
        <f t="shared" si="25"/>
        <v/>
      </c>
      <c r="T90" s="171" t="str">
        <f t="shared" si="26"/>
        <v>fg_all</v>
      </c>
      <c r="U90" s="171" t="str">
        <f t="shared" si="27"/>
        <v/>
      </c>
    </row>
    <row r="91" spans="1:21" ht="26.25" customHeight="1">
      <c r="A91" s="2"/>
      <c r="B91" s="2"/>
      <c r="C91" s="2"/>
      <c r="D91" s="2"/>
      <c r="E91" s="2"/>
      <c r="F91" s="3"/>
      <c r="G91" s="3"/>
      <c r="H91" s="164" t="str">
        <f t="shared" si="14"/>
        <v/>
      </c>
      <c r="I91" s="164" t="str">
        <f t="shared" si="15"/>
        <v/>
      </c>
      <c r="J91" s="164" t="str">
        <f t="shared" si="16"/>
        <v/>
      </c>
      <c r="K91" s="164" t="str">
        <f t="shared" si="17"/>
        <v/>
      </c>
      <c r="L91" s="164" t="str">
        <f t="shared" si="18"/>
        <v/>
      </c>
      <c r="M91" s="169" t="str">
        <f t="shared" si="19"/>
        <v/>
      </c>
      <c r="N91" s="169" t="str">
        <f t="shared" si="20"/>
        <v/>
      </c>
      <c r="O91" s="169" t="str">
        <f t="shared" si="21"/>
        <v/>
      </c>
      <c r="P91" s="169" t="str">
        <f t="shared" si="22"/>
        <v/>
      </c>
      <c r="Q91" s="169" t="str">
        <f t="shared" si="23"/>
        <v/>
      </c>
      <c r="R91" s="170" t="str">
        <f t="shared" si="24"/>
        <v/>
      </c>
      <c r="S91" s="171" t="str">
        <f t="shared" si="25"/>
        <v/>
      </c>
      <c r="T91" s="171" t="str">
        <f t="shared" si="26"/>
        <v>fg_all</v>
      </c>
      <c r="U91" s="171" t="str">
        <f t="shared" si="27"/>
        <v/>
      </c>
    </row>
    <row r="92" spans="1:21" ht="26.25" customHeight="1">
      <c r="A92" s="2"/>
      <c r="B92" s="2"/>
      <c r="C92" s="2"/>
      <c r="D92" s="2"/>
      <c r="E92" s="2"/>
      <c r="F92" s="3"/>
      <c r="G92" s="3"/>
      <c r="H92" s="164" t="str">
        <f t="shared" si="14"/>
        <v/>
      </c>
      <c r="I92" s="164" t="str">
        <f t="shared" si="15"/>
        <v/>
      </c>
      <c r="J92" s="164" t="str">
        <f t="shared" si="16"/>
        <v/>
      </c>
      <c r="K92" s="164" t="str">
        <f t="shared" si="17"/>
        <v/>
      </c>
      <c r="L92" s="164" t="str">
        <f t="shared" si="18"/>
        <v/>
      </c>
      <c r="M92" s="169" t="str">
        <f t="shared" si="19"/>
        <v/>
      </c>
      <c r="N92" s="169" t="str">
        <f t="shared" si="20"/>
        <v/>
      </c>
      <c r="O92" s="169" t="str">
        <f t="shared" si="21"/>
        <v/>
      </c>
      <c r="P92" s="169" t="str">
        <f t="shared" si="22"/>
        <v/>
      </c>
      <c r="Q92" s="169" t="str">
        <f t="shared" si="23"/>
        <v/>
      </c>
      <c r="R92" s="170" t="str">
        <f t="shared" si="24"/>
        <v/>
      </c>
      <c r="S92" s="171" t="str">
        <f t="shared" si="25"/>
        <v/>
      </c>
      <c r="T92" s="171" t="str">
        <f t="shared" si="26"/>
        <v>fg_all</v>
      </c>
      <c r="U92" s="171" t="str">
        <f t="shared" si="27"/>
        <v/>
      </c>
    </row>
    <row r="93" spans="1:21" ht="26.25" customHeight="1">
      <c r="A93" s="2"/>
      <c r="B93" s="2"/>
      <c r="C93" s="2"/>
      <c r="D93" s="2"/>
      <c r="E93" s="2"/>
      <c r="F93" s="3"/>
      <c r="G93" s="3"/>
      <c r="H93" s="164" t="str">
        <f t="shared" si="14"/>
        <v/>
      </c>
      <c r="I93" s="164" t="str">
        <f t="shared" si="15"/>
        <v/>
      </c>
      <c r="J93" s="164" t="str">
        <f t="shared" si="16"/>
        <v/>
      </c>
      <c r="K93" s="164" t="str">
        <f t="shared" si="17"/>
        <v/>
      </c>
      <c r="L93" s="164" t="str">
        <f t="shared" si="18"/>
        <v/>
      </c>
      <c r="M93" s="169" t="str">
        <f t="shared" si="19"/>
        <v/>
      </c>
      <c r="N93" s="169" t="str">
        <f t="shared" si="20"/>
        <v/>
      </c>
      <c r="O93" s="169" t="str">
        <f t="shared" si="21"/>
        <v/>
      </c>
      <c r="P93" s="169" t="str">
        <f t="shared" si="22"/>
        <v/>
      </c>
      <c r="Q93" s="169" t="str">
        <f t="shared" si="23"/>
        <v/>
      </c>
      <c r="R93" s="170" t="str">
        <f t="shared" si="24"/>
        <v/>
      </c>
      <c r="S93" s="171" t="str">
        <f t="shared" si="25"/>
        <v/>
      </c>
      <c r="T93" s="171" t="str">
        <f t="shared" si="26"/>
        <v>fg_all</v>
      </c>
      <c r="U93" s="171" t="str">
        <f t="shared" si="27"/>
        <v/>
      </c>
    </row>
    <row r="94" spans="1:21" ht="26.25" customHeight="1">
      <c r="A94" s="2"/>
      <c r="B94" s="2"/>
      <c r="C94" s="2"/>
      <c r="D94" s="2"/>
      <c r="E94" s="2"/>
      <c r="F94" s="3"/>
      <c r="G94" s="3"/>
      <c r="H94" s="164" t="str">
        <f t="shared" si="14"/>
        <v/>
      </c>
      <c r="I94" s="164" t="str">
        <f t="shared" si="15"/>
        <v/>
      </c>
      <c r="J94" s="164" t="str">
        <f t="shared" si="16"/>
        <v/>
      </c>
      <c r="K94" s="164" t="str">
        <f t="shared" si="17"/>
        <v/>
      </c>
      <c r="L94" s="164" t="str">
        <f t="shared" si="18"/>
        <v/>
      </c>
      <c r="M94" s="169" t="str">
        <f t="shared" si="19"/>
        <v/>
      </c>
      <c r="N94" s="169" t="str">
        <f t="shared" si="20"/>
        <v/>
      </c>
      <c r="O94" s="169" t="str">
        <f t="shared" si="21"/>
        <v/>
      </c>
      <c r="P94" s="169" t="str">
        <f t="shared" si="22"/>
        <v/>
      </c>
      <c r="Q94" s="169" t="str">
        <f t="shared" si="23"/>
        <v/>
      </c>
      <c r="R94" s="170" t="str">
        <f t="shared" si="24"/>
        <v/>
      </c>
      <c r="S94" s="171" t="str">
        <f t="shared" si="25"/>
        <v/>
      </c>
      <c r="T94" s="171" t="str">
        <f t="shared" si="26"/>
        <v>fg_all</v>
      </c>
      <c r="U94" s="171" t="str">
        <f t="shared" si="27"/>
        <v/>
      </c>
    </row>
    <row r="95" spans="1:21" ht="26.25" customHeight="1">
      <c r="A95" s="2"/>
      <c r="B95" s="2"/>
      <c r="C95" s="2"/>
      <c r="D95" s="2"/>
      <c r="E95" s="2"/>
      <c r="F95" s="3"/>
      <c r="G95" s="3"/>
      <c r="H95" s="164" t="str">
        <f t="shared" si="14"/>
        <v/>
      </c>
      <c r="I95" s="164" t="str">
        <f t="shared" si="15"/>
        <v/>
      </c>
      <c r="J95" s="164" t="str">
        <f t="shared" si="16"/>
        <v/>
      </c>
      <c r="K95" s="164" t="str">
        <f t="shared" si="17"/>
        <v/>
      </c>
      <c r="L95" s="164" t="str">
        <f t="shared" si="18"/>
        <v/>
      </c>
      <c r="M95" s="169" t="str">
        <f t="shared" si="19"/>
        <v/>
      </c>
      <c r="N95" s="169" t="str">
        <f t="shared" si="20"/>
        <v/>
      </c>
      <c r="O95" s="169" t="str">
        <f t="shared" si="21"/>
        <v/>
      </c>
      <c r="P95" s="169" t="str">
        <f t="shared" si="22"/>
        <v/>
      </c>
      <c r="Q95" s="169" t="str">
        <f t="shared" si="23"/>
        <v/>
      </c>
      <c r="R95" s="170" t="str">
        <f t="shared" si="24"/>
        <v/>
      </c>
      <c r="S95" s="171" t="str">
        <f t="shared" si="25"/>
        <v/>
      </c>
      <c r="T95" s="171" t="str">
        <f t="shared" si="26"/>
        <v>fg_all</v>
      </c>
      <c r="U95" s="171" t="str">
        <f t="shared" si="27"/>
        <v/>
      </c>
    </row>
    <row r="96" spans="1:21" ht="26.25" customHeight="1">
      <c r="A96" s="2"/>
      <c r="B96" s="2"/>
      <c r="C96" s="2"/>
      <c r="D96" s="2"/>
      <c r="E96" s="2"/>
      <c r="F96" s="3"/>
      <c r="G96" s="3"/>
      <c r="H96" s="164" t="str">
        <f t="shared" si="14"/>
        <v/>
      </c>
      <c r="I96" s="164" t="str">
        <f t="shared" si="15"/>
        <v/>
      </c>
      <c r="J96" s="164" t="str">
        <f t="shared" si="16"/>
        <v/>
      </c>
      <c r="K96" s="164" t="str">
        <f t="shared" si="17"/>
        <v/>
      </c>
      <c r="L96" s="164" t="str">
        <f t="shared" si="18"/>
        <v/>
      </c>
      <c r="M96" s="169" t="str">
        <f t="shared" si="19"/>
        <v/>
      </c>
      <c r="N96" s="169" t="str">
        <f t="shared" si="20"/>
        <v/>
      </c>
      <c r="O96" s="169" t="str">
        <f t="shared" si="21"/>
        <v/>
      </c>
      <c r="P96" s="169" t="str">
        <f t="shared" si="22"/>
        <v/>
      </c>
      <c r="Q96" s="169" t="str">
        <f t="shared" si="23"/>
        <v/>
      </c>
      <c r="R96" s="170" t="str">
        <f t="shared" si="24"/>
        <v/>
      </c>
      <c r="S96" s="171" t="str">
        <f t="shared" si="25"/>
        <v/>
      </c>
      <c r="T96" s="171" t="str">
        <f t="shared" si="26"/>
        <v>fg_all</v>
      </c>
      <c r="U96" s="171" t="str">
        <f t="shared" si="27"/>
        <v/>
      </c>
    </row>
    <row r="97" spans="1:21" ht="26.25" customHeight="1">
      <c r="A97" s="2"/>
      <c r="B97" s="2"/>
      <c r="C97" s="2"/>
      <c r="D97" s="2"/>
      <c r="E97" s="2"/>
      <c r="F97" s="3"/>
      <c r="G97" s="3"/>
      <c r="H97" s="164" t="str">
        <f t="shared" si="14"/>
        <v/>
      </c>
      <c r="I97" s="164" t="str">
        <f t="shared" si="15"/>
        <v/>
      </c>
      <c r="J97" s="164" t="str">
        <f t="shared" si="16"/>
        <v/>
      </c>
      <c r="K97" s="164" t="str">
        <f t="shared" si="17"/>
        <v/>
      </c>
      <c r="L97" s="164" t="str">
        <f t="shared" si="18"/>
        <v/>
      </c>
      <c r="M97" s="169" t="str">
        <f t="shared" si="19"/>
        <v/>
      </c>
      <c r="N97" s="169" t="str">
        <f t="shared" si="20"/>
        <v/>
      </c>
      <c r="O97" s="169" t="str">
        <f t="shared" si="21"/>
        <v/>
      </c>
      <c r="P97" s="169" t="str">
        <f t="shared" si="22"/>
        <v/>
      </c>
      <c r="Q97" s="169" t="str">
        <f t="shared" si="23"/>
        <v/>
      </c>
      <c r="R97" s="170" t="str">
        <f t="shared" si="24"/>
        <v/>
      </c>
      <c r="S97" s="171" t="str">
        <f t="shared" si="25"/>
        <v/>
      </c>
      <c r="T97" s="171" t="str">
        <f t="shared" si="26"/>
        <v>fg_all</v>
      </c>
      <c r="U97" s="171" t="str">
        <f t="shared" si="27"/>
        <v/>
      </c>
    </row>
    <row r="98" spans="1:21" ht="26.25" customHeight="1">
      <c r="A98" s="2"/>
      <c r="B98" s="2"/>
      <c r="C98" s="2"/>
      <c r="D98" s="2"/>
      <c r="E98" s="2"/>
      <c r="F98" s="3"/>
      <c r="G98" s="3"/>
      <c r="H98" s="164" t="str">
        <f t="shared" si="14"/>
        <v/>
      </c>
      <c r="I98" s="164" t="str">
        <f t="shared" si="15"/>
        <v/>
      </c>
      <c r="J98" s="164" t="str">
        <f t="shared" si="16"/>
        <v/>
      </c>
      <c r="K98" s="164" t="str">
        <f t="shared" si="17"/>
        <v/>
      </c>
      <c r="L98" s="164" t="str">
        <f t="shared" si="18"/>
        <v/>
      </c>
      <c r="M98" s="169" t="str">
        <f t="shared" si="19"/>
        <v/>
      </c>
      <c r="N98" s="169" t="str">
        <f t="shared" si="20"/>
        <v/>
      </c>
      <c r="O98" s="169" t="str">
        <f t="shared" si="21"/>
        <v/>
      </c>
      <c r="P98" s="169" t="str">
        <f t="shared" si="22"/>
        <v/>
      </c>
      <c r="Q98" s="169" t="str">
        <f t="shared" si="23"/>
        <v/>
      </c>
      <c r="R98" s="170" t="str">
        <f t="shared" si="24"/>
        <v/>
      </c>
      <c r="S98" s="171" t="str">
        <f t="shared" si="25"/>
        <v/>
      </c>
      <c r="T98" s="171" t="str">
        <f t="shared" si="26"/>
        <v>fg_all</v>
      </c>
      <c r="U98" s="171" t="str">
        <f t="shared" si="27"/>
        <v/>
      </c>
    </row>
    <row r="99" spans="1:21" ht="26.25" customHeight="1">
      <c r="A99" s="2"/>
      <c r="B99" s="2"/>
      <c r="C99" s="2"/>
      <c r="D99" s="2"/>
      <c r="E99" s="2"/>
      <c r="F99" s="3"/>
      <c r="G99" s="3"/>
      <c r="H99" s="164" t="str">
        <f t="shared" si="14"/>
        <v/>
      </c>
      <c r="I99" s="164" t="str">
        <f t="shared" si="15"/>
        <v/>
      </c>
      <c r="J99" s="164" t="str">
        <f t="shared" si="16"/>
        <v/>
      </c>
      <c r="K99" s="164" t="str">
        <f t="shared" si="17"/>
        <v/>
      </c>
      <c r="L99" s="164" t="str">
        <f t="shared" si="18"/>
        <v/>
      </c>
      <c r="M99" s="169" t="str">
        <f t="shared" si="19"/>
        <v/>
      </c>
      <c r="N99" s="169" t="str">
        <f t="shared" si="20"/>
        <v/>
      </c>
      <c r="O99" s="169" t="str">
        <f t="shared" si="21"/>
        <v/>
      </c>
      <c r="P99" s="169" t="str">
        <f t="shared" si="22"/>
        <v/>
      </c>
      <c r="Q99" s="169" t="str">
        <f t="shared" si="23"/>
        <v/>
      </c>
      <c r="R99" s="170" t="str">
        <f t="shared" si="24"/>
        <v/>
      </c>
      <c r="S99" s="171" t="str">
        <f t="shared" si="25"/>
        <v/>
      </c>
      <c r="T99" s="171" t="str">
        <f t="shared" si="26"/>
        <v>fg_all</v>
      </c>
      <c r="U99" s="171" t="str">
        <f t="shared" si="27"/>
        <v/>
      </c>
    </row>
    <row r="100" spans="1:21" ht="26.25" customHeight="1">
      <c r="A100" s="2"/>
      <c r="B100" s="2"/>
      <c r="C100" s="2"/>
      <c r="D100" s="2"/>
      <c r="E100" s="2"/>
      <c r="F100" s="3"/>
      <c r="G100" s="3"/>
      <c r="H100" s="164" t="str">
        <f t="shared" si="14"/>
        <v/>
      </c>
      <c r="I100" s="164" t="str">
        <f t="shared" si="15"/>
        <v/>
      </c>
      <c r="J100" s="164" t="str">
        <f t="shared" si="16"/>
        <v/>
      </c>
      <c r="K100" s="164" t="str">
        <f t="shared" si="17"/>
        <v/>
      </c>
      <c r="L100" s="164" t="str">
        <f t="shared" si="18"/>
        <v/>
      </c>
      <c r="M100" s="169" t="str">
        <f t="shared" si="19"/>
        <v/>
      </c>
      <c r="N100" s="169" t="str">
        <f t="shared" si="20"/>
        <v/>
      </c>
      <c r="O100" s="169" t="str">
        <f t="shared" si="21"/>
        <v/>
      </c>
      <c r="P100" s="169" t="str">
        <f t="shared" si="22"/>
        <v/>
      </c>
      <c r="Q100" s="169" t="str">
        <f t="shared" si="23"/>
        <v/>
      </c>
      <c r="R100" s="170" t="str">
        <f t="shared" si="24"/>
        <v/>
      </c>
      <c r="S100" s="171" t="str">
        <f t="shared" si="25"/>
        <v/>
      </c>
      <c r="T100" s="171" t="str">
        <f t="shared" si="26"/>
        <v>fg_all</v>
      </c>
      <c r="U100" s="171" t="str">
        <f t="shared" si="27"/>
        <v/>
      </c>
    </row>
    <row r="101" spans="1:21" ht="26.25" customHeight="1">
      <c r="A101" s="2"/>
      <c r="B101" s="2"/>
      <c r="C101" s="2"/>
      <c r="D101" s="2"/>
      <c r="E101" s="2"/>
      <c r="F101" s="3"/>
      <c r="G101" s="3"/>
      <c r="H101" s="164" t="str">
        <f t="shared" si="14"/>
        <v/>
      </c>
      <c r="I101" s="164" t="str">
        <f t="shared" si="15"/>
        <v/>
      </c>
      <c r="J101" s="164" t="str">
        <f t="shared" si="16"/>
        <v/>
      </c>
      <c r="K101" s="164" t="str">
        <f t="shared" si="17"/>
        <v/>
      </c>
      <c r="L101" s="164" t="str">
        <f t="shared" si="18"/>
        <v/>
      </c>
      <c r="M101" s="169" t="str">
        <f t="shared" si="19"/>
        <v/>
      </c>
      <c r="N101" s="169" t="str">
        <f t="shared" si="20"/>
        <v/>
      </c>
      <c r="O101" s="169" t="str">
        <f t="shared" si="21"/>
        <v/>
      </c>
      <c r="P101" s="169" t="str">
        <f t="shared" si="22"/>
        <v/>
      </c>
      <c r="Q101" s="169" t="str">
        <f t="shared" si="23"/>
        <v/>
      </c>
      <c r="R101" s="170" t="str">
        <f t="shared" si="24"/>
        <v/>
      </c>
      <c r="S101" s="171" t="str">
        <f t="shared" si="25"/>
        <v/>
      </c>
      <c r="T101" s="171" t="str">
        <f t="shared" si="26"/>
        <v>fg_all</v>
      </c>
      <c r="U101" s="171" t="str">
        <f t="shared" si="27"/>
        <v/>
      </c>
    </row>
    <row r="102" spans="1:21" ht="26.25" customHeight="1">
      <c r="A102" s="2"/>
      <c r="B102" s="2"/>
      <c r="C102" s="2"/>
      <c r="D102" s="2"/>
      <c r="E102" s="2"/>
      <c r="F102" s="3"/>
      <c r="G102" s="3"/>
      <c r="H102" s="164" t="str">
        <f t="shared" si="14"/>
        <v/>
      </c>
      <c r="I102" s="164" t="str">
        <f t="shared" si="15"/>
        <v/>
      </c>
      <c r="J102" s="164" t="str">
        <f t="shared" si="16"/>
        <v/>
      </c>
      <c r="K102" s="164" t="str">
        <f t="shared" si="17"/>
        <v/>
      </c>
      <c r="L102" s="164" t="str">
        <f t="shared" si="18"/>
        <v/>
      </c>
      <c r="M102" s="169" t="str">
        <f t="shared" si="19"/>
        <v/>
      </c>
      <c r="N102" s="169" t="str">
        <f t="shared" si="20"/>
        <v/>
      </c>
      <c r="O102" s="169" t="str">
        <f t="shared" si="21"/>
        <v/>
      </c>
      <c r="P102" s="169" t="str">
        <f t="shared" si="22"/>
        <v/>
      </c>
      <c r="Q102" s="169" t="str">
        <f t="shared" si="23"/>
        <v/>
      </c>
      <c r="R102" s="170" t="str">
        <f t="shared" si="24"/>
        <v/>
      </c>
      <c r="S102" s="171" t="str">
        <f t="shared" si="25"/>
        <v/>
      </c>
      <c r="T102" s="171" t="str">
        <f t="shared" si="26"/>
        <v>fg_all</v>
      </c>
      <c r="U102" s="171" t="str">
        <f t="shared" si="27"/>
        <v/>
      </c>
    </row>
    <row r="103" spans="1:21" ht="26.25" customHeight="1">
      <c r="A103" s="2"/>
      <c r="B103" s="2"/>
      <c r="C103" s="2"/>
      <c r="D103" s="2"/>
      <c r="E103" s="2"/>
      <c r="F103" s="3"/>
      <c r="G103" s="3"/>
      <c r="H103" s="164" t="str">
        <f t="shared" si="14"/>
        <v/>
      </c>
      <c r="I103" s="164" t="str">
        <f t="shared" si="15"/>
        <v/>
      </c>
      <c r="J103" s="164" t="str">
        <f t="shared" si="16"/>
        <v/>
      </c>
      <c r="K103" s="164" t="str">
        <f t="shared" si="17"/>
        <v/>
      </c>
      <c r="L103" s="164" t="str">
        <f t="shared" si="18"/>
        <v/>
      </c>
      <c r="M103" s="169" t="str">
        <f t="shared" si="19"/>
        <v/>
      </c>
      <c r="N103" s="169" t="str">
        <f t="shared" si="20"/>
        <v/>
      </c>
      <c r="O103" s="169" t="str">
        <f t="shared" si="21"/>
        <v/>
      </c>
      <c r="P103" s="169" t="str">
        <f t="shared" si="22"/>
        <v/>
      </c>
      <c r="Q103" s="169" t="str">
        <f t="shared" si="23"/>
        <v/>
      </c>
      <c r="R103" s="170" t="str">
        <f t="shared" si="24"/>
        <v/>
      </c>
      <c r="S103" s="171" t="str">
        <f t="shared" si="25"/>
        <v/>
      </c>
      <c r="T103" s="171" t="str">
        <f t="shared" si="26"/>
        <v>fg_all</v>
      </c>
      <c r="U103" s="171" t="str">
        <f t="shared" si="27"/>
        <v/>
      </c>
    </row>
    <row r="104" spans="1:21" ht="26.25" customHeight="1">
      <c r="A104" s="2"/>
      <c r="B104" s="2"/>
      <c r="C104" s="2"/>
      <c r="D104" s="2"/>
      <c r="E104" s="2"/>
      <c r="F104" s="3"/>
      <c r="G104" s="3"/>
      <c r="H104" s="164" t="str">
        <f t="shared" si="14"/>
        <v/>
      </c>
      <c r="I104" s="164" t="str">
        <f t="shared" si="15"/>
        <v/>
      </c>
      <c r="J104" s="164" t="str">
        <f t="shared" si="16"/>
        <v/>
      </c>
      <c r="K104" s="164" t="str">
        <f t="shared" si="17"/>
        <v/>
      </c>
      <c r="L104" s="164" t="str">
        <f t="shared" si="18"/>
        <v/>
      </c>
      <c r="M104" s="169" t="str">
        <f t="shared" si="19"/>
        <v/>
      </c>
      <c r="N104" s="169" t="str">
        <f t="shared" si="20"/>
        <v/>
      </c>
      <c r="O104" s="169" t="str">
        <f t="shared" si="21"/>
        <v/>
      </c>
      <c r="P104" s="169" t="str">
        <f t="shared" si="22"/>
        <v/>
      </c>
      <c r="Q104" s="169" t="str">
        <f t="shared" si="23"/>
        <v/>
      </c>
      <c r="R104" s="170" t="str">
        <f t="shared" si="24"/>
        <v/>
      </c>
      <c r="S104" s="171" t="str">
        <f t="shared" si="25"/>
        <v/>
      </c>
      <c r="T104" s="171" t="str">
        <f t="shared" si="26"/>
        <v>fg_all</v>
      </c>
      <c r="U104" s="171" t="str">
        <f t="shared" si="27"/>
        <v/>
      </c>
    </row>
    <row r="105" spans="1:21" ht="26.25" customHeight="1">
      <c r="A105" s="2"/>
      <c r="B105" s="2"/>
      <c r="C105" s="2"/>
      <c r="D105" s="2"/>
      <c r="E105" s="2"/>
      <c r="F105" s="3"/>
      <c r="G105" s="3"/>
      <c r="H105" s="164" t="str">
        <f t="shared" si="14"/>
        <v/>
      </c>
      <c r="I105" s="164" t="str">
        <f t="shared" si="15"/>
        <v/>
      </c>
      <c r="J105" s="164" t="str">
        <f t="shared" si="16"/>
        <v/>
      </c>
      <c r="K105" s="164" t="str">
        <f t="shared" si="17"/>
        <v/>
      </c>
      <c r="L105" s="164" t="str">
        <f t="shared" si="18"/>
        <v/>
      </c>
      <c r="M105" s="169" t="str">
        <f t="shared" si="19"/>
        <v/>
      </c>
      <c r="N105" s="169" t="str">
        <f t="shared" si="20"/>
        <v/>
      </c>
      <c r="O105" s="169" t="str">
        <f t="shared" si="21"/>
        <v/>
      </c>
      <c r="P105" s="169" t="str">
        <f t="shared" si="22"/>
        <v/>
      </c>
      <c r="Q105" s="169" t="str">
        <f t="shared" si="23"/>
        <v/>
      </c>
      <c r="R105" s="170" t="str">
        <f t="shared" si="24"/>
        <v/>
      </c>
      <c r="S105" s="171" t="str">
        <f t="shared" si="25"/>
        <v/>
      </c>
      <c r="T105" s="171" t="str">
        <f t="shared" si="26"/>
        <v>fg_all</v>
      </c>
      <c r="U105" s="171" t="str">
        <f t="shared" si="27"/>
        <v/>
      </c>
    </row>
    <row r="106" spans="1:21" ht="26.25" customHeight="1">
      <c r="A106" s="2"/>
      <c r="B106" s="2"/>
      <c r="C106" s="2"/>
      <c r="D106" s="2"/>
      <c r="E106" s="2"/>
      <c r="F106" s="3"/>
      <c r="G106" s="3"/>
      <c r="H106" s="164" t="str">
        <f t="shared" si="14"/>
        <v/>
      </c>
      <c r="I106" s="164" t="str">
        <f t="shared" si="15"/>
        <v/>
      </c>
      <c r="J106" s="164" t="str">
        <f t="shared" si="16"/>
        <v/>
      </c>
      <c r="K106" s="164" t="str">
        <f t="shared" si="17"/>
        <v/>
      </c>
      <c r="L106" s="164" t="str">
        <f t="shared" si="18"/>
        <v/>
      </c>
      <c r="M106" s="169" t="str">
        <f t="shared" si="19"/>
        <v/>
      </c>
      <c r="N106" s="169" t="str">
        <f t="shared" si="20"/>
        <v/>
      </c>
      <c r="O106" s="169" t="str">
        <f t="shared" si="21"/>
        <v/>
      </c>
      <c r="P106" s="169" t="str">
        <f t="shared" si="22"/>
        <v/>
      </c>
      <c r="Q106" s="169" t="str">
        <f t="shared" si="23"/>
        <v/>
      </c>
      <c r="R106" s="170" t="str">
        <f t="shared" si="24"/>
        <v/>
      </c>
      <c r="S106" s="171" t="str">
        <f t="shared" si="25"/>
        <v/>
      </c>
      <c r="T106" s="171" t="str">
        <f t="shared" si="26"/>
        <v>fg_all</v>
      </c>
      <c r="U106" s="171" t="str">
        <f t="shared" si="27"/>
        <v/>
      </c>
    </row>
    <row r="107" spans="1:21" ht="26.25" customHeight="1">
      <c r="A107" s="2"/>
      <c r="B107" s="2"/>
      <c r="C107" s="2"/>
      <c r="D107" s="2"/>
      <c r="E107" s="2"/>
      <c r="F107" s="3"/>
      <c r="G107" s="3"/>
      <c r="H107" s="164" t="str">
        <f t="shared" si="14"/>
        <v/>
      </c>
      <c r="I107" s="164" t="str">
        <f t="shared" si="15"/>
        <v/>
      </c>
      <c r="J107" s="164" t="str">
        <f t="shared" si="16"/>
        <v/>
      </c>
      <c r="K107" s="164" t="str">
        <f t="shared" si="17"/>
        <v/>
      </c>
      <c r="L107" s="164" t="str">
        <f t="shared" si="18"/>
        <v/>
      </c>
      <c r="M107" s="169" t="str">
        <f t="shared" si="19"/>
        <v/>
      </c>
      <c r="N107" s="169" t="str">
        <f t="shared" si="20"/>
        <v/>
      </c>
      <c r="O107" s="169" t="str">
        <f t="shared" si="21"/>
        <v/>
      </c>
      <c r="P107" s="169" t="str">
        <f t="shared" si="22"/>
        <v/>
      </c>
      <c r="Q107" s="169" t="str">
        <f t="shared" si="23"/>
        <v/>
      </c>
      <c r="R107" s="170" t="str">
        <f t="shared" si="24"/>
        <v/>
      </c>
      <c r="S107" s="171" t="str">
        <f t="shared" si="25"/>
        <v/>
      </c>
      <c r="T107" s="171" t="str">
        <f t="shared" si="26"/>
        <v>fg_all</v>
      </c>
      <c r="U107" s="171" t="str">
        <f t="shared" si="27"/>
        <v/>
      </c>
    </row>
    <row r="108" spans="1:21" ht="26.25" customHeight="1">
      <c r="A108" s="2"/>
      <c r="B108" s="2"/>
      <c r="C108" s="2"/>
      <c r="D108" s="2"/>
      <c r="E108" s="2"/>
      <c r="F108" s="3"/>
      <c r="G108" s="3"/>
      <c r="H108" s="164" t="str">
        <f t="shared" si="14"/>
        <v/>
      </c>
      <c r="I108" s="164" t="str">
        <f t="shared" si="15"/>
        <v/>
      </c>
      <c r="J108" s="164" t="str">
        <f t="shared" si="16"/>
        <v/>
      </c>
      <c r="K108" s="164" t="str">
        <f t="shared" si="17"/>
        <v/>
      </c>
      <c r="L108" s="164" t="str">
        <f t="shared" si="18"/>
        <v/>
      </c>
      <c r="M108" s="169" t="str">
        <f t="shared" si="19"/>
        <v/>
      </c>
      <c r="N108" s="169" t="str">
        <f t="shared" si="20"/>
        <v/>
      </c>
      <c r="O108" s="169" t="str">
        <f t="shared" si="21"/>
        <v/>
      </c>
      <c r="P108" s="169" t="str">
        <f t="shared" si="22"/>
        <v/>
      </c>
      <c r="Q108" s="169" t="str">
        <f t="shared" si="23"/>
        <v/>
      </c>
      <c r="R108" s="170" t="str">
        <f t="shared" si="24"/>
        <v/>
      </c>
      <c r="S108" s="171" t="str">
        <f t="shared" si="25"/>
        <v/>
      </c>
      <c r="T108" s="171" t="str">
        <f t="shared" si="26"/>
        <v>fg_all</v>
      </c>
      <c r="U108" s="171" t="str">
        <f t="shared" si="27"/>
        <v/>
      </c>
    </row>
    <row r="109" spans="1:21" ht="26.25" customHeight="1">
      <c r="A109" s="2"/>
      <c r="B109" s="2"/>
      <c r="C109" s="2"/>
      <c r="D109" s="2"/>
      <c r="E109" s="2"/>
      <c r="F109" s="3"/>
      <c r="G109" s="3"/>
      <c r="H109" s="164" t="str">
        <f t="shared" si="14"/>
        <v/>
      </c>
      <c r="I109" s="164" t="str">
        <f t="shared" si="15"/>
        <v/>
      </c>
      <c r="J109" s="164" t="str">
        <f t="shared" si="16"/>
        <v/>
      </c>
      <c r="K109" s="164" t="str">
        <f t="shared" si="17"/>
        <v/>
      </c>
      <c r="L109" s="164" t="str">
        <f t="shared" si="18"/>
        <v/>
      </c>
      <c r="M109" s="169" t="str">
        <f t="shared" si="19"/>
        <v/>
      </c>
      <c r="N109" s="169" t="str">
        <f t="shared" si="20"/>
        <v/>
      </c>
      <c r="O109" s="169" t="str">
        <f t="shared" si="21"/>
        <v/>
      </c>
      <c r="P109" s="169" t="str">
        <f t="shared" si="22"/>
        <v/>
      </c>
      <c r="Q109" s="169" t="str">
        <f t="shared" si="23"/>
        <v/>
      </c>
      <c r="R109" s="170" t="str">
        <f t="shared" si="24"/>
        <v/>
      </c>
      <c r="S109" s="171" t="str">
        <f t="shared" si="25"/>
        <v/>
      </c>
      <c r="T109" s="171" t="str">
        <f t="shared" si="26"/>
        <v>fg_all</v>
      </c>
      <c r="U109" s="171" t="str">
        <f t="shared" si="27"/>
        <v/>
      </c>
    </row>
    <row r="110" spans="1:21" ht="26.25" customHeight="1">
      <c r="A110" s="2"/>
      <c r="B110" s="2"/>
      <c r="C110" s="2"/>
      <c r="D110" s="2"/>
      <c r="E110" s="2"/>
      <c r="F110" s="3"/>
      <c r="G110" s="3"/>
      <c r="H110" s="164" t="str">
        <f t="shared" si="14"/>
        <v/>
      </c>
      <c r="I110" s="164" t="str">
        <f t="shared" si="15"/>
        <v/>
      </c>
      <c r="J110" s="164" t="str">
        <f t="shared" si="16"/>
        <v/>
      </c>
      <c r="K110" s="164" t="str">
        <f t="shared" si="17"/>
        <v/>
      </c>
      <c r="L110" s="164" t="str">
        <f t="shared" si="18"/>
        <v/>
      </c>
      <c r="M110" s="169" t="str">
        <f t="shared" si="19"/>
        <v/>
      </c>
      <c r="N110" s="169" t="str">
        <f t="shared" si="20"/>
        <v/>
      </c>
      <c r="O110" s="169" t="str">
        <f t="shared" si="21"/>
        <v/>
      </c>
      <c r="P110" s="169" t="str">
        <f t="shared" si="22"/>
        <v/>
      </c>
      <c r="Q110" s="169" t="str">
        <f t="shared" si="23"/>
        <v/>
      </c>
      <c r="R110" s="170" t="str">
        <f t="shared" si="24"/>
        <v/>
      </c>
      <c r="S110" s="171" t="str">
        <f t="shared" si="25"/>
        <v/>
      </c>
      <c r="T110" s="171" t="str">
        <f t="shared" si="26"/>
        <v>fg_all</v>
      </c>
      <c r="U110" s="171" t="str">
        <f t="shared" si="27"/>
        <v/>
      </c>
    </row>
    <row r="111" spans="1:21" ht="26.25" customHeight="1">
      <c r="A111" s="2"/>
      <c r="B111" s="2"/>
      <c r="C111" s="2"/>
      <c r="D111" s="2"/>
      <c r="E111" s="2"/>
      <c r="F111" s="3"/>
      <c r="G111" s="3"/>
      <c r="H111" s="164" t="str">
        <f t="shared" si="14"/>
        <v/>
      </c>
      <c r="I111" s="164" t="str">
        <f t="shared" si="15"/>
        <v/>
      </c>
      <c r="J111" s="164" t="str">
        <f t="shared" si="16"/>
        <v/>
      </c>
      <c r="K111" s="164" t="str">
        <f t="shared" si="17"/>
        <v/>
      </c>
      <c r="L111" s="164" t="str">
        <f t="shared" si="18"/>
        <v/>
      </c>
      <c r="M111" s="169" t="str">
        <f t="shared" si="19"/>
        <v/>
      </c>
      <c r="N111" s="169" t="str">
        <f t="shared" si="20"/>
        <v/>
      </c>
      <c r="O111" s="169" t="str">
        <f t="shared" si="21"/>
        <v/>
      </c>
      <c r="P111" s="169" t="str">
        <f t="shared" si="22"/>
        <v/>
      </c>
      <c r="Q111" s="169" t="str">
        <f t="shared" si="23"/>
        <v/>
      </c>
      <c r="R111" s="170" t="str">
        <f t="shared" si="24"/>
        <v/>
      </c>
      <c r="S111" s="171" t="str">
        <f t="shared" si="25"/>
        <v/>
      </c>
      <c r="T111" s="171" t="str">
        <f t="shared" si="26"/>
        <v>fg_all</v>
      </c>
      <c r="U111" s="171" t="str">
        <f t="shared" si="27"/>
        <v/>
      </c>
    </row>
    <row r="112" spans="1:21" ht="26.25" customHeight="1">
      <c r="A112" s="2"/>
      <c r="B112" s="2"/>
      <c r="C112" s="2"/>
      <c r="D112" s="2"/>
      <c r="E112" s="2"/>
      <c r="F112" s="3"/>
      <c r="G112" s="3"/>
      <c r="H112" s="164" t="str">
        <f t="shared" si="14"/>
        <v/>
      </c>
      <c r="I112" s="164" t="str">
        <f t="shared" si="15"/>
        <v/>
      </c>
      <c r="J112" s="164" t="str">
        <f t="shared" si="16"/>
        <v/>
      </c>
      <c r="K112" s="164" t="str">
        <f t="shared" si="17"/>
        <v/>
      </c>
      <c r="L112" s="164" t="str">
        <f t="shared" si="18"/>
        <v/>
      </c>
      <c r="M112" s="169" t="str">
        <f t="shared" si="19"/>
        <v/>
      </c>
      <c r="N112" s="169" t="str">
        <f t="shared" si="20"/>
        <v/>
      </c>
      <c r="O112" s="169" t="str">
        <f t="shared" si="21"/>
        <v/>
      </c>
      <c r="P112" s="169" t="str">
        <f t="shared" si="22"/>
        <v/>
      </c>
      <c r="Q112" s="169" t="str">
        <f t="shared" si="23"/>
        <v/>
      </c>
      <c r="R112" s="170" t="str">
        <f t="shared" si="24"/>
        <v/>
      </c>
      <c r="S112" s="171" t="str">
        <f t="shared" si="25"/>
        <v/>
      </c>
      <c r="T112" s="171" t="str">
        <f t="shared" si="26"/>
        <v>fg_all</v>
      </c>
      <c r="U112" s="171" t="str">
        <f t="shared" si="27"/>
        <v/>
      </c>
    </row>
    <row r="113" spans="1:21" ht="26.25" customHeight="1">
      <c r="A113" s="2"/>
      <c r="B113" s="2"/>
      <c r="C113" s="2"/>
      <c r="D113" s="2"/>
      <c r="E113" s="2"/>
      <c r="F113" s="3"/>
      <c r="G113" s="3"/>
      <c r="H113" s="164" t="str">
        <f t="shared" si="14"/>
        <v/>
      </c>
      <c r="I113" s="164" t="str">
        <f t="shared" si="15"/>
        <v/>
      </c>
      <c r="J113" s="164" t="str">
        <f t="shared" si="16"/>
        <v/>
      </c>
      <c r="K113" s="164" t="str">
        <f t="shared" si="17"/>
        <v/>
      </c>
      <c r="L113" s="164" t="str">
        <f t="shared" si="18"/>
        <v/>
      </c>
      <c r="M113" s="169" t="str">
        <f t="shared" si="19"/>
        <v/>
      </c>
      <c r="N113" s="169" t="str">
        <f t="shared" si="20"/>
        <v/>
      </c>
      <c r="O113" s="169" t="str">
        <f t="shared" si="21"/>
        <v/>
      </c>
      <c r="P113" s="169" t="str">
        <f t="shared" si="22"/>
        <v/>
      </c>
      <c r="Q113" s="169" t="str">
        <f t="shared" si="23"/>
        <v/>
      </c>
      <c r="R113" s="170" t="str">
        <f t="shared" si="24"/>
        <v/>
      </c>
      <c r="S113" s="171" t="str">
        <f t="shared" si="25"/>
        <v/>
      </c>
      <c r="T113" s="171" t="str">
        <f t="shared" si="26"/>
        <v>fg_all</v>
      </c>
      <c r="U113" s="171" t="str">
        <f t="shared" si="27"/>
        <v/>
      </c>
    </row>
    <row r="114" spans="1:21" ht="26.25" customHeight="1">
      <c r="A114" s="2"/>
      <c r="B114" s="2"/>
      <c r="C114" s="2"/>
      <c r="D114" s="2"/>
      <c r="E114" s="2"/>
      <c r="F114" s="3"/>
      <c r="G114" s="3"/>
      <c r="H114" s="164" t="str">
        <f t="shared" si="14"/>
        <v/>
      </c>
      <c r="I114" s="164" t="str">
        <f t="shared" si="15"/>
        <v/>
      </c>
      <c r="J114" s="164" t="str">
        <f t="shared" si="16"/>
        <v/>
      </c>
      <c r="K114" s="164" t="str">
        <f t="shared" si="17"/>
        <v/>
      </c>
      <c r="L114" s="164" t="str">
        <f t="shared" si="18"/>
        <v/>
      </c>
      <c r="M114" s="169" t="str">
        <f t="shared" si="19"/>
        <v/>
      </c>
      <c r="N114" s="169" t="str">
        <f t="shared" si="20"/>
        <v/>
      </c>
      <c r="O114" s="169" t="str">
        <f t="shared" si="21"/>
        <v/>
      </c>
      <c r="P114" s="169" t="str">
        <f t="shared" si="22"/>
        <v/>
      </c>
      <c r="Q114" s="169" t="str">
        <f t="shared" si="23"/>
        <v/>
      </c>
      <c r="R114" s="170" t="str">
        <f t="shared" si="24"/>
        <v/>
      </c>
      <c r="S114" s="171" t="str">
        <f t="shared" si="25"/>
        <v/>
      </c>
      <c r="T114" s="171" t="str">
        <f t="shared" si="26"/>
        <v>fg_all</v>
      </c>
      <c r="U114" s="171" t="str">
        <f t="shared" si="27"/>
        <v/>
      </c>
    </row>
    <row r="115" spans="1:21" ht="26.25" customHeight="1">
      <c r="A115" s="2"/>
      <c r="B115" s="2"/>
      <c r="C115" s="2"/>
      <c r="D115" s="2"/>
      <c r="E115" s="2"/>
      <c r="F115" s="3"/>
      <c r="G115" s="3"/>
      <c r="H115" s="164" t="str">
        <f t="shared" si="14"/>
        <v/>
      </c>
      <c r="I115" s="164" t="str">
        <f t="shared" si="15"/>
        <v/>
      </c>
      <c r="J115" s="164" t="str">
        <f t="shared" si="16"/>
        <v/>
      </c>
      <c r="K115" s="164" t="str">
        <f t="shared" si="17"/>
        <v/>
      </c>
      <c r="L115" s="164" t="str">
        <f t="shared" si="18"/>
        <v/>
      </c>
      <c r="M115" s="169" t="str">
        <f t="shared" si="19"/>
        <v/>
      </c>
      <c r="N115" s="169" t="str">
        <f t="shared" si="20"/>
        <v/>
      </c>
      <c r="O115" s="169" t="str">
        <f t="shared" si="21"/>
        <v/>
      </c>
      <c r="P115" s="169" t="str">
        <f t="shared" si="22"/>
        <v/>
      </c>
      <c r="Q115" s="169" t="str">
        <f t="shared" si="23"/>
        <v/>
      </c>
      <c r="R115" s="170" t="str">
        <f t="shared" si="24"/>
        <v/>
      </c>
      <c r="S115" s="171" t="str">
        <f t="shared" si="25"/>
        <v/>
      </c>
      <c r="T115" s="171" t="str">
        <f t="shared" si="26"/>
        <v>fg_all</v>
      </c>
      <c r="U115" s="171" t="str">
        <f t="shared" si="27"/>
        <v/>
      </c>
    </row>
    <row r="116" spans="1:21" ht="26.25" customHeight="1">
      <c r="A116" s="2"/>
      <c r="B116" s="2"/>
      <c r="C116" s="2"/>
      <c r="D116" s="2"/>
      <c r="E116" s="2"/>
      <c r="F116" s="3"/>
      <c r="G116" s="3"/>
      <c r="H116" s="164" t="str">
        <f t="shared" si="14"/>
        <v/>
      </c>
      <c r="I116" s="164" t="str">
        <f t="shared" si="15"/>
        <v/>
      </c>
      <c r="J116" s="164" t="str">
        <f t="shared" si="16"/>
        <v/>
      </c>
      <c r="K116" s="164" t="str">
        <f t="shared" si="17"/>
        <v/>
      </c>
      <c r="L116" s="164" t="str">
        <f t="shared" si="18"/>
        <v/>
      </c>
      <c r="M116" s="169" t="str">
        <f t="shared" si="19"/>
        <v/>
      </c>
      <c r="N116" s="169" t="str">
        <f t="shared" si="20"/>
        <v/>
      </c>
      <c r="O116" s="169" t="str">
        <f t="shared" si="21"/>
        <v/>
      </c>
      <c r="P116" s="169" t="str">
        <f t="shared" si="22"/>
        <v/>
      </c>
      <c r="Q116" s="169" t="str">
        <f t="shared" si="23"/>
        <v/>
      </c>
      <c r="R116" s="170" t="str">
        <f t="shared" si="24"/>
        <v/>
      </c>
      <c r="S116" s="171" t="str">
        <f t="shared" si="25"/>
        <v/>
      </c>
      <c r="T116" s="171" t="str">
        <f t="shared" si="26"/>
        <v>fg_all</v>
      </c>
      <c r="U116" s="171" t="str">
        <f t="shared" si="27"/>
        <v/>
      </c>
    </row>
    <row r="117" spans="1:21" ht="26.25" customHeight="1">
      <c r="A117" s="2"/>
      <c r="B117" s="2"/>
      <c r="C117" s="2"/>
      <c r="D117" s="2"/>
      <c r="E117" s="2"/>
      <c r="F117" s="3"/>
      <c r="G117" s="3"/>
      <c r="H117" s="164" t="str">
        <f t="shared" si="14"/>
        <v/>
      </c>
      <c r="I117" s="164" t="str">
        <f t="shared" si="15"/>
        <v/>
      </c>
      <c r="J117" s="164" t="str">
        <f t="shared" si="16"/>
        <v/>
      </c>
      <c r="K117" s="164" t="str">
        <f t="shared" si="17"/>
        <v/>
      </c>
      <c r="L117" s="164" t="str">
        <f t="shared" si="18"/>
        <v/>
      </c>
      <c r="M117" s="169" t="str">
        <f t="shared" si="19"/>
        <v/>
      </c>
      <c r="N117" s="169" t="str">
        <f t="shared" si="20"/>
        <v/>
      </c>
      <c r="O117" s="169" t="str">
        <f t="shared" si="21"/>
        <v/>
      </c>
      <c r="P117" s="169" t="str">
        <f t="shared" si="22"/>
        <v/>
      </c>
      <c r="Q117" s="169" t="str">
        <f t="shared" si="23"/>
        <v/>
      </c>
      <c r="R117" s="170" t="str">
        <f t="shared" si="24"/>
        <v/>
      </c>
      <c r="S117" s="171" t="str">
        <f t="shared" si="25"/>
        <v/>
      </c>
      <c r="T117" s="171" t="str">
        <f t="shared" si="26"/>
        <v>fg_all</v>
      </c>
      <c r="U117" s="171" t="str">
        <f t="shared" si="27"/>
        <v/>
      </c>
    </row>
    <row r="118" spans="1:21" ht="26.25" customHeight="1">
      <c r="A118" s="2"/>
      <c r="B118" s="2"/>
      <c r="C118" s="2"/>
      <c r="D118" s="2"/>
      <c r="E118" s="2"/>
      <c r="F118" s="3"/>
      <c r="G118" s="3"/>
      <c r="H118" s="164" t="str">
        <f t="shared" si="14"/>
        <v/>
      </c>
      <c r="I118" s="164" t="str">
        <f t="shared" si="15"/>
        <v/>
      </c>
      <c r="J118" s="164" t="str">
        <f t="shared" si="16"/>
        <v/>
      </c>
      <c r="K118" s="164" t="str">
        <f t="shared" si="17"/>
        <v/>
      </c>
      <c r="L118" s="164" t="str">
        <f t="shared" si="18"/>
        <v/>
      </c>
      <c r="M118" s="169" t="str">
        <f t="shared" si="19"/>
        <v/>
      </c>
      <c r="N118" s="169" t="str">
        <f t="shared" si="20"/>
        <v/>
      </c>
      <c r="O118" s="169" t="str">
        <f t="shared" si="21"/>
        <v/>
      </c>
      <c r="P118" s="169" t="str">
        <f t="shared" si="22"/>
        <v/>
      </c>
      <c r="Q118" s="169" t="str">
        <f t="shared" si="23"/>
        <v/>
      </c>
      <c r="R118" s="170" t="str">
        <f t="shared" si="24"/>
        <v/>
      </c>
      <c r="S118" s="171" t="str">
        <f t="shared" si="25"/>
        <v/>
      </c>
      <c r="T118" s="171" t="str">
        <f t="shared" si="26"/>
        <v>fg_all</v>
      </c>
      <c r="U118" s="171" t="str">
        <f t="shared" si="27"/>
        <v/>
      </c>
    </row>
    <row r="119" spans="1:21" ht="26.25" customHeight="1">
      <c r="A119" s="2"/>
      <c r="B119" s="2"/>
      <c r="C119" s="2"/>
      <c r="D119" s="2"/>
      <c r="E119" s="2"/>
      <c r="F119" s="3"/>
      <c r="G119" s="3"/>
      <c r="H119" s="164" t="str">
        <f t="shared" si="14"/>
        <v/>
      </c>
      <c r="I119" s="164" t="str">
        <f t="shared" si="15"/>
        <v/>
      </c>
      <c r="J119" s="164" t="str">
        <f t="shared" si="16"/>
        <v/>
      </c>
      <c r="K119" s="164" t="str">
        <f t="shared" si="17"/>
        <v/>
      </c>
      <c r="L119" s="164" t="str">
        <f t="shared" si="18"/>
        <v/>
      </c>
      <c r="M119" s="169" t="str">
        <f t="shared" si="19"/>
        <v/>
      </c>
      <c r="N119" s="169" t="str">
        <f t="shared" si="20"/>
        <v/>
      </c>
      <c r="O119" s="169" t="str">
        <f t="shared" si="21"/>
        <v/>
      </c>
      <c r="P119" s="169" t="str">
        <f t="shared" si="22"/>
        <v/>
      </c>
      <c r="Q119" s="169" t="str">
        <f t="shared" si="23"/>
        <v/>
      </c>
      <c r="R119" s="170" t="str">
        <f t="shared" si="24"/>
        <v/>
      </c>
      <c r="S119" s="171" t="str">
        <f t="shared" si="25"/>
        <v/>
      </c>
      <c r="T119" s="171" t="str">
        <f t="shared" si="26"/>
        <v>fg_all</v>
      </c>
      <c r="U119" s="171" t="str">
        <f t="shared" si="27"/>
        <v/>
      </c>
    </row>
    <row r="120" spans="1:21" ht="26.25" customHeight="1">
      <c r="A120" s="2"/>
      <c r="B120" s="2"/>
      <c r="C120" s="2"/>
      <c r="D120" s="2"/>
      <c r="E120" s="2"/>
      <c r="F120" s="3"/>
      <c r="G120" s="3"/>
      <c r="H120" s="164" t="str">
        <f t="shared" si="14"/>
        <v/>
      </c>
      <c r="I120" s="164" t="str">
        <f t="shared" si="15"/>
        <v/>
      </c>
      <c r="J120" s="164" t="str">
        <f t="shared" si="16"/>
        <v/>
      </c>
      <c r="K120" s="164" t="str">
        <f t="shared" si="17"/>
        <v/>
      </c>
      <c r="L120" s="164" t="str">
        <f t="shared" si="18"/>
        <v/>
      </c>
      <c r="M120" s="169" t="str">
        <f t="shared" si="19"/>
        <v/>
      </c>
      <c r="N120" s="169" t="str">
        <f t="shared" si="20"/>
        <v/>
      </c>
      <c r="O120" s="169" t="str">
        <f t="shared" si="21"/>
        <v/>
      </c>
      <c r="P120" s="169" t="str">
        <f t="shared" si="22"/>
        <v/>
      </c>
      <c r="Q120" s="169" t="str">
        <f t="shared" si="23"/>
        <v/>
      </c>
      <c r="R120" s="170" t="str">
        <f t="shared" si="24"/>
        <v/>
      </c>
      <c r="S120" s="171" t="str">
        <f t="shared" si="25"/>
        <v/>
      </c>
      <c r="T120" s="171" t="str">
        <f t="shared" si="26"/>
        <v>fg_all</v>
      </c>
      <c r="U120" s="171" t="str">
        <f t="shared" si="27"/>
        <v/>
      </c>
    </row>
    <row r="121" spans="1:21" ht="26.25" customHeight="1">
      <c r="A121" s="2"/>
      <c r="B121" s="2"/>
      <c r="C121" s="2"/>
      <c r="D121" s="2"/>
      <c r="E121" s="2"/>
      <c r="F121" s="3"/>
      <c r="G121" s="3"/>
      <c r="H121" s="164" t="str">
        <f t="shared" si="14"/>
        <v/>
      </c>
      <c r="I121" s="164" t="str">
        <f t="shared" si="15"/>
        <v/>
      </c>
      <c r="J121" s="164" t="str">
        <f t="shared" si="16"/>
        <v/>
      </c>
      <c r="K121" s="164" t="str">
        <f t="shared" si="17"/>
        <v/>
      </c>
      <c r="L121" s="164" t="str">
        <f t="shared" si="18"/>
        <v/>
      </c>
      <c r="M121" s="169" t="str">
        <f t="shared" si="19"/>
        <v/>
      </c>
      <c r="N121" s="169" t="str">
        <f t="shared" si="20"/>
        <v/>
      </c>
      <c r="O121" s="169" t="str">
        <f t="shared" si="21"/>
        <v/>
      </c>
      <c r="P121" s="169" t="str">
        <f t="shared" si="22"/>
        <v/>
      </c>
      <c r="Q121" s="169" t="str">
        <f t="shared" si="23"/>
        <v/>
      </c>
      <c r="R121" s="170" t="str">
        <f t="shared" si="24"/>
        <v/>
      </c>
      <c r="S121" s="171" t="str">
        <f t="shared" si="25"/>
        <v/>
      </c>
      <c r="T121" s="171" t="str">
        <f t="shared" si="26"/>
        <v>fg_all</v>
      </c>
      <c r="U121" s="171" t="str">
        <f t="shared" si="27"/>
        <v/>
      </c>
    </row>
    <row r="122" spans="1:21" ht="26.25" customHeight="1">
      <c r="A122" s="2"/>
      <c r="B122" s="2"/>
      <c r="C122" s="2"/>
      <c r="D122" s="2"/>
      <c r="E122" s="2"/>
      <c r="F122" s="3"/>
      <c r="G122" s="3"/>
      <c r="H122" s="164" t="str">
        <f t="shared" si="14"/>
        <v/>
      </c>
      <c r="I122" s="164" t="str">
        <f t="shared" si="15"/>
        <v/>
      </c>
      <c r="J122" s="164" t="str">
        <f t="shared" si="16"/>
        <v/>
      </c>
      <c r="K122" s="164" t="str">
        <f t="shared" si="17"/>
        <v/>
      </c>
      <c r="L122" s="164" t="str">
        <f t="shared" si="18"/>
        <v/>
      </c>
      <c r="M122" s="169" t="str">
        <f t="shared" si="19"/>
        <v/>
      </c>
      <c r="N122" s="169" t="str">
        <f t="shared" si="20"/>
        <v/>
      </c>
      <c r="O122" s="169" t="str">
        <f t="shared" si="21"/>
        <v/>
      </c>
      <c r="P122" s="169" t="str">
        <f t="shared" si="22"/>
        <v/>
      </c>
      <c r="Q122" s="169" t="str">
        <f t="shared" si="23"/>
        <v/>
      </c>
      <c r="R122" s="170" t="str">
        <f t="shared" si="24"/>
        <v/>
      </c>
      <c r="S122" s="171" t="str">
        <f t="shared" si="25"/>
        <v/>
      </c>
      <c r="T122" s="171" t="str">
        <f t="shared" si="26"/>
        <v>fg_all</v>
      </c>
      <c r="U122" s="171" t="str">
        <f t="shared" si="27"/>
        <v/>
      </c>
    </row>
    <row r="123" spans="1:21" ht="26.25" customHeight="1">
      <c r="A123" s="2"/>
      <c r="B123" s="2"/>
      <c r="C123" s="2"/>
      <c r="D123" s="2"/>
      <c r="E123" s="2"/>
      <c r="F123" s="3"/>
      <c r="G123" s="3"/>
      <c r="H123" s="164" t="str">
        <f t="shared" si="14"/>
        <v/>
      </c>
      <c r="I123" s="164" t="str">
        <f t="shared" si="15"/>
        <v/>
      </c>
      <c r="J123" s="164" t="str">
        <f t="shared" si="16"/>
        <v/>
      </c>
      <c r="K123" s="164" t="str">
        <f t="shared" si="17"/>
        <v/>
      </c>
      <c r="L123" s="164" t="str">
        <f t="shared" si="18"/>
        <v/>
      </c>
      <c r="M123" s="169" t="str">
        <f t="shared" si="19"/>
        <v/>
      </c>
      <c r="N123" s="169" t="str">
        <f t="shared" si="20"/>
        <v/>
      </c>
      <c r="O123" s="169" t="str">
        <f t="shared" si="21"/>
        <v/>
      </c>
      <c r="P123" s="169" t="str">
        <f t="shared" si="22"/>
        <v/>
      </c>
      <c r="Q123" s="169" t="str">
        <f t="shared" si="23"/>
        <v/>
      </c>
      <c r="R123" s="170" t="str">
        <f t="shared" si="24"/>
        <v/>
      </c>
      <c r="S123" s="171" t="str">
        <f t="shared" si="25"/>
        <v/>
      </c>
      <c r="T123" s="171" t="str">
        <f t="shared" si="26"/>
        <v>fg_all</v>
      </c>
      <c r="U123" s="171" t="str">
        <f t="shared" si="27"/>
        <v/>
      </c>
    </row>
    <row r="124" spans="1:21" ht="26.25" customHeight="1">
      <c r="A124" s="2"/>
      <c r="B124" s="2"/>
      <c r="C124" s="2"/>
      <c r="D124" s="2"/>
      <c r="E124" s="2"/>
      <c r="F124" s="3"/>
      <c r="G124" s="3"/>
      <c r="H124" s="164" t="str">
        <f t="shared" si="14"/>
        <v/>
      </c>
      <c r="I124" s="164" t="str">
        <f t="shared" si="15"/>
        <v/>
      </c>
      <c r="J124" s="164" t="str">
        <f t="shared" si="16"/>
        <v/>
      </c>
      <c r="K124" s="164" t="str">
        <f t="shared" si="17"/>
        <v/>
      </c>
      <c r="L124" s="164" t="str">
        <f t="shared" si="18"/>
        <v/>
      </c>
      <c r="M124" s="169" t="str">
        <f t="shared" si="19"/>
        <v/>
      </c>
      <c r="N124" s="169" t="str">
        <f t="shared" si="20"/>
        <v/>
      </c>
      <c r="O124" s="169" t="str">
        <f t="shared" si="21"/>
        <v/>
      </c>
      <c r="P124" s="169" t="str">
        <f t="shared" si="22"/>
        <v/>
      </c>
      <c r="Q124" s="169" t="str">
        <f t="shared" si="23"/>
        <v/>
      </c>
      <c r="R124" s="170" t="str">
        <f t="shared" si="24"/>
        <v/>
      </c>
      <c r="S124" s="171" t="str">
        <f t="shared" si="25"/>
        <v/>
      </c>
      <c r="T124" s="171" t="str">
        <f t="shared" si="26"/>
        <v>fg_all</v>
      </c>
      <c r="U124" s="171" t="str">
        <f t="shared" si="27"/>
        <v/>
      </c>
    </row>
    <row r="125" spans="1:21" ht="26.25" customHeight="1">
      <c r="A125" s="2"/>
      <c r="B125" s="2"/>
      <c r="C125" s="2"/>
      <c r="D125" s="2"/>
      <c r="E125" s="2"/>
      <c r="F125" s="3"/>
      <c r="G125" s="3"/>
      <c r="H125" s="164" t="str">
        <f t="shared" si="14"/>
        <v/>
      </c>
      <c r="I125" s="164" t="str">
        <f t="shared" si="15"/>
        <v/>
      </c>
      <c r="J125" s="164" t="str">
        <f t="shared" si="16"/>
        <v/>
      </c>
      <c r="K125" s="164" t="str">
        <f t="shared" si="17"/>
        <v/>
      </c>
      <c r="L125" s="164" t="str">
        <f t="shared" si="18"/>
        <v/>
      </c>
      <c r="M125" s="169" t="str">
        <f t="shared" si="19"/>
        <v/>
      </c>
      <c r="N125" s="169" t="str">
        <f t="shared" si="20"/>
        <v/>
      </c>
      <c r="O125" s="169" t="str">
        <f t="shared" si="21"/>
        <v/>
      </c>
      <c r="P125" s="169" t="str">
        <f t="shared" si="22"/>
        <v/>
      </c>
      <c r="Q125" s="169" t="str">
        <f t="shared" si="23"/>
        <v/>
      </c>
      <c r="R125" s="170" t="str">
        <f t="shared" si="24"/>
        <v/>
      </c>
      <c r="S125" s="171" t="str">
        <f t="shared" si="25"/>
        <v/>
      </c>
      <c r="T125" s="171" t="str">
        <f t="shared" si="26"/>
        <v>fg_all</v>
      </c>
      <c r="U125" s="171" t="str">
        <f t="shared" si="27"/>
        <v/>
      </c>
    </row>
    <row r="126" spans="1:21" ht="26.25" customHeight="1">
      <c r="A126" s="2"/>
      <c r="B126" s="2"/>
      <c r="C126" s="2"/>
      <c r="D126" s="2"/>
      <c r="E126" s="2"/>
      <c r="F126" s="3"/>
      <c r="G126" s="3"/>
      <c r="H126" s="164" t="str">
        <f t="shared" si="14"/>
        <v/>
      </c>
      <c r="I126" s="164" t="str">
        <f t="shared" si="15"/>
        <v/>
      </c>
      <c r="J126" s="164" t="str">
        <f t="shared" si="16"/>
        <v/>
      </c>
      <c r="K126" s="164" t="str">
        <f t="shared" si="17"/>
        <v/>
      </c>
      <c r="L126" s="164" t="str">
        <f t="shared" si="18"/>
        <v/>
      </c>
      <c r="M126" s="169" t="str">
        <f t="shared" si="19"/>
        <v/>
      </c>
      <c r="N126" s="169" t="str">
        <f t="shared" si="20"/>
        <v/>
      </c>
      <c r="O126" s="169" t="str">
        <f t="shared" si="21"/>
        <v/>
      </c>
      <c r="P126" s="169" t="str">
        <f t="shared" si="22"/>
        <v/>
      </c>
      <c r="Q126" s="169" t="str">
        <f t="shared" si="23"/>
        <v/>
      </c>
      <c r="R126" s="170" t="str">
        <f t="shared" si="24"/>
        <v/>
      </c>
      <c r="S126" s="171" t="str">
        <f t="shared" si="25"/>
        <v/>
      </c>
      <c r="T126" s="171" t="str">
        <f t="shared" si="26"/>
        <v>fg_all</v>
      </c>
      <c r="U126" s="171" t="str">
        <f t="shared" si="27"/>
        <v/>
      </c>
    </row>
    <row r="127" spans="1:21" ht="26.25" customHeight="1">
      <c r="A127" s="2"/>
      <c r="B127" s="2"/>
      <c r="C127" s="2"/>
      <c r="D127" s="2"/>
      <c r="E127" s="2"/>
      <c r="F127" s="3"/>
      <c r="G127" s="3"/>
      <c r="H127" s="164" t="str">
        <f t="shared" si="14"/>
        <v/>
      </c>
      <c r="I127" s="164" t="str">
        <f t="shared" si="15"/>
        <v/>
      </c>
      <c r="J127" s="164" t="str">
        <f t="shared" si="16"/>
        <v/>
      </c>
      <c r="K127" s="164" t="str">
        <f t="shared" si="17"/>
        <v/>
      </c>
      <c r="L127" s="164" t="str">
        <f t="shared" si="18"/>
        <v/>
      </c>
      <c r="M127" s="169" t="str">
        <f t="shared" si="19"/>
        <v/>
      </c>
      <c r="N127" s="169" t="str">
        <f t="shared" si="20"/>
        <v/>
      </c>
      <c r="O127" s="169" t="str">
        <f t="shared" si="21"/>
        <v/>
      </c>
      <c r="P127" s="169" t="str">
        <f t="shared" si="22"/>
        <v/>
      </c>
      <c r="Q127" s="169" t="str">
        <f t="shared" si="23"/>
        <v/>
      </c>
      <c r="R127" s="170" t="str">
        <f t="shared" si="24"/>
        <v/>
      </c>
      <c r="S127" s="171" t="str">
        <f t="shared" si="25"/>
        <v/>
      </c>
      <c r="T127" s="171" t="str">
        <f t="shared" si="26"/>
        <v>fg_all</v>
      </c>
      <c r="U127" s="171" t="str">
        <f t="shared" si="27"/>
        <v/>
      </c>
    </row>
    <row r="128" spans="1:21" ht="26.25" customHeight="1">
      <c r="A128" s="2"/>
      <c r="B128" s="2"/>
      <c r="C128" s="2"/>
      <c r="D128" s="2"/>
      <c r="E128" s="2"/>
      <c r="F128" s="3"/>
      <c r="G128" s="3"/>
      <c r="H128" s="164" t="str">
        <f t="shared" si="14"/>
        <v/>
      </c>
      <c r="I128" s="164" t="str">
        <f t="shared" si="15"/>
        <v/>
      </c>
      <c r="J128" s="164" t="str">
        <f t="shared" si="16"/>
        <v/>
      </c>
      <c r="K128" s="164" t="str">
        <f t="shared" si="17"/>
        <v/>
      </c>
      <c r="L128" s="164" t="str">
        <f t="shared" si="18"/>
        <v/>
      </c>
      <c r="M128" s="169" t="str">
        <f t="shared" si="19"/>
        <v/>
      </c>
      <c r="N128" s="169" t="str">
        <f t="shared" si="20"/>
        <v/>
      </c>
      <c r="O128" s="169" t="str">
        <f t="shared" si="21"/>
        <v/>
      </c>
      <c r="P128" s="169" t="str">
        <f t="shared" si="22"/>
        <v/>
      </c>
      <c r="Q128" s="169" t="str">
        <f t="shared" si="23"/>
        <v/>
      </c>
      <c r="R128" s="170" t="str">
        <f t="shared" si="24"/>
        <v/>
      </c>
      <c r="S128" s="171" t="str">
        <f t="shared" si="25"/>
        <v/>
      </c>
      <c r="T128" s="171" t="str">
        <f t="shared" si="26"/>
        <v>fg_all</v>
      </c>
      <c r="U128" s="171" t="str">
        <f t="shared" si="27"/>
        <v/>
      </c>
    </row>
    <row r="129" spans="1:21" ht="26.25" customHeight="1">
      <c r="A129" s="2"/>
      <c r="B129" s="2"/>
      <c r="C129" s="2"/>
      <c r="D129" s="2"/>
      <c r="E129" s="2"/>
      <c r="F129" s="3"/>
      <c r="G129" s="3"/>
      <c r="H129" s="164" t="str">
        <f t="shared" si="14"/>
        <v/>
      </c>
      <c r="I129" s="164" t="str">
        <f t="shared" si="15"/>
        <v/>
      </c>
      <c r="J129" s="164" t="str">
        <f t="shared" si="16"/>
        <v/>
      </c>
      <c r="K129" s="164" t="str">
        <f t="shared" si="17"/>
        <v/>
      </c>
      <c r="L129" s="164" t="str">
        <f t="shared" si="18"/>
        <v/>
      </c>
      <c r="M129" s="169" t="str">
        <f t="shared" si="19"/>
        <v/>
      </c>
      <c r="N129" s="169" t="str">
        <f t="shared" si="20"/>
        <v/>
      </c>
      <c r="O129" s="169" t="str">
        <f t="shared" si="21"/>
        <v/>
      </c>
      <c r="P129" s="169" t="str">
        <f t="shared" si="22"/>
        <v/>
      </c>
      <c r="Q129" s="169" t="str">
        <f t="shared" si="23"/>
        <v/>
      </c>
      <c r="R129" s="170" t="str">
        <f t="shared" si="24"/>
        <v/>
      </c>
      <c r="S129" s="171" t="str">
        <f t="shared" si="25"/>
        <v/>
      </c>
      <c r="T129" s="171" t="str">
        <f t="shared" si="26"/>
        <v>fg_all</v>
      </c>
      <c r="U129" s="171" t="str">
        <f t="shared" si="27"/>
        <v/>
      </c>
    </row>
    <row r="130" spans="1:21" ht="26.25" customHeight="1">
      <c r="A130" s="2"/>
      <c r="B130" s="2"/>
      <c r="C130" s="2"/>
      <c r="D130" s="2"/>
      <c r="E130" s="2"/>
      <c r="F130" s="3"/>
      <c r="G130" s="3"/>
      <c r="H130" s="164" t="str">
        <f t="shared" si="14"/>
        <v/>
      </c>
      <c r="I130" s="164" t="str">
        <f t="shared" si="15"/>
        <v/>
      </c>
      <c r="J130" s="164" t="str">
        <f t="shared" si="16"/>
        <v/>
      </c>
      <c r="K130" s="164" t="str">
        <f t="shared" si="17"/>
        <v/>
      </c>
      <c r="L130" s="164" t="str">
        <f t="shared" si="18"/>
        <v/>
      </c>
      <c r="M130" s="169" t="str">
        <f t="shared" si="19"/>
        <v/>
      </c>
      <c r="N130" s="169" t="str">
        <f t="shared" si="20"/>
        <v/>
      </c>
      <c r="O130" s="169" t="str">
        <f t="shared" si="21"/>
        <v/>
      </c>
      <c r="P130" s="169" t="str">
        <f t="shared" si="22"/>
        <v/>
      </c>
      <c r="Q130" s="169" t="str">
        <f t="shared" si="23"/>
        <v/>
      </c>
      <c r="R130" s="170" t="str">
        <f t="shared" si="24"/>
        <v/>
      </c>
      <c r="S130" s="171" t="str">
        <f t="shared" si="25"/>
        <v/>
      </c>
      <c r="T130" s="171" t="str">
        <f t="shared" si="26"/>
        <v>fg_all</v>
      </c>
      <c r="U130" s="171" t="str">
        <f t="shared" si="27"/>
        <v/>
      </c>
    </row>
    <row r="131" spans="1:21" ht="26.25" customHeight="1">
      <c r="A131" s="2"/>
      <c r="B131" s="2"/>
      <c r="C131" s="2"/>
      <c r="D131" s="2"/>
      <c r="E131" s="2"/>
      <c r="F131" s="3"/>
      <c r="G131" s="3"/>
      <c r="H131" s="164" t="str">
        <f t="shared" si="14"/>
        <v/>
      </c>
      <c r="I131" s="164" t="str">
        <f t="shared" si="15"/>
        <v/>
      </c>
      <c r="J131" s="164" t="str">
        <f t="shared" si="16"/>
        <v/>
      </c>
      <c r="K131" s="164" t="str">
        <f t="shared" si="17"/>
        <v/>
      </c>
      <c r="L131" s="164" t="str">
        <f t="shared" si="18"/>
        <v/>
      </c>
      <c r="M131" s="169" t="str">
        <f t="shared" si="19"/>
        <v/>
      </c>
      <c r="N131" s="169" t="str">
        <f t="shared" si="20"/>
        <v/>
      </c>
      <c r="O131" s="169" t="str">
        <f t="shared" si="21"/>
        <v/>
      </c>
      <c r="P131" s="169" t="str">
        <f t="shared" si="22"/>
        <v/>
      </c>
      <c r="Q131" s="169" t="str">
        <f t="shared" si="23"/>
        <v/>
      </c>
      <c r="R131" s="170" t="str">
        <f t="shared" si="24"/>
        <v/>
      </c>
      <c r="S131" s="171" t="str">
        <f t="shared" si="25"/>
        <v/>
      </c>
      <c r="T131" s="171" t="str">
        <f t="shared" si="26"/>
        <v>fg_all</v>
      </c>
      <c r="U131" s="171" t="str">
        <f t="shared" si="27"/>
        <v/>
      </c>
    </row>
    <row r="132" spans="1:21" ht="26.25" customHeight="1">
      <c r="A132" s="2"/>
      <c r="B132" s="2"/>
      <c r="C132" s="2"/>
      <c r="D132" s="2"/>
      <c r="E132" s="2"/>
      <c r="F132" s="3"/>
      <c r="G132" s="3"/>
      <c r="H132" s="164" t="str">
        <f t="shared" si="14"/>
        <v/>
      </c>
      <c r="I132" s="164" t="str">
        <f t="shared" si="15"/>
        <v/>
      </c>
      <c r="J132" s="164" t="str">
        <f t="shared" si="16"/>
        <v/>
      </c>
      <c r="K132" s="164" t="str">
        <f t="shared" si="17"/>
        <v/>
      </c>
      <c r="L132" s="164" t="str">
        <f t="shared" si="18"/>
        <v/>
      </c>
      <c r="M132" s="169" t="str">
        <f t="shared" si="19"/>
        <v/>
      </c>
      <c r="N132" s="169" t="str">
        <f t="shared" si="20"/>
        <v/>
      </c>
      <c r="O132" s="169" t="str">
        <f t="shared" si="21"/>
        <v/>
      </c>
      <c r="P132" s="169" t="str">
        <f t="shared" si="22"/>
        <v/>
      </c>
      <c r="Q132" s="169" t="str">
        <f t="shared" si="23"/>
        <v/>
      </c>
      <c r="R132" s="170" t="str">
        <f t="shared" si="24"/>
        <v/>
      </c>
      <c r="S132" s="171" t="str">
        <f t="shared" si="25"/>
        <v/>
      </c>
      <c r="T132" s="171" t="str">
        <f t="shared" si="26"/>
        <v>fg_all</v>
      </c>
      <c r="U132" s="171" t="str">
        <f t="shared" si="27"/>
        <v/>
      </c>
    </row>
    <row r="133" spans="1:21" ht="26.25" customHeight="1">
      <c r="A133" s="2"/>
      <c r="B133" s="2"/>
      <c r="C133" s="2"/>
      <c r="D133" s="2"/>
      <c r="E133" s="2"/>
      <c r="F133" s="3"/>
      <c r="G133" s="3"/>
      <c r="H133" s="164" t="str">
        <f t="shared" si="14"/>
        <v/>
      </c>
      <c r="I133" s="164" t="str">
        <f t="shared" si="15"/>
        <v/>
      </c>
      <c r="J133" s="164" t="str">
        <f t="shared" si="16"/>
        <v/>
      </c>
      <c r="K133" s="164" t="str">
        <f t="shared" si="17"/>
        <v/>
      </c>
      <c r="L133" s="164" t="str">
        <f t="shared" si="18"/>
        <v/>
      </c>
      <c r="M133" s="169" t="str">
        <f t="shared" si="19"/>
        <v/>
      </c>
      <c r="N133" s="169" t="str">
        <f t="shared" si="20"/>
        <v/>
      </c>
      <c r="O133" s="169" t="str">
        <f t="shared" si="21"/>
        <v/>
      </c>
      <c r="P133" s="169" t="str">
        <f t="shared" si="22"/>
        <v/>
      </c>
      <c r="Q133" s="169" t="str">
        <f t="shared" si="23"/>
        <v/>
      </c>
      <c r="R133" s="170" t="str">
        <f t="shared" si="24"/>
        <v/>
      </c>
      <c r="S133" s="171" t="str">
        <f t="shared" si="25"/>
        <v/>
      </c>
      <c r="T133" s="171" t="str">
        <f t="shared" si="26"/>
        <v>fg_all</v>
      </c>
      <c r="U133" s="171" t="str">
        <f t="shared" si="27"/>
        <v/>
      </c>
    </row>
    <row r="134" spans="1:21" ht="26.25" customHeight="1">
      <c r="A134" s="2"/>
      <c r="B134" s="2"/>
      <c r="C134" s="2"/>
      <c r="D134" s="2"/>
      <c r="E134" s="2"/>
      <c r="F134" s="3"/>
      <c r="G134" s="3"/>
      <c r="H134" s="164" t="str">
        <f t="shared" si="14"/>
        <v/>
      </c>
      <c r="I134" s="164" t="str">
        <f t="shared" si="15"/>
        <v/>
      </c>
      <c r="J134" s="164" t="str">
        <f t="shared" si="16"/>
        <v/>
      </c>
      <c r="K134" s="164" t="str">
        <f t="shared" si="17"/>
        <v/>
      </c>
      <c r="L134" s="164" t="str">
        <f t="shared" si="18"/>
        <v/>
      </c>
      <c r="M134" s="169" t="str">
        <f t="shared" si="19"/>
        <v/>
      </c>
      <c r="N134" s="169" t="str">
        <f t="shared" si="20"/>
        <v/>
      </c>
      <c r="O134" s="169" t="str">
        <f t="shared" si="21"/>
        <v/>
      </c>
      <c r="P134" s="169" t="str">
        <f t="shared" si="22"/>
        <v/>
      </c>
      <c r="Q134" s="169" t="str">
        <f t="shared" si="23"/>
        <v/>
      </c>
      <c r="R134" s="170" t="str">
        <f t="shared" si="24"/>
        <v/>
      </c>
      <c r="S134" s="171" t="str">
        <f t="shared" si="25"/>
        <v/>
      </c>
      <c r="T134" s="171" t="str">
        <f t="shared" si="26"/>
        <v>fg_all</v>
      </c>
      <c r="U134" s="171" t="str">
        <f t="shared" si="27"/>
        <v/>
      </c>
    </row>
    <row r="135" spans="1:21" ht="26.25" customHeight="1">
      <c r="A135" s="2"/>
      <c r="B135" s="2"/>
      <c r="C135" s="2"/>
      <c r="D135" s="2"/>
      <c r="E135" s="2"/>
      <c r="F135" s="3"/>
      <c r="G135" s="3"/>
      <c r="H135" s="164" t="str">
        <f t="shared" si="14"/>
        <v/>
      </c>
      <c r="I135" s="164" t="str">
        <f t="shared" si="15"/>
        <v/>
      </c>
      <c r="J135" s="164" t="str">
        <f t="shared" si="16"/>
        <v/>
      </c>
      <c r="K135" s="164" t="str">
        <f t="shared" si="17"/>
        <v/>
      </c>
      <c r="L135" s="164" t="str">
        <f t="shared" si="18"/>
        <v/>
      </c>
      <c r="M135" s="169" t="str">
        <f t="shared" si="19"/>
        <v/>
      </c>
      <c r="N135" s="169" t="str">
        <f t="shared" si="20"/>
        <v/>
      </c>
      <c r="O135" s="169" t="str">
        <f t="shared" si="21"/>
        <v/>
      </c>
      <c r="P135" s="169" t="str">
        <f t="shared" si="22"/>
        <v/>
      </c>
      <c r="Q135" s="169" t="str">
        <f t="shared" si="23"/>
        <v/>
      </c>
      <c r="R135" s="170" t="str">
        <f t="shared" si="24"/>
        <v/>
      </c>
      <c r="S135" s="171" t="str">
        <f t="shared" si="25"/>
        <v/>
      </c>
      <c r="T135" s="171" t="str">
        <f t="shared" si="26"/>
        <v>fg_all</v>
      </c>
      <c r="U135" s="171" t="str">
        <f t="shared" si="27"/>
        <v/>
      </c>
    </row>
    <row r="136" spans="1:21" ht="26.25" customHeight="1">
      <c r="A136" s="2"/>
      <c r="B136" s="2"/>
      <c r="C136" s="2"/>
      <c r="D136" s="2"/>
      <c r="E136" s="2"/>
      <c r="F136" s="3"/>
      <c r="G136" s="3"/>
      <c r="H136" s="164" t="str">
        <f t="shared" si="14"/>
        <v/>
      </c>
      <c r="I136" s="164" t="str">
        <f t="shared" si="15"/>
        <v/>
      </c>
      <c r="J136" s="164" t="str">
        <f t="shared" si="16"/>
        <v/>
      </c>
      <c r="K136" s="164" t="str">
        <f t="shared" si="17"/>
        <v/>
      </c>
      <c r="L136" s="164" t="str">
        <f t="shared" si="18"/>
        <v/>
      </c>
      <c r="M136" s="169" t="str">
        <f t="shared" si="19"/>
        <v/>
      </c>
      <c r="N136" s="169" t="str">
        <f t="shared" si="20"/>
        <v/>
      </c>
      <c r="O136" s="169" t="str">
        <f t="shared" si="21"/>
        <v/>
      </c>
      <c r="P136" s="169" t="str">
        <f t="shared" si="22"/>
        <v/>
      </c>
      <c r="Q136" s="169" t="str">
        <f t="shared" si="23"/>
        <v/>
      </c>
      <c r="R136" s="170" t="str">
        <f t="shared" si="24"/>
        <v/>
      </c>
      <c r="S136" s="171" t="str">
        <f t="shared" si="25"/>
        <v/>
      </c>
      <c r="T136" s="171" t="str">
        <f t="shared" si="26"/>
        <v>fg_all</v>
      </c>
      <c r="U136" s="171" t="str">
        <f t="shared" si="27"/>
        <v/>
      </c>
    </row>
    <row r="137" spans="1:21" ht="26.25" customHeight="1">
      <c r="A137" s="2"/>
      <c r="B137" s="2"/>
      <c r="C137" s="2"/>
      <c r="D137" s="2"/>
      <c r="E137" s="2"/>
      <c r="F137" s="3"/>
      <c r="G137" s="3"/>
      <c r="H137" s="164" t="str">
        <f t="shared" ref="H137:H200" si="28">IF(OR($S137="",$S137="NF"),"",INDEX(b_ener,$S137))</f>
        <v/>
      </c>
      <c r="I137" s="164" t="str">
        <f t="shared" ref="I137:I200" si="29">IF(OR($S137="",$S137="NF"),"",INDEX(b_prot,$S137))</f>
        <v/>
      </c>
      <c r="J137" s="164" t="str">
        <f t="shared" ref="J137:J200" si="30">IF(OR($S137="",$S137="NF"),"",INDEX(b_hc,$S137))</f>
        <v/>
      </c>
      <c r="K137" s="164" t="str">
        <f t="shared" ref="K137:K200" si="31">IF(OR($S137="",$S137="NF"),"",INDEX(b_lip,$S137))</f>
        <v/>
      </c>
      <c r="L137" s="164" t="str">
        <f t="shared" ref="L137:L200" si="32">IF(OR($S137="",$S137="NF"),"",INDEX(b_fib,$S137))</f>
        <v/>
      </c>
      <c r="M137" s="169" t="str">
        <f t="shared" ref="M137:M200" si="33">IF(OR(NOT(ISNUMBER($U137)),NOT(ISNUMBER($H137))),"",ROUND($U137*$H137/100,1))</f>
        <v/>
      </c>
      <c r="N137" s="169" t="str">
        <f t="shared" ref="N137:N200" si="34">IF(OR(NOT(ISNUMBER($U137)),NOT(ISNUMBER($I137))),"",ROUND($U137*$I137/100,2))</f>
        <v/>
      </c>
      <c r="O137" s="169" t="str">
        <f t="shared" ref="O137:O200" si="35">IF(OR(NOT(ISNUMBER($U137)),NOT(ISNUMBER($J137))),"",ROUND($U137*$J137/100,2))</f>
        <v/>
      </c>
      <c r="P137" s="169" t="str">
        <f t="shared" ref="P137:P200" si="36">IF(OR(NOT(ISNUMBER($U137)),NOT(ISNUMBER($K137))),"",ROUND($U137*$K137/100,2))</f>
        <v/>
      </c>
      <c r="Q137" s="169" t="str">
        <f t="shared" ref="Q137:Q200" si="37">IF(OR(NOT(ISNUMBER($U137)),NOT(ISNUMBER($L137))),"",ROUND($U137*$L137/100,2))</f>
        <v/>
      </c>
      <c r="R137" s="170" t="str">
        <f t="shared" ref="R137:R200" si="38">IF($D137="","",IF($S137="NF","Alimento no encontrado",IF(AND($E137="Porciones",NOT(ISNUMBER($U137))),"Porción no documentada: use gramos",IF(NOT(ISNUMBER($U137)),"Ingrese los gramos",IF(OR($H137="ND",$I137="ND",$J137="ND",$K137="ND",$L137="ND"),"Dato incompleto (ND): el total puede subestimar","OK")))))</f>
        <v/>
      </c>
      <c r="S137" s="171" t="str">
        <f t="shared" ref="S137:S200" si="39">IF(OR($D137="",$D137=0),"",IFERROR(MATCH($D137,b_key,0),"NF"))</f>
        <v/>
      </c>
      <c r="T137" s="171" t="str">
        <f t="shared" ref="T137:T200" si="40">IF($C137="","fg_all",IFERROR(VLOOKUP($C137,grp_map,2,0),"fg_all"))</f>
        <v>fg_all</v>
      </c>
      <c r="U137" s="171" t="str">
        <f t="shared" ref="U137:U200" si="41">IF(OR($D137="",$S137="NF",$S137=""),"",IF($E137="Porciones",IF(AND(ISNUMBER($F137),ISNUMBER(INDEX(b_porcg,$S137))),$F137*INDEX(b_porcg,$S137),"ND"),$G137))</f>
        <v/>
      </c>
    </row>
    <row r="138" spans="1:21" ht="26.25" customHeight="1">
      <c r="A138" s="2"/>
      <c r="B138" s="2"/>
      <c r="C138" s="2"/>
      <c r="D138" s="2"/>
      <c r="E138" s="2"/>
      <c r="F138" s="3"/>
      <c r="G138" s="3"/>
      <c r="H138" s="164" t="str">
        <f t="shared" si="28"/>
        <v/>
      </c>
      <c r="I138" s="164" t="str">
        <f t="shared" si="29"/>
        <v/>
      </c>
      <c r="J138" s="164" t="str">
        <f t="shared" si="30"/>
        <v/>
      </c>
      <c r="K138" s="164" t="str">
        <f t="shared" si="31"/>
        <v/>
      </c>
      <c r="L138" s="164" t="str">
        <f t="shared" si="32"/>
        <v/>
      </c>
      <c r="M138" s="169" t="str">
        <f t="shared" si="33"/>
        <v/>
      </c>
      <c r="N138" s="169" t="str">
        <f t="shared" si="34"/>
        <v/>
      </c>
      <c r="O138" s="169" t="str">
        <f t="shared" si="35"/>
        <v/>
      </c>
      <c r="P138" s="169" t="str">
        <f t="shared" si="36"/>
        <v/>
      </c>
      <c r="Q138" s="169" t="str">
        <f t="shared" si="37"/>
        <v/>
      </c>
      <c r="R138" s="170" t="str">
        <f t="shared" si="38"/>
        <v/>
      </c>
      <c r="S138" s="171" t="str">
        <f t="shared" si="39"/>
        <v/>
      </c>
      <c r="T138" s="171" t="str">
        <f t="shared" si="40"/>
        <v>fg_all</v>
      </c>
      <c r="U138" s="171" t="str">
        <f t="shared" si="41"/>
        <v/>
      </c>
    </row>
    <row r="139" spans="1:21" ht="26.25" customHeight="1">
      <c r="A139" s="2"/>
      <c r="B139" s="2"/>
      <c r="C139" s="2"/>
      <c r="D139" s="2"/>
      <c r="E139" s="2"/>
      <c r="F139" s="3"/>
      <c r="G139" s="3"/>
      <c r="H139" s="164" t="str">
        <f t="shared" si="28"/>
        <v/>
      </c>
      <c r="I139" s="164" t="str">
        <f t="shared" si="29"/>
        <v/>
      </c>
      <c r="J139" s="164" t="str">
        <f t="shared" si="30"/>
        <v/>
      </c>
      <c r="K139" s="164" t="str">
        <f t="shared" si="31"/>
        <v/>
      </c>
      <c r="L139" s="164" t="str">
        <f t="shared" si="32"/>
        <v/>
      </c>
      <c r="M139" s="169" t="str">
        <f t="shared" si="33"/>
        <v/>
      </c>
      <c r="N139" s="169" t="str">
        <f t="shared" si="34"/>
        <v/>
      </c>
      <c r="O139" s="169" t="str">
        <f t="shared" si="35"/>
        <v/>
      </c>
      <c r="P139" s="169" t="str">
        <f t="shared" si="36"/>
        <v/>
      </c>
      <c r="Q139" s="169" t="str">
        <f t="shared" si="37"/>
        <v/>
      </c>
      <c r="R139" s="170" t="str">
        <f t="shared" si="38"/>
        <v/>
      </c>
      <c r="S139" s="171" t="str">
        <f t="shared" si="39"/>
        <v/>
      </c>
      <c r="T139" s="171" t="str">
        <f t="shared" si="40"/>
        <v>fg_all</v>
      </c>
      <c r="U139" s="171" t="str">
        <f t="shared" si="41"/>
        <v/>
      </c>
    </row>
    <row r="140" spans="1:21" ht="26.25" customHeight="1">
      <c r="A140" s="2"/>
      <c r="B140" s="2"/>
      <c r="C140" s="2"/>
      <c r="D140" s="2"/>
      <c r="E140" s="2"/>
      <c r="F140" s="3"/>
      <c r="G140" s="3"/>
      <c r="H140" s="164" t="str">
        <f t="shared" si="28"/>
        <v/>
      </c>
      <c r="I140" s="164" t="str">
        <f t="shared" si="29"/>
        <v/>
      </c>
      <c r="J140" s="164" t="str">
        <f t="shared" si="30"/>
        <v/>
      </c>
      <c r="K140" s="164" t="str">
        <f t="shared" si="31"/>
        <v/>
      </c>
      <c r="L140" s="164" t="str">
        <f t="shared" si="32"/>
        <v/>
      </c>
      <c r="M140" s="169" t="str">
        <f t="shared" si="33"/>
        <v/>
      </c>
      <c r="N140" s="169" t="str">
        <f t="shared" si="34"/>
        <v/>
      </c>
      <c r="O140" s="169" t="str">
        <f t="shared" si="35"/>
        <v/>
      </c>
      <c r="P140" s="169" t="str">
        <f t="shared" si="36"/>
        <v/>
      </c>
      <c r="Q140" s="169" t="str">
        <f t="shared" si="37"/>
        <v/>
      </c>
      <c r="R140" s="170" t="str">
        <f t="shared" si="38"/>
        <v/>
      </c>
      <c r="S140" s="171" t="str">
        <f t="shared" si="39"/>
        <v/>
      </c>
      <c r="T140" s="171" t="str">
        <f t="shared" si="40"/>
        <v>fg_all</v>
      </c>
      <c r="U140" s="171" t="str">
        <f t="shared" si="41"/>
        <v/>
      </c>
    </row>
    <row r="141" spans="1:21" ht="26.25" customHeight="1">
      <c r="A141" s="2"/>
      <c r="B141" s="2"/>
      <c r="C141" s="2"/>
      <c r="D141" s="2"/>
      <c r="E141" s="2"/>
      <c r="F141" s="3"/>
      <c r="G141" s="3"/>
      <c r="H141" s="164" t="str">
        <f t="shared" si="28"/>
        <v/>
      </c>
      <c r="I141" s="164" t="str">
        <f t="shared" si="29"/>
        <v/>
      </c>
      <c r="J141" s="164" t="str">
        <f t="shared" si="30"/>
        <v/>
      </c>
      <c r="K141" s="164" t="str">
        <f t="shared" si="31"/>
        <v/>
      </c>
      <c r="L141" s="164" t="str">
        <f t="shared" si="32"/>
        <v/>
      </c>
      <c r="M141" s="169" t="str">
        <f t="shared" si="33"/>
        <v/>
      </c>
      <c r="N141" s="169" t="str">
        <f t="shared" si="34"/>
        <v/>
      </c>
      <c r="O141" s="169" t="str">
        <f t="shared" si="35"/>
        <v/>
      </c>
      <c r="P141" s="169" t="str">
        <f t="shared" si="36"/>
        <v/>
      </c>
      <c r="Q141" s="169" t="str">
        <f t="shared" si="37"/>
        <v/>
      </c>
      <c r="R141" s="170" t="str">
        <f t="shared" si="38"/>
        <v/>
      </c>
      <c r="S141" s="171" t="str">
        <f t="shared" si="39"/>
        <v/>
      </c>
      <c r="T141" s="171" t="str">
        <f t="shared" si="40"/>
        <v>fg_all</v>
      </c>
      <c r="U141" s="171" t="str">
        <f t="shared" si="41"/>
        <v/>
      </c>
    </row>
    <row r="142" spans="1:21" ht="26.25" customHeight="1">
      <c r="A142" s="2"/>
      <c r="B142" s="2"/>
      <c r="C142" s="2"/>
      <c r="D142" s="2"/>
      <c r="E142" s="2"/>
      <c r="F142" s="3"/>
      <c r="G142" s="3"/>
      <c r="H142" s="164" t="str">
        <f t="shared" si="28"/>
        <v/>
      </c>
      <c r="I142" s="164" t="str">
        <f t="shared" si="29"/>
        <v/>
      </c>
      <c r="J142" s="164" t="str">
        <f t="shared" si="30"/>
        <v/>
      </c>
      <c r="K142" s="164" t="str">
        <f t="shared" si="31"/>
        <v/>
      </c>
      <c r="L142" s="164" t="str">
        <f t="shared" si="32"/>
        <v/>
      </c>
      <c r="M142" s="169" t="str">
        <f t="shared" si="33"/>
        <v/>
      </c>
      <c r="N142" s="169" t="str">
        <f t="shared" si="34"/>
        <v/>
      </c>
      <c r="O142" s="169" t="str">
        <f t="shared" si="35"/>
        <v/>
      </c>
      <c r="P142" s="169" t="str">
        <f t="shared" si="36"/>
        <v/>
      </c>
      <c r="Q142" s="169" t="str">
        <f t="shared" si="37"/>
        <v/>
      </c>
      <c r="R142" s="170" t="str">
        <f t="shared" si="38"/>
        <v/>
      </c>
      <c r="S142" s="171" t="str">
        <f t="shared" si="39"/>
        <v/>
      </c>
      <c r="T142" s="171" t="str">
        <f t="shared" si="40"/>
        <v>fg_all</v>
      </c>
      <c r="U142" s="171" t="str">
        <f t="shared" si="41"/>
        <v/>
      </c>
    </row>
    <row r="143" spans="1:21" ht="26.25" customHeight="1">
      <c r="A143" s="2"/>
      <c r="B143" s="2"/>
      <c r="C143" s="2"/>
      <c r="D143" s="2"/>
      <c r="E143" s="2"/>
      <c r="F143" s="3"/>
      <c r="G143" s="3"/>
      <c r="H143" s="164" t="str">
        <f t="shared" si="28"/>
        <v/>
      </c>
      <c r="I143" s="164" t="str">
        <f t="shared" si="29"/>
        <v/>
      </c>
      <c r="J143" s="164" t="str">
        <f t="shared" si="30"/>
        <v/>
      </c>
      <c r="K143" s="164" t="str">
        <f t="shared" si="31"/>
        <v/>
      </c>
      <c r="L143" s="164" t="str">
        <f t="shared" si="32"/>
        <v/>
      </c>
      <c r="M143" s="169" t="str">
        <f t="shared" si="33"/>
        <v/>
      </c>
      <c r="N143" s="169" t="str">
        <f t="shared" si="34"/>
        <v/>
      </c>
      <c r="O143" s="169" t="str">
        <f t="shared" si="35"/>
        <v/>
      </c>
      <c r="P143" s="169" t="str">
        <f t="shared" si="36"/>
        <v/>
      </c>
      <c r="Q143" s="169" t="str">
        <f t="shared" si="37"/>
        <v/>
      </c>
      <c r="R143" s="170" t="str">
        <f t="shared" si="38"/>
        <v/>
      </c>
      <c r="S143" s="171" t="str">
        <f t="shared" si="39"/>
        <v/>
      </c>
      <c r="T143" s="171" t="str">
        <f t="shared" si="40"/>
        <v>fg_all</v>
      </c>
      <c r="U143" s="171" t="str">
        <f t="shared" si="41"/>
        <v/>
      </c>
    </row>
    <row r="144" spans="1:21" ht="26.25" customHeight="1">
      <c r="A144" s="2"/>
      <c r="B144" s="2"/>
      <c r="C144" s="2"/>
      <c r="D144" s="2"/>
      <c r="E144" s="2"/>
      <c r="F144" s="3"/>
      <c r="G144" s="3"/>
      <c r="H144" s="164" t="str">
        <f t="shared" si="28"/>
        <v/>
      </c>
      <c r="I144" s="164" t="str">
        <f t="shared" si="29"/>
        <v/>
      </c>
      <c r="J144" s="164" t="str">
        <f t="shared" si="30"/>
        <v/>
      </c>
      <c r="K144" s="164" t="str">
        <f t="shared" si="31"/>
        <v/>
      </c>
      <c r="L144" s="164" t="str">
        <f t="shared" si="32"/>
        <v/>
      </c>
      <c r="M144" s="169" t="str">
        <f t="shared" si="33"/>
        <v/>
      </c>
      <c r="N144" s="169" t="str">
        <f t="shared" si="34"/>
        <v/>
      </c>
      <c r="O144" s="169" t="str">
        <f t="shared" si="35"/>
        <v/>
      </c>
      <c r="P144" s="169" t="str">
        <f t="shared" si="36"/>
        <v/>
      </c>
      <c r="Q144" s="169" t="str">
        <f t="shared" si="37"/>
        <v/>
      </c>
      <c r="R144" s="170" t="str">
        <f t="shared" si="38"/>
        <v/>
      </c>
      <c r="S144" s="171" t="str">
        <f t="shared" si="39"/>
        <v/>
      </c>
      <c r="T144" s="171" t="str">
        <f t="shared" si="40"/>
        <v>fg_all</v>
      </c>
      <c r="U144" s="171" t="str">
        <f t="shared" si="41"/>
        <v/>
      </c>
    </row>
    <row r="145" spans="1:21" ht="26.25" customHeight="1">
      <c r="A145" s="2"/>
      <c r="B145" s="2"/>
      <c r="C145" s="2"/>
      <c r="D145" s="2"/>
      <c r="E145" s="2"/>
      <c r="F145" s="3"/>
      <c r="G145" s="3"/>
      <c r="H145" s="164" t="str">
        <f t="shared" si="28"/>
        <v/>
      </c>
      <c r="I145" s="164" t="str">
        <f t="shared" si="29"/>
        <v/>
      </c>
      <c r="J145" s="164" t="str">
        <f t="shared" si="30"/>
        <v/>
      </c>
      <c r="K145" s="164" t="str">
        <f t="shared" si="31"/>
        <v/>
      </c>
      <c r="L145" s="164" t="str">
        <f t="shared" si="32"/>
        <v/>
      </c>
      <c r="M145" s="169" t="str">
        <f t="shared" si="33"/>
        <v/>
      </c>
      <c r="N145" s="169" t="str">
        <f t="shared" si="34"/>
        <v/>
      </c>
      <c r="O145" s="169" t="str">
        <f t="shared" si="35"/>
        <v/>
      </c>
      <c r="P145" s="169" t="str">
        <f t="shared" si="36"/>
        <v/>
      </c>
      <c r="Q145" s="169" t="str">
        <f t="shared" si="37"/>
        <v/>
      </c>
      <c r="R145" s="170" t="str">
        <f t="shared" si="38"/>
        <v/>
      </c>
      <c r="S145" s="171" t="str">
        <f t="shared" si="39"/>
        <v/>
      </c>
      <c r="T145" s="171" t="str">
        <f t="shared" si="40"/>
        <v>fg_all</v>
      </c>
      <c r="U145" s="171" t="str">
        <f t="shared" si="41"/>
        <v/>
      </c>
    </row>
    <row r="146" spans="1:21" ht="26.25" customHeight="1">
      <c r="A146" s="2"/>
      <c r="B146" s="2"/>
      <c r="C146" s="2"/>
      <c r="D146" s="2"/>
      <c r="E146" s="2"/>
      <c r="F146" s="3"/>
      <c r="G146" s="3"/>
      <c r="H146" s="164" t="str">
        <f t="shared" si="28"/>
        <v/>
      </c>
      <c r="I146" s="164" t="str">
        <f t="shared" si="29"/>
        <v/>
      </c>
      <c r="J146" s="164" t="str">
        <f t="shared" si="30"/>
        <v/>
      </c>
      <c r="K146" s="164" t="str">
        <f t="shared" si="31"/>
        <v/>
      </c>
      <c r="L146" s="164" t="str">
        <f t="shared" si="32"/>
        <v/>
      </c>
      <c r="M146" s="169" t="str">
        <f t="shared" si="33"/>
        <v/>
      </c>
      <c r="N146" s="169" t="str">
        <f t="shared" si="34"/>
        <v/>
      </c>
      <c r="O146" s="169" t="str">
        <f t="shared" si="35"/>
        <v/>
      </c>
      <c r="P146" s="169" t="str">
        <f t="shared" si="36"/>
        <v/>
      </c>
      <c r="Q146" s="169" t="str">
        <f t="shared" si="37"/>
        <v/>
      </c>
      <c r="R146" s="170" t="str">
        <f t="shared" si="38"/>
        <v/>
      </c>
      <c r="S146" s="171" t="str">
        <f t="shared" si="39"/>
        <v/>
      </c>
      <c r="T146" s="171" t="str">
        <f t="shared" si="40"/>
        <v>fg_all</v>
      </c>
      <c r="U146" s="171" t="str">
        <f t="shared" si="41"/>
        <v/>
      </c>
    </row>
    <row r="147" spans="1:21" ht="26.25" customHeight="1">
      <c r="A147" s="2"/>
      <c r="B147" s="2"/>
      <c r="C147" s="2"/>
      <c r="D147" s="2"/>
      <c r="E147" s="2"/>
      <c r="F147" s="3"/>
      <c r="G147" s="3"/>
      <c r="H147" s="164" t="str">
        <f t="shared" si="28"/>
        <v/>
      </c>
      <c r="I147" s="164" t="str">
        <f t="shared" si="29"/>
        <v/>
      </c>
      <c r="J147" s="164" t="str">
        <f t="shared" si="30"/>
        <v/>
      </c>
      <c r="K147" s="164" t="str">
        <f t="shared" si="31"/>
        <v/>
      </c>
      <c r="L147" s="164" t="str">
        <f t="shared" si="32"/>
        <v/>
      </c>
      <c r="M147" s="169" t="str">
        <f t="shared" si="33"/>
        <v/>
      </c>
      <c r="N147" s="169" t="str">
        <f t="shared" si="34"/>
        <v/>
      </c>
      <c r="O147" s="169" t="str">
        <f t="shared" si="35"/>
        <v/>
      </c>
      <c r="P147" s="169" t="str">
        <f t="shared" si="36"/>
        <v/>
      </c>
      <c r="Q147" s="169" t="str">
        <f t="shared" si="37"/>
        <v/>
      </c>
      <c r="R147" s="170" t="str">
        <f t="shared" si="38"/>
        <v/>
      </c>
      <c r="S147" s="171" t="str">
        <f t="shared" si="39"/>
        <v/>
      </c>
      <c r="T147" s="171" t="str">
        <f t="shared" si="40"/>
        <v>fg_all</v>
      </c>
      <c r="U147" s="171" t="str">
        <f t="shared" si="41"/>
        <v/>
      </c>
    </row>
    <row r="148" spans="1:21" ht="26.25" customHeight="1">
      <c r="A148" s="2"/>
      <c r="B148" s="2"/>
      <c r="C148" s="2"/>
      <c r="D148" s="2"/>
      <c r="E148" s="2"/>
      <c r="F148" s="3"/>
      <c r="G148" s="3"/>
      <c r="H148" s="164" t="str">
        <f t="shared" si="28"/>
        <v/>
      </c>
      <c r="I148" s="164" t="str">
        <f t="shared" si="29"/>
        <v/>
      </c>
      <c r="J148" s="164" t="str">
        <f t="shared" si="30"/>
        <v/>
      </c>
      <c r="K148" s="164" t="str">
        <f t="shared" si="31"/>
        <v/>
      </c>
      <c r="L148" s="164" t="str">
        <f t="shared" si="32"/>
        <v/>
      </c>
      <c r="M148" s="169" t="str">
        <f t="shared" si="33"/>
        <v/>
      </c>
      <c r="N148" s="169" t="str">
        <f t="shared" si="34"/>
        <v/>
      </c>
      <c r="O148" s="169" t="str">
        <f t="shared" si="35"/>
        <v/>
      </c>
      <c r="P148" s="169" t="str">
        <f t="shared" si="36"/>
        <v/>
      </c>
      <c r="Q148" s="169" t="str">
        <f t="shared" si="37"/>
        <v/>
      </c>
      <c r="R148" s="170" t="str">
        <f t="shared" si="38"/>
        <v/>
      </c>
      <c r="S148" s="171" t="str">
        <f t="shared" si="39"/>
        <v/>
      </c>
      <c r="T148" s="171" t="str">
        <f t="shared" si="40"/>
        <v>fg_all</v>
      </c>
      <c r="U148" s="171" t="str">
        <f t="shared" si="41"/>
        <v/>
      </c>
    </row>
    <row r="149" spans="1:21" ht="26.25" customHeight="1">
      <c r="A149" s="2"/>
      <c r="B149" s="2"/>
      <c r="C149" s="2"/>
      <c r="D149" s="2"/>
      <c r="E149" s="2"/>
      <c r="F149" s="3"/>
      <c r="G149" s="3"/>
      <c r="H149" s="164" t="str">
        <f t="shared" si="28"/>
        <v/>
      </c>
      <c r="I149" s="164" t="str">
        <f t="shared" si="29"/>
        <v/>
      </c>
      <c r="J149" s="164" t="str">
        <f t="shared" si="30"/>
        <v/>
      </c>
      <c r="K149" s="164" t="str">
        <f t="shared" si="31"/>
        <v/>
      </c>
      <c r="L149" s="164" t="str">
        <f t="shared" si="32"/>
        <v/>
      </c>
      <c r="M149" s="169" t="str">
        <f t="shared" si="33"/>
        <v/>
      </c>
      <c r="N149" s="169" t="str">
        <f t="shared" si="34"/>
        <v/>
      </c>
      <c r="O149" s="169" t="str">
        <f t="shared" si="35"/>
        <v/>
      </c>
      <c r="P149" s="169" t="str">
        <f t="shared" si="36"/>
        <v/>
      </c>
      <c r="Q149" s="169" t="str">
        <f t="shared" si="37"/>
        <v/>
      </c>
      <c r="R149" s="170" t="str">
        <f t="shared" si="38"/>
        <v/>
      </c>
      <c r="S149" s="171" t="str">
        <f t="shared" si="39"/>
        <v/>
      </c>
      <c r="T149" s="171" t="str">
        <f t="shared" si="40"/>
        <v>fg_all</v>
      </c>
      <c r="U149" s="171" t="str">
        <f t="shared" si="41"/>
        <v/>
      </c>
    </row>
    <row r="150" spans="1:21" ht="26.25" customHeight="1">
      <c r="A150" s="2"/>
      <c r="B150" s="2"/>
      <c r="C150" s="2"/>
      <c r="D150" s="2"/>
      <c r="E150" s="2"/>
      <c r="F150" s="3"/>
      <c r="G150" s="3"/>
      <c r="H150" s="164" t="str">
        <f t="shared" si="28"/>
        <v/>
      </c>
      <c r="I150" s="164" t="str">
        <f t="shared" si="29"/>
        <v/>
      </c>
      <c r="J150" s="164" t="str">
        <f t="shared" si="30"/>
        <v/>
      </c>
      <c r="K150" s="164" t="str">
        <f t="shared" si="31"/>
        <v/>
      </c>
      <c r="L150" s="164" t="str">
        <f t="shared" si="32"/>
        <v/>
      </c>
      <c r="M150" s="169" t="str">
        <f t="shared" si="33"/>
        <v/>
      </c>
      <c r="N150" s="169" t="str">
        <f t="shared" si="34"/>
        <v/>
      </c>
      <c r="O150" s="169" t="str">
        <f t="shared" si="35"/>
        <v/>
      </c>
      <c r="P150" s="169" t="str">
        <f t="shared" si="36"/>
        <v/>
      </c>
      <c r="Q150" s="169" t="str">
        <f t="shared" si="37"/>
        <v/>
      </c>
      <c r="R150" s="170" t="str">
        <f t="shared" si="38"/>
        <v/>
      </c>
      <c r="S150" s="171" t="str">
        <f t="shared" si="39"/>
        <v/>
      </c>
      <c r="T150" s="171" t="str">
        <f t="shared" si="40"/>
        <v>fg_all</v>
      </c>
      <c r="U150" s="171" t="str">
        <f t="shared" si="41"/>
        <v/>
      </c>
    </row>
    <row r="151" spans="1:21" ht="26.25" customHeight="1">
      <c r="A151" s="2"/>
      <c r="B151" s="2"/>
      <c r="C151" s="2"/>
      <c r="D151" s="2"/>
      <c r="E151" s="2"/>
      <c r="F151" s="3"/>
      <c r="G151" s="3"/>
      <c r="H151" s="164" t="str">
        <f t="shared" si="28"/>
        <v/>
      </c>
      <c r="I151" s="164" t="str">
        <f t="shared" si="29"/>
        <v/>
      </c>
      <c r="J151" s="164" t="str">
        <f t="shared" si="30"/>
        <v/>
      </c>
      <c r="K151" s="164" t="str">
        <f t="shared" si="31"/>
        <v/>
      </c>
      <c r="L151" s="164" t="str">
        <f t="shared" si="32"/>
        <v/>
      </c>
      <c r="M151" s="169" t="str">
        <f t="shared" si="33"/>
        <v/>
      </c>
      <c r="N151" s="169" t="str">
        <f t="shared" si="34"/>
        <v/>
      </c>
      <c r="O151" s="169" t="str">
        <f t="shared" si="35"/>
        <v/>
      </c>
      <c r="P151" s="169" t="str">
        <f t="shared" si="36"/>
        <v/>
      </c>
      <c r="Q151" s="169" t="str">
        <f t="shared" si="37"/>
        <v/>
      </c>
      <c r="R151" s="170" t="str">
        <f t="shared" si="38"/>
        <v/>
      </c>
      <c r="S151" s="171" t="str">
        <f t="shared" si="39"/>
        <v/>
      </c>
      <c r="T151" s="171" t="str">
        <f t="shared" si="40"/>
        <v>fg_all</v>
      </c>
      <c r="U151" s="171" t="str">
        <f t="shared" si="41"/>
        <v/>
      </c>
    </row>
    <row r="152" spans="1:21" ht="26.25" customHeight="1">
      <c r="A152" s="2"/>
      <c r="B152" s="2"/>
      <c r="C152" s="2"/>
      <c r="D152" s="2"/>
      <c r="E152" s="2"/>
      <c r="F152" s="3"/>
      <c r="G152" s="3"/>
      <c r="H152" s="164" t="str">
        <f t="shared" si="28"/>
        <v/>
      </c>
      <c r="I152" s="164" t="str">
        <f t="shared" si="29"/>
        <v/>
      </c>
      <c r="J152" s="164" t="str">
        <f t="shared" si="30"/>
        <v/>
      </c>
      <c r="K152" s="164" t="str">
        <f t="shared" si="31"/>
        <v/>
      </c>
      <c r="L152" s="164" t="str">
        <f t="shared" si="32"/>
        <v/>
      </c>
      <c r="M152" s="169" t="str">
        <f t="shared" si="33"/>
        <v/>
      </c>
      <c r="N152" s="169" t="str">
        <f t="shared" si="34"/>
        <v/>
      </c>
      <c r="O152" s="169" t="str">
        <f t="shared" si="35"/>
        <v/>
      </c>
      <c r="P152" s="169" t="str">
        <f t="shared" si="36"/>
        <v/>
      </c>
      <c r="Q152" s="169" t="str">
        <f t="shared" si="37"/>
        <v/>
      </c>
      <c r="R152" s="170" t="str">
        <f t="shared" si="38"/>
        <v/>
      </c>
      <c r="S152" s="171" t="str">
        <f t="shared" si="39"/>
        <v/>
      </c>
      <c r="T152" s="171" t="str">
        <f t="shared" si="40"/>
        <v>fg_all</v>
      </c>
      <c r="U152" s="171" t="str">
        <f t="shared" si="41"/>
        <v/>
      </c>
    </row>
    <row r="153" spans="1:21" ht="26.25" customHeight="1">
      <c r="A153" s="2"/>
      <c r="B153" s="2"/>
      <c r="C153" s="2"/>
      <c r="D153" s="2"/>
      <c r="E153" s="2"/>
      <c r="F153" s="3"/>
      <c r="G153" s="3"/>
      <c r="H153" s="164" t="str">
        <f t="shared" si="28"/>
        <v/>
      </c>
      <c r="I153" s="164" t="str">
        <f t="shared" si="29"/>
        <v/>
      </c>
      <c r="J153" s="164" t="str">
        <f t="shared" si="30"/>
        <v/>
      </c>
      <c r="K153" s="164" t="str">
        <f t="shared" si="31"/>
        <v/>
      </c>
      <c r="L153" s="164" t="str">
        <f t="shared" si="32"/>
        <v/>
      </c>
      <c r="M153" s="169" t="str">
        <f t="shared" si="33"/>
        <v/>
      </c>
      <c r="N153" s="169" t="str">
        <f t="shared" si="34"/>
        <v/>
      </c>
      <c r="O153" s="169" t="str">
        <f t="shared" si="35"/>
        <v/>
      </c>
      <c r="P153" s="169" t="str">
        <f t="shared" si="36"/>
        <v/>
      </c>
      <c r="Q153" s="169" t="str">
        <f t="shared" si="37"/>
        <v/>
      </c>
      <c r="R153" s="170" t="str">
        <f t="shared" si="38"/>
        <v/>
      </c>
      <c r="S153" s="171" t="str">
        <f t="shared" si="39"/>
        <v/>
      </c>
      <c r="T153" s="171" t="str">
        <f t="shared" si="40"/>
        <v>fg_all</v>
      </c>
      <c r="U153" s="171" t="str">
        <f t="shared" si="41"/>
        <v/>
      </c>
    </row>
    <row r="154" spans="1:21" ht="26.25" customHeight="1">
      <c r="A154" s="2"/>
      <c r="B154" s="2"/>
      <c r="C154" s="2"/>
      <c r="D154" s="2"/>
      <c r="E154" s="2"/>
      <c r="F154" s="3"/>
      <c r="G154" s="3"/>
      <c r="H154" s="164" t="str">
        <f t="shared" si="28"/>
        <v/>
      </c>
      <c r="I154" s="164" t="str">
        <f t="shared" si="29"/>
        <v/>
      </c>
      <c r="J154" s="164" t="str">
        <f t="shared" si="30"/>
        <v/>
      </c>
      <c r="K154" s="164" t="str">
        <f t="shared" si="31"/>
        <v/>
      </c>
      <c r="L154" s="164" t="str">
        <f t="shared" si="32"/>
        <v/>
      </c>
      <c r="M154" s="169" t="str">
        <f t="shared" si="33"/>
        <v/>
      </c>
      <c r="N154" s="169" t="str">
        <f t="shared" si="34"/>
        <v/>
      </c>
      <c r="O154" s="169" t="str">
        <f t="shared" si="35"/>
        <v/>
      </c>
      <c r="P154" s="169" t="str">
        <f t="shared" si="36"/>
        <v/>
      </c>
      <c r="Q154" s="169" t="str">
        <f t="shared" si="37"/>
        <v/>
      </c>
      <c r="R154" s="170" t="str">
        <f t="shared" si="38"/>
        <v/>
      </c>
      <c r="S154" s="171" t="str">
        <f t="shared" si="39"/>
        <v/>
      </c>
      <c r="T154" s="171" t="str">
        <f t="shared" si="40"/>
        <v>fg_all</v>
      </c>
      <c r="U154" s="171" t="str">
        <f t="shared" si="41"/>
        <v/>
      </c>
    </row>
    <row r="155" spans="1:21" ht="26.25" customHeight="1">
      <c r="A155" s="2"/>
      <c r="B155" s="2"/>
      <c r="C155" s="2"/>
      <c r="D155" s="2"/>
      <c r="E155" s="2"/>
      <c r="F155" s="3"/>
      <c r="G155" s="3"/>
      <c r="H155" s="164" t="str">
        <f t="shared" si="28"/>
        <v/>
      </c>
      <c r="I155" s="164" t="str">
        <f t="shared" si="29"/>
        <v/>
      </c>
      <c r="J155" s="164" t="str">
        <f t="shared" si="30"/>
        <v/>
      </c>
      <c r="K155" s="164" t="str">
        <f t="shared" si="31"/>
        <v/>
      </c>
      <c r="L155" s="164" t="str">
        <f t="shared" si="32"/>
        <v/>
      </c>
      <c r="M155" s="169" t="str">
        <f t="shared" si="33"/>
        <v/>
      </c>
      <c r="N155" s="169" t="str">
        <f t="shared" si="34"/>
        <v/>
      </c>
      <c r="O155" s="169" t="str">
        <f t="shared" si="35"/>
        <v/>
      </c>
      <c r="P155" s="169" t="str">
        <f t="shared" si="36"/>
        <v/>
      </c>
      <c r="Q155" s="169" t="str">
        <f t="shared" si="37"/>
        <v/>
      </c>
      <c r="R155" s="170" t="str">
        <f t="shared" si="38"/>
        <v/>
      </c>
      <c r="S155" s="171" t="str">
        <f t="shared" si="39"/>
        <v/>
      </c>
      <c r="T155" s="171" t="str">
        <f t="shared" si="40"/>
        <v>fg_all</v>
      </c>
      <c r="U155" s="171" t="str">
        <f t="shared" si="41"/>
        <v/>
      </c>
    </row>
    <row r="156" spans="1:21" ht="26.25" customHeight="1">
      <c r="A156" s="2"/>
      <c r="B156" s="2"/>
      <c r="C156" s="2"/>
      <c r="D156" s="2"/>
      <c r="E156" s="2"/>
      <c r="F156" s="3"/>
      <c r="G156" s="3"/>
      <c r="H156" s="164" t="str">
        <f t="shared" si="28"/>
        <v/>
      </c>
      <c r="I156" s="164" t="str">
        <f t="shared" si="29"/>
        <v/>
      </c>
      <c r="J156" s="164" t="str">
        <f t="shared" si="30"/>
        <v/>
      </c>
      <c r="K156" s="164" t="str">
        <f t="shared" si="31"/>
        <v/>
      </c>
      <c r="L156" s="164" t="str">
        <f t="shared" si="32"/>
        <v/>
      </c>
      <c r="M156" s="169" t="str">
        <f t="shared" si="33"/>
        <v/>
      </c>
      <c r="N156" s="169" t="str">
        <f t="shared" si="34"/>
        <v/>
      </c>
      <c r="O156" s="169" t="str">
        <f t="shared" si="35"/>
        <v/>
      </c>
      <c r="P156" s="169" t="str">
        <f t="shared" si="36"/>
        <v/>
      </c>
      <c r="Q156" s="169" t="str">
        <f t="shared" si="37"/>
        <v/>
      </c>
      <c r="R156" s="170" t="str">
        <f t="shared" si="38"/>
        <v/>
      </c>
      <c r="S156" s="171" t="str">
        <f t="shared" si="39"/>
        <v/>
      </c>
      <c r="T156" s="171" t="str">
        <f t="shared" si="40"/>
        <v>fg_all</v>
      </c>
      <c r="U156" s="171" t="str">
        <f t="shared" si="41"/>
        <v/>
      </c>
    </row>
    <row r="157" spans="1:21" ht="26.25" customHeight="1">
      <c r="A157" s="2"/>
      <c r="B157" s="2"/>
      <c r="C157" s="2"/>
      <c r="D157" s="2"/>
      <c r="E157" s="2"/>
      <c r="F157" s="3"/>
      <c r="G157" s="3"/>
      <c r="H157" s="164" t="str">
        <f t="shared" si="28"/>
        <v/>
      </c>
      <c r="I157" s="164" t="str">
        <f t="shared" si="29"/>
        <v/>
      </c>
      <c r="J157" s="164" t="str">
        <f t="shared" si="30"/>
        <v/>
      </c>
      <c r="K157" s="164" t="str">
        <f t="shared" si="31"/>
        <v/>
      </c>
      <c r="L157" s="164" t="str">
        <f t="shared" si="32"/>
        <v/>
      </c>
      <c r="M157" s="169" t="str">
        <f t="shared" si="33"/>
        <v/>
      </c>
      <c r="N157" s="169" t="str">
        <f t="shared" si="34"/>
        <v/>
      </c>
      <c r="O157" s="169" t="str">
        <f t="shared" si="35"/>
        <v/>
      </c>
      <c r="P157" s="169" t="str">
        <f t="shared" si="36"/>
        <v/>
      </c>
      <c r="Q157" s="169" t="str">
        <f t="shared" si="37"/>
        <v/>
      </c>
      <c r="R157" s="170" t="str">
        <f t="shared" si="38"/>
        <v/>
      </c>
      <c r="S157" s="171" t="str">
        <f t="shared" si="39"/>
        <v/>
      </c>
      <c r="T157" s="171" t="str">
        <f t="shared" si="40"/>
        <v>fg_all</v>
      </c>
      <c r="U157" s="171" t="str">
        <f t="shared" si="41"/>
        <v/>
      </c>
    </row>
    <row r="158" spans="1:21" ht="26.25" customHeight="1">
      <c r="A158" s="2"/>
      <c r="B158" s="2"/>
      <c r="C158" s="2"/>
      <c r="D158" s="2"/>
      <c r="E158" s="2"/>
      <c r="F158" s="3"/>
      <c r="G158" s="3"/>
      <c r="H158" s="164" t="str">
        <f t="shared" si="28"/>
        <v/>
      </c>
      <c r="I158" s="164" t="str">
        <f t="shared" si="29"/>
        <v/>
      </c>
      <c r="J158" s="164" t="str">
        <f t="shared" si="30"/>
        <v/>
      </c>
      <c r="K158" s="164" t="str">
        <f t="shared" si="31"/>
        <v/>
      </c>
      <c r="L158" s="164" t="str">
        <f t="shared" si="32"/>
        <v/>
      </c>
      <c r="M158" s="169" t="str">
        <f t="shared" si="33"/>
        <v/>
      </c>
      <c r="N158" s="169" t="str">
        <f t="shared" si="34"/>
        <v/>
      </c>
      <c r="O158" s="169" t="str">
        <f t="shared" si="35"/>
        <v/>
      </c>
      <c r="P158" s="169" t="str">
        <f t="shared" si="36"/>
        <v/>
      </c>
      <c r="Q158" s="169" t="str">
        <f t="shared" si="37"/>
        <v/>
      </c>
      <c r="R158" s="170" t="str">
        <f t="shared" si="38"/>
        <v/>
      </c>
      <c r="S158" s="171" t="str">
        <f t="shared" si="39"/>
        <v/>
      </c>
      <c r="T158" s="171" t="str">
        <f t="shared" si="40"/>
        <v>fg_all</v>
      </c>
      <c r="U158" s="171" t="str">
        <f t="shared" si="41"/>
        <v/>
      </c>
    </row>
    <row r="159" spans="1:21" ht="26.25" customHeight="1">
      <c r="A159" s="2"/>
      <c r="B159" s="2"/>
      <c r="C159" s="2"/>
      <c r="D159" s="2"/>
      <c r="E159" s="2"/>
      <c r="F159" s="3"/>
      <c r="G159" s="3"/>
      <c r="H159" s="164" t="str">
        <f t="shared" si="28"/>
        <v/>
      </c>
      <c r="I159" s="164" t="str">
        <f t="shared" si="29"/>
        <v/>
      </c>
      <c r="J159" s="164" t="str">
        <f t="shared" si="30"/>
        <v/>
      </c>
      <c r="K159" s="164" t="str">
        <f t="shared" si="31"/>
        <v/>
      </c>
      <c r="L159" s="164" t="str">
        <f t="shared" si="32"/>
        <v/>
      </c>
      <c r="M159" s="169" t="str">
        <f t="shared" si="33"/>
        <v/>
      </c>
      <c r="N159" s="169" t="str">
        <f t="shared" si="34"/>
        <v/>
      </c>
      <c r="O159" s="169" t="str">
        <f t="shared" si="35"/>
        <v/>
      </c>
      <c r="P159" s="169" t="str">
        <f t="shared" si="36"/>
        <v/>
      </c>
      <c r="Q159" s="169" t="str">
        <f t="shared" si="37"/>
        <v/>
      </c>
      <c r="R159" s="170" t="str">
        <f t="shared" si="38"/>
        <v/>
      </c>
      <c r="S159" s="171" t="str">
        <f t="shared" si="39"/>
        <v/>
      </c>
      <c r="T159" s="171" t="str">
        <f t="shared" si="40"/>
        <v>fg_all</v>
      </c>
      <c r="U159" s="171" t="str">
        <f t="shared" si="41"/>
        <v/>
      </c>
    </row>
    <row r="160" spans="1:21" ht="26.25" customHeight="1">
      <c r="A160" s="2"/>
      <c r="B160" s="2"/>
      <c r="C160" s="2"/>
      <c r="D160" s="2"/>
      <c r="E160" s="2"/>
      <c r="F160" s="3"/>
      <c r="G160" s="3"/>
      <c r="H160" s="164" t="str">
        <f t="shared" si="28"/>
        <v/>
      </c>
      <c r="I160" s="164" t="str">
        <f t="shared" si="29"/>
        <v/>
      </c>
      <c r="J160" s="164" t="str">
        <f t="shared" si="30"/>
        <v/>
      </c>
      <c r="K160" s="164" t="str">
        <f t="shared" si="31"/>
        <v/>
      </c>
      <c r="L160" s="164" t="str">
        <f t="shared" si="32"/>
        <v/>
      </c>
      <c r="M160" s="169" t="str">
        <f t="shared" si="33"/>
        <v/>
      </c>
      <c r="N160" s="169" t="str">
        <f t="shared" si="34"/>
        <v/>
      </c>
      <c r="O160" s="169" t="str">
        <f t="shared" si="35"/>
        <v/>
      </c>
      <c r="P160" s="169" t="str">
        <f t="shared" si="36"/>
        <v/>
      </c>
      <c r="Q160" s="169" t="str">
        <f t="shared" si="37"/>
        <v/>
      </c>
      <c r="R160" s="170" t="str">
        <f t="shared" si="38"/>
        <v/>
      </c>
      <c r="S160" s="171" t="str">
        <f t="shared" si="39"/>
        <v/>
      </c>
      <c r="T160" s="171" t="str">
        <f t="shared" si="40"/>
        <v>fg_all</v>
      </c>
      <c r="U160" s="171" t="str">
        <f t="shared" si="41"/>
        <v/>
      </c>
    </row>
    <row r="161" spans="1:21" ht="26.25" customHeight="1">
      <c r="A161" s="2"/>
      <c r="B161" s="2"/>
      <c r="C161" s="2"/>
      <c r="D161" s="2"/>
      <c r="E161" s="2"/>
      <c r="F161" s="3"/>
      <c r="G161" s="3"/>
      <c r="H161" s="164" t="str">
        <f t="shared" si="28"/>
        <v/>
      </c>
      <c r="I161" s="164" t="str">
        <f t="shared" si="29"/>
        <v/>
      </c>
      <c r="J161" s="164" t="str">
        <f t="shared" si="30"/>
        <v/>
      </c>
      <c r="K161" s="164" t="str">
        <f t="shared" si="31"/>
        <v/>
      </c>
      <c r="L161" s="164" t="str">
        <f t="shared" si="32"/>
        <v/>
      </c>
      <c r="M161" s="169" t="str">
        <f t="shared" si="33"/>
        <v/>
      </c>
      <c r="N161" s="169" t="str">
        <f t="shared" si="34"/>
        <v/>
      </c>
      <c r="O161" s="169" t="str">
        <f t="shared" si="35"/>
        <v/>
      </c>
      <c r="P161" s="169" t="str">
        <f t="shared" si="36"/>
        <v/>
      </c>
      <c r="Q161" s="169" t="str">
        <f t="shared" si="37"/>
        <v/>
      </c>
      <c r="R161" s="170" t="str">
        <f t="shared" si="38"/>
        <v/>
      </c>
      <c r="S161" s="171" t="str">
        <f t="shared" si="39"/>
        <v/>
      </c>
      <c r="T161" s="171" t="str">
        <f t="shared" si="40"/>
        <v>fg_all</v>
      </c>
      <c r="U161" s="171" t="str">
        <f t="shared" si="41"/>
        <v/>
      </c>
    </row>
    <row r="162" spans="1:21" ht="26.25" customHeight="1">
      <c r="A162" s="2"/>
      <c r="B162" s="2"/>
      <c r="C162" s="2"/>
      <c r="D162" s="2"/>
      <c r="E162" s="2"/>
      <c r="F162" s="3"/>
      <c r="G162" s="3"/>
      <c r="H162" s="164" t="str">
        <f t="shared" si="28"/>
        <v/>
      </c>
      <c r="I162" s="164" t="str">
        <f t="shared" si="29"/>
        <v/>
      </c>
      <c r="J162" s="164" t="str">
        <f t="shared" si="30"/>
        <v/>
      </c>
      <c r="K162" s="164" t="str">
        <f t="shared" si="31"/>
        <v/>
      </c>
      <c r="L162" s="164" t="str">
        <f t="shared" si="32"/>
        <v/>
      </c>
      <c r="M162" s="169" t="str">
        <f t="shared" si="33"/>
        <v/>
      </c>
      <c r="N162" s="169" t="str">
        <f t="shared" si="34"/>
        <v/>
      </c>
      <c r="O162" s="169" t="str">
        <f t="shared" si="35"/>
        <v/>
      </c>
      <c r="P162" s="169" t="str">
        <f t="shared" si="36"/>
        <v/>
      </c>
      <c r="Q162" s="169" t="str">
        <f t="shared" si="37"/>
        <v/>
      </c>
      <c r="R162" s="170" t="str">
        <f t="shared" si="38"/>
        <v/>
      </c>
      <c r="S162" s="171" t="str">
        <f t="shared" si="39"/>
        <v/>
      </c>
      <c r="T162" s="171" t="str">
        <f t="shared" si="40"/>
        <v>fg_all</v>
      </c>
      <c r="U162" s="171" t="str">
        <f t="shared" si="41"/>
        <v/>
      </c>
    </row>
    <row r="163" spans="1:21" ht="26.25" customHeight="1">
      <c r="A163" s="2"/>
      <c r="B163" s="2"/>
      <c r="C163" s="2"/>
      <c r="D163" s="2"/>
      <c r="E163" s="2"/>
      <c r="F163" s="3"/>
      <c r="G163" s="3"/>
      <c r="H163" s="164" t="str">
        <f t="shared" si="28"/>
        <v/>
      </c>
      <c r="I163" s="164" t="str">
        <f t="shared" si="29"/>
        <v/>
      </c>
      <c r="J163" s="164" t="str">
        <f t="shared" si="30"/>
        <v/>
      </c>
      <c r="K163" s="164" t="str">
        <f t="shared" si="31"/>
        <v/>
      </c>
      <c r="L163" s="164" t="str">
        <f t="shared" si="32"/>
        <v/>
      </c>
      <c r="M163" s="169" t="str">
        <f t="shared" si="33"/>
        <v/>
      </c>
      <c r="N163" s="169" t="str">
        <f t="shared" si="34"/>
        <v/>
      </c>
      <c r="O163" s="169" t="str">
        <f t="shared" si="35"/>
        <v/>
      </c>
      <c r="P163" s="169" t="str">
        <f t="shared" si="36"/>
        <v/>
      </c>
      <c r="Q163" s="169" t="str">
        <f t="shared" si="37"/>
        <v/>
      </c>
      <c r="R163" s="170" t="str">
        <f t="shared" si="38"/>
        <v/>
      </c>
      <c r="S163" s="171" t="str">
        <f t="shared" si="39"/>
        <v/>
      </c>
      <c r="T163" s="171" t="str">
        <f t="shared" si="40"/>
        <v>fg_all</v>
      </c>
      <c r="U163" s="171" t="str">
        <f t="shared" si="41"/>
        <v/>
      </c>
    </row>
    <row r="164" spans="1:21" ht="26.25" customHeight="1">
      <c r="A164" s="2"/>
      <c r="B164" s="2"/>
      <c r="C164" s="2"/>
      <c r="D164" s="2"/>
      <c r="E164" s="2"/>
      <c r="F164" s="3"/>
      <c r="G164" s="3"/>
      <c r="H164" s="164" t="str">
        <f t="shared" si="28"/>
        <v/>
      </c>
      <c r="I164" s="164" t="str">
        <f t="shared" si="29"/>
        <v/>
      </c>
      <c r="J164" s="164" t="str">
        <f t="shared" si="30"/>
        <v/>
      </c>
      <c r="K164" s="164" t="str">
        <f t="shared" si="31"/>
        <v/>
      </c>
      <c r="L164" s="164" t="str">
        <f t="shared" si="32"/>
        <v/>
      </c>
      <c r="M164" s="169" t="str">
        <f t="shared" si="33"/>
        <v/>
      </c>
      <c r="N164" s="169" t="str">
        <f t="shared" si="34"/>
        <v/>
      </c>
      <c r="O164" s="169" t="str">
        <f t="shared" si="35"/>
        <v/>
      </c>
      <c r="P164" s="169" t="str">
        <f t="shared" si="36"/>
        <v/>
      </c>
      <c r="Q164" s="169" t="str">
        <f t="shared" si="37"/>
        <v/>
      </c>
      <c r="R164" s="170" t="str">
        <f t="shared" si="38"/>
        <v/>
      </c>
      <c r="S164" s="171" t="str">
        <f t="shared" si="39"/>
        <v/>
      </c>
      <c r="T164" s="171" t="str">
        <f t="shared" si="40"/>
        <v>fg_all</v>
      </c>
      <c r="U164" s="171" t="str">
        <f t="shared" si="41"/>
        <v/>
      </c>
    </row>
    <row r="165" spans="1:21" ht="26.25" customHeight="1">
      <c r="A165" s="2"/>
      <c r="B165" s="2"/>
      <c r="C165" s="2"/>
      <c r="D165" s="2"/>
      <c r="E165" s="2"/>
      <c r="F165" s="3"/>
      <c r="G165" s="3"/>
      <c r="H165" s="164" t="str">
        <f t="shared" si="28"/>
        <v/>
      </c>
      <c r="I165" s="164" t="str">
        <f t="shared" si="29"/>
        <v/>
      </c>
      <c r="J165" s="164" t="str">
        <f t="shared" si="30"/>
        <v/>
      </c>
      <c r="K165" s="164" t="str">
        <f t="shared" si="31"/>
        <v/>
      </c>
      <c r="L165" s="164" t="str">
        <f t="shared" si="32"/>
        <v/>
      </c>
      <c r="M165" s="169" t="str">
        <f t="shared" si="33"/>
        <v/>
      </c>
      <c r="N165" s="169" t="str">
        <f t="shared" si="34"/>
        <v/>
      </c>
      <c r="O165" s="169" t="str">
        <f t="shared" si="35"/>
        <v/>
      </c>
      <c r="P165" s="169" t="str">
        <f t="shared" si="36"/>
        <v/>
      </c>
      <c r="Q165" s="169" t="str">
        <f t="shared" si="37"/>
        <v/>
      </c>
      <c r="R165" s="170" t="str">
        <f t="shared" si="38"/>
        <v/>
      </c>
      <c r="S165" s="171" t="str">
        <f t="shared" si="39"/>
        <v/>
      </c>
      <c r="T165" s="171" t="str">
        <f t="shared" si="40"/>
        <v>fg_all</v>
      </c>
      <c r="U165" s="171" t="str">
        <f t="shared" si="41"/>
        <v/>
      </c>
    </row>
    <row r="166" spans="1:21" ht="26.25" customHeight="1">
      <c r="A166" s="2"/>
      <c r="B166" s="2"/>
      <c r="C166" s="2"/>
      <c r="D166" s="2"/>
      <c r="E166" s="2"/>
      <c r="F166" s="3"/>
      <c r="G166" s="3"/>
      <c r="H166" s="164" t="str">
        <f t="shared" si="28"/>
        <v/>
      </c>
      <c r="I166" s="164" t="str">
        <f t="shared" si="29"/>
        <v/>
      </c>
      <c r="J166" s="164" t="str">
        <f t="shared" si="30"/>
        <v/>
      </c>
      <c r="K166" s="164" t="str">
        <f t="shared" si="31"/>
        <v/>
      </c>
      <c r="L166" s="164" t="str">
        <f t="shared" si="32"/>
        <v/>
      </c>
      <c r="M166" s="169" t="str">
        <f t="shared" si="33"/>
        <v/>
      </c>
      <c r="N166" s="169" t="str">
        <f t="shared" si="34"/>
        <v/>
      </c>
      <c r="O166" s="169" t="str">
        <f t="shared" si="35"/>
        <v/>
      </c>
      <c r="P166" s="169" t="str">
        <f t="shared" si="36"/>
        <v/>
      </c>
      <c r="Q166" s="169" t="str">
        <f t="shared" si="37"/>
        <v/>
      </c>
      <c r="R166" s="170" t="str">
        <f t="shared" si="38"/>
        <v/>
      </c>
      <c r="S166" s="171" t="str">
        <f t="shared" si="39"/>
        <v/>
      </c>
      <c r="T166" s="171" t="str">
        <f t="shared" si="40"/>
        <v>fg_all</v>
      </c>
      <c r="U166" s="171" t="str">
        <f t="shared" si="41"/>
        <v/>
      </c>
    </row>
    <row r="167" spans="1:21" ht="26.25" customHeight="1">
      <c r="A167" s="2"/>
      <c r="B167" s="2"/>
      <c r="C167" s="2"/>
      <c r="D167" s="2"/>
      <c r="E167" s="2"/>
      <c r="F167" s="3"/>
      <c r="G167" s="3"/>
      <c r="H167" s="164" t="str">
        <f t="shared" si="28"/>
        <v/>
      </c>
      <c r="I167" s="164" t="str">
        <f t="shared" si="29"/>
        <v/>
      </c>
      <c r="J167" s="164" t="str">
        <f t="shared" si="30"/>
        <v/>
      </c>
      <c r="K167" s="164" t="str">
        <f t="shared" si="31"/>
        <v/>
      </c>
      <c r="L167" s="164" t="str">
        <f t="shared" si="32"/>
        <v/>
      </c>
      <c r="M167" s="169" t="str">
        <f t="shared" si="33"/>
        <v/>
      </c>
      <c r="N167" s="169" t="str">
        <f t="shared" si="34"/>
        <v/>
      </c>
      <c r="O167" s="169" t="str">
        <f t="shared" si="35"/>
        <v/>
      </c>
      <c r="P167" s="169" t="str">
        <f t="shared" si="36"/>
        <v/>
      </c>
      <c r="Q167" s="169" t="str">
        <f t="shared" si="37"/>
        <v/>
      </c>
      <c r="R167" s="170" t="str">
        <f t="shared" si="38"/>
        <v/>
      </c>
      <c r="S167" s="171" t="str">
        <f t="shared" si="39"/>
        <v/>
      </c>
      <c r="T167" s="171" t="str">
        <f t="shared" si="40"/>
        <v>fg_all</v>
      </c>
      <c r="U167" s="171" t="str">
        <f t="shared" si="41"/>
        <v/>
      </c>
    </row>
    <row r="168" spans="1:21" ht="26.25" customHeight="1">
      <c r="A168" s="2"/>
      <c r="B168" s="2"/>
      <c r="C168" s="2"/>
      <c r="D168" s="2"/>
      <c r="E168" s="2"/>
      <c r="F168" s="3"/>
      <c r="G168" s="3"/>
      <c r="H168" s="164" t="str">
        <f t="shared" si="28"/>
        <v/>
      </c>
      <c r="I168" s="164" t="str">
        <f t="shared" si="29"/>
        <v/>
      </c>
      <c r="J168" s="164" t="str">
        <f t="shared" si="30"/>
        <v/>
      </c>
      <c r="K168" s="164" t="str">
        <f t="shared" si="31"/>
        <v/>
      </c>
      <c r="L168" s="164" t="str">
        <f t="shared" si="32"/>
        <v/>
      </c>
      <c r="M168" s="169" t="str">
        <f t="shared" si="33"/>
        <v/>
      </c>
      <c r="N168" s="169" t="str">
        <f t="shared" si="34"/>
        <v/>
      </c>
      <c r="O168" s="169" t="str">
        <f t="shared" si="35"/>
        <v/>
      </c>
      <c r="P168" s="169" t="str">
        <f t="shared" si="36"/>
        <v/>
      </c>
      <c r="Q168" s="169" t="str">
        <f t="shared" si="37"/>
        <v/>
      </c>
      <c r="R168" s="170" t="str">
        <f t="shared" si="38"/>
        <v/>
      </c>
      <c r="S168" s="171" t="str">
        <f t="shared" si="39"/>
        <v/>
      </c>
      <c r="T168" s="171" t="str">
        <f t="shared" si="40"/>
        <v>fg_all</v>
      </c>
      <c r="U168" s="171" t="str">
        <f t="shared" si="41"/>
        <v/>
      </c>
    </row>
    <row r="169" spans="1:21" ht="26.25" customHeight="1">
      <c r="A169" s="2"/>
      <c r="B169" s="2"/>
      <c r="C169" s="2"/>
      <c r="D169" s="2"/>
      <c r="E169" s="2"/>
      <c r="F169" s="3"/>
      <c r="G169" s="3"/>
      <c r="H169" s="164" t="str">
        <f t="shared" si="28"/>
        <v/>
      </c>
      <c r="I169" s="164" t="str">
        <f t="shared" si="29"/>
        <v/>
      </c>
      <c r="J169" s="164" t="str">
        <f t="shared" si="30"/>
        <v/>
      </c>
      <c r="K169" s="164" t="str">
        <f t="shared" si="31"/>
        <v/>
      </c>
      <c r="L169" s="164" t="str">
        <f t="shared" si="32"/>
        <v/>
      </c>
      <c r="M169" s="169" t="str">
        <f t="shared" si="33"/>
        <v/>
      </c>
      <c r="N169" s="169" t="str">
        <f t="shared" si="34"/>
        <v/>
      </c>
      <c r="O169" s="169" t="str">
        <f t="shared" si="35"/>
        <v/>
      </c>
      <c r="P169" s="169" t="str">
        <f t="shared" si="36"/>
        <v/>
      </c>
      <c r="Q169" s="169" t="str">
        <f t="shared" si="37"/>
        <v/>
      </c>
      <c r="R169" s="170" t="str">
        <f t="shared" si="38"/>
        <v/>
      </c>
      <c r="S169" s="171" t="str">
        <f t="shared" si="39"/>
        <v/>
      </c>
      <c r="T169" s="171" t="str">
        <f t="shared" si="40"/>
        <v>fg_all</v>
      </c>
      <c r="U169" s="171" t="str">
        <f t="shared" si="41"/>
        <v/>
      </c>
    </row>
    <row r="170" spans="1:21" ht="26.25" customHeight="1">
      <c r="A170" s="2"/>
      <c r="B170" s="2"/>
      <c r="C170" s="2"/>
      <c r="D170" s="2"/>
      <c r="E170" s="2"/>
      <c r="F170" s="3"/>
      <c r="G170" s="3"/>
      <c r="H170" s="164" t="str">
        <f t="shared" si="28"/>
        <v/>
      </c>
      <c r="I170" s="164" t="str">
        <f t="shared" si="29"/>
        <v/>
      </c>
      <c r="J170" s="164" t="str">
        <f t="shared" si="30"/>
        <v/>
      </c>
      <c r="K170" s="164" t="str">
        <f t="shared" si="31"/>
        <v/>
      </c>
      <c r="L170" s="164" t="str">
        <f t="shared" si="32"/>
        <v/>
      </c>
      <c r="M170" s="169" t="str">
        <f t="shared" si="33"/>
        <v/>
      </c>
      <c r="N170" s="169" t="str">
        <f t="shared" si="34"/>
        <v/>
      </c>
      <c r="O170" s="169" t="str">
        <f t="shared" si="35"/>
        <v/>
      </c>
      <c r="P170" s="169" t="str">
        <f t="shared" si="36"/>
        <v/>
      </c>
      <c r="Q170" s="169" t="str">
        <f t="shared" si="37"/>
        <v/>
      </c>
      <c r="R170" s="170" t="str">
        <f t="shared" si="38"/>
        <v/>
      </c>
      <c r="S170" s="171" t="str">
        <f t="shared" si="39"/>
        <v/>
      </c>
      <c r="T170" s="171" t="str">
        <f t="shared" si="40"/>
        <v>fg_all</v>
      </c>
      <c r="U170" s="171" t="str">
        <f t="shared" si="41"/>
        <v/>
      </c>
    </row>
    <row r="171" spans="1:21" ht="26.25" customHeight="1">
      <c r="A171" s="2"/>
      <c r="B171" s="2"/>
      <c r="C171" s="2"/>
      <c r="D171" s="2"/>
      <c r="E171" s="2"/>
      <c r="F171" s="3"/>
      <c r="G171" s="3"/>
      <c r="H171" s="164" t="str">
        <f t="shared" si="28"/>
        <v/>
      </c>
      <c r="I171" s="164" t="str">
        <f t="shared" si="29"/>
        <v/>
      </c>
      <c r="J171" s="164" t="str">
        <f t="shared" si="30"/>
        <v/>
      </c>
      <c r="K171" s="164" t="str">
        <f t="shared" si="31"/>
        <v/>
      </c>
      <c r="L171" s="164" t="str">
        <f t="shared" si="32"/>
        <v/>
      </c>
      <c r="M171" s="169" t="str">
        <f t="shared" si="33"/>
        <v/>
      </c>
      <c r="N171" s="169" t="str">
        <f t="shared" si="34"/>
        <v/>
      </c>
      <c r="O171" s="169" t="str">
        <f t="shared" si="35"/>
        <v/>
      </c>
      <c r="P171" s="169" t="str">
        <f t="shared" si="36"/>
        <v/>
      </c>
      <c r="Q171" s="169" t="str">
        <f t="shared" si="37"/>
        <v/>
      </c>
      <c r="R171" s="170" t="str">
        <f t="shared" si="38"/>
        <v/>
      </c>
      <c r="S171" s="171" t="str">
        <f t="shared" si="39"/>
        <v/>
      </c>
      <c r="T171" s="171" t="str">
        <f t="shared" si="40"/>
        <v>fg_all</v>
      </c>
      <c r="U171" s="171" t="str">
        <f t="shared" si="41"/>
        <v/>
      </c>
    </row>
    <row r="172" spans="1:21" ht="26.25" customHeight="1">
      <c r="A172" s="2"/>
      <c r="B172" s="2"/>
      <c r="C172" s="2"/>
      <c r="D172" s="2"/>
      <c r="E172" s="2"/>
      <c r="F172" s="3"/>
      <c r="G172" s="3"/>
      <c r="H172" s="164" t="str">
        <f t="shared" si="28"/>
        <v/>
      </c>
      <c r="I172" s="164" t="str">
        <f t="shared" si="29"/>
        <v/>
      </c>
      <c r="J172" s="164" t="str">
        <f t="shared" si="30"/>
        <v/>
      </c>
      <c r="K172" s="164" t="str">
        <f t="shared" si="31"/>
        <v/>
      </c>
      <c r="L172" s="164" t="str">
        <f t="shared" si="32"/>
        <v/>
      </c>
      <c r="M172" s="169" t="str">
        <f t="shared" si="33"/>
        <v/>
      </c>
      <c r="N172" s="169" t="str">
        <f t="shared" si="34"/>
        <v/>
      </c>
      <c r="O172" s="169" t="str">
        <f t="shared" si="35"/>
        <v/>
      </c>
      <c r="P172" s="169" t="str">
        <f t="shared" si="36"/>
        <v/>
      </c>
      <c r="Q172" s="169" t="str">
        <f t="shared" si="37"/>
        <v/>
      </c>
      <c r="R172" s="170" t="str">
        <f t="shared" si="38"/>
        <v/>
      </c>
      <c r="S172" s="171" t="str">
        <f t="shared" si="39"/>
        <v/>
      </c>
      <c r="T172" s="171" t="str">
        <f t="shared" si="40"/>
        <v>fg_all</v>
      </c>
      <c r="U172" s="171" t="str">
        <f t="shared" si="41"/>
        <v/>
      </c>
    </row>
    <row r="173" spans="1:21" ht="26.25" customHeight="1">
      <c r="A173" s="2"/>
      <c r="B173" s="2"/>
      <c r="C173" s="2"/>
      <c r="D173" s="2"/>
      <c r="E173" s="2"/>
      <c r="F173" s="3"/>
      <c r="G173" s="3"/>
      <c r="H173" s="164" t="str">
        <f t="shared" si="28"/>
        <v/>
      </c>
      <c r="I173" s="164" t="str">
        <f t="shared" si="29"/>
        <v/>
      </c>
      <c r="J173" s="164" t="str">
        <f t="shared" si="30"/>
        <v/>
      </c>
      <c r="K173" s="164" t="str">
        <f t="shared" si="31"/>
        <v/>
      </c>
      <c r="L173" s="164" t="str">
        <f t="shared" si="32"/>
        <v/>
      </c>
      <c r="M173" s="169" t="str">
        <f t="shared" si="33"/>
        <v/>
      </c>
      <c r="N173" s="169" t="str">
        <f t="shared" si="34"/>
        <v/>
      </c>
      <c r="O173" s="169" t="str">
        <f t="shared" si="35"/>
        <v/>
      </c>
      <c r="P173" s="169" t="str">
        <f t="shared" si="36"/>
        <v/>
      </c>
      <c r="Q173" s="169" t="str">
        <f t="shared" si="37"/>
        <v/>
      </c>
      <c r="R173" s="170" t="str">
        <f t="shared" si="38"/>
        <v/>
      </c>
      <c r="S173" s="171" t="str">
        <f t="shared" si="39"/>
        <v/>
      </c>
      <c r="T173" s="171" t="str">
        <f t="shared" si="40"/>
        <v>fg_all</v>
      </c>
      <c r="U173" s="171" t="str">
        <f t="shared" si="41"/>
        <v/>
      </c>
    </row>
    <row r="174" spans="1:21" ht="26.25" customHeight="1">
      <c r="A174" s="2"/>
      <c r="B174" s="2"/>
      <c r="C174" s="2"/>
      <c r="D174" s="2"/>
      <c r="E174" s="2"/>
      <c r="F174" s="3"/>
      <c r="G174" s="3"/>
      <c r="H174" s="164" t="str">
        <f t="shared" si="28"/>
        <v/>
      </c>
      <c r="I174" s="164" t="str">
        <f t="shared" si="29"/>
        <v/>
      </c>
      <c r="J174" s="164" t="str">
        <f t="shared" si="30"/>
        <v/>
      </c>
      <c r="K174" s="164" t="str">
        <f t="shared" si="31"/>
        <v/>
      </c>
      <c r="L174" s="164" t="str">
        <f t="shared" si="32"/>
        <v/>
      </c>
      <c r="M174" s="169" t="str">
        <f t="shared" si="33"/>
        <v/>
      </c>
      <c r="N174" s="169" t="str">
        <f t="shared" si="34"/>
        <v/>
      </c>
      <c r="O174" s="169" t="str">
        <f t="shared" si="35"/>
        <v/>
      </c>
      <c r="P174" s="169" t="str">
        <f t="shared" si="36"/>
        <v/>
      </c>
      <c r="Q174" s="169" t="str">
        <f t="shared" si="37"/>
        <v/>
      </c>
      <c r="R174" s="170" t="str">
        <f t="shared" si="38"/>
        <v/>
      </c>
      <c r="S174" s="171" t="str">
        <f t="shared" si="39"/>
        <v/>
      </c>
      <c r="T174" s="171" t="str">
        <f t="shared" si="40"/>
        <v>fg_all</v>
      </c>
      <c r="U174" s="171" t="str">
        <f t="shared" si="41"/>
        <v/>
      </c>
    </row>
    <row r="175" spans="1:21" ht="26.25" customHeight="1">
      <c r="A175" s="2"/>
      <c r="B175" s="2"/>
      <c r="C175" s="2"/>
      <c r="D175" s="2"/>
      <c r="E175" s="2"/>
      <c r="F175" s="3"/>
      <c r="G175" s="3"/>
      <c r="H175" s="164" t="str">
        <f t="shared" si="28"/>
        <v/>
      </c>
      <c r="I175" s="164" t="str">
        <f t="shared" si="29"/>
        <v/>
      </c>
      <c r="J175" s="164" t="str">
        <f t="shared" si="30"/>
        <v/>
      </c>
      <c r="K175" s="164" t="str">
        <f t="shared" si="31"/>
        <v/>
      </c>
      <c r="L175" s="164" t="str">
        <f t="shared" si="32"/>
        <v/>
      </c>
      <c r="M175" s="169" t="str">
        <f t="shared" si="33"/>
        <v/>
      </c>
      <c r="N175" s="169" t="str">
        <f t="shared" si="34"/>
        <v/>
      </c>
      <c r="O175" s="169" t="str">
        <f t="shared" si="35"/>
        <v/>
      </c>
      <c r="P175" s="169" t="str">
        <f t="shared" si="36"/>
        <v/>
      </c>
      <c r="Q175" s="169" t="str">
        <f t="shared" si="37"/>
        <v/>
      </c>
      <c r="R175" s="170" t="str">
        <f t="shared" si="38"/>
        <v/>
      </c>
      <c r="S175" s="171" t="str">
        <f t="shared" si="39"/>
        <v/>
      </c>
      <c r="T175" s="171" t="str">
        <f t="shared" si="40"/>
        <v>fg_all</v>
      </c>
      <c r="U175" s="171" t="str">
        <f t="shared" si="41"/>
        <v/>
      </c>
    </row>
    <row r="176" spans="1:21" ht="26.25" customHeight="1">
      <c r="A176" s="2"/>
      <c r="B176" s="2"/>
      <c r="C176" s="2"/>
      <c r="D176" s="2"/>
      <c r="E176" s="2"/>
      <c r="F176" s="3"/>
      <c r="G176" s="3"/>
      <c r="H176" s="164" t="str">
        <f t="shared" si="28"/>
        <v/>
      </c>
      <c r="I176" s="164" t="str">
        <f t="shared" si="29"/>
        <v/>
      </c>
      <c r="J176" s="164" t="str">
        <f t="shared" si="30"/>
        <v/>
      </c>
      <c r="K176" s="164" t="str">
        <f t="shared" si="31"/>
        <v/>
      </c>
      <c r="L176" s="164" t="str">
        <f t="shared" si="32"/>
        <v/>
      </c>
      <c r="M176" s="169" t="str">
        <f t="shared" si="33"/>
        <v/>
      </c>
      <c r="N176" s="169" t="str">
        <f t="shared" si="34"/>
        <v/>
      </c>
      <c r="O176" s="169" t="str">
        <f t="shared" si="35"/>
        <v/>
      </c>
      <c r="P176" s="169" t="str">
        <f t="shared" si="36"/>
        <v/>
      </c>
      <c r="Q176" s="169" t="str">
        <f t="shared" si="37"/>
        <v/>
      </c>
      <c r="R176" s="170" t="str">
        <f t="shared" si="38"/>
        <v/>
      </c>
      <c r="S176" s="171" t="str">
        <f t="shared" si="39"/>
        <v/>
      </c>
      <c r="T176" s="171" t="str">
        <f t="shared" si="40"/>
        <v>fg_all</v>
      </c>
      <c r="U176" s="171" t="str">
        <f t="shared" si="41"/>
        <v/>
      </c>
    </row>
    <row r="177" spans="1:21" ht="26.25" customHeight="1">
      <c r="A177" s="2"/>
      <c r="B177" s="2"/>
      <c r="C177" s="2"/>
      <c r="D177" s="2"/>
      <c r="E177" s="2"/>
      <c r="F177" s="3"/>
      <c r="G177" s="3"/>
      <c r="H177" s="164" t="str">
        <f t="shared" si="28"/>
        <v/>
      </c>
      <c r="I177" s="164" t="str">
        <f t="shared" si="29"/>
        <v/>
      </c>
      <c r="J177" s="164" t="str">
        <f t="shared" si="30"/>
        <v/>
      </c>
      <c r="K177" s="164" t="str">
        <f t="shared" si="31"/>
        <v/>
      </c>
      <c r="L177" s="164" t="str">
        <f t="shared" si="32"/>
        <v/>
      </c>
      <c r="M177" s="169" t="str">
        <f t="shared" si="33"/>
        <v/>
      </c>
      <c r="N177" s="169" t="str">
        <f t="shared" si="34"/>
        <v/>
      </c>
      <c r="O177" s="169" t="str">
        <f t="shared" si="35"/>
        <v/>
      </c>
      <c r="P177" s="169" t="str">
        <f t="shared" si="36"/>
        <v/>
      </c>
      <c r="Q177" s="169" t="str">
        <f t="shared" si="37"/>
        <v/>
      </c>
      <c r="R177" s="170" t="str">
        <f t="shared" si="38"/>
        <v/>
      </c>
      <c r="S177" s="171" t="str">
        <f t="shared" si="39"/>
        <v/>
      </c>
      <c r="T177" s="171" t="str">
        <f t="shared" si="40"/>
        <v>fg_all</v>
      </c>
      <c r="U177" s="171" t="str">
        <f t="shared" si="41"/>
        <v/>
      </c>
    </row>
    <row r="178" spans="1:21" ht="26.25" customHeight="1">
      <c r="A178" s="2"/>
      <c r="B178" s="2"/>
      <c r="C178" s="2"/>
      <c r="D178" s="2"/>
      <c r="E178" s="2"/>
      <c r="F178" s="3"/>
      <c r="G178" s="3"/>
      <c r="H178" s="164" t="str">
        <f t="shared" si="28"/>
        <v/>
      </c>
      <c r="I178" s="164" t="str">
        <f t="shared" si="29"/>
        <v/>
      </c>
      <c r="J178" s="164" t="str">
        <f t="shared" si="30"/>
        <v/>
      </c>
      <c r="K178" s="164" t="str">
        <f t="shared" si="31"/>
        <v/>
      </c>
      <c r="L178" s="164" t="str">
        <f t="shared" si="32"/>
        <v/>
      </c>
      <c r="M178" s="169" t="str">
        <f t="shared" si="33"/>
        <v/>
      </c>
      <c r="N178" s="169" t="str">
        <f t="shared" si="34"/>
        <v/>
      </c>
      <c r="O178" s="169" t="str">
        <f t="shared" si="35"/>
        <v/>
      </c>
      <c r="P178" s="169" t="str">
        <f t="shared" si="36"/>
        <v/>
      </c>
      <c r="Q178" s="169" t="str">
        <f t="shared" si="37"/>
        <v/>
      </c>
      <c r="R178" s="170" t="str">
        <f t="shared" si="38"/>
        <v/>
      </c>
      <c r="S178" s="171" t="str">
        <f t="shared" si="39"/>
        <v/>
      </c>
      <c r="T178" s="171" t="str">
        <f t="shared" si="40"/>
        <v>fg_all</v>
      </c>
      <c r="U178" s="171" t="str">
        <f t="shared" si="41"/>
        <v/>
      </c>
    </row>
    <row r="179" spans="1:21" ht="26.25" customHeight="1">
      <c r="A179" s="2"/>
      <c r="B179" s="2"/>
      <c r="C179" s="2"/>
      <c r="D179" s="2"/>
      <c r="E179" s="2"/>
      <c r="F179" s="3"/>
      <c r="G179" s="3"/>
      <c r="H179" s="164" t="str">
        <f t="shared" si="28"/>
        <v/>
      </c>
      <c r="I179" s="164" t="str">
        <f t="shared" si="29"/>
        <v/>
      </c>
      <c r="J179" s="164" t="str">
        <f t="shared" si="30"/>
        <v/>
      </c>
      <c r="K179" s="164" t="str">
        <f t="shared" si="31"/>
        <v/>
      </c>
      <c r="L179" s="164" t="str">
        <f t="shared" si="32"/>
        <v/>
      </c>
      <c r="M179" s="169" t="str">
        <f t="shared" si="33"/>
        <v/>
      </c>
      <c r="N179" s="169" t="str">
        <f t="shared" si="34"/>
        <v/>
      </c>
      <c r="O179" s="169" t="str">
        <f t="shared" si="35"/>
        <v/>
      </c>
      <c r="P179" s="169" t="str">
        <f t="shared" si="36"/>
        <v/>
      </c>
      <c r="Q179" s="169" t="str">
        <f t="shared" si="37"/>
        <v/>
      </c>
      <c r="R179" s="170" t="str">
        <f t="shared" si="38"/>
        <v/>
      </c>
      <c r="S179" s="171" t="str">
        <f t="shared" si="39"/>
        <v/>
      </c>
      <c r="T179" s="171" t="str">
        <f t="shared" si="40"/>
        <v>fg_all</v>
      </c>
      <c r="U179" s="171" t="str">
        <f t="shared" si="41"/>
        <v/>
      </c>
    </row>
    <row r="180" spans="1:21" ht="26.25" customHeight="1">
      <c r="A180" s="2"/>
      <c r="B180" s="2"/>
      <c r="C180" s="2"/>
      <c r="D180" s="2"/>
      <c r="E180" s="2"/>
      <c r="F180" s="3"/>
      <c r="G180" s="3"/>
      <c r="H180" s="164" t="str">
        <f t="shared" si="28"/>
        <v/>
      </c>
      <c r="I180" s="164" t="str">
        <f t="shared" si="29"/>
        <v/>
      </c>
      <c r="J180" s="164" t="str">
        <f t="shared" si="30"/>
        <v/>
      </c>
      <c r="K180" s="164" t="str">
        <f t="shared" si="31"/>
        <v/>
      </c>
      <c r="L180" s="164" t="str">
        <f t="shared" si="32"/>
        <v/>
      </c>
      <c r="M180" s="169" t="str">
        <f t="shared" si="33"/>
        <v/>
      </c>
      <c r="N180" s="169" t="str">
        <f t="shared" si="34"/>
        <v/>
      </c>
      <c r="O180" s="169" t="str">
        <f t="shared" si="35"/>
        <v/>
      </c>
      <c r="P180" s="169" t="str">
        <f t="shared" si="36"/>
        <v/>
      </c>
      <c r="Q180" s="169" t="str">
        <f t="shared" si="37"/>
        <v/>
      </c>
      <c r="R180" s="170" t="str">
        <f t="shared" si="38"/>
        <v/>
      </c>
      <c r="S180" s="171" t="str">
        <f t="shared" si="39"/>
        <v/>
      </c>
      <c r="T180" s="171" t="str">
        <f t="shared" si="40"/>
        <v>fg_all</v>
      </c>
      <c r="U180" s="171" t="str">
        <f t="shared" si="41"/>
        <v/>
      </c>
    </row>
    <row r="181" spans="1:21" ht="26.25" customHeight="1">
      <c r="A181" s="2"/>
      <c r="B181" s="2"/>
      <c r="C181" s="2"/>
      <c r="D181" s="2"/>
      <c r="E181" s="2"/>
      <c r="F181" s="3"/>
      <c r="G181" s="3"/>
      <c r="H181" s="164" t="str">
        <f t="shared" si="28"/>
        <v/>
      </c>
      <c r="I181" s="164" t="str">
        <f t="shared" si="29"/>
        <v/>
      </c>
      <c r="J181" s="164" t="str">
        <f t="shared" si="30"/>
        <v/>
      </c>
      <c r="K181" s="164" t="str">
        <f t="shared" si="31"/>
        <v/>
      </c>
      <c r="L181" s="164" t="str">
        <f t="shared" si="32"/>
        <v/>
      </c>
      <c r="M181" s="169" t="str">
        <f t="shared" si="33"/>
        <v/>
      </c>
      <c r="N181" s="169" t="str">
        <f t="shared" si="34"/>
        <v/>
      </c>
      <c r="O181" s="169" t="str">
        <f t="shared" si="35"/>
        <v/>
      </c>
      <c r="P181" s="169" t="str">
        <f t="shared" si="36"/>
        <v/>
      </c>
      <c r="Q181" s="169" t="str">
        <f t="shared" si="37"/>
        <v/>
      </c>
      <c r="R181" s="170" t="str">
        <f t="shared" si="38"/>
        <v/>
      </c>
      <c r="S181" s="171" t="str">
        <f t="shared" si="39"/>
        <v/>
      </c>
      <c r="T181" s="171" t="str">
        <f t="shared" si="40"/>
        <v>fg_all</v>
      </c>
      <c r="U181" s="171" t="str">
        <f t="shared" si="41"/>
        <v/>
      </c>
    </row>
    <row r="182" spans="1:21" ht="26.25" customHeight="1">
      <c r="A182" s="2"/>
      <c r="B182" s="2"/>
      <c r="C182" s="2"/>
      <c r="D182" s="2"/>
      <c r="E182" s="2"/>
      <c r="F182" s="3"/>
      <c r="G182" s="3"/>
      <c r="H182" s="164" t="str">
        <f t="shared" si="28"/>
        <v/>
      </c>
      <c r="I182" s="164" t="str">
        <f t="shared" si="29"/>
        <v/>
      </c>
      <c r="J182" s="164" t="str">
        <f t="shared" si="30"/>
        <v/>
      </c>
      <c r="K182" s="164" t="str">
        <f t="shared" si="31"/>
        <v/>
      </c>
      <c r="L182" s="164" t="str">
        <f t="shared" si="32"/>
        <v/>
      </c>
      <c r="M182" s="169" t="str">
        <f t="shared" si="33"/>
        <v/>
      </c>
      <c r="N182" s="169" t="str">
        <f t="shared" si="34"/>
        <v/>
      </c>
      <c r="O182" s="169" t="str">
        <f t="shared" si="35"/>
        <v/>
      </c>
      <c r="P182" s="169" t="str">
        <f t="shared" si="36"/>
        <v/>
      </c>
      <c r="Q182" s="169" t="str">
        <f t="shared" si="37"/>
        <v/>
      </c>
      <c r="R182" s="170" t="str">
        <f t="shared" si="38"/>
        <v/>
      </c>
      <c r="S182" s="171" t="str">
        <f t="shared" si="39"/>
        <v/>
      </c>
      <c r="T182" s="171" t="str">
        <f t="shared" si="40"/>
        <v>fg_all</v>
      </c>
      <c r="U182" s="171" t="str">
        <f t="shared" si="41"/>
        <v/>
      </c>
    </row>
    <row r="183" spans="1:21" ht="26.25" customHeight="1">
      <c r="A183" s="2"/>
      <c r="B183" s="2"/>
      <c r="C183" s="2"/>
      <c r="D183" s="2"/>
      <c r="E183" s="2"/>
      <c r="F183" s="3"/>
      <c r="G183" s="3"/>
      <c r="H183" s="164" t="str">
        <f t="shared" si="28"/>
        <v/>
      </c>
      <c r="I183" s="164" t="str">
        <f t="shared" si="29"/>
        <v/>
      </c>
      <c r="J183" s="164" t="str">
        <f t="shared" si="30"/>
        <v/>
      </c>
      <c r="K183" s="164" t="str">
        <f t="shared" si="31"/>
        <v/>
      </c>
      <c r="L183" s="164" t="str">
        <f t="shared" si="32"/>
        <v/>
      </c>
      <c r="M183" s="169" t="str">
        <f t="shared" si="33"/>
        <v/>
      </c>
      <c r="N183" s="169" t="str">
        <f t="shared" si="34"/>
        <v/>
      </c>
      <c r="O183" s="169" t="str">
        <f t="shared" si="35"/>
        <v/>
      </c>
      <c r="P183" s="169" t="str">
        <f t="shared" si="36"/>
        <v/>
      </c>
      <c r="Q183" s="169" t="str">
        <f t="shared" si="37"/>
        <v/>
      </c>
      <c r="R183" s="170" t="str">
        <f t="shared" si="38"/>
        <v/>
      </c>
      <c r="S183" s="171" t="str">
        <f t="shared" si="39"/>
        <v/>
      </c>
      <c r="T183" s="171" t="str">
        <f t="shared" si="40"/>
        <v>fg_all</v>
      </c>
      <c r="U183" s="171" t="str">
        <f t="shared" si="41"/>
        <v/>
      </c>
    </row>
    <row r="184" spans="1:21" ht="26.25" customHeight="1">
      <c r="A184" s="2"/>
      <c r="B184" s="2"/>
      <c r="C184" s="2"/>
      <c r="D184" s="2"/>
      <c r="E184" s="2"/>
      <c r="F184" s="3"/>
      <c r="G184" s="3"/>
      <c r="H184" s="164" t="str">
        <f t="shared" si="28"/>
        <v/>
      </c>
      <c r="I184" s="164" t="str">
        <f t="shared" si="29"/>
        <v/>
      </c>
      <c r="J184" s="164" t="str">
        <f t="shared" si="30"/>
        <v/>
      </c>
      <c r="K184" s="164" t="str">
        <f t="shared" si="31"/>
        <v/>
      </c>
      <c r="L184" s="164" t="str">
        <f t="shared" si="32"/>
        <v/>
      </c>
      <c r="M184" s="169" t="str">
        <f t="shared" si="33"/>
        <v/>
      </c>
      <c r="N184" s="169" t="str">
        <f t="shared" si="34"/>
        <v/>
      </c>
      <c r="O184" s="169" t="str">
        <f t="shared" si="35"/>
        <v/>
      </c>
      <c r="P184" s="169" t="str">
        <f t="shared" si="36"/>
        <v/>
      </c>
      <c r="Q184" s="169" t="str">
        <f t="shared" si="37"/>
        <v/>
      </c>
      <c r="R184" s="170" t="str">
        <f t="shared" si="38"/>
        <v/>
      </c>
      <c r="S184" s="171" t="str">
        <f t="shared" si="39"/>
        <v/>
      </c>
      <c r="T184" s="171" t="str">
        <f t="shared" si="40"/>
        <v>fg_all</v>
      </c>
      <c r="U184" s="171" t="str">
        <f t="shared" si="41"/>
        <v/>
      </c>
    </row>
    <row r="185" spans="1:21" ht="26.25" customHeight="1">
      <c r="A185" s="2"/>
      <c r="B185" s="2"/>
      <c r="C185" s="2"/>
      <c r="D185" s="2"/>
      <c r="E185" s="2"/>
      <c r="F185" s="3"/>
      <c r="G185" s="3"/>
      <c r="H185" s="164" t="str">
        <f t="shared" si="28"/>
        <v/>
      </c>
      <c r="I185" s="164" t="str">
        <f t="shared" si="29"/>
        <v/>
      </c>
      <c r="J185" s="164" t="str">
        <f t="shared" si="30"/>
        <v/>
      </c>
      <c r="K185" s="164" t="str">
        <f t="shared" si="31"/>
        <v/>
      </c>
      <c r="L185" s="164" t="str">
        <f t="shared" si="32"/>
        <v/>
      </c>
      <c r="M185" s="169" t="str">
        <f t="shared" si="33"/>
        <v/>
      </c>
      <c r="N185" s="169" t="str">
        <f t="shared" si="34"/>
        <v/>
      </c>
      <c r="O185" s="169" t="str">
        <f t="shared" si="35"/>
        <v/>
      </c>
      <c r="P185" s="169" t="str">
        <f t="shared" si="36"/>
        <v/>
      </c>
      <c r="Q185" s="169" t="str">
        <f t="shared" si="37"/>
        <v/>
      </c>
      <c r="R185" s="170" t="str">
        <f t="shared" si="38"/>
        <v/>
      </c>
      <c r="S185" s="171" t="str">
        <f t="shared" si="39"/>
        <v/>
      </c>
      <c r="T185" s="171" t="str">
        <f t="shared" si="40"/>
        <v>fg_all</v>
      </c>
      <c r="U185" s="171" t="str">
        <f t="shared" si="41"/>
        <v/>
      </c>
    </row>
    <row r="186" spans="1:21" ht="26.25" customHeight="1">
      <c r="A186" s="2"/>
      <c r="B186" s="2"/>
      <c r="C186" s="2"/>
      <c r="D186" s="2"/>
      <c r="E186" s="2"/>
      <c r="F186" s="3"/>
      <c r="G186" s="3"/>
      <c r="H186" s="164" t="str">
        <f t="shared" si="28"/>
        <v/>
      </c>
      <c r="I186" s="164" t="str">
        <f t="shared" si="29"/>
        <v/>
      </c>
      <c r="J186" s="164" t="str">
        <f t="shared" si="30"/>
        <v/>
      </c>
      <c r="K186" s="164" t="str">
        <f t="shared" si="31"/>
        <v/>
      </c>
      <c r="L186" s="164" t="str">
        <f t="shared" si="32"/>
        <v/>
      </c>
      <c r="M186" s="169" t="str">
        <f t="shared" si="33"/>
        <v/>
      </c>
      <c r="N186" s="169" t="str">
        <f t="shared" si="34"/>
        <v/>
      </c>
      <c r="O186" s="169" t="str">
        <f t="shared" si="35"/>
        <v/>
      </c>
      <c r="P186" s="169" t="str">
        <f t="shared" si="36"/>
        <v/>
      </c>
      <c r="Q186" s="169" t="str">
        <f t="shared" si="37"/>
        <v/>
      </c>
      <c r="R186" s="170" t="str">
        <f t="shared" si="38"/>
        <v/>
      </c>
      <c r="S186" s="171" t="str">
        <f t="shared" si="39"/>
        <v/>
      </c>
      <c r="T186" s="171" t="str">
        <f t="shared" si="40"/>
        <v>fg_all</v>
      </c>
      <c r="U186" s="171" t="str">
        <f t="shared" si="41"/>
        <v/>
      </c>
    </row>
    <row r="187" spans="1:21" ht="26.25" customHeight="1">
      <c r="A187" s="2"/>
      <c r="B187" s="2"/>
      <c r="C187" s="2"/>
      <c r="D187" s="2"/>
      <c r="E187" s="2"/>
      <c r="F187" s="3"/>
      <c r="G187" s="3"/>
      <c r="H187" s="164" t="str">
        <f t="shared" si="28"/>
        <v/>
      </c>
      <c r="I187" s="164" t="str">
        <f t="shared" si="29"/>
        <v/>
      </c>
      <c r="J187" s="164" t="str">
        <f t="shared" si="30"/>
        <v/>
      </c>
      <c r="K187" s="164" t="str">
        <f t="shared" si="31"/>
        <v/>
      </c>
      <c r="L187" s="164" t="str">
        <f t="shared" si="32"/>
        <v/>
      </c>
      <c r="M187" s="169" t="str">
        <f t="shared" si="33"/>
        <v/>
      </c>
      <c r="N187" s="169" t="str">
        <f t="shared" si="34"/>
        <v/>
      </c>
      <c r="O187" s="169" t="str">
        <f t="shared" si="35"/>
        <v/>
      </c>
      <c r="P187" s="169" t="str">
        <f t="shared" si="36"/>
        <v/>
      </c>
      <c r="Q187" s="169" t="str">
        <f t="shared" si="37"/>
        <v/>
      </c>
      <c r="R187" s="170" t="str">
        <f t="shared" si="38"/>
        <v/>
      </c>
      <c r="S187" s="171" t="str">
        <f t="shared" si="39"/>
        <v/>
      </c>
      <c r="T187" s="171" t="str">
        <f t="shared" si="40"/>
        <v>fg_all</v>
      </c>
      <c r="U187" s="171" t="str">
        <f t="shared" si="41"/>
        <v/>
      </c>
    </row>
    <row r="188" spans="1:21" ht="26.25" customHeight="1">
      <c r="A188" s="2"/>
      <c r="B188" s="2"/>
      <c r="C188" s="2"/>
      <c r="D188" s="2"/>
      <c r="E188" s="2"/>
      <c r="F188" s="3"/>
      <c r="G188" s="3"/>
      <c r="H188" s="164" t="str">
        <f t="shared" si="28"/>
        <v/>
      </c>
      <c r="I188" s="164" t="str">
        <f t="shared" si="29"/>
        <v/>
      </c>
      <c r="J188" s="164" t="str">
        <f t="shared" si="30"/>
        <v/>
      </c>
      <c r="K188" s="164" t="str">
        <f t="shared" si="31"/>
        <v/>
      </c>
      <c r="L188" s="164" t="str">
        <f t="shared" si="32"/>
        <v/>
      </c>
      <c r="M188" s="169" t="str">
        <f t="shared" si="33"/>
        <v/>
      </c>
      <c r="N188" s="169" t="str">
        <f t="shared" si="34"/>
        <v/>
      </c>
      <c r="O188" s="169" t="str">
        <f t="shared" si="35"/>
        <v/>
      </c>
      <c r="P188" s="169" t="str">
        <f t="shared" si="36"/>
        <v/>
      </c>
      <c r="Q188" s="169" t="str">
        <f t="shared" si="37"/>
        <v/>
      </c>
      <c r="R188" s="170" t="str">
        <f t="shared" si="38"/>
        <v/>
      </c>
      <c r="S188" s="171" t="str">
        <f t="shared" si="39"/>
        <v/>
      </c>
      <c r="T188" s="171" t="str">
        <f t="shared" si="40"/>
        <v>fg_all</v>
      </c>
      <c r="U188" s="171" t="str">
        <f t="shared" si="41"/>
        <v/>
      </c>
    </row>
    <row r="189" spans="1:21" ht="26.25" customHeight="1">
      <c r="A189" s="2"/>
      <c r="B189" s="2"/>
      <c r="C189" s="2"/>
      <c r="D189" s="2"/>
      <c r="E189" s="2"/>
      <c r="F189" s="3"/>
      <c r="G189" s="3"/>
      <c r="H189" s="164" t="str">
        <f t="shared" si="28"/>
        <v/>
      </c>
      <c r="I189" s="164" t="str">
        <f t="shared" si="29"/>
        <v/>
      </c>
      <c r="J189" s="164" t="str">
        <f t="shared" si="30"/>
        <v/>
      </c>
      <c r="K189" s="164" t="str">
        <f t="shared" si="31"/>
        <v/>
      </c>
      <c r="L189" s="164" t="str">
        <f t="shared" si="32"/>
        <v/>
      </c>
      <c r="M189" s="169" t="str">
        <f t="shared" si="33"/>
        <v/>
      </c>
      <c r="N189" s="169" t="str">
        <f t="shared" si="34"/>
        <v/>
      </c>
      <c r="O189" s="169" t="str">
        <f t="shared" si="35"/>
        <v/>
      </c>
      <c r="P189" s="169" t="str">
        <f t="shared" si="36"/>
        <v/>
      </c>
      <c r="Q189" s="169" t="str">
        <f t="shared" si="37"/>
        <v/>
      </c>
      <c r="R189" s="170" t="str">
        <f t="shared" si="38"/>
        <v/>
      </c>
      <c r="S189" s="171" t="str">
        <f t="shared" si="39"/>
        <v/>
      </c>
      <c r="T189" s="171" t="str">
        <f t="shared" si="40"/>
        <v>fg_all</v>
      </c>
      <c r="U189" s="171" t="str">
        <f t="shared" si="41"/>
        <v/>
      </c>
    </row>
    <row r="190" spans="1:21" ht="26.25" customHeight="1">
      <c r="A190" s="2"/>
      <c r="B190" s="2"/>
      <c r="C190" s="2"/>
      <c r="D190" s="2"/>
      <c r="E190" s="2"/>
      <c r="F190" s="3"/>
      <c r="G190" s="3"/>
      <c r="H190" s="164" t="str">
        <f t="shared" si="28"/>
        <v/>
      </c>
      <c r="I190" s="164" t="str">
        <f t="shared" si="29"/>
        <v/>
      </c>
      <c r="J190" s="164" t="str">
        <f t="shared" si="30"/>
        <v/>
      </c>
      <c r="K190" s="164" t="str">
        <f t="shared" si="31"/>
        <v/>
      </c>
      <c r="L190" s="164" t="str">
        <f t="shared" si="32"/>
        <v/>
      </c>
      <c r="M190" s="169" t="str">
        <f t="shared" si="33"/>
        <v/>
      </c>
      <c r="N190" s="169" t="str">
        <f t="shared" si="34"/>
        <v/>
      </c>
      <c r="O190" s="169" t="str">
        <f t="shared" si="35"/>
        <v/>
      </c>
      <c r="P190" s="169" t="str">
        <f t="shared" si="36"/>
        <v/>
      </c>
      <c r="Q190" s="169" t="str">
        <f t="shared" si="37"/>
        <v/>
      </c>
      <c r="R190" s="170" t="str">
        <f t="shared" si="38"/>
        <v/>
      </c>
      <c r="S190" s="171" t="str">
        <f t="shared" si="39"/>
        <v/>
      </c>
      <c r="T190" s="171" t="str">
        <f t="shared" si="40"/>
        <v>fg_all</v>
      </c>
      <c r="U190" s="171" t="str">
        <f t="shared" si="41"/>
        <v/>
      </c>
    </row>
    <row r="191" spans="1:21" ht="26.25" customHeight="1">
      <c r="A191" s="2"/>
      <c r="B191" s="2"/>
      <c r="C191" s="2"/>
      <c r="D191" s="2"/>
      <c r="E191" s="2"/>
      <c r="F191" s="3"/>
      <c r="G191" s="3"/>
      <c r="H191" s="164" t="str">
        <f t="shared" si="28"/>
        <v/>
      </c>
      <c r="I191" s="164" t="str">
        <f t="shared" si="29"/>
        <v/>
      </c>
      <c r="J191" s="164" t="str">
        <f t="shared" si="30"/>
        <v/>
      </c>
      <c r="K191" s="164" t="str">
        <f t="shared" si="31"/>
        <v/>
      </c>
      <c r="L191" s="164" t="str">
        <f t="shared" si="32"/>
        <v/>
      </c>
      <c r="M191" s="169" t="str">
        <f t="shared" si="33"/>
        <v/>
      </c>
      <c r="N191" s="169" t="str">
        <f t="shared" si="34"/>
        <v/>
      </c>
      <c r="O191" s="169" t="str">
        <f t="shared" si="35"/>
        <v/>
      </c>
      <c r="P191" s="169" t="str">
        <f t="shared" si="36"/>
        <v/>
      </c>
      <c r="Q191" s="169" t="str">
        <f t="shared" si="37"/>
        <v/>
      </c>
      <c r="R191" s="170" t="str">
        <f t="shared" si="38"/>
        <v/>
      </c>
      <c r="S191" s="171" t="str">
        <f t="shared" si="39"/>
        <v/>
      </c>
      <c r="T191" s="171" t="str">
        <f t="shared" si="40"/>
        <v>fg_all</v>
      </c>
      <c r="U191" s="171" t="str">
        <f t="shared" si="41"/>
        <v/>
      </c>
    </row>
    <row r="192" spans="1:21" ht="26.25" customHeight="1">
      <c r="A192" s="2"/>
      <c r="B192" s="2"/>
      <c r="C192" s="2"/>
      <c r="D192" s="2"/>
      <c r="E192" s="2"/>
      <c r="F192" s="3"/>
      <c r="G192" s="3"/>
      <c r="H192" s="164" t="str">
        <f t="shared" si="28"/>
        <v/>
      </c>
      <c r="I192" s="164" t="str">
        <f t="shared" si="29"/>
        <v/>
      </c>
      <c r="J192" s="164" t="str">
        <f t="shared" si="30"/>
        <v/>
      </c>
      <c r="K192" s="164" t="str">
        <f t="shared" si="31"/>
        <v/>
      </c>
      <c r="L192" s="164" t="str">
        <f t="shared" si="32"/>
        <v/>
      </c>
      <c r="M192" s="169" t="str">
        <f t="shared" si="33"/>
        <v/>
      </c>
      <c r="N192" s="169" t="str">
        <f t="shared" si="34"/>
        <v/>
      </c>
      <c r="O192" s="169" t="str">
        <f t="shared" si="35"/>
        <v/>
      </c>
      <c r="P192" s="169" t="str">
        <f t="shared" si="36"/>
        <v/>
      </c>
      <c r="Q192" s="169" t="str">
        <f t="shared" si="37"/>
        <v/>
      </c>
      <c r="R192" s="170" t="str">
        <f t="shared" si="38"/>
        <v/>
      </c>
      <c r="S192" s="171" t="str">
        <f t="shared" si="39"/>
        <v/>
      </c>
      <c r="T192" s="171" t="str">
        <f t="shared" si="40"/>
        <v>fg_all</v>
      </c>
      <c r="U192" s="171" t="str">
        <f t="shared" si="41"/>
        <v/>
      </c>
    </row>
    <row r="193" spans="1:21" ht="26.25" customHeight="1">
      <c r="A193" s="2"/>
      <c r="B193" s="2"/>
      <c r="C193" s="2"/>
      <c r="D193" s="2"/>
      <c r="E193" s="2"/>
      <c r="F193" s="3"/>
      <c r="G193" s="3"/>
      <c r="H193" s="164" t="str">
        <f t="shared" si="28"/>
        <v/>
      </c>
      <c r="I193" s="164" t="str">
        <f t="shared" si="29"/>
        <v/>
      </c>
      <c r="J193" s="164" t="str">
        <f t="shared" si="30"/>
        <v/>
      </c>
      <c r="K193" s="164" t="str">
        <f t="shared" si="31"/>
        <v/>
      </c>
      <c r="L193" s="164" t="str">
        <f t="shared" si="32"/>
        <v/>
      </c>
      <c r="M193" s="169" t="str">
        <f t="shared" si="33"/>
        <v/>
      </c>
      <c r="N193" s="169" t="str">
        <f t="shared" si="34"/>
        <v/>
      </c>
      <c r="O193" s="169" t="str">
        <f t="shared" si="35"/>
        <v/>
      </c>
      <c r="P193" s="169" t="str">
        <f t="shared" si="36"/>
        <v/>
      </c>
      <c r="Q193" s="169" t="str">
        <f t="shared" si="37"/>
        <v/>
      </c>
      <c r="R193" s="170" t="str">
        <f t="shared" si="38"/>
        <v/>
      </c>
      <c r="S193" s="171" t="str">
        <f t="shared" si="39"/>
        <v/>
      </c>
      <c r="T193" s="171" t="str">
        <f t="shared" si="40"/>
        <v>fg_all</v>
      </c>
      <c r="U193" s="171" t="str">
        <f t="shared" si="41"/>
        <v/>
      </c>
    </row>
    <row r="194" spans="1:21" ht="26.25" customHeight="1">
      <c r="A194" s="2"/>
      <c r="B194" s="2"/>
      <c r="C194" s="2"/>
      <c r="D194" s="2"/>
      <c r="E194" s="2"/>
      <c r="F194" s="3"/>
      <c r="G194" s="3"/>
      <c r="H194" s="164" t="str">
        <f t="shared" si="28"/>
        <v/>
      </c>
      <c r="I194" s="164" t="str">
        <f t="shared" si="29"/>
        <v/>
      </c>
      <c r="J194" s="164" t="str">
        <f t="shared" si="30"/>
        <v/>
      </c>
      <c r="K194" s="164" t="str">
        <f t="shared" si="31"/>
        <v/>
      </c>
      <c r="L194" s="164" t="str">
        <f t="shared" si="32"/>
        <v/>
      </c>
      <c r="M194" s="169" t="str">
        <f t="shared" si="33"/>
        <v/>
      </c>
      <c r="N194" s="169" t="str">
        <f t="shared" si="34"/>
        <v/>
      </c>
      <c r="O194" s="169" t="str">
        <f t="shared" si="35"/>
        <v/>
      </c>
      <c r="P194" s="169" t="str">
        <f t="shared" si="36"/>
        <v/>
      </c>
      <c r="Q194" s="169" t="str">
        <f t="shared" si="37"/>
        <v/>
      </c>
      <c r="R194" s="170" t="str">
        <f t="shared" si="38"/>
        <v/>
      </c>
      <c r="S194" s="171" t="str">
        <f t="shared" si="39"/>
        <v/>
      </c>
      <c r="T194" s="171" t="str">
        <f t="shared" si="40"/>
        <v>fg_all</v>
      </c>
      <c r="U194" s="171" t="str">
        <f t="shared" si="41"/>
        <v/>
      </c>
    </row>
    <row r="195" spans="1:21" ht="26.25" customHeight="1">
      <c r="A195" s="2"/>
      <c r="B195" s="2"/>
      <c r="C195" s="2"/>
      <c r="D195" s="2"/>
      <c r="E195" s="2"/>
      <c r="F195" s="3"/>
      <c r="G195" s="3"/>
      <c r="H195" s="164" t="str">
        <f t="shared" si="28"/>
        <v/>
      </c>
      <c r="I195" s="164" t="str">
        <f t="shared" si="29"/>
        <v/>
      </c>
      <c r="J195" s="164" t="str">
        <f t="shared" si="30"/>
        <v/>
      </c>
      <c r="K195" s="164" t="str">
        <f t="shared" si="31"/>
        <v/>
      </c>
      <c r="L195" s="164" t="str">
        <f t="shared" si="32"/>
        <v/>
      </c>
      <c r="M195" s="169" t="str">
        <f t="shared" si="33"/>
        <v/>
      </c>
      <c r="N195" s="169" t="str">
        <f t="shared" si="34"/>
        <v/>
      </c>
      <c r="O195" s="169" t="str">
        <f t="shared" si="35"/>
        <v/>
      </c>
      <c r="P195" s="169" t="str">
        <f t="shared" si="36"/>
        <v/>
      </c>
      <c r="Q195" s="169" t="str">
        <f t="shared" si="37"/>
        <v/>
      </c>
      <c r="R195" s="170" t="str">
        <f t="shared" si="38"/>
        <v/>
      </c>
      <c r="S195" s="171" t="str">
        <f t="shared" si="39"/>
        <v/>
      </c>
      <c r="T195" s="171" t="str">
        <f t="shared" si="40"/>
        <v>fg_all</v>
      </c>
      <c r="U195" s="171" t="str">
        <f t="shared" si="41"/>
        <v/>
      </c>
    </row>
    <row r="196" spans="1:21" ht="26.25" customHeight="1">
      <c r="A196" s="2"/>
      <c r="B196" s="2"/>
      <c r="C196" s="2"/>
      <c r="D196" s="2"/>
      <c r="E196" s="2"/>
      <c r="F196" s="3"/>
      <c r="G196" s="3"/>
      <c r="H196" s="164" t="str">
        <f t="shared" si="28"/>
        <v/>
      </c>
      <c r="I196" s="164" t="str">
        <f t="shared" si="29"/>
        <v/>
      </c>
      <c r="J196" s="164" t="str">
        <f t="shared" si="30"/>
        <v/>
      </c>
      <c r="K196" s="164" t="str">
        <f t="shared" si="31"/>
        <v/>
      </c>
      <c r="L196" s="164" t="str">
        <f t="shared" si="32"/>
        <v/>
      </c>
      <c r="M196" s="169" t="str">
        <f t="shared" si="33"/>
        <v/>
      </c>
      <c r="N196" s="169" t="str">
        <f t="shared" si="34"/>
        <v/>
      </c>
      <c r="O196" s="169" t="str">
        <f t="shared" si="35"/>
        <v/>
      </c>
      <c r="P196" s="169" t="str">
        <f t="shared" si="36"/>
        <v/>
      </c>
      <c r="Q196" s="169" t="str">
        <f t="shared" si="37"/>
        <v/>
      </c>
      <c r="R196" s="170" t="str">
        <f t="shared" si="38"/>
        <v/>
      </c>
      <c r="S196" s="171" t="str">
        <f t="shared" si="39"/>
        <v/>
      </c>
      <c r="T196" s="171" t="str">
        <f t="shared" si="40"/>
        <v>fg_all</v>
      </c>
      <c r="U196" s="171" t="str">
        <f t="shared" si="41"/>
        <v/>
      </c>
    </row>
    <row r="197" spans="1:21" ht="26.25" customHeight="1">
      <c r="A197" s="2"/>
      <c r="B197" s="2"/>
      <c r="C197" s="2"/>
      <c r="D197" s="2"/>
      <c r="E197" s="2"/>
      <c r="F197" s="3"/>
      <c r="G197" s="3"/>
      <c r="H197" s="164" t="str">
        <f t="shared" si="28"/>
        <v/>
      </c>
      <c r="I197" s="164" t="str">
        <f t="shared" si="29"/>
        <v/>
      </c>
      <c r="J197" s="164" t="str">
        <f t="shared" si="30"/>
        <v/>
      </c>
      <c r="K197" s="164" t="str">
        <f t="shared" si="31"/>
        <v/>
      </c>
      <c r="L197" s="164" t="str">
        <f t="shared" si="32"/>
        <v/>
      </c>
      <c r="M197" s="169" t="str">
        <f t="shared" si="33"/>
        <v/>
      </c>
      <c r="N197" s="169" t="str">
        <f t="shared" si="34"/>
        <v/>
      </c>
      <c r="O197" s="169" t="str">
        <f t="shared" si="35"/>
        <v/>
      </c>
      <c r="P197" s="169" t="str">
        <f t="shared" si="36"/>
        <v/>
      </c>
      <c r="Q197" s="169" t="str">
        <f t="shared" si="37"/>
        <v/>
      </c>
      <c r="R197" s="170" t="str">
        <f t="shared" si="38"/>
        <v/>
      </c>
      <c r="S197" s="171" t="str">
        <f t="shared" si="39"/>
        <v/>
      </c>
      <c r="T197" s="171" t="str">
        <f t="shared" si="40"/>
        <v>fg_all</v>
      </c>
      <c r="U197" s="171" t="str">
        <f t="shared" si="41"/>
        <v/>
      </c>
    </row>
    <row r="198" spans="1:21" ht="26.25" customHeight="1">
      <c r="A198" s="2"/>
      <c r="B198" s="2"/>
      <c r="C198" s="2"/>
      <c r="D198" s="2"/>
      <c r="E198" s="2"/>
      <c r="F198" s="3"/>
      <c r="G198" s="3"/>
      <c r="H198" s="164" t="str">
        <f t="shared" si="28"/>
        <v/>
      </c>
      <c r="I198" s="164" t="str">
        <f t="shared" si="29"/>
        <v/>
      </c>
      <c r="J198" s="164" t="str">
        <f t="shared" si="30"/>
        <v/>
      </c>
      <c r="K198" s="164" t="str">
        <f t="shared" si="31"/>
        <v/>
      </c>
      <c r="L198" s="164" t="str">
        <f t="shared" si="32"/>
        <v/>
      </c>
      <c r="M198" s="169" t="str">
        <f t="shared" si="33"/>
        <v/>
      </c>
      <c r="N198" s="169" t="str">
        <f t="shared" si="34"/>
        <v/>
      </c>
      <c r="O198" s="169" t="str">
        <f t="shared" si="35"/>
        <v/>
      </c>
      <c r="P198" s="169" t="str">
        <f t="shared" si="36"/>
        <v/>
      </c>
      <c r="Q198" s="169" t="str">
        <f t="shared" si="37"/>
        <v/>
      </c>
      <c r="R198" s="170" t="str">
        <f t="shared" si="38"/>
        <v/>
      </c>
      <c r="S198" s="171" t="str">
        <f t="shared" si="39"/>
        <v/>
      </c>
      <c r="T198" s="171" t="str">
        <f t="shared" si="40"/>
        <v>fg_all</v>
      </c>
      <c r="U198" s="171" t="str">
        <f t="shared" si="41"/>
        <v/>
      </c>
    </row>
    <row r="199" spans="1:21" ht="26.25" customHeight="1">
      <c r="A199" s="2"/>
      <c r="B199" s="2"/>
      <c r="C199" s="2"/>
      <c r="D199" s="2"/>
      <c r="E199" s="2"/>
      <c r="F199" s="3"/>
      <c r="G199" s="3"/>
      <c r="H199" s="164" t="str">
        <f t="shared" si="28"/>
        <v/>
      </c>
      <c r="I199" s="164" t="str">
        <f t="shared" si="29"/>
        <v/>
      </c>
      <c r="J199" s="164" t="str">
        <f t="shared" si="30"/>
        <v/>
      </c>
      <c r="K199" s="164" t="str">
        <f t="shared" si="31"/>
        <v/>
      </c>
      <c r="L199" s="164" t="str">
        <f t="shared" si="32"/>
        <v/>
      </c>
      <c r="M199" s="169" t="str">
        <f t="shared" si="33"/>
        <v/>
      </c>
      <c r="N199" s="169" t="str">
        <f t="shared" si="34"/>
        <v/>
      </c>
      <c r="O199" s="169" t="str">
        <f t="shared" si="35"/>
        <v/>
      </c>
      <c r="P199" s="169" t="str">
        <f t="shared" si="36"/>
        <v/>
      </c>
      <c r="Q199" s="169" t="str">
        <f t="shared" si="37"/>
        <v/>
      </c>
      <c r="R199" s="170" t="str">
        <f t="shared" si="38"/>
        <v/>
      </c>
      <c r="S199" s="171" t="str">
        <f t="shared" si="39"/>
        <v/>
      </c>
      <c r="T199" s="171" t="str">
        <f t="shared" si="40"/>
        <v>fg_all</v>
      </c>
      <c r="U199" s="171" t="str">
        <f t="shared" si="41"/>
        <v/>
      </c>
    </row>
    <row r="200" spans="1:21" ht="26.25" customHeight="1">
      <c r="A200" s="2"/>
      <c r="B200" s="2"/>
      <c r="C200" s="2"/>
      <c r="D200" s="2"/>
      <c r="E200" s="2"/>
      <c r="F200" s="3"/>
      <c r="G200" s="3"/>
      <c r="H200" s="164" t="str">
        <f t="shared" si="28"/>
        <v/>
      </c>
      <c r="I200" s="164" t="str">
        <f t="shared" si="29"/>
        <v/>
      </c>
      <c r="J200" s="164" t="str">
        <f t="shared" si="30"/>
        <v/>
      </c>
      <c r="K200" s="164" t="str">
        <f t="shared" si="31"/>
        <v/>
      </c>
      <c r="L200" s="164" t="str">
        <f t="shared" si="32"/>
        <v/>
      </c>
      <c r="M200" s="169" t="str">
        <f t="shared" si="33"/>
        <v/>
      </c>
      <c r="N200" s="169" t="str">
        <f t="shared" si="34"/>
        <v/>
      </c>
      <c r="O200" s="169" t="str">
        <f t="shared" si="35"/>
        <v/>
      </c>
      <c r="P200" s="169" t="str">
        <f t="shared" si="36"/>
        <v/>
      </c>
      <c r="Q200" s="169" t="str">
        <f t="shared" si="37"/>
        <v/>
      </c>
      <c r="R200" s="170" t="str">
        <f t="shared" si="38"/>
        <v/>
      </c>
      <c r="S200" s="171" t="str">
        <f t="shared" si="39"/>
        <v/>
      </c>
      <c r="T200" s="171" t="str">
        <f t="shared" si="40"/>
        <v>fg_all</v>
      </c>
      <c r="U200" s="171" t="str">
        <f t="shared" si="41"/>
        <v/>
      </c>
    </row>
    <row r="201" spans="1:21" ht="26.25" customHeight="1">
      <c r="A201" s="2"/>
      <c r="B201" s="2"/>
      <c r="C201" s="2"/>
      <c r="D201" s="2"/>
      <c r="E201" s="2"/>
      <c r="F201" s="3"/>
      <c r="G201" s="3"/>
      <c r="H201" s="164" t="str">
        <f t="shared" ref="H201:H218" si="42">IF(OR($S201="",$S201="NF"),"",INDEX(b_ener,$S201))</f>
        <v/>
      </c>
      <c r="I201" s="164" t="str">
        <f t="shared" ref="I201:I218" si="43">IF(OR($S201="",$S201="NF"),"",INDEX(b_prot,$S201))</f>
        <v/>
      </c>
      <c r="J201" s="164" t="str">
        <f t="shared" ref="J201:J218" si="44">IF(OR($S201="",$S201="NF"),"",INDEX(b_hc,$S201))</f>
        <v/>
      </c>
      <c r="K201" s="164" t="str">
        <f t="shared" ref="K201:K218" si="45">IF(OR($S201="",$S201="NF"),"",INDEX(b_lip,$S201))</f>
        <v/>
      </c>
      <c r="L201" s="164" t="str">
        <f t="shared" ref="L201:L218" si="46">IF(OR($S201="",$S201="NF"),"",INDEX(b_fib,$S201))</f>
        <v/>
      </c>
      <c r="M201" s="169" t="str">
        <f t="shared" ref="M201:M218" si="47">IF(OR(NOT(ISNUMBER($U201)),NOT(ISNUMBER($H201))),"",ROUND($U201*$H201/100,1))</f>
        <v/>
      </c>
      <c r="N201" s="169" t="str">
        <f t="shared" ref="N201:N218" si="48">IF(OR(NOT(ISNUMBER($U201)),NOT(ISNUMBER($I201))),"",ROUND($U201*$I201/100,2))</f>
        <v/>
      </c>
      <c r="O201" s="169" t="str">
        <f t="shared" ref="O201:O218" si="49">IF(OR(NOT(ISNUMBER($U201)),NOT(ISNUMBER($J201))),"",ROUND($U201*$J201/100,2))</f>
        <v/>
      </c>
      <c r="P201" s="169" t="str">
        <f t="shared" ref="P201:P218" si="50">IF(OR(NOT(ISNUMBER($U201)),NOT(ISNUMBER($K201))),"",ROUND($U201*$K201/100,2))</f>
        <v/>
      </c>
      <c r="Q201" s="169" t="str">
        <f t="shared" ref="Q201:Q218" si="51">IF(OR(NOT(ISNUMBER($U201)),NOT(ISNUMBER($L201))),"",ROUND($U201*$L201/100,2))</f>
        <v/>
      </c>
      <c r="R201" s="170" t="str">
        <f t="shared" ref="R201:R218" si="52">IF($D201="","",IF($S201="NF","Alimento no encontrado",IF(AND($E201="Porciones",NOT(ISNUMBER($U201))),"Porción no documentada: use gramos",IF(NOT(ISNUMBER($U201)),"Ingrese los gramos",IF(OR($H201="ND",$I201="ND",$J201="ND",$K201="ND",$L201="ND"),"Dato incompleto (ND): el total puede subestimar","OK")))))</f>
        <v/>
      </c>
      <c r="S201" s="171" t="str">
        <f t="shared" ref="S201:S218" si="53">IF(OR($D201="",$D201=0),"",IFERROR(MATCH($D201,b_key,0),"NF"))</f>
        <v/>
      </c>
      <c r="T201" s="171" t="str">
        <f t="shared" ref="T201:T218" si="54">IF($C201="","fg_all",IFERROR(VLOOKUP($C201,grp_map,2,0),"fg_all"))</f>
        <v>fg_all</v>
      </c>
      <c r="U201" s="171" t="str">
        <f t="shared" ref="U201:U218" si="55">IF(OR($D201="",$S201="NF",$S201=""),"",IF($E201="Porciones",IF(AND(ISNUMBER($F201),ISNUMBER(INDEX(b_porcg,$S201))),$F201*INDEX(b_porcg,$S201),"ND"),$G201))</f>
        <v/>
      </c>
    </row>
    <row r="202" spans="1:21" ht="26.25" customHeight="1">
      <c r="A202" s="2"/>
      <c r="B202" s="2"/>
      <c r="C202" s="2"/>
      <c r="D202" s="2"/>
      <c r="E202" s="2"/>
      <c r="F202" s="3"/>
      <c r="G202" s="3"/>
      <c r="H202" s="164" t="str">
        <f t="shared" si="42"/>
        <v/>
      </c>
      <c r="I202" s="164" t="str">
        <f t="shared" si="43"/>
        <v/>
      </c>
      <c r="J202" s="164" t="str">
        <f t="shared" si="44"/>
        <v/>
      </c>
      <c r="K202" s="164" t="str">
        <f t="shared" si="45"/>
        <v/>
      </c>
      <c r="L202" s="164" t="str">
        <f t="shared" si="46"/>
        <v/>
      </c>
      <c r="M202" s="169" t="str">
        <f t="shared" si="47"/>
        <v/>
      </c>
      <c r="N202" s="169" t="str">
        <f t="shared" si="48"/>
        <v/>
      </c>
      <c r="O202" s="169" t="str">
        <f t="shared" si="49"/>
        <v/>
      </c>
      <c r="P202" s="169" t="str">
        <f t="shared" si="50"/>
        <v/>
      </c>
      <c r="Q202" s="169" t="str">
        <f t="shared" si="51"/>
        <v/>
      </c>
      <c r="R202" s="170" t="str">
        <f t="shared" si="52"/>
        <v/>
      </c>
      <c r="S202" s="171" t="str">
        <f t="shared" si="53"/>
        <v/>
      </c>
      <c r="T202" s="171" t="str">
        <f t="shared" si="54"/>
        <v>fg_all</v>
      </c>
      <c r="U202" s="171" t="str">
        <f t="shared" si="55"/>
        <v/>
      </c>
    </row>
    <row r="203" spans="1:21" ht="26.25" customHeight="1">
      <c r="A203" s="2"/>
      <c r="B203" s="2"/>
      <c r="C203" s="2"/>
      <c r="D203" s="2"/>
      <c r="E203" s="2"/>
      <c r="F203" s="3"/>
      <c r="G203" s="3"/>
      <c r="H203" s="164" t="str">
        <f t="shared" si="42"/>
        <v/>
      </c>
      <c r="I203" s="164" t="str">
        <f t="shared" si="43"/>
        <v/>
      </c>
      <c r="J203" s="164" t="str">
        <f t="shared" si="44"/>
        <v/>
      </c>
      <c r="K203" s="164" t="str">
        <f t="shared" si="45"/>
        <v/>
      </c>
      <c r="L203" s="164" t="str">
        <f t="shared" si="46"/>
        <v/>
      </c>
      <c r="M203" s="169" t="str">
        <f t="shared" si="47"/>
        <v/>
      </c>
      <c r="N203" s="169" t="str">
        <f t="shared" si="48"/>
        <v/>
      </c>
      <c r="O203" s="169" t="str">
        <f t="shared" si="49"/>
        <v/>
      </c>
      <c r="P203" s="169" t="str">
        <f t="shared" si="50"/>
        <v/>
      </c>
      <c r="Q203" s="169" t="str">
        <f t="shared" si="51"/>
        <v/>
      </c>
      <c r="R203" s="170" t="str">
        <f t="shared" si="52"/>
        <v/>
      </c>
      <c r="S203" s="171" t="str">
        <f t="shared" si="53"/>
        <v/>
      </c>
      <c r="T203" s="171" t="str">
        <f t="shared" si="54"/>
        <v>fg_all</v>
      </c>
      <c r="U203" s="171" t="str">
        <f t="shared" si="55"/>
        <v/>
      </c>
    </row>
    <row r="204" spans="1:21" ht="26.25" customHeight="1">
      <c r="A204" s="2"/>
      <c r="B204" s="2"/>
      <c r="C204" s="2"/>
      <c r="D204" s="2"/>
      <c r="E204" s="2"/>
      <c r="F204" s="3"/>
      <c r="G204" s="3"/>
      <c r="H204" s="164" t="str">
        <f t="shared" si="42"/>
        <v/>
      </c>
      <c r="I204" s="164" t="str">
        <f t="shared" si="43"/>
        <v/>
      </c>
      <c r="J204" s="164" t="str">
        <f t="shared" si="44"/>
        <v/>
      </c>
      <c r="K204" s="164" t="str">
        <f t="shared" si="45"/>
        <v/>
      </c>
      <c r="L204" s="164" t="str">
        <f t="shared" si="46"/>
        <v/>
      </c>
      <c r="M204" s="169" t="str">
        <f t="shared" si="47"/>
        <v/>
      </c>
      <c r="N204" s="169" t="str">
        <f t="shared" si="48"/>
        <v/>
      </c>
      <c r="O204" s="169" t="str">
        <f t="shared" si="49"/>
        <v/>
      </c>
      <c r="P204" s="169" t="str">
        <f t="shared" si="50"/>
        <v/>
      </c>
      <c r="Q204" s="169" t="str">
        <f t="shared" si="51"/>
        <v/>
      </c>
      <c r="R204" s="170" t="str">
        <f t="shared" si="52"/>
        <v/>
      </c>
      <c r="S204" s="171" t="str">
        <f t="shared" si="53"/>
        <v/>
      </c>
      <c r="T204" s="171" t="str">
        <f t="shared" si="54"/>
        <v>fg_all</v>
      </c>
      <c r="U204" s="171" t="str">
        <f t="shared" si="55"/>
        <v/>
      </c>
    </row>
    <row r="205" spans="1:21" ht="26.25" customHeight="1">
      <c r="A205" s="2"/>
      <c r="B205" s="2"/>
      <c r="C205" s="2"/>
      <c r="D205" s="2"/>
      <c r="E205" s="2"/>
      <c r="F205" s="3"/>
      <c r="G205" s="3"/>
      <c r="H205" s="164" t="str">
        <f t="shared" si="42"/>
        <v/>
      </c>
      <c r="I205" s="164" t="str">
        <f t="shared" si="43"/>
        <v/>
      </c>
      <c r="J205" s="164" t="str">
        <f t="shared" si="44"/>
        <v/>
      </c>
      <c r="K205" s="164" t="str">
        <f t="shared" si="45"/>
        <v/>
      </c>
      <c r="L205" s="164" t="str">
        <f t="shared" si="46"/>
        <v/>
      </c>
      <c r="M205" s="169" t="str">
        <f t="shared" si="47"/>
        <v/>
      </c>
      <c r="N205" s="169" t="str">
        <f t="shared" si="48"/>
        <v/>
      </c>
      <c r="O205" s="169" t="str">
        <f t="shared" si="49"/>
        <v/>
      </c>
      <c r="P205" s="169" t="str">
        <f t="shared" si="50"/>
        <v/>
      </c>
      <c r="Q205" s="169" t="str">
        <f t="shared" si="51"/>
        <v/>
      </c>
      <c r="R205" s="170" t="str">
        <f t="shared" si="52"/>
        <v/>
      </c>
      <c r="S205" s="171" t="str">
        <f t="shared" si="53"/>
        <v/>
      </c>
      <c r="T205" s="171" t="str">
        <f t="shared" si="54"/>
        <v>fg_all</v>
      </c>
      <c r="U205" s="171" t="str">
        <f t="shared" si="55"/>
        <v/>
      </c>
    </row>
    <row r="206" spans="1:21" ht="26.25" customHeight="1">
      <c r="A206" s="2"/>
      <c r="B206" s="2"/>
      <c r="C206" s="2"/>
      <c r="D206" s="2"/>
      <c r="E206" s="2"/>
      <c r="F206" s="3"/>
      <c r="G206" s="3"/>
      <c r="H206" s="164" t="str">
        <f t="shared" si="42"/>
        <v/>
      </c>
      <c r="I206" s="164" t="str">
        <f t="shared" si="43"/>
        <v/>
      </c>
      <c r="J206" s="164" t="str">
        <f t="shared" si="44"/>
        <v/>
      </c>
      <c r="K206" s="164" t="str">
        <f t="shared" si="45"/>
        <v/>
      </c>
      <c r="L206" s="164" t="str">
        <f t="shared" si="46"/>
        <v/>
      </c>
      <c r="M206" s="169" t="str">
        <f t="shared" si="47"/>
        <v/>
      </c>
      <c r="N206" s="169" t="str">
        <f t="shared" si="48"/>
        <v/>
      </c>
      <c r="O206" s="169" t="str">
        <f t="shared" si="49"/>
        <v/>
      </c>
      <c r="P206" s="169" t="str">
        <f t="shared" si="50"/>
        <v/>
      </c>
      <c r="Q206" s="169" t="str">
        <f t="shared" si="51"/>
        <v/>
      </c>
      <c r="R206" s="170" t="str">
        <f t="shared" si="52"/>
        <v/>
      </c>
      <c r="S206" s="171" t="str">
        <f t="shared" si="53"/>
        <v/>
      </c>
      <c r="T206" s="171" t="str">
        <f t="shared" si="54"/>
        <v>fg_all</v>
      </c>
      <c r="U206" s="171" t="str">
        <f t="shared" si="55"/>
        <v/>
      </c>
    </row>
    <row r="207" spans="1:21" ht="26.25" customHeight="1">
      <c r="A207" s="2"/>
      <c r="B207" s="2"/>
      <c r="C207" s="2"/>
      <c r="D207" s="2"/>
      <c r="E207" s="2"/>
      <c r="F207" s="3"/>
      <c r="G207" s="3"/>
      <c r="H207" s="164" t="str">
        <f t="shared" si="42"/>
        <v/>
      </c>
      <c r="I207" s="164" t="str">
        <f t="shared" si="43"/>
        <v/>
      </c>
      <c r="J207" s="164" t="str">
        <f t="shared" si="44"/>
        <v/>
      </c>
      <c r="K207" s="164" t="str">
        <f t="shared" si="45"/>
        <v/>
      </c>
      <c r="L207" s="164" t="str">
        <f t="shared" si="46"/>
        <v/>
      </c>
      <c r="M207" s="169" t="str">
        <f t="shared" si="47"/>
        <v/>
      </c>
      <c r="N207" s="169" t="str">
        <f t="shared" si="48"/>
        <v/>
      </c>
      <c r="O207" s="169" t="str">
        <f t="shared" si="49"/>
        <v/>
      </c>
      <c r="P207" s="169" t="str">
        <f t="shared" si="50"/>
        <v/>
      </c>
      <c r="Q207" s="169" t="str">
        <f t="shared" si="51"/>
        <v/>
      </c>
      <c r="R207" s="170" t="str">
        <f t="shared" si="52"/>
        <v/>
      </c>
      <c r="S207" s="171" t="str">
        <f t="shared" si="53"/>
        <v/>
      </c>
      <c r="T207" s="171" t="str">
        <f t="shared" si="54"/>
        <v>fg_all</v>
      </c>
      <c r="U207" s="171" t="str">
        <f t="shared" si="55"/>
        <v/>
      </c>
    </row>
    <row r="208" spans="1:21" ht="26.25" customHeight="1">
      <c r="A208" s="2"/>
      <c r="B208" s="2"/>
      <c r="C208" s="2"/>
      <c r="D208" s="2"/>
      <c r="E208" s="2"/>
      <c r="F208" s="3"/>
      <c r="G208" s="3"/>
      <c r="H208" s="164" t="str">
        <f t="shared" si="42"/>
        <v/>
      </c>
      <c r="I208" s="164" t="str">
        <f t="shared" si="43"/>
        <v/>
      </c>
      <c r="J208" s="164" t="str">
        <f t="shared" si="44"/>
        <v/>
      </c>
      <c r="K208" s="164" t="str">
        <f t="shared" si="45"/>
        <v/>
      </c>
      <c r="L208" s="164" t="str">
        <f t="shared" si="46"/>
        <v/>
      </c>
      <c r="M208" s="169" t="str">
        <f t="shared" si="47"/>
        <v/>
      </c>
      <c r="N208" s="169" t="str">
        <f t="shared" si="48"/>
        <v/>
      </c>
      <c r="O208" s="169" t="str">
        <f t="shared" si="49"/>
        <v/>
      </c>
      <c r="P208" s="169" t="str">
        <f t="shared" si="50"/>
        <v/>
      </c>
      <c r="Q208" s="169" t="str">
        <f t="shared" si="51"/>
        <v/>
      </c>
      <c r="R208" s="170" t="str">
        <f t="shared" si="52"/>
        <v/>
      </c>
      <c r="S208" s="171" t="str">
        <f t="shared" si="53"/>
        <v/>
      </c>
      <c r="T208" s="171" t="str">
        <f t="shared" si="54"/>
        <v>fg_all</v>
      </c>
      <c r="U208" s="171" t="str">
        <f t="shared" si="55"/>
        <v/>
      </c>
    </row>
    <row r="209" spans="1:21" ht="26.25" customHeight="1">
      <c r="A209" s="2"/>
      <c r="B209" s="2"/>
      <c r="C209" s="2"/>
      <c r="D209" s="2"/>
      <c r="E209" s="2"/>
      <c r="F209" s="3"/>
      <c r="G209" s="3"/>
      <c r="H209" s="164" t="str">
        <f t="shared" si="42"/>
        <v/>
      </c>
      <c r="I209" s="164" t="str">
        <f t="shared" si="43"/>
        <v/>
      </c>
      <c r="J209" s="164" t="str">
        <f t="shared" si="44"/>
        <v/>
      </c>
      <c r="K209" s="164" t="str">
        <f t="shared" si="45"/>
        <v/>
      </c>
      <c r="L209" s="164" t="str">
        <f t="shared" si="46"/>
        <v/>
      </c>
      <c r="M209" s="169" t="str">
        <f t="shared" si="47"/>
        <v/>
      </c>
      <c r="N209" s="169" t="str">
        <f t="shared" si="48"/>
        <v/>
      </c>
      <c r="O209" s="169" t="str">
        <f t="shared" si="49"/>
        <v/>
      </c>
      <c r="P209" s="169" t="str">
        <f t="shared" si="50"/>
        <v/>
      </c>
      <c r="Q209" s="169" t="str">
        <f t="shared" si="51"/>
        <v/>
      </c>
      <c r="R209" s="170" t="str">
        <f t="shared" si="52"/>
        <v/>
      </c>
      <c r="S209" s="171" t="str">
        <f t="shared" si="53"/>
        <v/>
      </c>
      <c r="T209" s="171" t="str">
        <f t="shared" si="54"/>
        <v>fg_all</v>
      </c>
      <c r="U209" s="171" t="str">
        <f t="shared" si="55"/>
        <v/>
      </c>
    </row>
    <row r="210" spans="1:21" ht="26.25" customHeight="1">
      <c r="A210" s="2"/>
      <c r="B210" s="2"/>
      <c r="C210" s="2"/>
      <c r="D210" s="2"/>
      <c r="E210" s="2"/>
      <c r="F210" s="3"/>
      <c r="G210" s="3"/>
      <c r="H210" s="164" t="str">
        <f t="shared" si="42"/>
        <v/>
      </c>
      <c r="I210" s="164" t="str">
        <f t="shared" si="43"/>
        <v/>
      </c>
      <c r="J210" s="164" t="str">
        <f t="shared" si="44"/>
        <v/>
      </c>
      <c r="K210" s="164" t="str">
        <f t="shared" si="45"/>
        <v/>
      </c>
      <c r="L210" s="164" t="str">
        <f t="shared" si="46"/>
        <v/>
      </c>
      <c r="M210" s="169" t="str">
        <f t="shared" si="47"/>
        <v/>
      </c>
      <c r="N210" s="169" t="str">
        <f t="shared" si="48"/>
        <v/>
      </c>
      <c r="O210" s="169" t="str">
        <f t="shared" si="49"/>
        <v/>
      </c>
      <c r="P210" s="169" t="str">
        <f t="shared" si="50"/>
        <v/>
      </c>
      <c r="Q210" s="169" t="str">
        <f t="shared" si="51"/>
        <v/>
      </c>
      <c r="R210" s="170" t="str">
        <f t="shared" si="52"/>
        <v/>
      </c>
      <c r="S210" s="171" t="str">
        <f t="shared" si="53"/>
        <v/>
      </c>
      <c r="T210" s="171" t="str">
        <f t="shared" si="54"/>
        <v>fg_all</v>
      </c>
      <c r="U210" s="171" t="str">
        <f t="shared" si="55"/>
        <v/>
      </c>
    </row>
    <row r="211" spans="1:21" ht="26.25" customHeight="1">
      <c r="A211" s="2"/>
      <c r="B211" s="2"/>
      <c r="C211" s="2"/>
      <c r="D211" s="2"/>
      <c r="E211" s="2"/>
      <c r="F211" s="3"/>
      <c r="G211" s="3"/>
      <c r="H211" s="164" t="str">
        <f t="shared" si="42"/>
        <v/>
      </c>
      <c r="I211" s="164" t="str">
        <f t="shared" si="43"/>
        <v/>
      </c>
      <c r="J211" s="164" t="str">
        <f t="shared" si="44"/>
        <v/>
      </c>
      <c r="K211" s="164" t="str">
        <f t="shared" si="45"/>
        <v/>
      </c>
      <c r="L211" s="164" t="str">
        <f t="shared" si="46"/>
        <v/>
      </c>
      <c r="M211" s="169" t="str">
        <f t="shared" si="47"/>
        <v/>
      </c>
      <c r="N211" s="169" t="str">
        <f t="shared" si="48"/>
        <v/>
      </c>
      <c r="O211" s="169" t="str">
        <f t="shared" si="49"/>
        <v/>
      </c>
      <c r="P211" s="169" t="str">
        <f t="shared" si="50"/>
        <v/>
      </c>
      <c r="Q211" s="169" t="str">
        <f t="shared" si="51"/>
        <v/>
      </c>
      <c r="R211" s="170" t="str">
        <f t="shared" si="52"/>
        <v/>
      </c>
      <c r="S211" s="171" t="str">
        <f t="shared" si="53"/>
        <v/>
      </c>
      <c r="T211" s="171" t="str">
        <f t="shared" si="54"/>
        <v>fg_all</v>
      </c>
      <c r="U211" s="171" t="str">
        <f t="shared" si="55"/>
        <v/>
      </c>
    </row>
    <row r="212" spans="1:21" ht="26.25" customHeight="1">
      <c r="A212" s="2"/>
      <c r="B212" s="2"/>
      <c r="C212" s="2"/>
      <c r="D212" s="2"/>
      <c r="E212" s="2"/>
      <c r="F212" s="3"/>
      <c r="G212" s="3"/>
      <c r="H212" s="164" t="str">
        <f t="shared" si="42"/>
        <v/>
      </c>
      <c r="I212" s="164" t="str">
        <f t="shared" si="43"/>
        <v/>
      </c>
      <c r="J212" s="164" t="str">
        <f t="shared" si="44"/>
        <v/>
      </c>
      <c r="K212" s="164" t="str">
        <f t="shared" si="45"/>
        <v/>
      </c>
      <c r="L212" s="164" t="str">
        <f t="shared" si="46"/>
        <v/>
      </c>
      <c r="M212" s="169" t="str">
        <f t="shared" si="47"/>
        <v/>
      </c>
      <c r="N212" s="169" t="str">
        <f t="shared" si="48"/>
        <v/>
      </c>
      <c r="O212" s="169" t="str">
        <f t="shared" si="49"/>
        <v/>
      </c>
      <c r="P212" s="169" t="str">
        <f t="shared" si="50"/>
        <v/>
      </c>
      <c r="Q212" s="169" t="str">
        <f t="shared" si="51"/>
        <v/>
      </c>
      <c r="R212" s="170" t="str">
        <f t="shared" si="52"/>
        <v/>
      </c>
      <c r="S212" s="171" t="str">
        <f t="shared" si="53"/>
        <v/>
      </c>
      <c r="T212" s="171" t="str">
        <f t="shared" si="54"/>
        <v>fg_all</v>
      </c>
      <c r="U212" s="171" t="str">
        <f t="shared" si="55"/>
        <v/>
      </c>
    </row>
    <row r="213" spans="1:21" ht="26.25" customHeight="1">
      <c r="A213" s="2"/>
      <c r="B213" s="2"/>
      <c r="C213" s="2"/>
      <c r="D213" s="2"/>
      <c r="E213" s="2"/>
      <c r="F213" s="3"/>
      <c r="G213" s="3"/>
      <c r="H213" s="164" t="str">
        <f t="shared" si="42"/>
        <v/>
      </c>
      <c r="I213" s="164" t="str">
        <f t="shared" si="43"/>
        <v/>
      </c>
      <c r="J213" s="164" t="str">
        <f t="shared" si="44"/>
        <v/>
      </c>
      <c r="K213" s="164" t="str">
        <f t="shared" si="45"/>
        <v/>
      </c>
      <c r="L213" s="164" t="str">
        <f t="shared" si="46"/>
        <v/>
      </c>
      <c r="M213" s="169" t="str">
        <f t="shared" si="47"/>
        <v/>
      </c>
      <c r="N213" s="169" t="str">
        <f t="shared" si="48"/>
        <v/>
      </c>
      <c r="O213" s="169" t="str">
        <f t="shared" si="49"/>
        <v/>
      </c>
      <c r="P213" s="169" t="str">
        <f t="shared" si="50"/>
        <v/>
      </c>
      <c r="Q213" s="169" t="str">
        <f t="shared" si="51"/>
        <v/>
      </c>
      <c r="R213" s="170" t="str">
        <f t="shared" si="52"/>
        <v/>
      </c>
      <c r="S213" s="171" t="str">
        <f t="shared" si="53"/>
        <v/>
      </c>
      <c r="T213" s="171" t="str">
        <f t="shared" si="54"/>
        <v>fg_all</v>
      </c>
      <c r="U213" s="171" t="str">
        <f t="shared" si="55"/>
        <v/>
      </c>
    </row>
    <row r="214" spans="1:21" ht="26.25" customHeight="1">
      <c r="A214" s="2"/>
      <c r="B214" s="2"/>
      <c r="C214" s="2"/>
      <c r="D214" s="2"/>
      <c r="E214" s="2"/>
      <c r="F214" s="3"/>
      <c r="G214" s="3"/>
      <c r="H214" s="164" t="str">
        <f t="shared" si="42"/>
        <v/>
      </c>
      <c r="I214" s="164" t="str">
        <f t="shared" si="43"/>
        <v/>
      </c>
      <c r="J214" s="164" t="str">
        <f t="shared" si="44"/>
        <v/>
      </c>
      <c r="K214" s="164" t="str">
        <f t="shared" si="45"/>
        <v/>
      </c>
      <c r="L214" s="164" t="str">
        <f t="shared" si="46"/>
        <v/>
      </c>
      <c r="M214" s="169" t="str">
        <f t="shared" si="47"/>
        <v/>
      </c>
      <c r="N214" s="169" t="str">
        <f t="shared" si="48"/>
        <v/>
      </c>
      <c r="O214" s="169" t="str">
        <f t="shared" si="49"/>
        <v/>
      </c>
      <c r="P214" s="169" t="str">
        <f t="shared" si="50"/>
        <v/>
      </c>
      <c r="Q214" s="169" t="str">
        <f t="shared" si="51"/>
        <v/>
      </c>
      <c r="R214" s="170" t="str">
        <f t="shared" si="52"/>
        <v/>
      </c>
      <c r="S214" s="171" t="str">
        <f t="shared" si="53"/>
        <v/>
      </c>
      <c r="T214" s="171" t="str">
        <f t="shared" si="54"/>
        <v>fg_all</v>
      </c>
      <c r="U214" s="171" t="str">
        <f t="shared" si="55"/>
        <v/>
      </c>
    </row>
    <row r="215" spans="1:21" ht="26.25" customHeight="1">
      <c r="A215" s="2"/>
      <c r="B215" s="2"/>
      <c r="C215" s="2"/>
      <c r="D215" s="2"/>
      <c r="E215" s="2"/>
      <c r="F215" s="3"/>
      <c r="G215" s="3"/>
      <c r="H215" s="164" t="str">
        <f t="shared" si="42"/>
        <v/>
      </c>
      <c r="I215" s="164" t="str">
        <f t="shared" si="43"/>
        <v/>
      </c>
      <c r="J215" s="164" t="str">
        <f t="shared" si="44"/>
        <v/>
      </c>
      <c r="K215" s="164" t="str">
        <f t="shared" si="45"/>
        <v/>
      </c>
      <c r="L215" s="164" t="str">
        <f t="shared" si="46"/>
        <v/>
      </c>
      <c r="M215" s="169" t="str">
        <f t="shared" si="47"/>
        <v/>
      </c>
      <c r="N215" s="169" t="str">
        <f t="shared" si="48"/>
        <v/>
      </c>
      <c r="O215" s="169" t="str">
        <f t="shared" si="49"/>
        <v/>
      </c>
      <c r="P215" s="169" t="str">
        <f t="shared" si="50"/>
        <v/>
      </c>
      <c r="Q215" s="169" t="str">
        <f t="shared" si="51"/>
        <v/>
      </c>
      <c r="R215" s="170" t="str">
        <f t="shared" si="52"/>
        <v/>
      </c>
      <c r="S215" s="171" t="str">
        <f t="shared" si="53"/>
        <v/>
      </c>
      <c r="T215" s="171" t="str">
        <f t="shared" si="54"/>
        <v>fg_all</v>
      </c>
      <c r="U215" s="171" t="str">
        <f t="shared" si="55"/>
        <v/>
      </c>
    </row>
    <row r="216" spans="1:21" ht="26.25" customHeight="1">
      <c r="A216" s="2"/>
      <c r="B216" s="2"/>
      <c r="C216" s="2"/>
      <c r="D216" s="2"/>
      <c r="E216" s="2"/>
      <c r="F216" s="3"/>
      <c r="G216" s="3"/>
      <c r="H216" s="164" t="str">
        <f t="shared" si="42"/>
        <v/>
      </c>
      <c r="I216" s="164" t="str">
        <f t="shared" si="43"/>
        <v/>
      </c>
      <c r="J216" s="164" t="str">
        <f t="shared" si="44"/>
        <v/>
      </c>
      <c r="K216" s="164" t="str">
        <f t="shared" si="45"/>
        <v/>
      </c>
      <c r="L216" s="164" t="str">
        <f t="shared" si="46"/>
        <v/>
      </c>
      <c r="M216" s="169" t="str">
        <f t="shared" si="47"/>
        <v/>
      </c>
      <c r="N216" s="169" t="str">
        <f t="shared" si="48"/>
        <v/>
      </c>
      <c r="O216" s="169" t="str">
        <f t="shared" si="49"/>
        <v/>
      </c>
      <c r="P216" s="169" t="str">
        <f t="shared" si="50"/>
        <v/>
      </c>
      <c r="Q216" s="169" t="str">
        <f t="shared" si="51"/>
        <v/>
      </c>
      <c r="R216" s="170" t="str">
        <f t="shared" si="52"/>
        <v/>
      </c>
      <c r="S216" s="171" t="str">
        <f t="shared" si="53"/>
        <v/>
      </c>
      <c r="T216" s="171" t="str">
        <f t="shared" si="54"/>
        <v>fg_all</v>
      </c>
      <c r="U216" s="171" t="str">
        <f t="shared" si="55"/>
        <v/>
      </c>
    </row>
    <row r="217" spans="1:21" ht="26.25" customHeight="1">
      <c r="A217" s="2"/>
      <c r="B217" s="2"/>
      <c r="C217" s="2"/>
      <c r="D217" s="2"/>
      <c r="E217" s="2"/>
      <c r="F217" s="3"/>
      <c r="G217" s="3"/>
      <c r="H217" s="164" t="str">
        <f t="shared" si="42"/>
        <v/>
      </c>
      <c r="I217" s="164" t="str">
        <f t="shared" si="43"/>
        <v/>
      </c>
      <c r="J217" s="164" t="str">
        <f t="shared" si="44"/>
        <v/>
      </c>
      <c r="K217" s="164" t="str">
        <f t="shared" si="45"/>
        <v/>
      </c>
      <c r="L217" s="164" t="str">
        <f t="shared" si="46"/>
        <v/>
      </c>
      <c r="M217" s="169" t="str">
        <f t="shared" si="47"/>
        <v/>
      </c>
      <c r="N217" s="169" t="str">
        <f t="shared" si="48"/>
        <v/>
      </c>
      <c r="O217" s="169" t="str">
        <f t="shared" si="49"/>
        <v/>
      </c>
      <c r="P217" s="169" t="str">
        <f t="shared" si="50"/>
        <v/>
      </c>
      <c r="Q217" s="169" t="str">
        <f t="shared" si="51"/>
        <v/>
      </c>
      <c r="R217" s="170" t="str">
        <f t="shared" si="52"/>
        <v/>
      </c>
      <c r="S217" s="171" t="str">
        <f t="shared" si="53"/>
        <v/>
      </c>
      <c r="T217" s="171" t="str">
        <f t="shared" si="54"/>
        <v>fg_all</v>
      </c>
      <c r="U217" s="171" t="str">
        <f t="shared" si="55"/>
        <v/>
      </c>
    </row>
    <row r="218" spans="1:21" ht="26.25" customHeight="1">
      <c r="A218" s="2"/>
      <c r="B218" s="2"/>
      <c r="C218" s="2"/>
      <c r="D218" s="2"/>
      <c r="E218" s="2"/>
      <c r="F218" s="3"/>
      <c r="G218" s="3"/>
      <c r="H218" s="164" t="str">
        <f t="shared" si="42"/>
        <v/>
      </c>
      <c r="I218" s="164" t="str">
        <f t="shared" si="43"/>
        <v/>
      </c>
      <c r="J218" s="164" t="str">
        <f t="shared" si="44"/>
        <v/>
      </c>
      <c r="K218" s="164" t="str">
        <f t="shared" si="45"/>
        <v/>
      </c>
      <c r="L218" s="164" t="str">
        <f t="shared" si="46"/>
        <v/>
      </c>
      <c r="M218" s="169" t="str">
        <f t="shared" si="47"/>
        <v/>
      </c>
      <c r="N218" s="169" t="str">
        <f t="shared" si="48"/>
        <v/>
      </c>
      <c r="O218" s="169" t="str">
        <f t="shared" si="49"/>
        <v/>
      </c>
      <c r="P218" s="169" t="str">
        <f t="shared" si="50"/>
        <v/>
      </c>
      <c r="Q218" s="169" t="str">
        <f t="shared" si="51"/>
        <v/>
      </c>
      <c r="R218" s="170" t="str">
        <f t="shared" si="52"/>
        <v/>
      </c>
      <c r="S218" s="171" t="str">
        <f t="shared" si="53"/>
        <v/>
      </c>
      <c r="T218" s="171" t="str">
        <f t="shared" si="54"/>
        <v>fg_all</v>
      </c>
      <c r="U218" s="171" t="str">
        <f t="shared" si="55"/>
        <v/>
      </c>
    </row>
  </sheetData>
  <sheetProtection algorithmName="SHA-512" hashValue="FC25VKhwtPrQBFjRO+SiWxiGtTSiEyMV4qrW4MEKyaygl5smtjxfYQ0t8gEfRwxnAUbmxRxViC+86smurnFWCQ==" saltValue="A6vxOx1YkFh/5dWWKWP0Ww==" spinCount="100000" sheet="1" objects="1" scenarios="1" autoFilter="0"/>
  <mergeCells count="10">
    <mergeCell ref="A4:R4"/>
    <mergeCell ref="A5:R7"/>
    <mergeCell ref="A1:R1"/>
    <mergeCell ref="A2:R2"/>
    <mergeCell ref="F3:G3"/>
    <mergeCell ref="H3:I3"/>
    <mergeCell ref="J3:K3"/>
    <mergeCell ref="L3:M3"/>
    <mergeCell ref="N3:O3"/>
    <mergeCell ref="P3:R3"/>
  </mergeCells>
  <dataValidations count="5">
    <dataValidation type="list" allowBlank="1" sqref="A9:A218" xr:uid="{00000000-0002-0000-0B00-000000000000}">
      <formula1>"Lunes,Martes,Miércoles,Jueves,Viernes,Sábado,Domingo"</formula1>
      <formula2>0</formula2>
    </dataValidation>
    <dataValidation type="list" allowBlank="1" sqref="B9:B218" xr:uid="{00000000-0002-0000-0B00-000001000000}">
      <formula1>lst_tiempos</formula1>
      <formula2>0</formula2>
    </dataValidation>
    <dataValidation type="list" allowBlank="1" sqref="C9:C218" xr:uid="{00000000-0002-0000-0B00-000002000000}">
      <formula1>lst_grupos_base</formula1>
      <formula2>0</formula2>
    </dataValidation>
    <dataValidation type="list" allowBlank="1" sqref="E9:E218" xr:uid="{00000000-0002-0000-0B00-000003000000}">
      <formula1>"Gramos,Porciones"</formula1>
      <formula2>0</formula2>
    </dataValidation>
    <dataValidation type="list" allowBlank="1" sqref="D9:D218" xr:uid="{00000000-0002-0000-0B00-000004000000}">
      <formula1>INDIRECT($T9)</formula1>
      <formula2>0</formula2>
    </dataValidation>
  </dataValidations>
  <hyperlinks>
    <hyperlink ref="A3" location="'INICIO'!A1" display="INICIO" xr:uid="{00000000-0004-0000-0B00-000000000000}"/>
    <hyperlink ref="B3" location="'DATOS'!A1" display="DATOS" xr:uid="{00000000-0004-0000-0B00-000001000000}"/>
    <hyperlink ref="C3" location="'DIETOSINTESIS'!A1" display="DIETOSINTESIS" xr:uid="{00000000-0004-0000-0B00-000002000000}"/>
    <hyperlink ref="D3" location="'DISTRIBUCION'!A1" display="DISTRIBUCION" xr:uid="{00000000-0004-0000-0B00-000003000000}"/>
    <hyperlink ref="E3" location="'MENU_SEMANAL'!A1" display="MENU_SEMANAL" xr:uid="{00000000-0004-0000-0B00-000004000000}"/>
    <hyperlink ref="F3" location="'SEMANA'!A1" display="SEMANA" xr:uid="{00000000-0004-0000-0B00-000005000000}"/>
    <hyperlink ref="H3" location="'RESULTADOS'!A1" display="RESULTADOS" xr:uid="{00000000-0004-0000-0B00-000006000000}"/>
    <hyperlink ref="J3" location="'FUENTES'!A1" display="FUENTES" xr:uid="{00000000-0004-0000-0B00-000007000000}"/>
    <hyperlink ref="L3" location="'PRUEBAS'!A1" display="PRUEBAS" xr:uid="{00000000-0004-0000-0B00-000008000000}"/>
    <hyperlink ref="N3" location="'CONFIG'!A1" display="CONFIG" xr:uid="{00000000-0004-0000-0B00-000009000000}"/>
    <hyperlink ref="P3" location="'CHANGELOG'!A1" display="CHANGELOG" xr:uid="{00000000-0004-0000-0B00-00000A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49</vt:i4>
      </vt:variant>
    </vt:vector>
  </HeadingPairs>
  <TitlesOfParts>
    <vt:vector size="61" baseType="lpstr">
      <vt:lpstr>INICIO</vt:lpstr>
      <vt:lpstr>DATOS</vt:lpstr>
      <vt:lpstr>DIETOSINTESIS</vt:lpstr>
      <vt:lpstr>DISTRIBUCION</vt:lpstr>
      <vt:lpstr>SEMANA</vt:lpstr>
      <vt:lpstr>RESULTADOS</vt:lpstr>
      <vt:lpstr>FUENTES</vt:lpstr>
      <vt:lpstr>PRUEBAS</vt:lpstr>
      <vt:lpstr>CONFIG</vt:lpstr>
      <vt:lpstr>CHANGELOG</vt:lpstr>
      <vt:lpstr>BASE_ALIMENTOS</vt:lpstr>
      <vt:lpstr>MENU_SEMANAL</vt:lpstr>
      <vt:lpstr>INICIO!Área_de_impresión</vt:lpstr>
      <vt:lpstr>b_ener</vt:lpstr>
      <vt:lpstr>b_fib</vt:lpstr>
      <vt:lpstr>b_hc</vt:lpstr>
      <vt:lpstr>b_key</vt:lpstr>
      <vt:lpstr>b_lip</vt:lpstr>
      <vt:lpstr>b_porcg</vt:lpstr>
      <vt:lpstr>b_prot</vt:lpstr>
      <vt:lpstr>fg_01</vt:lpstr>
      <vt:lpstr>fg_02</vt:lpstr>
      <vt:lpstr>fg_03</vt:lpstr>
      <vt:lpstr>fg_04</vt:lpstr>
      <vt:lpstr>fg_05</vt:lpstr>
      <vt:lpstr>fg_06</vt:lpstr>
      <vt:lpstr>fg_07</vt:lpstr>
      <vt:lpstr>fg_08</vt:lpstr>
      <vt:lpstr>fg_09</vt:lpstr>
      <vt:lpstr>fg_10</vt:lpstr>
      <vt:lpstr>fg_11</vt:lpstr>
      <vt:lpstr>fg_12</vt:lpstr>
      <vt:lpstr>fg_13</vt:lpstr>
      <vt:lpstr>fg_14</vt:lpstr>
      <vt:lpstr>fg_15</vt:lpstr>
      <vt:lpstr>fg_16</vt:lpstr>
      <vt:lpstr>fg_17</vt:lpstr>
      <vt:lpstr>fg_18</vt:lpstr>
      <vt:lpstr>fg_19</vt:lpstr>
      <vt:lpstr>fg_20</vt:lpstr>
      <vt:lpstr>fg_21</vt:lpstr>
      <vt:lpstr>fg_22</vt:lpstr>
      <vt:lpstr>fg_23</vt:lpstr>
      <vt:lpstr>fg_24</vt:lpstr>
      <vt:lpstr>fg_all</vt:lpstr>
      <vt:lpstr>grp_map</vt:lpstr>
      <vt:lpstr>k_cho</vt:lpstr>
      <vt:lpstr>k_lip</vt:lpstr>
      <vt:lpstr>k_prot</vt:lpstr>
      <vt:lpstr>k_tol</vt:lpstr>
      <vt:lpstr>lst_eq</vt:lpstr>
      <vt:lpstr>lst_grupos_base</vt:lpstr>
      <vt:lpstr>lst_tiempos</vt:lpstr>
      <vt:lpstr>rng_eq</vt:lpstr>
      <vt:lpstr>rng_macro</vt:lpstr>
      <vt:lpstr>rng_meta_dia</vt:lpstr>
      <vt:lpstr>rng_tiempos</vt:lpstr>
      <vt:lpstr>u_inf</vt:lpstr>
      <vt:lpstr>u_rep</vt:lpstr>
      <vt:lpstr>u_sup</vt:lpstr>
      <vt:lpstr>v_meta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cp:lastModifiedBy>
  <cp:revision>11</cp:revision>
  <dcterms:created xsi:type="dcterms:W3CDTF">2026-07-19T04:59:46Z</dcterms:created>
  <dcterms:modified xsi:type="dcterms:W3CDTF">2026-08-21T05:23:26Z</dcterms:modified>
  <dc:language>en-US</dc:language>
</cp:coreProperties>
</file>